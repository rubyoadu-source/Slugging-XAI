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Legends" sheetId="1" r:id="rId4"/>
    <sheet name="SIM1" sheetId="2" r:id="rId5"/>
    <sheet name="SIM2" sheetId="3" r:id="rId6"/>
    <sheet name="SIM3" sheetId="4" r:id="rId7"/>
    <sheet name="SIM4" sheetId="5" r:id="rId8"/>
    <sheet name="SIM5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<sst xmlns="http://schemas.openxmlformats.org/spreadsheetml/2006/main" uniqueCount="29">
  <si>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VARIABLE</t>
  </si>
  <si>
    <t>LEGEND</t>
  </si>
  <si>
    <t>TREND___QLT___(M3_S)___RISER_OUTLET</t>
  </si>
  <si>
    <t>VAR1</t>
  </si>
  <si>
    <t>TREND___UL___(M_S)___RISER_OUTLET</t>
  </si>
  <si>
    <t>VAR2</t>
  </si>
  <si>
    <t>TREND___UG___(M_S)___RISER_OUTLET</t>
  </si>
  <si>
    <t>VAR3</t>
  </si>
  <si>
    <t>TREND___VALVDP___(BAR)___CHOKE_OUTLET_SD2</t>
  </si>
  <si>
    <t>VAR4</t>
  </si>
  <si>
    <t>h</t>
  </si>
  <si>
    <t>(M3/S)</t>
  </si>
  <si>
    <t>(M/S)</t>
  </si>
  <si>
    <t>(BAR)</t>
  </si>
  <si>
    <t>TIME1</t>
  </si>
  <si>
    <t>TIME2</t>
  </si>
  <si>
    <t>TIME3</t>
  </si>
  <si>
    <t>TIME4</t>
  </si>
  <si>
    <t>Report-2031_Oil_4500bopd_Liquid_4789blpd_15MMSCFD_GL_TD_Only_OP1.genkey</t>
  </si>
  <si>
    <t>Min</t>
  </si>
  <si>
    <t>P50</t>
  </si>
  <si>
    <t>Max</t>
  </si>
  <si>
    <t>Delta</t>
  </si>
  <si>
    <t>Offset</t>
  </si>
  <si>
    <t>Scale</t>
  </si>
  <si>
    <t>Report-2031_Oil_4500bopd_Liquid_4789blpd_5MMSCFD_GL_TD_Only_OP1.genkey</t>
  </si>
  <si>
    <t>Report-2031_Oil_4500bopd_Liquid_4789blpd_5MMSCFD_GL_TD_Only_OP1_TCV_10pc.genkey</t>
  </si>
  <si>
    <t>Report-2031_Oil_4500bopd_Liquid_4789blpd_5MMSCFD_GL_TD_Only_OP1_TCV_5pc.genkey</t>
  </si>
  <si>
    <t>Report-2031_Oil_4500bopd_Liquid_4789blpd_No_GL_TD_Only_OP1.genkey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</si>
</sst>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Report-2031_Oil_4500bopd_Liquid_4789blpd_15MMSCFD_GL_TD_Only_OP1.genkey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SIM1!$A$11:$A$299</c:f>
              <c:numCache>
                <c:ptCount val="289"/>
                <c:pt idx="0">
                  <c:v>0</c:v>
                </c:pt>
                <c:pt idx="1">
                  <c:v>0.2503671646118164</c:v>
                </c:pt>
                <c:pt idx="2">
                  <c:v>0.5001519322395325</c:v>
                </c:pt>
                <c:pt idx="3">
                  <c:v>0.7503069639205933</c:v>
                </c:pt>
                <c:pt idx="4">
                  <c:v>1.000024199485779</c:v>
                </c:pt>
                <c:pt idx="5">
                  <c:v>1.250035881996155</c:v>
                </c:pt>
                <c:pt idx="6">
                  <c:v>1.500266671180725</c:v>
                </c:pt>
                <c:pt idx="7">
                  <c:v>1.750089168548584</c:v>
                </c:pt>
                <c:pt idx="8">
                  <c:v>2.000319719314575</c:v>
                </c:pt>
                <c:pt idx="9">
                  <c:v>2.250142335891724</c:v>
                </c:pt>
                <c:pt idx="10">
                  <c:v>2.500373125076294</c:v>
                </c:pt>
                <c:pt idx="11">
                  <c:v>2.750195503234863</c:v>
                </c:pt>
                <c:pt idx="12">
                  <c:v>3.000016689300537</c:v>
                </c:pt>
                <c:pt idx="13">
                  <c:v>3.250250101089478</c:v>
                </c:pt>
                <c:pt idx="14">
                  <c:v>3.500072240829468</c:v>
                </c:pt>
                <c:pt idx="15">
                  <c:v>3.750302791595459</c:v>
                </c:pt>
                <c:pt idx="16">
                  <c:v>4.000124931335449</c:v>
                </c:pt>
                <c:pt idx="17">
                  <c:v>4.25035572052002</c:v>
                </c:pt>
                <c:pt idx="18">
                  <c:v>4.50017786026001</c:v>
                </c:pt>
                <c:pt idx="19">
                  <c:v>4.75</c:v>
                </c:pt>
                <c:pt idx="20">
                  <c:v>5.00023078918457</c:v>
                </c:pt>
                <c:pt idx="21">
                  <c:v>5.250052928924561</c:v>
                </c:pt>
                <c:pt idx="22">
                  <c:v>5.500283241271973</c:v>
                </c:pt>
                <c:pt idx="23">
                  <c:v>5.750105381011963</c:v>
                </c:pt>
                <c:pt idx="24">
                  <c:v>6.000336170196533</c:v>
                </c:pt>
                <c:pt idx="25">
                  <c:v>6.250158309936523</c:v>
                </c:pt>
                <c:pt idx="26">
                  <c:v>6.500391483306885</c:v>
                </c:pt>
                <c:pt idx="27">
                  <c:v>6.750214099884033</c:v>
                </c:pt>
                <c:pt idx="28">
                  <c:v>7.000036239624023</c:v>
                </c:pt>
                <c:pt idx="29">
                  <c:v>7.250266551971436</c:v>
                </c:pt>
                <c:pt idx="30">
                  <c:v>7.500088691711426</c:v>
                </c:pt>
                <c:pt idx="31">
                  <c:v>7.750319480895996</c:v>
                </c:pt>
                <c:pt idx="32">
                  <c:v>8.000142097473145</c:v>
                </c:pt>
                <c:pt idx="33">
                  <c:v>8.250371932983398</c:v>
                </c:pt>
                <c:pt idx="34">
                  <c:v>8.500194549560547</c:v>
                </c:pt>
                <c:pt idx="35">
                  <c:v>8.750016212463379</c:v>
                </c:pt>
                <c:pt idx="36">
                  <c:v>9.000247001647949</c:v>
                </c:pt>
                <c:pt idx="37">
                  <c:v>9.250069618225098</c:v>
                </c:pt>
                <c:pt idx="38">
                  <c:v>9.500300407409668</c:v>
                </c:pt>
                <c:pt idx="39">
                  <c:v>9.750124931335449</c:v>
                </c:pt>
                <c:pt idx="40">
                  <c:v>10.00035572052002</c:v>
                </c:pt>
                <c:pt idx="41">
                  <c:v>10.25017738342285</c:v>
                </c:pt>
                <c:pt idx="42">
                  <c:v>10.50040817260742</c:v>
                </c:pt>
                <c:pt idx="43">
                  <c:v>10.75023078918457</c:v>
                </c:pt>
                <c:pt idx="44">
                  <c:v>11.0000524520874</c:v>
                </c:pt>
                <c:pt idx="45">
                  <c:v>11.25028324127197</c:v>
                </c:pt>
                <c:pt idx="46">
                  <c:v>11.50010585784912</c:v>
                </c:pt>
                <c:pt idx="47">
                  <c:v>11.75033569335938</c:v>
                </c:pt>
                <c:pt idx="48">
                  <c:v>12.00015830993652</c:v>
                </c:pt>
                <c:pt idx="49">
                  <c:v>12.25038909912109</c:v>
                </c:pt>
                <c:pt idx="50">
                  <c:v>12.50021076202393</c:v>
                </c:pt>
                <c:pt idx="51">
                  <c:v>12.75003337860107</c:v>
                </c:pt>
                <c:pt idx="52">
                  <c:v>13.00026702880859</c:v>
                </c:pt>
                <c:pt idx="53">
                  <c:v>13.25008869171143</c:v>
                </c:pt>
                <c:pt idx="54">
                  <c:v>13.500319480896</c:v>
                </c:pt>
                <c:pt idx="55">
                  <c:v>13.75014209747314</c:v>
                </c:pt>
                <c:pt idx="56">
                  <c:v>14.0003719329834</c:v>
                </c:pt>
                <c:pt idx="57">
                  <c:v>14.25019454956055</c:v>
                </c:pt>
                <c:pt idx="58">
                  <c:v>14.50001621246338</c:v>
                </c:pt>
                <c:pt idx="59">
                  <c:v>14.75024700164795</c:v>
                </c:pt>
                <c:pt idx="60">
                  <c:v>15.0000696182251</c:v>
                </c:pt>
                <c:pt idx="61">
                  <c:v>15.25030040740967</c:v>
                </c:pt>
                <c:pt idx="62">
                  <c:v>15.5001220703125</c:v>
                </c:pt>
                <c:pt idx="63">
                  <c:v>15.75035285949707</c:v>
                </c:pt>
                <c:pt idx="64">
                  <c:v>16.00017547607422</c:v>
                </c:pt>
                <c:pt idx="65">
                  <c:v>16.25040817260742</c:v>
                </c:pt>
                <c:pt idx="66">
                  <c:v>16.50023078918457</c:v>
                </c:pt>
                <c:pt idx="67">
                  <c:v>16.75005340576172</c:v>
                </c:pt>
                <c:pt idx="68">
                  <c:v>17.00028419494629</c:v>
                </c:pt>
                <c:pt idx="69">
                  <c:v>17.2501049041748</c:v>
                </c:pt>
                <c:pt idx="70">
                  <c:v>17.50033569335938</c:v>
                </c:pt>
                <c:pt idx="71">
                  <c:v>17.75015830993652</c:v>
                </c:pt>
                <c:pt idx="72">
                  <c:v>18.00038909912109</c:v>
                </c:pt>
                <c:pt idx="73">
                  <c:v>18.25021171569824</c:v>
                </c:pt>
                <c:pt idx="74">
                  <c:v>18.50003242492676</c:v>
                </c:pt>
                <c:pt idx="75">
                  <c:v>18.75026321411133</c:v>
                </c:pt>
                <c:pt idx="76">
                  <c:v>19.00008583068848</c:v>
                </c:pt>
                <c:pt idx="77">
                  <c:v>19.25031661987305</c:v>
                </c:pt>
                <c:pt idx="78">
                  <c:v>19.50014114379883</c:v>
                </c:pt>
                <c:pt idx="79">
                  <c:v>19.7503719329834</c:v>
                </c:pt>
                <c:pt idx="80">
                  <c:v>20.00019454956055</c:v>
                </c:pt>
                <c:pt idx="81">
                  <c:v>20.2500171661377</c:v>
                </c:pt>
                <c:pt idx="82">
                  <c:v>20.50024795532227</c:v>
                </c:pt>
                <c:pt idx="83">
                  <c:v>20.75006866455078</c:v>
                </c:pt>
                <c:pt idx="84">
                  <c:v>21.00029945373535</c:v>
                </c:pt>
                <c:pt idx="85">
                  <c:v>21.2501220703125</c:v>
                </c:pt>
                <c:pt idx="86">
                  <c:v>21.50035285949707</c:v>
                </c:pt>
                <c:pt idx="87">
                  <c:v>21.75017547607422</c:v>
                </c:pt>
                <c:pt idx="88">
                  <c:v>22.00040626525879</c:v>
                </c:pt>
                <c:pt idx="89">
                  <c:v>22.2502269744873</c:v>
                </c:pt>
                <c:pt idx="90">
                  <c:v>22.50004959106445</c:v>
                </c:pt>
                <c:pt idx="91">
                  <c:v>22.75028419494629</c:v>
                </c:pt>
                <c:pt idx="92">
                  <c:v>23.0001049041748</c:v>
                </c:pt>
                <c:pt idx="93">
                  <c:v>23.25033569335938</c:v>
                </c:pt>
                <c:pt idx="94">
                  <c:v>23.50015830993652</c:v>
                </c:pt>
                <c:pt idx="95">
                  <c:v>23.75038909912109</c:v>
                </c:pt>
                <c:pt idx="96">
                  <c:v>24.00021171569824</c:v>
                </c:pt>
                <c:pt idx="97">
                  <c:v>24.25003242492676</c:v>
                </c:pt>
                <c:pt idx="98">
                  <c:v>24.50026321411133</c:v>
                </c:pt>
                <c:pt idx="99">
                  <c:v>24.75008583068848</c:v>
                </c:pt>
                <c:pt idx="100">
                  <c:v>25.00031661987305</c:v>
                </c:pt>
                <c:pt idx="101">
                  <c:v>25.2501392364502</c:v>
                </c:pt>
                <c:pt idx="102">
                  <c:v>25.50037002563477</c:v>
                </c:pt>
                <c:pt idx="103">
                  <c:v>25.75019073486328</c:v>
                </c:pt>
                <c:pt idx="104">
                  <c:v>26.0000171661377</c:v>
                </c:pt>
                <c:pt idx="105">
                  <c:v>26.25024795532227</c:v>
                </c:pt>
                <c:pt idx="106">
                  <c:v>26.50006866455078</c:v>
                </c:pt>
                <c:pt idx="107">
                  <c:v>26.75029945373535</c:v>
                </c:pt>
                <c:pt idx="108">
                  <c:v>27.0001220703125</c:v>
                </c:pt>
                <c:pt idx="109">
                  <c:v>27.25035285949707</c:v>
                </c:pt>
                <c:pt idx="110">
                  <c:v>27.50017547607422</c:v>
                </c:pt>
                <c:pt idx="111">
                  <c:v>27.75040626525879</c:v>
                </c:pt>
                <c:pt idx="112">
                  <c:v>28.00022315979004</c:v>
                </c:pt>
                <c:pt idx="113">
                  <c:v>28.25005531311035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29.00033378601074</c:v>
                </c:pt>
                <c:pt idx="117">
                  <c:v>29.25016593933105</c:v>
                </c:pt>
                <c:pt idx="118">
                  <c:v>29.50038909912109</c:v>
                </c:pt>
                <c:pt idx="119">
                  <c:v>29.75022315979004</c:v>
                </c:pt>
                <c:pt idx="120">
                  <c:v>30.00002861022949</c:v>
                </c:pt>
                <c:pt idx="121">
                  <c:v>30.2502498626709</c:v>
                </c:pt>
                <c:pt idx="122">
                  <c:v>30.50008392333984</c:v>
                </c:pt>
                <c:pt idx="123">
                  <c:v>30.75030517578125</c:v>
                </c:pt>
                <c:pt idx="124">
                  <c:v>31.0001392364502</c:v>
                </c:pt>
                <c:pt idx="125">
                  <c:v>31.2503604888916</c:v>
                </c:pt>
                <c:pt idx="126">
                  <c:v>31.50019454956055</c:v>
                </c:pt>
                <c:pt idx="127">
                  <c:v>31.75002861022949</c:v>
                </c:pt>
                <c:pt idx="128">
                  <c:v>32.00025177001953</c:v>
                </c:pt>
                <c:pt idx="129">
                  <c:v>32.25005722045898</c:v>
                </c:pt>
                <c:pt idx="130">
                  <c:v>32.50030517578125</c:v>
                </c:pt>
                <c:pt idx="131">
                  <c:v>32.7501106262207</c:v>
                </c:pt>
                <c:pt idx="132">
                  <c:v>33.00036239624023</c:v>
                </c:pt>
                <c:pt idx="133">
                  <c:v>33.25016784667969</c:v>
                </c:pt>
                <c:pt idx="134">
                  <c:v>33.50041580200195</c:v>
                </c:pt>
                <c:pt idx="135">
                  <c:v>33.75022125244141</c:v>
                </c:pt>
                <c:pt idx="136">
                  <c:v>34.00005722045898</c:v>
                </c:pt>
                <c:pt idx="137">
                  <c:v>34.25027847290039</c:v>
                </c:pt>
                <c:pt idx="138">
                  <c:v>34.5001106262207</c:v>
                </c:pt>
                <c:pt idx="139">
                  <c:v>34.75033187866211</c:v>
                </c:pt>
                <c:pt idx="140">
                  <c:v>35.00016784667969</c:v>
                </c:pt>
                <c:pt idx="141">
                  <c:v>35.25038909912109</c:v>
                </c:pt>
                <c:pt idx="142">
                  <c:v>35.50022125244141</c:v>
                </c:pt>
                <c:pt idx="143">
                  <c:v>35.75002670288086</c:v>
                </c:pt>
                <c:pt idx="144">
                  <c:v>36.00025177001953</c:v>
                </c:pt>
                <c:pt idx="145">
                  <c:v>36.25008392333984</c:v>
                </c:pt>
                <c:pt idx="146">
                  <c:v>36.50030517578125</c:v>
                </c:pt>
                <c:pt idx="147">
                  <c:v>36.75013732910156</c:v>
                </c:pt>
                <c:pt idx="148">
                  <c:v>37.00036239624023</c:v>
                </c:pt>
                <c:pt idx="149">
                  <c:v>37.25019454956055</c:v>
                </c:pt>
                <c:pt idx="150">
                  <c:v>37.50002670288086</c:v>
                </c:pt>
                <c:pt idx="151">
                  <c:v>37.75025177001953</c:v>
                </c:pt>
                <c:pt idx="152">
                  <c:v>38.00005722045898</c:v>
                </c:pt>
                <c:pt idx="153">
                  <c:v>38.25030517578125</c:v>
                </c:pt>
                <c:pt idx="154">
                  <c:v>38.5001106262207</c:v>
                </c:pt>
                <c:pt idx="155">
                  <c:v>38.75036239624023</c:v>
                </c:pt>
                <c:pt idx="156">
                  <c:v>39.00016784667969</c:v>
                </c:pt>
                <c:pt idx="157">
                  <c:v>39.25041580200195</c:v>
                </c:pt>
                <c:pt idx="158">
                  <c:v>39.50022125244141</c:v>
                </c:pt>
                <c:pt idx="159">
                  <c:v>39.75005722045898</c:v>
                </c:pt>
                <c:pt idx="160">
                  <c:v>40.00027847290039</c:v>
                </c:pt>
                <c:pt idx="161">
                  <c:v>40.2501106262207</c:v>
                </c:pt>
                <c:pt idx="162">
                  <c:v>40.50033187866211</c:v>
                </c:pt>
                <c:pt idx="163">
                  <c:v>40.75016784667969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41.50002670288086</c:v>
                </c:pt>
                <c:pt idx="167">
                  <c:v>41.75025177001953</c:v>
                </c:pt>
                <c:pt idx="168">
                  <c:v>42.00008392333984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42.75036239624023</c:v>
                </c:pt>
                <c:pt idx="172">
                  <c:v>43.00019454956055</c:v>
                </c:pt>
                <c:pt idx="173">
                  <c:v>43.25</c:v>
                </c:pt>
                <c:pt idx="174">
                  <c:v>43.50025177001953</c:v>
                </c:pt>
                <c:pt idx="175">
                  <c:v>43.75005722045898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44.50036239624023</c:v>
                </c:pt>
                <c:pt idx="179">
                  <c:v>44.75016784667969</c:v>
                </c:pt>
                <c:pt idx="180">
                  <c:v>45.00041580200195</c:v>
                </c:pt>
                <c:pt idx="181">
                  <c:v>45.25022125244141</c:v>
                </c:pt>
                <c:pt idx="182">
                  <c:v>45.50005722045898</c:v>
                </c:pt>
                <c:pt idx="183">
                  <c:v>45.75027847290039</c:v>
                </c:pt>
                <c:pt idx="184">
                  <c:v>46.0001106262207</c:v>
                </c:pt>
                <c:pt idx="185">
                  <c:v>46.25033187866211</c:v>
                </c:pt>
                <c:pt idx="186">
                  <c:v>46.50016784667969</c:v>
                </c:pt>
                <c:pt idx="187">
                  <c:v>46.75038909912109</c:v>
                </c:pt>
                <c:pt idx="188">
                  <c:v>47.00022125244141</c:v>
                </c:pt>
                <c:pt idx="189">
                  <c:v>47.25002670288086</c:v>
                </c:pt>
                <c:pt idx="190">
                  <c:v>47.50025177001953</c:v>
                </c:pt>
                <c:pt idx="191">
                  <c:v>47.75008392333984</c:v>
                </c:pt>
                <c:pt idx="192">
                  <c:v>48.00030517578125</c:v>
                </c:pt>
                <c:pt idx="193">
                  <c:v>48.25013732910156</c:v>
                </c:pt>
                <c:pt idx="194">
                  <c:v>48.50036239624023</c:v>
                </c:pt>
                <c:pt idx="195">
                  <c:v>48.75019454956055</c:v>
                </c:pt>
                <c:pt idx="196">
                  <c:v>49</c:v>
                </c:pt>
                <c:pt idx="197">
                  <c:v>49.25025177001953</c:v>
                </c:pt>
                <c:pt idx="198">
                  <c:v>49.50005722045898</c:v>
                </c:pt>
                <c:pt idx="199">
                  <c:v>49.75030517578125</c:v>
                </c:pt>
                <c:pt idx="200">
                  <c:v>50.0001106262207</c:v>
                </c:pt>
                <c:pt idx="201">
                  <c:v>50.25036239624023</c:v>
                </c:pt>
                <c:pt idx="202">
                  <c:v>50.50016784667969</c:v>
                </c:pt>
                <c:pt idx="203">
                  <c:v>50.75041580200195</c:v>
                </c:pt>
                <c:pt idx="204">
                  <c:v>51.00022125244141</c:v>
                </c:pt>
                <c:pt idx="205">
                  <c:v>51.25005722045898</c:v>
                </c:pt>
                <c:pt idx="206">
                  <c:v>51.50027847290039</c:v>
                </c:pt>
                <c:pt idx="207">
                  <c:v>51.7501106262207</c:v>
                </c:pt>
                <c:pt idx="208">
                  <c:v>52.00033187866211</c:v>
                </c:pt>
                <c:pt idx="209">
                  <c:v>52.25016784667969</c:v>
                </c:pt>
                <c:pt idx="210">
                  <c:v>52.50038909912109</c:v>
                </c:pt>
                <c:pt idx="211">
                  <c:v>52.75019454956055</c:v>
                </c:pt>
                <c:pt idx="212">
                  <c:v>53.00002670288086</c:v>
                </c:pt>
                <c:pt idx="213">
                  <c:v>53.25025177001953</c:v>
                </c:pt>
                <c:pt idx="214">
                  <c:v>53.50008392333984</c:v>
                </c:pt>
                <c:pt idx="215">
                  <c:v>53.75030517578125</c:v>
                </c:pt>
                <c:pt idx="216">
                  <c:v>54.00013732910156</c:v>
                </c:pt>
                <c:pt idx="217">
                  <c:v>54.25036239624023</c:v>
                </c:pt>
                <c:pt idx="218">
                  <c:v>54.50019454956055</c:v>
                </c:pt>
                <c:pt idx="219">
                  <c:v>54.75</c:v>
                </c:pt>
                <c:pt idx="220">
                  <c:v>55.00025177001953</c:v>
                </c:pt>
                <c:pt idx="221">
                  <c:v>55.25005722045898</c:v>
                </c:pt>
                <c:pt idx="222">
                  <c:v>55.50030517578125</c:v>
                </c:pt>
                <c:pt idx="223">
                  <c:v>55.7501106262207</c:v>
                </c:pt>
                <c:pt idx="224">
                  <c:v>56.00036239624023</c:v>
                </c:pt>
                <c:pt idx="225">
                  <c:v>56.25016784667969</c:v>
                </c:pt>
                <c:pt idx="226">
                  <c:v>56.50038909912109</c:v>
                </c:pt>
                <c:pt idx="227">
                  <c:v>56.75022125244141</c:v>
                </c:pt>
                <c:pt idx="228">
                  <c:v>57.00005722045898</c:v>
                </c:pt>
                <c:pt idx="229">
                  <c:v>57.25027847290039</c:v>
                </c:pt>
                <c:pt idx="230">
                  <c:v>57.5001106262207</c:v>
                </c:pt>
                <c:pt idx="231">
                  <c:v>57.75033187866211</c:v>
                </c:pt>
                <c:pt idx="232">
                  <c:v>58.00016784667969</c:v>
                </c:pt>
                <c:pt idx="233">
                  <c:v>58.25038909912109</c:v>
                </c:pt>
                <c:pt idx="234">
                  <c:v>58.50019454956055</c:v>
                </c:pt>
                <c:pt idx="235">
                  <c:v>58.75002670288086</c:v>
                </c:pt>
                <c:pt idx="236">
                  <c:v>59.00025177001953</c:v>
                </c:pt>
                <c:pt idx="237">
                  <c:v>59.25008392333984</c:v>
                </c:pt>
                <c:pt idx="238">
                  <c:v>59.50030517578125</c:v>
                </c:pt>
                <c:pt idx="239">
                  <c:v>59.75013732910156</c:v>
                </c:pt>
                <c:pt idx="240">
                  <c:v>60.00036239624023</c:v>
                </c:pt>
                <c:pt idx="241">
                  <c:v>60.25019454956055</c:v>
                </c:pt>
                <c:pt idx="242">
                  <c:v>60.5</c:v>
                </c:pt>
                <c:pt idx="243">
                  <c:v>60.75025177001953</c:v>
                </c:pt>
                <c:pt idx="244">
                  <c:v>61.00005722045898</c:v>
                </c:pt>
                <c:pt idx="245">
                  <c:v>61.25030517578125</c:v>
                </c:pt>
                <c:pt idx="246">
                  <c:v>61.5001106262207</c:v>
                </c:pt>
                <c:pt idx="247">
                  <c:v>61.75036239624023</c:v>
                </c:pt>
                <c:pt idx="248">
                  <c:v>62.00016784667969</c:v>
                </c:pt>
                <c:pt idx="249">
                  <c:v>62.25038909912109</c:v>
                </c:pt>
                <c:pt idx="250">
                  <c:v>62.50022125244141</c:v>
                </c:pt>
                <c:pt idx="251">
                  <c:v>62.75005722045898</c:v>
                </c:pt>
                <c:pt idx="252">
                  <c:v>63.00027847290039</c:v>
                </c:pt>
                <c:pt idx="253">
                  <c:v>63.2501106262207</c:v>
                </c:pt>
                <c:pt idx="254">
                  <c:v>63.50033187866211</c:v>
                </c:pt>
                <c:pt idx="255">
                  <c:v>63.75016784667969</c:v>
                </c:pt>
                <c:pt idx="256">
                  <c:v>64.00038909912109</c:v>
                </c:pt>
                <c:pt idx="257">
                  <c:v>64.25019073486328</c:v>
                </c:pt>
                <c:pt idx="258">
                  <c:v>64.50003051757812</c:v>
                </c:pt>
                <c:pt idx="259">
                  <c:v>64.75025177001953</c:v>
                </c:pt>
                <c:pt idx="260">
                  <c:v>65.00008392333984</c:v>
                </c:pt>
                <c:pt idx="261">
                  <c:v>65.25030517578125</c:v>
                </c:pt>
                <c:pt idx="262">
                  <c:v>65.50013732910156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</c:v>
                </c:pt>
                <c:pt idx="266">
                  <c:v>66.50025177001953</c:v>
                </c:pt>
                <c:pt idx="267">
                  <c:v>66.75005340576172</c:v>
                </c:pt>
                <c:pt idx="268">
                  <c:v>67.00030517578125</c:v>
                </c:pt>
                <c:pt idx="269">
                  <c:v>67.25011444091797</c:v>
                </c:pt>
                <c:pt idx="270">
                  <c:v>67.50035858154297</c:v>
                </c:pt>
                <c:pt idx="271">
                  <c:v>67.75016784667969</c:v>
                </c:pt>
                <c:pt idx="272">
                  <c:v>68.00038909912109</c:v>
                </c:pt>
                <c:pt idx="273">
                  <c:v>68.25022125244141</c:v>
                </c:pt>
                <c:pt idx="274">
                  <c:v>68.50005340576172</c:v>
                </c:pt>
                <c:pt idx="275">
                  <c:v>68.75027465820312</c:v>
                </c:pt>
                <c:pt idx="276">
                  <c:v>69.00011444091797</c:v>
                </c:pt>
                <c:pt idx="277">
                  <c:v>69.25033569335938</c:v>
                </c:pt>
                <c:pt idx="278">
                  <c:v>69.50016784667969</c:v>
                </c:pt>
                <c:pt idx="279">
                  <c:v>69.75038909912109</c:v>
                </c:pt>
                <c:pt idx="280">
                  <c:v>70.00019073486328</c:v>
                </c:pt>
                <c:pt idx="281">
                  <c:v>70.25003051757812</c:v>
                </c:pt>
                <c:pt idx="282">
                  <c:v>70.50025177001953</c:v>
                </c:pt>
                <c:pt idx="283">
                  <c:v>70.75008392333984</c:v>
                </c:pt>
                <c:pt idx="284">
                  <c:v>71.00030517578125</c:v>
                </c:pt>
                <c:pt idx="285">
                  <c:v>71.25013732910156</c:v>
                </c:pt>
                <c:pt idx="286">
                  <c:v>71.50035858154297</c:v>
                </c:pt>
                <c:pt idx="287">
                  <c:v>71.75019073486328</c:v>
                </c:pt>
                <c:pt idx="288">
                  <c:v>72</c:v>
                </c:pt>
              </c:numCache>
            </c:numRef>
          </c:xVal>
          <c:yVal>
            <c:numRef>
              <c:f>SIM1!$F$11:$F$299</c:f>
              <c:numCache>
                <c:ptCount val="289"/>
                <c:pt idx="0">
                  <c:v>0.01899014040827751</c:v>
                </c:pt>
                <c:pt idx="1">
                  <c:v>0.01097180973738432</c:v>
                </c:pt>
                <c:pt idx="2">
                  <c:v>0.007581710815429688</c:v>
                </c:pt>
                <c:pt idx="3">
                  <c:v>0.01136249955743551</c:v>
                </c:pt>
                <c:pt idx="4">
                  <c:v>0.008642112836241722</c:v>
                </c:pt>
                <c:pt idx="5">
                  <c:v>0.01067489013075829</c:v>
                </c:pt>
                <c:pt idx="6">
                  <c:v>0.008710009977221489</c:v>
                </c:pt>
                <c:pt idx="7">
                  <c:v>0.008181803859770298</c:v>
                </c:pt>
                <c:pt idx="8">
                  <c:v>0.01010151021182537</c:v>
                </c:pt>
                <c:pt idx="9">
                  <c:v>0.009255268611013889</c:v>
                </c:pt>
                <c:pt idx="10">
                  <c:v>0.009349054656922817</c:v>
                </c:pt>
                <c:pt idx="11">
                  <c:v>0.009816385805606842</c:v>
                </c:pt>
                <c:pt idx="12">
                  <c:v>0.009557683952152729</c:v>
                </c:pt>
                <c:pt idx="13">
                  <c:v>0.009805687703192234</c:v>
                </c:pt>
                <c:pt idx="14">
                  <c:v>0.01009378954768181</c:v>
                </c:pt>
                <c:pt idx="15">
                  <c:v>0.009907563216984272</c:v>
                </c:pt>
                <c:pt idx="16">
                  <c:v>0.009979641996324062</c:v>
                </c:pt>
                <c:pt idx="17">
                  <c:v>0.009894935414195061</c:v>
                </c:pt>
                <c:pt idx="18">
                  <c:v>0.009788823314011097</c:v>
                </c:pt>
                <c:pt idx="19">
                  <c:v>0.009871572256088257</c:v>
                </c:pt>
                <c:pt idx="20">
                  <c:v>0.00983258243650198</c:v>
                </c:pt>
                <c:pt idx="21">
                  <c:v>0.009826762601733208</c:v>
                </c:pt>
                <c:pt idx="22">
                  <c:v>0.009864252991974354</c:v>
                </c:pt>
                <c:pt idx="23">
                  <c:v>0.009843706153333187</c:v>
                </c:pt>
                <c:pt idx="24">
                  <c:v>0.009854025207459927</c:v>
                </c:pt>
                <c:pt idx="25">
                  <c:v>0.009865045547485352</c:v>
                </c:pt>
                <c:pt idx="26">
                  <c:v>0.009856316260993481</c:v>
                </c:pt>
                <c:pt idx="27">
                  <c:v>0.009865122847259045</c:v>
                </c:pt>
                <c:pt idx="28">
                  <c:v>0.009867358021438122</c:v>
                </c:pt>
                <c:pt idx="29">
                  <c:v>0.009864470921456814</c:v>
                </c:pt>
                <c:pt idx="30">
                  <c:v>0.009869328700006008</c:v>
                </c:pt>
                <c:pt idx="31">
                  <c:v>0.009868786670267582</c:v>
                </c:pt>
                <c:pt idx="32">
                  <c:v>0.009869717061519623</c:v>
                </c:pt>
                <c:pt idx="33">
                  <c:v>0.009872008115053177</c:v>
                </c:pt>
                <c:pt idx="34">
                  <c:v>0.009872118011116982</c:v>
                </c:pt>
                <c:pt idx="35">
                  <c:v>0.009872570633888245</c:v>
                </c:pt>
                <c:pt idx="36">
                  <c:v>0.009872956201434135</c:v>
                </c:pt>
                <c:pt idx="37">
                  <c:v>0.009874016977846622</c:v>
                </c:pt>
                <c:pt idx="38">
                  <c:v>0.009874600917100906</c:v>
                </c:pt>
                <c:pt idx="39">
                  <c:v>0.009875088930130005</c:v>
                </c:pt>
                <c:pt idx="40">
                  <c:v>0.009875676594674587</c:v>
                </c:pt>
                <c:pt idx="41">
                  <c:v>0.009875929914414883</c:v>
                </c:pt>
                <c:pt idx="42">
                  <c:v>0.009875878691673279</c:v>
                </c:pt>
                <c:pt idx="43">
                  <c:v>0.009875665418803692</c:v>
                </c:pt>
                <c:pt idx="44">
                  <c:v>0.009876723401248455</c:v>
                </c:pt>
                <c:pt idx="45">
                  <c:v>0.009877035394310951</c:v>
                </c:pt>
                <c:pt idx="46">
                  <c:v>0.009876862168312073</c:v>
                </c:pt>
                <c:pt idx="47">
                  <c:v>0.009877215139567852</c:v>
                </c:pt>
                <c:pt idx="48">
                  <c:v>0.009877040982246399</c:v>
                </c:pt>
                <c:pt idx="49">
                  <c:v>0.009877192787826061</c:v>
                </c:pt>
                <c:pt idx="50">
                  <c:v>0.009877916425466537</c:v>
                </c:pt>
                <c:pt idx="51">
                  <c:v>0.009877392090857029</c:v>
                </c:pt>
                <c:pt idx="52">
                  <c:v>0.009877394884824753</c:v>
                </c:pt>
                <c:pt idx="53">
                  <c:v>0.009877720847725868</c:v>
                </c:pt>
                <c:pt idx="54">
                  <c:v>0.009878383949398994</c:v>
                </c:pt>
                <c:pt idx="55">
                  <c:v>0.009876466356217861</c:v>
                </c:pt>
                <c:pt idx="56">
                  <c:v>0.009878307580947876</c:v>
                </c:pt>
                <c:pt idx="57">
                  <c:v>0.009877484291791916</c:v>
                </c:pt>
                <c:pt idx="58">
                  <c:v>0.009876578114926815</c:v>
                </c:pt>
                <c:pt idx="59">
                  <c:v>0.009878811426460743</c:v>
                </c:pt>
                <c:pt idx="60">
                  <c:v>0.009877579286694527</c:v>
                </c:pt>
                <c:pt idx="61">
                  <c:v>0.009877904318273067</c:v>
                </c:pt>
                <c:pt idx="62">
                  <c:v>0.009877718985080719</c:v>
                </c:pt>
                <c:pt idx="63">
                  <c:v>0.009877497330307961</c:v>
                </c:pt>
                <c:pt idx="64">
                  <c:v>0.009879120625555515</c:v>
                </c:pt>
                <c:pt idx="65">
                  <c:v>0.009877270087599754</c:v>
                </c:pt>
                <c:pt idx="66">
                  <c:v>0.00987749919295311</c:v>
                </c:pt>
                <c:pt idx="67">
                  <c:v>0.009878436103463173</c:v>
                </c:pt>
                <c:pt idx="68">
                  <c:v>0.009878030046820641</c:v>
                </c:pt>
                <c:pt idx="69">
                  <c:v>0.009876720607280731</c:v>
                </c:pt>
                <c:pt idx="70">
                  <c:v>0.009877867065370083</c:v>
                </c:pt>
                <c:pt idx="71">
                  <c:v>0.009877482429146767</c:v>
                </c:pt>
                <c:pt idx="72">
                  <c:v>0.009876739233732224</c:v>
                </c:pt>
                <c:pt idx="73">
                  <c:v>0.009877505712211132</c:v>
                </c:pt>
                <c:pt idx="74">
                  <c:v>0.009878101758658886</c:v>
                </c:pt>
                <c:pt idx="75">
                  <c:v>0.009876680560410023</c:v>
                </c:pt>
                <c:pt idx="76">
                  <c:v>0.009878414683043957</c:v>
                </c:pt>
                <c:pt idx="77">
                  <c:v>0.009878739714622498</c:v>
                </c:pt>
                <c:pt idx="78">
                  <c:v>0.00987707544118166</c:v>
                </c:pt>
                <c:pt idx="79">
                  <c:v>0.00987738836556673</c:v>
                </c:pt>
                <c:pt idx="80">
                  <c:v>0.009876294992864132</c:v>
                </c:pt>
                <c:pt idx="81">
                  <c:v>0.009879316203296185</c:v>
                </c:pt>
                <c:pt idx="82">
                  <c:v>0.009877229109406471</c:v>
                </c:pt>
                <c:pt idx="83">
                  <c:v>0.009877933189272881</c:v>
                </c:pt>
                <c:pt idx="84">
                  <c:v>0.009877430275082588</c:v>
                </c:pt>
                <c:pt idx="85">
                  <c:v>0.009877595119178295</c:v>
                </c:pt>
                <c:pt idx="86">
                  <c:v>0.009878385812044144</c:v>
                </c:pt>
                <c:pt idx="87">
                  <c:v>0.009876755066215992</c:v>
                </c:pt>
                <c:pt idx="88">
                  <c:v>0.009878148324787617</c:v>
                </c:pt>
                <c:pt idx="89">
                  <c:v>0.009878951124846935</c:v>
                </c:pt>
                <c:pt idx="90">
                  <c:v>0.009875397197902203</c:v>
                </c:pt>
                <c:pt idx="91">
                  <c:v>0.00987765658646822</c:v>
                </c:pt>
                <c:pt idx="92">
                  <c:v>0.009876535274088383</c:v>
                </c:pt>
                <c:pt idx="93">
                  <c:v>0.009874941781163216</c:v>
                </c:pt>
                <c:pt idx="94">
                  <c:v>0.009878893382847309</c:v>
                </c:pt>
                <c:pt idx="95">
                  <c:v>0.009878304786980152</c:v>
                </c:pt>
                <c:pt idx="96">
                  <c:v>0.00987801980227232</c:v>
                </c:pt>
                <c:pt idx="97">
                  <c:v>0.009877581149339676</c:v>
                </c:pt>
                <c:pt idx="98">
                  <c:v>0.009875573217868805</c:v>
                </c:pt>
                <c:pt idx="99">
                  <c:v>0.009876620955765247</c:v>
                </c:pt>
                <c:pt idx="100">
                  <c:v>0.009879358112812042</c:v>
                </c:pt>
                <c:pt idx="101">
                  <c:v>0.009875859133899212</c:v>
                </c:pt>
                <c:pt idx="102">
                  <c:v>0.009879427962005138</c:v>
                </c:pt>
                <c:pt idx="103">
                  <c:v>0.009876484051346779</c:v>
                </c:pt>
                <c:pt idx="104">
                  <c:v>0.009875369258224964</c:v>
                </c:pt>
                <c:pt idx="105">
                  <c:v>0.009879269637167454</c:v>
                </c:pt>
                <c:pt idx="106">
                  <c:v>0.009876662865281105</c:v>
                </c:pt>
                <c:pt idx="107">
                  <c:v>0.009877819567918777</c:v>
                </c:pt>
                <c:pt idx="108">
                  <c:v>0.00987759605050087</c:v>
                </c:pt>
                <c:pt idx="109">
                  <c:v>0.00987641979008913</c:v>
                </c:pt>
                <c:pt idx="110">
                  <c:v>0.009877283126115799</c:v>
                </c:pt>
                <c:pt idx="111">
                  <c:v>0.009877179749310017</c:v>
                </c:pt>
                <c:pt idx="112">
                  <c:v>0.009877301752567291</c:v>
                </c:pt>
                <c:pt idx="113">
                  <c:v>0.009877355769276619</c:v>
                </c:pt>
                <c:pt idx="114">
                  <c:v>0.00987737625837326</c:v>
                </c:pt>
                <c:pt idx="115">
                  <c:v>0.009879078716039658</c:v>
                </c:pt>
                <c:pt idx="116">
                  <c:v>0.009876481257379055</c:v>
                </c:pt>
                <c:pt idx="117">
                  <c:v>0.009876337833702564</c:v>
                </c:pt>
                <c:pt idx="118">
                  <c:v>0.009878416545689106</c:v>
                </c:pt>
                <c:pt idx="119">
                  <c:v>0.009877124801278114</c:v>
                </c:pt>
                <c:pt idx="120">
                  <c:v>0.009876665659248829</c:v>
                </c:pt>
                <c:pt idx="121">
                  <c:v>0.009877325035631657</c:v>
                </c:pt>
                <c:pt idx="122">
                  <c:v>0.009876462630927563</c:v>
                </c:pt>
                <c:pt idx="123">
                  <c:v>0.009876382537186146</c:v>
                </c:pt>
                <c:pt idx="124">
                  <c:v>0.009877745993435383</c:v>
                </c:pt>
                <c:pt idx="125">
                  <c:v>0.009877381846308708</c:v>
                </c:pt>
                <c:pt idx="126">
                  <c:v>0.009876728057861328</c:v>
                </c:pt>
                <c:pt idx="127">
                  <c:v>0.0098767951130867</c:v>
                </c:pt>
                <c:pt idx="128">
                  <c:v>0.00987763237208128</c:v>
                </c:pt>
                <c:pt idx="129">
                  <c:v>0.009877143427729607</c:v>
                </c:pt>
                <c:pt idx="130">
                  <c:v>0.009877126663923264</c:v>
                </c:pt>
                <c:pt idx="131">
                  <c:v>0.009876890107989311</c:v>
                </c:pt>
                <c:pt idx="132">
                  <c:v>0.009877139702439308</c:v>
                </c:pt>
                <c:pt idx="133">
                  <c:v>0.009878781624138355</c:v>
                </c:pt>
                <c:pt idx="134">
                  <c:v>0.009876674972474575</c:v>
                </c:pt>
                <c:pt idx="135">
                  <c:v>0.009876392781734467</c:v>
                </c:pt>
                <c:pt idx="136">
                  <c:v>0.009878111071884632</c:v>
                </c:pt>
                <c:pt idx="137">
                  <c:v>0.009876490570604801</c:v>
                </c:pt>
                <c:pt idx="138">
                  <c:v>0.009876902215182781</c:v>
                </c:pt>
                <c:pt idx="139">
                  <c:v>0.009876706637442112</c:v>
                </c:pt>
                <c:pt idx="140">
                  <c:v>0.009876128286123276</c:v>
                </c:pt>
                <c:pt idx="141">
                  <c:v>0.00987694039940834</c:v>
                </c:pt>
                <c:pt idx="142">
                  <c:v>0.009876701980829239</c:v>
                </c:pt>
                <c:pt idx="143">
                  <c:v>0.009877190925180912</c:v>
                </c:pt>
                <c:pt idx="144">
                  <c:v>0.00987737812101841</c:v>
                </c:pt>
                <c:pt idx="145">
                  <c:v>0.009878076612949371</c:v>
                </c:pt>
                <c:pt idx="146">
                  <c:v>0.009877018630504608</c:v>
                </c:pt>
                <c:pt idx="147">
                  <c:v>0.00987700093537569</c:v>
                </c:pt>
                <c:pt idx="148">
                  <c:v>0.009876826778054237</c:v>
                </c:pt>
                <c:pt idx="149">
                  <c:v>0.009876442141830921</c:v>
                </c:pt>
                <c:pt idx="150">
                  <c:v>0.009877309203147888</c:v>
                </c:pt>
                <c:pt idx="151">
                  <c:v>0.009876402094960213</c:v>
                </c:pt>
                <c:pt idx="152">
                  <c:v>0.009877408854663372</c:v>
                </c:pt>
                <c:pt idx="153">
                  <c:v>0.009877437725663185</c:v>
                </c:pt>
                <c:pt idx="154">
                  <c:v>0.009876582771539688</c:v>
                </c:pt>
                <c:pt idx="155">
                  <c:v>0.009877328760921955</c:v>
                </c:pt>
                <c:pt idx="156">
                  <c:v>0.009877884760499001</c:v>
                </c:pt>
                <c:pt idx="157">
                  <c:v>0.00987664982676506</c:v>
                </c:pt>
                <c:pt idx="158">
                  <c:v>0.009877107106149197</c:v>
                </c:pt>
                <c:pt idx="159">
                  <c:v>0.009877249598503113</c:v>
                </c:pt>
                <c:pt idx="160">
                  <c:v>0.009876891039311886</c:v>
                </c:pt>
                <c:pt idx="161">
                  <c:v>0.009877664037048817</c:v>
                </c:pt>
                <c:pt idx="162">
                  <c:v>0.009876856580376625</c:v>
                </c:pt>
                <c:pt idx="163">
                  <c:v>0.009876588359475136</c:v>
                </c:pt>
                <c:pt idx="164">
                  <c:v>0.009876835159957409</c:v>
                </c:pt>
                <c:pt idx="165">
                  <c:v>0.009876982308924198</c:v>
                </c:pt>
                <c:pt idx="166">
                  <c:v>0.009878008626401424</c:v>
                </c:pt>
                <c:pt idx="167">
                  <c:v>0.00987698882818222</c:v>
                </c:pt>
                <c:pt idx="168">
                  <c:v>0.009876811876893044</c:v>
                </c:pt>
                <c:pt idx="169">
                  <c:v>0.009877090342342854</c:v>
                </c:pt>
                <c:pt idx="170">
                  <c:v>0.009876689873635769</c:v>
                </c:pt>
                <c:pt idx="171">
                  <c:v>0.009876308031380177</c:v>
                </c:pt>
                <c:pt idx="172">
                  <c:v>0.009877288714051247</c:v>
                </c:pt>
                <c:pt idx="173">
                  <c:v>0.009876388125121593</c:v>
                </c:pt>
                <c:pt idx="174">
                  <c:v>0.009876471944153309</c:v>
                </c:pt>
                <c:pt idx="175">
                  <c:v>0.009877543896436691</c:v>
                </c:pt>
                <c:pt idx="176">
                  <c:v>0.009876856580376625</c:v>
                </c:pt>
                <c:pt idx="177">
                  <c:v>0.009877363219857216</c:v>
                </c:pt>
                <c:pt idx="178">
                  <c:v>0.009876786731183529</c:v>
                </c:pt>
                <c:pt idx="179">
                  <c:v>0.009876660071313381</c:v>
                </c:pt>
                <c:pt idx="180">
                  <c:v>0.009877434000372887</c:v>
                </c:pt>
                <c:pt idx="181">
                  <c:v>0.009877646341919899</c:v>
                </c:pt>
                <c:pt idx="182">
                  <c:v>0.009875078685581684</c:v>
                </c:pt>
                <c:pt idx="183">
                  <c:v>0.009876481257379055</c:v>
                </c:pt>
                <c:pt idx="184">
                  <c:v>0.009877230040729046</c:v>
                </c:pt>
                <c:pt idx="185">
                  <c:v>0.009875948540866375</c:v>
                </c:pt>
                <c:pt idx="186">
                  <c:v>0.009877181611955166</c:v>
                </c:pt>
                <c:pt idx="187">
                  <c:v>0.009876258671283722</c:v>
                </c:pt>
                <c:pt idx="188">
                  <c:v>0.009876779280602932</c:v>
                </c:pt>
                <c:pt idx="189">
                  <c:v>0.009878047741949558</c:v>
                </c:pt>
                <c:pt idx="190">
                  <c:v>0.009876891039311886</c:v>
                </c:pt>
                <c:pt idx="191">
                  <c:v>0.009876848198473454</c:v>
                </c:pt>
                <c:pt idx="192">
                  <c:v>0.009876281954348087</c:v>
                </c:pt>
                <c:pt idx="193">
                  <c:v>0.009876382537186146</c:v>
                </c:pt>
                <c:pt idx="194">
                  <c:v>0.009876254945993423</c:v>
                </c:pt>
                <c:pt idx="195">
                  <c:v>0.00987718440592289</c:v>
                </c:pt>
                <c:pt idx="196">
                  <c:v>0.009877849370241165</c:v>
                </c:pt>
                <c:pt idx="197">
                  <c:v>0.009877175092697144</c:v>
                </c:pt>
                <c:pt idx="198">
                  <c:v>0.009876145981252193</c:v>
                </c:pt>
                <c:pt idx="199">
                  <c:v>0.009876257739961147</c:v>
                </c:pt>
                <c:pt idx="200">
                  <c:v>0.009876581840217113</c:v>
                </c:pt>
                <c:pt idx="201">
                  <c:v>0.009876970201730728</c:v>
                </c:pt>
                <c:pt idx="202">
                  <c:v>0.009877337142825127</c:v>
                </c:pt>
                <c:pt idx="203">
                  <c:v>0.009876973927021027</c:v>
                </c:pt>
                <c:pt idx="204">
                  <c:v>0.009877003729343414</c:v>
                </c:pt>
                <c:pt idx="205">
                  <c:v>0.009876859374344349</c:v>
                </c:pt>
                <c:pt idx="206">
                  <c:v>0.009877709671854973</c:v>
                </c:pt>
                <c:pt idx="207">
                  <c:v>0.009877313859760761</c:v>
                </c:pt>
                <c:pt idx="208">
                  <c:v>0.009876245632767677</c:v>
                </c:pt>
                <c:pt idx="209">
                  <c:v>0.00987693015486002</c:v>
                </c:pt>
                <c:pt idx="210">
                  <c:v>0.009878910146653652</c:v>
                </c:pt>
                <c:pt idx="211">
                  <c:v>0.009876931086182594</c:v>
                </c:pt>
                <c:pt idx="212">
                  <c:v>0.009875564835965633</c:v>
                </c:pt>
                <c:pt idx="213">
                  <c:v>0.009876137599349022</c:v>
                </c:pt>
                <c:pt idx="214">
                  <c:v>0.009876413270831108</c:v>
                </c:pt>
                <c:pt idx="215">
                  <c:v>0.009878059849143028</c:v>
                </c:pt>
                <c:pt idx="216">
                  <c:v>0.009878198616206646</c:v>
                </c:pt>
                <c:pt idx="217">
                  <c:v>0.009875870309770107</c:v>
                </c:pt>
                <c:pt idx="218">
                  <c:v>0.009877650998532772</c:v>
                </c:pt>
                <c:pt idx="219">
                  <c:v>0.009877057746052742</c:v>
                </c:pt>
                <c:pt idx="220">
                  <c:v>0.009874304756522179</c:v>
                </c:pt>
                <c:pt idx="221">
                  <c:v>0.009878604672849178</c:v>
                </c:pt>
                <c:pt idx="222">
                  <c:v>0.009879173710942268</c:v>
                </c:pt>
                <c:pt idx="223">
                  <c:v>0.009874530136585236</c:v>
                </c:pt>
                <c:pt idx="224">
                  <c:v>0.009876075200736523</c:v>
                </c:pt>
                <c:pt idx="225">
                  <c:v>0.009876019321382046</c:v>
                </c:pt>
                <c:pt idx="226">
                  <c:v>0.00987737812101841</c:v>
                </c:pt>
                <c:pt idx="227">
                  <c:v>0.009876074269413948</c:v>
                </c:pt>
                <c:pt idx="228">
                  <c:v>0.009877658449113369</c:v>
                </c:pt>
                <c:pt idx="229">
                  <c:v>0.00987735390663147</c:v>
                </c:pt>
                <c:pt idx="230">
                  <c:v>0.009876435622572899</c:v>
                </c:pt>
                <c:pt idx="231">
                  <c:v>0.009877197444438934</c:v>
                </c:pt>
                <c:pt idx="232">
                  <c:v>0.009877645410597324</c:v>
                </c:pt>
                <c:pt idx="233">
                  <c:v>0.00987690594047308</c:v>
                </c:pt>
                <c:pt idx="234">
                  <c:v>0.009877651929855347</c:v>
                </c:pt>
                <c:pt idx="235">
                  <c:v>0.009877181611955166</c:v>
                </c:pt>
                <c:pt idx="236">
                  <c:v>0.009875581599771976</c:v>
                </c:pt>
                <c:pt idx="237">
                  <c:v>0.009879034943878651</c:v>
                </c:pt>
                <c:pt idx="238">
                  <c:v>0.009872970171272755</c:v>
                </c:pt>
                <c:pt idx="239">
                  <c:v>0.009877736680209637</c:v>
                </c:pt>
                <c:pt idx="240">
                  <c:v>0.009877651929855347</c:v>
                </c:pt>
                <c:pt idx="241">
                  <c:v>0.009875052608549595</c:v>
                </c:pt>
                <c:pt idx="242">
                  <c:v>0.009877311997115612</c:v>
                </c:pt>
                <c:pt idx="243">
                  <c:v>0.00987702701240778</c:v>
                </c:pt>
                <c:pt idx="244">
                  <c:v>0.009875484742224216</c:v>
                </c:pt>
                <c:pt idx="245">
                  <c:v>0.009874969720840454</c:v>
                </c:pt>
                <c:pt idx="246">
                  <c:v>0.009877827018499374</c:v>
                </c:pt>
                <c:pt idx="247">
                  <c:v>0.009876454249024391</c:v>
                </c:pt>
                <c:pt idx="248">
                  <c:v>0.009876472875475883</c:v>
                </c:pt>
                <c:pt idx="249">
                  <c:v>0.009877594187855721</c:v>
                </c:pt>
                <c:pt idx="250">
                  <c:v>0.0098765529692173</c:v>
                </c:pt>
                <c:pt idx="251">
                  <c:v>0.009879454039037228</c:v>
                </c:pt>
                <c:pt idx="252">
                  <c:v>0.009879636578261852</c:v>
                </c:pt>
                <c:pt idx="253">
                  <c:v>0.00987232755869627</c:v>
                </c:pt>
                <c:pt idx="254">
                  <c:v>0.009875656105577946</c:v>
                </c:pt>
                <c:pt idx="255">
                  <c:v>0.009879080578684807</c:v>
                </c:pt>
                <c:pt idx="256">
                  <c:v>0.009875889867544174</c:v>
                </c:pt>
                <c:pt idx="257">
                  <c:v>0.00987737812101841</c:v>
                </c:pt>
                <c:pt idx="258">
                  <c:v>0.009877691045403481</c:v>
                </c:pt>
                <c:pt idx="259">
                  <c:v>0.009875360876321793</c:v>
                </c:pt>
                <c:pt idx="260">
                  <c:v>0.009875951334834099</c:v>
                </c:pt>
                <c:pt idx="261">
                  <c:v>0.00987648032605648</c:v>
                </c:pt>
                <c:pt idx="262">
                  <c:v>0.009878640063107014</c:v>
                </c:pt>
                <c:pt idx="263">
                  <c:v>0.009874238632619381</c:v>
                </c:pt>
                <c:pt idx="264">
                  <c:v>0.009879750199615955</c:v>
                </c:pt>
                <c:pt idx="265">
                  <c:v>0.009880930185317993</c:v>
                </c:pt>
                <c:pt idx="266">
                  <c:v>0.009875449351966381</c:v>
                </c:pt>
                <c:pt idx="267">
                  <c:v>0.009877312928438187</c:v>
                </c:pt>
                <c:pt idx="268">
                  <c:v>0.00987648218870163</c:v>
                </c:pt>
                <c:pt idx="269">
                  <c:v>0.009875859133899212</c:v>
                </c:pt>
                <c:pt idx="270">
                  <c:v>0.009877663105726242</c:v>
                </c:pt>
                <c:pt idx="271">
                  <c:v>0.009875805117189884</c:v>
                </c:pt>
                <c:pt idx="272">
                  <c:v>0.009877361357212067</c:v>
                </c:pt>
                <c:pt idx="273">
                  <c:v>0.00987723097205162</c:v>
                </c:pt>
                <c:pt idx="274">
                  <c:v>0.009874923154711723</c:v>
                </c:pt>
                <c:pt idx="275">
                  <c:v>0.009876937605440617</c:v>
                </c:pt>
                <c:pt idx="276">
                  <c:v>0.009876849129796028</c:v>
                </c:pt>
                <c:pt idx="277">
                  <c:v>0.009877496398985386</c:v>
                </c:pt>
                <c:pt idx="278">
                  <c:v>0.00987749919295311</c:v>
                </c:pt>
                <c:pt idx="279">
                  <c:v>0.009875987656414509</c:v>
                </c:pt>
                <c:pt idx="280">
                  <c:v>0.009874545969069004</c:v>
                </c:pt>
                <c:pt idx="281">
                  <c:v>0.009875782765448093</c:v>
                </c:pt>
                <c:pt idx="282">
                  <c:v>0.0098801264539361</c:v>
                </c:pt>
                <c:pt idx="283">
                  <c:v>0.009874898009002209</c:v>
                </c:pt>
                <c:pt idx="284">
                  <c:v>0.009874842129647732</c:v>
                </c:pt>
                <c:pt idx="285">
                  <c:v>0.009876123629510403</c:v>
                </c:pt>
                <c:pt idx="286">
                  <c:v>0.009875457733869553</c:v>
                </c:pt>
                <c:pt idx="287">
                  <c:v>0.009877277538180351</c:v>
                </c:pt>
                <c:pt idx="288">
                  <c:v>0.009876459836959839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SIM1!$B$11:$B$299</c:f>
              <c:numCache>
                <c:ptCount val="289"/>
                <c:pt idx="0">
                  <c:v>0</c:v>
                </c:pt>
                <c:pt idx="1">
                  <c:v>0.2503671646118164</c:v>
                </c:pt>
                <c:pt idx="2">
                  <c:v>0.5001519322395325</c:v>
                </c:pt>
                <c:pt idx="3">
                  <c:v>0.7503069639205933</c:v>
                </c:pt>
                <c:pt idx="4">
                  <c:v>1.000024199485779</c:v>
                </c:pt>
                <c:pt idx="5">
                  <c:v>1.250035881996155</c:v>
                </c:pt>
                <c:pt idx="6">
                  <c:v>1.500266671180725</c:v>
                </c:pt>
                <c:pt idx="7">
                  <c:v>1.750089168548584</c:v>
                </c:pt>
                <c:pt idx="8">
                  <c:v>2.000319719314575</c:v>
                </c:pt>
                <c:pt idx="9">
                  <c:v>2.250142335891724</c:v>
                </c:pt>
                <c:pt idx="10">
                  <c:v>2.500373125076294</c:v>
                </c:pt>
                <c:pt idx="11">
                  <c:v>2.750195503234863</c:v>
                </c:pt>
                <c:pt idx="12">
                  <c:v>3.000016689300537</c:v>
                </c:pt>
                <c:pt idx="13">
                  <c:v>3.250250101089478</c:v>
                </c:pt>
                <c:pt idx="14">
                  <c:v>3.500072240829468</c:v>
                </c:pt>
                <c:pt idx="15">
                  <c:v>3.750302791595459</c:v>
                </c:pt>
                <c:pt idx="16">
                  <c:v>4.000124931335449</c:v>
                </c:pt>
                <c:pt idx="17">
                  <c:v>4.25035572052002</c:v>
                </c:pt>
                <c:pt idx="18">
                  <c:v>4.50017786026001</c:v>
                </c:pt>
                <c:pt idx="19">
                  <c:v>4.75</c:v>
                </c:pt>
                <c:pt idx="20">
                  <c:v>5.00023078918457</c:v>
                </c:pt>
                <c:pt idx="21">
                  <c:v>5.250052928924561</c:v>
                </c:pt>
                <c:pt idx="22">
                  <c:v>5.500283241271973</c:v>
                </c:pt>
                <c:pt idx="23">
                  <c:v>5.750105381011963</c:v>
                </c:pt>
                <c:pt idx="24">
                  <c:v>6.000336170196533</c:v>
                </c:pt>
                <c:pt idx="25">
                  <c:v>6.250158309936523</c:v>
                </c:pt>
                <c:pt idx="26">
                  <c:v>6.500391483306885</c:v>
                </c:pt>
                <c:pt idx="27">
                  <c:v>6.750214099884033</c:v>
                </c:pt>
                <c:pt idx="28">
                  <c:v>7.000036239624023</c:v>
                </c:pt>
                <c:pt idx="29">
                  <c:v>7.250266551971436</c:v>
                </c:pt>
                <c:pt idx="30">
                  <c:v>7.500088691711426</c:v>
                </c:pt>
                <c:pt idx="31">
                  <c:v>7.750319480895996</c:v>
                </c:pt>
                <c:pt idx="32">
                  <c:v>8.000142097473145</c:v>
                </c:pt>
                <c:pt idx="33">
                  <c:v>8.250371932983398</c:v>
                </c:pt>
                <c:pt idx="34">
                  <c:v>8.500194549560547</c:v>
                </c:pt>
                <c:pt idx="35">
                  <c:v>8.750016212463379</c:v>
                </c:pt>
                <c:pt idx="36">
                  <c:v>9.000247001647949</c:v>
                </c:pt>
                <c:pt idx="37">
                  <c:v>9.250069618225098</c:v>
                </c:pt>
                <c:pt idx="38">
                  <c:v>9.500300407409668</c:v>
                </c:pt>
                <c:pt idx="39">
                  <c:v>9.750124931335449</c:v>
                </c:pt>
                <c:pt idx="40">
                  <c:v>10.00035572052002</c:v>
                </c:pt>
                <c:pt idx="41">
                  <c:v>10.25017738342285</c:v>
                </c:pt>
                <c:pt idx="42">
                  <c:v>10.50040817260742</c:v>
                </c:pt>
                <c:pt idx="43">
                  <c:v>10.75023078918457</c:v>
                </c:pt>
                <c:pt idx="44">
                  <c:v>11.0000524520874</c:v>
                </c:pt>
                <c:pt idx="45">
                  <c:v>11.25028324127197</c:v>
                </c:pt>
                <c:pt idx="46">
                  <c:v>11.50010585784912</c:v>
                </c:pt>
                <c:pt idx="47">
                  <c:v>11.75033569335938</c:v>
                </c:pt>
                <c:pt idx="48">
                  <c:v>12.00015830993652</c:v>
                </c:pt>
                <c:pt idx="49">
                  <c:v>12.25038909912109</c:v>
                </c:pt>
                <c:pt idx="50">
                  <c:v>12.50021076202393</c:v>
                </c:pt>
                <c:pt idx="51">
                  <c:v>12.75003337860107</c:v>
                </c:pt>
                <c:pt idx="52">
                  <c:v>13.00026702880859</c:v>
                </c:pt>
                <c:pt idx="53">
                  <c:v>13.25008869171143</c:v>
                </c:pt>
                <c:pt idx="54">
                  <c:v>13.500319480896</c:v>
                </c:pt>
                <c:pt idx="55">
                  <c:v>13.75014209747314</c:v>
                </c:pt>
                <c:pt idx="56">
                  <c:v>14.0003719329834</c:v>
                </c:pt>
                <c:pt idx="57">
                  <c:v>14.25019454956055</c:v>
                </c:pt>
                <c:pt idx="58">
                  <c:v>14.50001621246338</c:v>
                </c:pt>
                <c:pt idx="59">
                  <c:v>14.75024700164795</c:v>
                </c:pt>
                <c:pt idx="60">
                  <c:v>15.0000696182251</c:v>
                </c:pt>
                <c:pt idx="61">
                  <c:v>15.25030040740967</c:v>
                </c:pt>
                <c:pt idx="62">
                  <c:v>15.5001220703125</c:v>
                </c:pt>
                <c:pt idx="63">
                  <c:v>15.75035285949707</c:v>
                </c:pt>
                <c:pt idx="64">
                  <c:v>16.00017547607422</c:v>
                </c:pt>
                <c:pt idx="65">
                  <c:v>16.25040817260742</c:v>
                </c:pt>
                <c:pt idx="66">
                  <c:v>16.50023078918457</c:v>
                </c:pt>
                <c:pt idx="67">
                  <c:v>16.75005340576172</c:v>
                </c:pt>
                <c:pt idx="68">
                  <c:v>17.00028419494629</c:v>
                </c:pt>
                <c:pt idx="69">
                  <c:v>17.2501049041748</c:v>
                </c:pt>
                <c:pt idx="70">
                  <c:v>17.50033569335938</c:v>
                </c:pt>
                <c:pt idx="71">
                  <c:v>17.75015830993652</c:v>
                </c:pt>
                <c:pt idx="72">
                  <c:v>18.00038909912109</c:v>
                </c:pt>
                <c:pt idx="73">
                  <c:v>18.25021171569824</c:v>
                </c:pt>
                <c:pt idx="74">
                  <c:v>18.50003242492676</c:v>
                </c:pt>
                <c:pt idx="75">
                  <c:v>18.75026321411133</c:v>
                </c:pt>
                <c:pt idx="76">
                  <c:v>19.00008583068848</c:v>
                </c:pt>
                <c:pt idx="77">
                  <c:v>19.25031661987305</c:v>
                </c:pt>
                <c:pt idx="78">
                  <c:v>19.50014114379883</c:v>
                </c:pt>
                <c:pt idx="79">
                  <c:v>19.7503719329834</c:v>
                </c:pt>
                <c:pt idx="80">
                  <c:v>20.00019454956055</c:v>
                </c:pt>
                <c:pt idx="81">
                  <c:v>20.2500171661377</c:v>
                </c:pt>
                <c:pt idx="82">
                  <c:v>20.50024795532227</c:v>
                </c:pt>
                <c:pt idx="83">
                  <c:v>20.75006866455078</c:v>
                </c:pt>
                <c:pt idx="84">
                  <c:v>21.00029945373535</c:v>
                </c:pt>
                <c:pt idx="85">
                  <c:v>21.2501220703125</c:v>
                </c:pt>
                <c:pt idx="86">
                  <c:v>21.50035285949707</c:v>
                </c:pt>
                <c:pt idx="87">
                  <c:v>21.75017547607422</c:v>
                </c:pt>
                <c:pt idx="88">
                  <c:v>22.00040626525879</c:v>
                </c:pt>
                <c:pt idx="89">
                  <c:v>22.2502269744873</c:v>
                </c:pt>
                <c:pt idx="90">
                  <c:v>22.50004959106445</c:v>
                </c:pt>
                <c:pt idx="91">
                  <c:v>22.75028419494629</c:v>
                </c:pt>
                <c:pt idx="92">
                  <c:v>23.0001049041748</c:v>
                </c:pt>
                <c:pt idx="93">
                  <c:v>23.25033569335938</c:v>
                </c:pt>
                <c:pt idx="94">
                  <c:v>23.50015830993652</c:v>
                </c:pt>
                <c:pt idx="95">
                  <c:v>23.75038909912109</c:v>
                </c:pt>
                <c:pt idx="96">
                  <c:v>24.00021171569824</c:v>
                </c:pt>
                <c:pt idx="97">
                  <c:v>24.25003242492676</c:v>
                </c:pt>
                <c:pt idx="98">
                  <c:v>24.50026321411133</c:v>
                </c:pt>
                <c:pt idx="99">
                  <c:v>24.75008583068848</c:v>
                </c:pt>
                <c:pt idx="100">
                  <c:v>25.00031661987305</c:v>
                </c:pt>
                <c:pt idx="101">
                  <c:v>25.2501392364502</c:v>
                </c:pt>
                <c:pt idx="102">
                  <c:v>25.50037002563477</c:v>
                </c:pt>
                <c:pt idx="103">
                  <c:v>25.75019073486328</c:v>
                </c:pt>
                <c:pt idx="104">
                  <c:v>26.0000171661377</c:v>
                </c:pt>
                <c:pt idx="105">
                  <c:v>26.25024795532227</c:v>
                </c:pt>
                <c:pt idx="106">
                  <c:v>26.50006866455078</c:v>
                </c:pt>
                <c:pt idx="107">
                  <c:v>26.75029945373535</c:v>
                </c:pt>
                <c:pt idx="108">
                  <c:v>27.0001220703125</c:v>
                </c:pt>
                <c:pt idx="109">
                  <c:v>27.25035285949707</c:v>
                </c:pt>
                <c:pt idx="110">
                  <c:v>27.50017547607422</c:v>
                </c:pt>
                <c:pt idx="111">
                  <c:v>27.75040626525879</c:v>
                </c:pt>
                <c:pt idx="112">
                  <c:v>28.00022315979004</c:v>
                </c:pt>
                <c:pt idx="113">
                  <c:v>28.25005531311035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29.00033378601074</c:v>
                </c:pt>
                <c:pt idx="117">
                  <c:v>29.25016593933105</c:v>
                </c:pt>
                <c:pt idx="118">
                  <c:v>29.50038909912109</c:v>
                </c:pt>
                <c:pt idx="119">
                  <c:v>29.75022315979004</c:v>
                </c:pt>
                <c:pt idx="120">
                  <c:v>30.00002861022949</c:v>
                </c:pt>
                <c:pt idx="121">
                  <c:v>30.2502498626709</c:v>
                </c:pt>
                <c:pt idx="122">
                  <c:v>30.50008392333984</c:v>
                </c:pt>
                <c:pt idx="123">
                  <c:v>30.75030517578125</c:v>
                </c:pt>
                <c:pt idx="124">
                  <c:v>31.0001392364502</c:v>
                </c:pt>
                <c:pt idx="125">
                  <c:v>31.2503604888916</c:v>
                </c:pt>
                <c:pt idx="126">
                  <c:v>31.50019454956055</c:v>
                </c:pt>
                <c:pt idx="127">
                  <c:v>31.75002861022949</c:v>
                </c:pt>
                <c:pt idx="128">
                  <c:v>32.00025177001953</c:v>
                </c:pt>
                <c:pt idx="129">
                  <c:v>32.25005722045898</c:v>
                </c:pt>
                <c:pt idx="130">
                  <c:v>32.50030517578125</c:v>
                </c:pt>
                <c:pt idx="131">
                  <c:v>32.7501106262207</c:v>
                </c:pt>
                <c:pt idx="132">
                  <c:v>33.00036239624023</c:v>
                </c:pt>
                <c:pt idx="133">
                  <c:v>33.25016784667969</c:v>
                </c:pt>
                <c:pt idx="134">
                  <c:v>33.50041580200195</c:v>
                </c:pt>
                <c:pt idx="135">
                  <c:v>33.75022125244141</c:v>
                </c:pt>
                <c:pt idx="136">
                  <c:v>34.00005722045898</c:v>
                </c:pt>
                <c:pt idx="137">
                  <c:v>34.25027847290039</c:v>
                </c:pt>
                <c:pt idx="138">
                  <c:v>34.5001106262207</c:v>
                </c:pt>
                <c:pt idx="139">
                  <c:v>34.75033187866211</c:v>
                </c:pt>
                <c:pt idx="140">
                  <c:v>35.00016784667969</c:v>
                </c:pt>
                <c:pt idx="141">
                  <c:v>35.25038909912109</c:v>
                </c:pt>
                <c:pt idx="142">
                  <c:v>35.50022125244141</c:v>
                </c:pt>
                <c:pt idx="143">
                  <c:v>35.75002670288086</c:v>
                </c:pt>
                <c:pt idx="144">
                  <c:v>36.00025177001953</c:v>
                </c:pt>
                <c:pt idx="145">
                  <c:v>36.25008392333984</c:v>
                </c:pt>
                <c:pt idx="146">
                  <c:v>36.50030517578125</c:v>
                </c:pt>
                <c:pt idx="147">
                  <c:v>36.75013732910156</c:v>
                </c:pt>
                <c:pt idx="148">
                  <c:v>37.00036239624023</c:v>
                </c:pt>
                <c:pt idx="149">
                  <c:v>37.25019454956055</c:v>
                </c:pt>
                <c:pt idx="150">
                  <c:v>37.50002670288086</c:v>
                </c:pt>
                <c:pt idx="151">
                  <c:v>37.75025177001953</c:v>
                </c:pt>
                <c:pt idx="152">
                  <c:v>38.00005722045898</c:v>
                </c:pt>
                <c:pt idx="153">
                  <c:v>38.25030517578125</c:v>
                </c:pt>
                <c:pt idx="154">
                  <c:v>38.5001106262207</c:v>
                </c:pt>
                <c:pt idx="155">
                  <c:v>38.75036239624023</c:v>
                </c:pt>
                <c:pt idx="156">
                  <c:v>39.00016784667969</c:v>
                </c:pt>
                <c:pt idx="157">
                  <c:v>39.25041580200195</c:v>
                </c:pt>
                <c:pt idx="158">
                  <c:v>39.50022125244141</c:v>
                </c:pt>
                <c:pt idx="159">
                  <c:v>39.75005722045898</c:v>
                </c:pt>
                <c:pt idx="160">
                  <c:v>40.00027847290039</c:v>
                </c:pt>
                <c:pt idx="161">
                  <c:v>40.2501106262207</c:v>
                </c:pt>
                <c:pt idx="162">
                  <c:v>40.50033187866211</c:v>
                </c:pt>
                <c:pt idx="163">
                  <c:v>40.75016784667969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41.50002670288086</c:v>
                </c:pt>
                <c:pt idx="167">
                  <c:v>41.75025177001953</c:v>
                </c:pt>
                <c:pt idx="168">
                  <c:v>42.00008392333984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42.75036239624023</c:v>
                </c:pt>
                <c:pt idx="172">
                  <c:v>43.00019454956055</c:v>
                </c:pt>
                <c:pt idx="173">
                  <c:v>43.25</c:v>
                </c:pt>
                <c:pt idx="174">
                  <c:v>43.50025177001953</c:v>
                </c:pt>
                <c:pt idx="175">
                  <c:v>43.75005722045898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44.50036239624023</c:v>
                </c:pt>
                <c:pt idx="179">
                  <c:v>44.75016784667969</c:v>
                </c:pt>
                <c:pt idx="180">
                  <c:v>45.00041580200195</c:v>
                </c:pt>
                <c:pt idx="181">
                  <c:v>45.25022125244141</c:v>
                </c:pt>
                <c:pt idx="182">
                  <c:v>45.50005722045898</c:v>
                </c:pt>
                <c:pt idx="183">
                  <c:v>45.75027847290039</c:v>
                </c:pt>
                <c:pt idx="184">
                  <c:v>46.0001106262207</c:v>
                </c:pt>
                <c:pt idx="185">
                  <c:v>46.25033187866211</c:v>
                </c:pt>
                <c:pt idx="186">
                  <c:v>46.50016784667969</c:v>
                </c:pt>
                <c:pt idx="187">
                  <c:v>46.75038909912109</c:v>
                </c:pt>
                <c:pt idx="188">
                  <c:v>47.00022125244141</c:v>
                </c:pt>
                <c:pt idx="189">
                  <c:v>47.25002670288086</c:v>
                </c:pt>
                <c:pt idx="190">
                  <c:v>47.50025177001953</c:v>
                </c:pt>
                <c:pt idx="191">
                  <c:v>47.75008392333984</c:v>
                </c:pt>
                <c:pt idx="192">
                  <c:v>48.00030517578125</c:v>
                </c:pt>
                <c:pt idx="193">
                  <c:v>48.25013732910156</c:v>
                </c:pt>
                <c:pt idx="194">
                  <c:v>48.50036239624023</c:v>
                </c:pt>
                <c:pt idx="195">
                  <c:v>48.75019454956055</c:v>
                </c:pt>
                <c:pt idx="196">
                  <c:v>49</c:v>
                </c:pt>
                <c:pt idx="197">
                  <c:v>49.25025177001953</c:v>
                </c:pt>
                <c:pt idx="198">
                  <c:v>49.50005722045898</c:v>
                </c:pt>
                <c:pt idx="199">
                  <c:v>49.75030517578125</c:v>
                </c:pt>
                <c:pt idx="200">
                  <c:v>50.0001106262207</c:v>
                </c:pt>
                <c:pt idx="201">
                  <c:v>50.25036239624023</c:v>
                </c:pt>
                <c:pt idx="202">
                  <c:v>50.50016784667969</c:v>
                </c:pt>
                <c:pt idx="203">
                  <c:v>50.75041580200195</c:v>
                </c:pt>
                <c:pt idx="204">
                  <c:v>51.00022125244141</c:v>
                </c:pt>
                <c:pt idx="205">
                  <c:v>51.25005722045898</c:v>
                </c:pt>
                <c:pt idx="206">
                  <c:v>51.50027847290039</c:v>
                </c:pt>
                <c:pt idx="207">
                  <c:v>51.7501106262207</c:v>
                </c:pt>
                <c:pt idx="208">
                  <c:v>52.00033187866211</c:v>
                </c:pt>
                <c:pt idx="209">
                  <c:v>52.25016784667969</c:v>
                </c:pt>
                <c:pt idx="210">
                  <c:v>52.50038909912109</c:v>
                </c:pt>
                <c:pt idx="211">
                  <c:v>52.75019454956055</c:v>
                </c:pt>
                <c:pt idx="212">
                  <c:v>53.00002670288086</c:v>
                </c:pt>
                <c:pt idx="213">
                  <c:v>53.25025177001953</c:v>
                </c:pt>
                <c:pt idx="214">
                  <c:v>53.50008392333984</c:v>
                </c:pt>
                <c:pt idx="215">
                  <c:v>53.75030517578125</c:v>
                </c:pt>
                <c:pt idx="216">
                  <c:v>54.00013732910156</c:v>
                </c:pt>
                <c:pt idx="217">
                  <c:v>54.25036239624023</c:v>
                </c:pt>
                <c:pt idx="218">
                  <c:v>54.50019454956055</c:v>
                </c:pt>
                <c:pt idx="219">
                  <c:v>54.75</c:v>
                </c:pt>
                <c:pt idx="220">
                  <c:v>55.00025177001953</c:v>
                </c:pt>
                <c:pt idx="221">
                  <c:v>55.25005722045898</c:v>
                </c:pt>
                <c:pt idx="222">
                  <c:v>55.50030517578125</c:v>
                </c:pt>
                <c:pt idx="223">
                  <c:v>55.7501106262207</c:v>
                </c:pt>
                <c:pt idx="224">
                  <c:v>56.00036239624023</c:v>
                </c:pt>
                <c:pt idx="225">
                  <c:v>56.25016784667969</c:v>
                </c:pt>
                <c:pt idx="226">
                  <c:v>56.50038909912109</c:v>
                </c:pt>
                <c:pt idx="227">
                  <c:v>56.75022125244141</c:v>
                </c:pt>
                <c:pt idx="228">
                  <c:v>57.00005722045898</c:v>
                </c:pt>
                <c:pt idx="229">
                  <c:v>57.25027847290039</c:v>
                </c:pt>
                <c:pt idx="230">
                  <c:v>57.5001106262207</c:v>
                </c:pt>
                <c:pt idx="231">
                  <c:v>57.75033187866211</c:v>
                </c:pt>
                <c:pt idx="232">
                  <c:v>58.00016784667969</c:v>
                </c:pt>
                <c:pt idx="233">
                  <c:v>58.25038909912109</c:v>
                </c:pt>
                <c:pt idx="234">
                  <c:v>58.50019454956055</c:v>
                </c:pt>
                <c:pt idx="235">
                  <c:v>58.75002670288086</c:v>
                </c:pt>
                <c:pt idx="236">
                  <c:v>59.00025177001953</c:v>
                </c:pt>
                <c:pt idx="237">
                  <c:v>59.25008392333984</c:v>
                </c:pt>
                <c:pt idx="238">
                  <c:v>59.50030517578125</c:v>
                </c:pt>
                <c:pt idx="239">
                  <c:v>59.75013732910156</c:v>
                </c:pt>
                <c:pt idx="240">
                  <c:v>60.00036239624023</c:v>
                </c:pt>
                <c:pt idx="241">
                  <c:v>60.25019454956055</c:v>
                </c:pt>
                <c:pt idx="242">
                  <c:v>60.5</c:v>
                </c:pt>
                <c:pt idx="243">
                  <c:v>60.75025177001953</c:v>
                </c:pt>
                <c:pt idx="244">
                  <c:v>61.00005722045898</c:v>
                </c:pt>
                <c:pt idx="245">
                  <c:v>61.25030517578125</c:v>
                </c:pt>
                <c:pt idx="246">
                  <c:v>61.5001106262207</c:v>
                </c:pt>
                <c:pt idx="247">
                  <c:v>61.75036239624023</c:v>
                </c:pt>
                <c:pt idx="248">
                  <c:v>62.00016784667969</c:v>
                </c:pt>
                <c:pt idx="249">
                  <c:v>62.25038909912109</c:v>
                </c:pt>
                <c:pt idx="250">
                  <c:v>62.50022125244141</c:v>
                </c:pt>
                <c:pt idx="251">
                  <c:v>62.75005722045898</c:v>
                </c:pt>
                <c:pt idx="252">
                  <c:v>63.00027847290039</c:v>
                </c:pt>
                <c:pt idx="253">
                  <c:v>63.2501106262207</c:v>
                </c:pt>
                <c:pt idx="254">
                  <c:v>63.50033187866211</c:v>
                </c:pt>
                <c:pt idx="255">
                  <c:v>63.75016784667969</c:v>
                </c:pt>
                <c:pt idx="256">
                  <c:v>64.00038909912109</c:v>
                </c:pt>
                <c:pt idx="257">
                  <c:v>64.25019073486328</c:v>
                </c:pt>
                <c:pt idx="258">
                  <c:v>64.50003051757812</c:v>
                </c:pt>
                <c:pt idx="259">
                  <c:v>64.75025177001953</c:v>
                </c:pt>
                <c:pt idx="260">
                  <c:v>65.00008392333984</c:v>
                </c:pt>
                <c:pt idx="261">
                  <c:v>65.25030517578125</c:v>
                </c:pt>
                <c:pt idx="262">
                  <c:v>65.50013732910156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</c:v>
                </c:pt>
                <c:pt idx="266">
                  <c:v>66.50025177001953</c:v>
                </c:pt>
                <c:pt idx="267">
                  <c:v>66.75005340576172</c:v>
                </c:pt>
                <c:pt idx="268">
                  <c:v>67.00030517578125</c:v>
                </c:pt>
                <c:pt idx="269">
                  <c:v>67.25011444091797</c:v>
                </c:pt>
                <c:pt idx="270">
                  <c:v>67.50035858154297</c:v>
                </c:pt>
                <c:pt idx="271">
                  <c:v>67.75016784667969</c:v>
                </c:pt>
                <c:pt idx="272">
                  <c:v>68.00038909912109</c:v>
                </c:pt>
                <c:pt idx="273">
                  <c:v>68.25022125244141</c:v>
                </c:pt>
                <c:pt idx="274">
                  <c:v>68.50005340576172</c:v>
                </c:pt>
                <c:pt idx="275">
                  <c:v>68.75027465820312</c:v>
                </c:pt>
                <c:pt idx="276">
                  <c:v>69.00011444091797</c:v>
                </c:pt>
                <c:pt idx="277">
                  <c:v>69.25033569335938</c:v>
                </c:pt>
                <c:pt idx="278">
                  <c:v>69.50016784667969</c:v>
                </c:pt>
                <c:pt idx="279">
                  <c:v>69.75038909912109</c:v>
                </c:pt>
                <c:pt idx="280">
                  <c:v>70.00019073486328</c:v>
                </c:pt>
                <c:pt idx="281">
                  <c:v>70.25003051757812</c:v>
                </c:pt>
                <c:pt idx="282">
                  <c:v>70.50025177001953</c:v>
                </c:pt>
                <c:pt idx="283">
                  <c:v>70.75008392333984</c:v>
                </c:pt>
                <c:pt idx="284">
                  <c:v>71.00030517578125</c:v>
                </c:pt>
                <c:pt idx="285">
                  <c:v>71.25013732910156</c:v>
                </c:pt>
                <c:pt idx="286">
                  <c:v>71.50035858154297</c:v>
                </c:pt>
                <c:pt idx="287">
                  <c:v>71.75019073486328</c:v>
                </c:pt>
                <c:pt idx="288">
                  <c:v>72</c:v>
                </c:pt>
              </c:numCache>
            </c:numRef>
          </c:xVal>
          <c:yVal>
            <c:numRef>
              <c:f>SIM1!$G$11:$G$299</c:f>
              <c:numCache>
                <c:ptCount val="289"/>
                <c:pt idx="0">
                  <c:v>6.976023197174072</c:v>
                </c:pt>
                <c:pt idx="1">
                  <c:v>7.357691764831543</c:v>
                </c:pt>
                <c:pt idx="2">
                  <c:v>5.557830810546875</c:v>
                </c:pt>
                <c:pt idx="3">
                  <c:v>6.973039150238037</c:v>
                </c:pt>
                <c:pt idx="4">
                  <c:v>5.96185302734375</c:v>
                </c:pt>
                <c:pt idx="5">
                  <c:v>5.957446098327637</c:v>
                </c:pt>
                <c:pt idx="6">
                  <c:v>5.728689193725586</c:v>
                </c:pt>
                <c:pt idx="7">
                  <c:v>5.424334049224854</c:v>
                </c:pt>
                <c:pt idx="8">
                  <c:v>6.053127765655518</c:v>
                </c:pt>
                <c:pt idx="9">
                  <c:v>5.792596817016602</c:v>
                </c:pt>
                <c:pt idx="10">
                  <c:v>5.740601062774658</c:v>
                </c:pt>
                <c:pt idx="11">
                  <c:v>5.94547176361084</c:v>
                </c:pt>
                <c:pt idx="12">
                  <c:v>5.83661413192749</c:v>
                </c:pt>
                <c:pt idx="13">
                  <c:v>5.868650913238525</c:v>
                </c:pt>
                <c:pt idx="14">
                  <c:v>5.998239994049072</c:v>
                </c:pt>
                <c:pt idx="15">
                  <c:v>5.936785221099854</c:v>
                </c:pt>
                <c:pt idx="16">
                  <c:v>5.918453216552734</c:v>
                </c:pt>
                <c:pt idx="17">
                  <c:v>5.897223949432373</c:v>
                </c:pt>
                <c:pt idx="18">
                  <c:v>5.843953132629395</c:v>
                </c:pt>
                <c:pt idx="19">
                  <c:v>5.861738204956055</c:v>
                </c:pt>
                <c:pt idx="20">
                  <c:v>5.850683212280273</c:v>
                </c:pt>
                <c:pt idx="21">
                  <c:v>5.837368011474609</c:v>
                </c:pt>
                <c:pt idx="22">
                  <c:v>5.846667766571045</c:v>
                </c:pt>
                <c:pt idx="23">
                  <c:v>5.837972164154053</c:v>
                </c:pt>
                <c:pt idx="24">
                  <c:v>5.834768772125244</c:v>
                </c:pt>
                <c:pt idx="25">
                  <c:v>5.836542129516602</c:v>
                </c:pt>
                <c:pt idx="26">
                  <c:v>5.830729007720947</c:v>
                </c:pt>
                <c:pt idx="27">
                  <c:v>5.829803943634033</c:v>
                </c:pt>
                <c:pt idx="28">
                  <c:v>5.828939914703369</c:v>
                </c:pt>
                <c:pt idx="29">
                  <c:v>5.825331211090088</c:v>
                </c:pt>
                <c:pt idx="30">
                  <c:v>5.824634075164795</c:v>
                </c:pt>
                <c:pt idx="31">
                  <c:v>5.823009014129639</c:v>
                </c:pt>
                <c:pt idx="32">
                  <c:v>5.821361064910889</c:v>
                </c:pt>
                <c:pt idx="33">
                  <c:v>5.820765972137451</c:v>
                </c:pt>
                <c:pt idx="34">
                  <c:v>5.819552898406982</c:v>
                </c:pt>
                <c:pt idx="35">
                  <c:v>5.818436145782471</c:v>
                </c:pt>
                <c:pt idx="36">
                  <c:v>5.817558765411377</c:v>
                </c:pt>
                <c:pt idx="37">
                  <c:v>5.816959857940674</c:v>
                </c:pt>
                <c:pt idx="38">
                  <c:v>5.816411972045898</c:v>
                </c:pt>
                <c:pt idx="39">
                  <c:v>5.815966129302979</c:v>
                </c:pt>
                <c:pt idx="40">
                  <c:v>5.815432071685791</c:v>
                </c:pt>
                <c:pt idx="41">
                  <c:v>5.815009117126465</c:v>
                </c:pt>
                <c:pt idx="42">
                  <c:v>5.814395904541016</c:v>
                </c:pt>
                <c:pt idx="43">
                  <c:v>5.814061164855957</c:v>
                </c:pt>
                <c:pt idx="44">
                  <c:v>5.813976764678955</c:v>
                </c:pt>
                <c:pt idx="45">
                  <c:v>5.813889026641846</c:v>
                </c:pt>
                <c:pt idx="46">
                  <c:v>5.813484191894531</c:v>
                </c:pt>
                <c:pt idx="47">
                  <c:v>5.81342887878418</c:v>
                </c:pt>
                <c:pt idx="48">
                  <c:v>5.813147068023682</c:v>
                </c:pt>
                <c:pt idx="49">
                  <c:v>5.812982082366943</c:v>
                </c:pt>
                <c:pt idx="50">
                  <c:v>5.81319522857666</c:v>
                </c:pt>
                <c:pt idx="51">
                  <c:v>5.812816143035889</c:v>
                </c:pt>
                <c:pt idx="52">
                  <c:v>5.812925815582275</c:v>
                </c:pt>
                <c:pt idx="53">
                  <c:v>5.812780857086182</c:v>
                </c:pt>
                <c:pt idx="54">
                  <c:v>5.813051223754883</c:v>
                </c:pt>
                <c:pt idx="55">
                  <c:v>5.812375068664551</c:v>
                </c:pt>
                <c:pt idx="56">
                  <c:v>5.812729835510254</c:v>
                </c:pt>
                <c:pt idx="57">
                  <c:v>5.812728881835938</c:v>
                </c:pt>
                <c:pt idx="58">
                  <c:v>5.812368869781494</c:v>
                </c:pt>
                <c:pt idx="59">
                  <c:v>5.813046932220459</c:v>
                </c:pt>
                <c:pt idx="60">
                  <c:v>5.812679767608643</c:v>
                </c:pt>
                <c:pt idx="61">
                  <c:v>5.812612056732178</c:v>
                </c:pt>
                <c:pt idx="62">
                  <c:v>5.812736988067627</c:v>
                </c:pt>
                <c:pt idx="63">
                  <c:v>5.8126540184021</c:v>
                </c:pt>
                <c:pt idx="64">
                  <c:v>5.813169002532959</c:v>
                </c:pt>
                <c:pt idx="65">
                  <c:v>5.812602043151855</c:v>
                </c:pt>
                <c:pt idx="66">
                  <c:v>5.812812805175781</c:v>
                </c:pt>
                <c:pt idx="67">
                  <c:v>5.81303882598877</c:v>
                </c:pt>
                <c:pt idx="68">
                  <c:v>5.813080787658691</c:v>
                </c:pt>
                <c:pt idx="69">
                  <c:v>5.812678813934326</c:v>
                </c:pt>
                <c:pt idx="70">
                  <c:v>5.812925815582275</c:v>
                </c:pt>
                <c:pt idx="71">
                  <c:v>5.812802791595459</c:v>
                </c:pt>
                <c:pt idx="72">
                  <c:v>5.812734127044678</c:v>
                </c:pt>
                <c:pt idx="73">
                  <c:v>5.813014030456543</c:v>
                </c:pt>
                <c:pt idx="74">
                  <c:v>5.813442230224609</c:v>
                </c:pt>
                <c:pt idx="75">
                  <c:v>5.81297779083252</c:v>
                </c:pt>
                <c:pt idx="76">
                  <c:v>5.813325881958008</c:v>
                </c:pt>
                <c:pt idx="77">
                  <c:v>5.813713073730469</c:v>
                </c:pt>
                <c:pt idx="78">
                  <c:v>5.813026905059814</c:v>
                </c:pt>
                <c:pt idx="79">
                  <c:v>5.813210010528564</c:v>
                </c:pt>
                <c:pt idx="80">
                  <c:v>5.812725067138672</c:v>
                </c:pt>
                <c:pt idx="81">
                  <c:v>5.81387186050415</c:v>
                </c:pt>
                <c:pt idx="82">
                  <c:v>5.813371181488037</c:v>
                </c:pt>
                <c:pt idx="83">
                  <c:v>5.813711166381836</c:v>
                </c:pt>
                <c:pt idx="84">
                  <c:v>5.813478946685791</c:v>
                </c:pt>
                <c:pt idx="85">
                  <c:v>5.813692092895508</c:v>
                </c:pt>
                <c:pt idx="86">
                  <c:v>5.813467979431152</c:v>
                </c:pt>
                <c:pt idx="87">
                  <c:v>5.813549995422363</c:v>
                </c:pt>
                <c:pt idx="88">
                  <c:v>5.813604831695557</c:v>
                </c:pt>
                <c:pt idx="89">
                  <c:v>5.814261913299561</c:v>
                </c:pt>
                <c:pt idx="90">
                  <c:v>5.813058853149414</c:v>
                </c:pt>
                <c:pt idx="91">
                  <c:v>5.813327789306641</c:v>
                </c:pt>
                <c:pt idx="92">
                  <c:v>5.813305854797363</c:v>
                </c:pt>
                <c:pt idx="93">
                  <c:v>5.812498092651367</c:v>
                </c:pt>
                <c:pt idx="94">
                  <c:v>5.814136981964111</c:v>
                </c:pt>
                <c:pt idx="95">
                  <c:v>5.81427001953125</c:v>
                </c:pt>
                <c:pt idx="96">
                  <c:v>5.814091205596924</c:v>
                </c:pt>
                <c:pt idx="97">
                  <c:v>5.813714027404785</c:v>
                </c:pt>
                <c:pt idx="98">
                  <c:v>5.813348770141602</c:v>
                </c:pt>
                <c:pt idx="99">
                  <c:v>5.813531875610352</c:v>
                </c:pt>
                <c:pt idx="100">
                  <c:v>5.81475305557251</c:v>
                </c:pt>
                <c:pt idx="101">
                  <c:v>5.813549041748047</c:v>
                </c:pt>
                <c:pt idx="102">
                  <c:v>5.814435958862305</c:v>
                </c:pt>
                <c:pt idx="103">
                  <c:v>5.81367301940918</c:v>
                </c:pt>
                <c:pt idx="104">
                  <c:v>5.813202857971191</c:v>
                </c:pt>
                <c:pt idx="105">
                  <c:v>5.814480781555176</c:v>
                </c:pt>
                <c:pt idx="106">
                  <c:v>5.813865184783936</c:v>
                </c:pt>
                <c:pt idx="107">
                  <c:v>5.81426477432251</c:v>
                </c:pt>
                <c:pt idx="108">
                  <c:v>5.814191818237305</c:v>
                </c:pt>
                <c:pt idx="109">
                  <c:v>5.813776969909668</c:v>
                </c:pt>
                <c:pt idx="110">
                  <c:v>5.814104080200195</c:v>
                </c:pt>
                <c:pt idx="111">
                  <c:v>5.813983917236328</c:v>
                </c:pt>
                <c:pt idx="112">
                  <c:v>5.814125061035156</c:v>
                </c:pt>
                <c:pt idx="113">
                  <c:v>5.814096927642822</c:v>
                </c:pt>
                <c:pt idx="114">
                  <c:v>5.814236164093018</c:v>
                </c:pt>
                <c:pt idx="115">
                  <c:v>5.81444787979126</c:v>
                </c:pt>
                <c:pt idx="116">
                  <c:v>5.813860893249512</c:v>
                </c:pt>
                <c:pt idx="117">
                  <c:v>5.81387186050415</c:v>
                </c:pt>
                <c:pt idx="118">
                  <c:v>5.814576148986816</c:v>
                </c:pt>
                <c:pt idx="119">
                  <c:v>5.814324855804443</c:v>
                </c:pt>
                <c:pt idx="120">
                  <c:v>5.813820838928223</c:v>
                </c:pt>
                <c:pt idx="121">
                  <c:v>5.814247131347656</c:v>
                </c:pt>
                <c:pt idx="122">
                  <c:v>5.8139967918396</c:v>
                </c:pt>
                <c:pt idx="123">
                  <c:v>5.813922882080078</c:v>
                </c:pt>
                <c:pt idx="124">
                  <c:v>5.81447696685791</c:v>
                </c:pt>
                <c:pt idx="125">
                  <c:v>5.814273834228516</c:v>
                </c:pt>
                <c:pt idx="126">
                  <c:v>5.814073085784912</c:v>
                </c:pt>
                <c:pt idx="127">
                  <c:v>5.814334869384766</c:v>
                </c:pt>
                <c:pt idx="128">
                  <c:v>5.814401149749756</c:v>
                </c:pt>
                <c:pt idx="129">
                  <c:v>5.814324855804443</c:v>
                </c:pt>
                <c:pt idx="130">
                  <c:v>5.814474105834961</c:v>
                </c:pt>
                <c:pt idx="131">
                  <c:v>5.81429386138916</c:v>
                </c:pt>
                <c:pt idx="132">
                  <c:v>5.814597129821777</c:v>
                </c:pt>
                <c:pt idx="133">
                  <c:v>5.814504146575928</c:v>
                </c:pt>
                <c:pt idx="134">
                  <c:v>5.814406871795654</c:v>
                </c:pt>
                <c:pt idx="135">
                  <c:v>5.814058780670166</c:v>
                </c:pt>
                <c:pt idx="136">
                  <c:v>5.814700126647949</c:v>
                </c:pt>
                <c:pt idx="137">
                  <c:v>5.814314842224121</c:v>
                </c:pt>
                <c:pt idx="138">
                  <c:v>5.814211845397949</c:v>
                </c:pt>
                <c:pt idx="139">
                  <c:v>5.814478874206543</c:v>
                </c:pt>
                <c:pt idx="140">
                  <c:v>5.813933849334717</c:v>
                </c:pt>
                <c:pt idx="141">
                  <c:v>5.814383983612061</c:v>
                </c:pt>
                <c:pt idx="142">
                  <c:v>5.814333915710449</c:v>
                </c:pt>
                <c:pt idx="143">
                  <c:v>5.814466953277588</c:v>
                </c:pt>
                <c:pt idx="144">
                  <c:v>5.814662933349609</c:v>
                </c:pt>
                <c:pt idx="145">
                  <c:v>5.814809799194336</c:v>
                </c:pt>
                <c:pt idx="146">
                  <c:v>5.814536094665527</c:v>
                </c:pt>
                <c:pt idx="147">
                  <c:v>5.814587116241455</c:v>
                </c:pt>
                <c:pt idx="148">
                  <c:v>5.814425945281982</c:v>
                </c:pt>
                <c:pt idx="149">
                  <c:v>5.814346790313721</c:v>
                </c:pt>
                <c:pt idx="150">
                  <c:v>5.814688205718994</c:v>
                </c:pt>
                <c:pt idx="151">
                  <c:v>5.814412117004395</c:v>
                </c:pt>
                <c:pt idx="152">
                  <c:v>5.81462287902832</c:v>
                </c:pt>
                <c:pt idx="153">
                  <c:v>5.814714908599854</c:v>
                </c:pt>
                <c:pt idx="154">
                  <c:v>5.814534187316895</c:v>
                </c:pt>
                <c:pt idx="155">
                  <c:v>5.814661026000977</c:v>
                </c:pt>
                <c:pt idx="156">
                  <c:v>5.814905166625977</c:v>
                </c:pt>
                <c:pt idx="157">
                  <c:v>5.814526081085205</c:v>
                </c:pt>
                <c:pt idx="158">
                  <c:v>5.814585208892822</c:v>
                </c:pt>
                <c:pt idx="159">
                  <c:v>5.814774036407471</c:v>
                </c:pt>
                <c:pt idx="160">
                  <c:v>5.814705848693848</c:v>
                </c:pt>
                <c:pt idx="161">
                  <c:v>5.814986228942871</c:v>
                </c:pt>
                <c:pt idx="162">
                  <c:v>5.814580917358398</c:v>
                </c:pt>
                <c:pt idx="163">
                  <c:v>5.814478874206543</c:v>
                </c:pt>
                <c:pt idx="164">
                  <c:v>5.814667224884033</c:v>
                </c:pt>
                <c:pt idx="165">
                  <c:v>5.814645767211914</c:v>
                </c:pt>
                <c:pt idx="166">
                  <c:v>5.815098762512207</c:v>
                </c:pt>
                <c:pt idx="167">
                  <c:v>5.814667224884033</c:v>
                </c:pt>
                <c:pt idx="168">
                  <c:v>5.81451416015625</c:v>
                </c:pt>
                <c:pt idx="169">
                  <c:v>5.814723968505859</c:v>
                </c:pt>
                <c:pt idx="170">
                  <c:v>5.814658164978027</c:v>
                </c:pt>
                <c:pt idx="171">
                  <c:v>5.814589977264404</c:v>
                </c:pt>
                <c:pt idx="172">
                  <c:v>5.814650058746338</c:v>
                </c:pt>
                <c:pt idx="173">
                  <c:v>5.8146071434021</c:v>
                </c:pt>
                <c:pt idx="174">
                  <c:v>5.814405918121338</c:v>
                </c:pt>
                <c:pt idx="175">
                  <c:v>5.814925193786621</c:v>
                </c:pt>
                <c:pt idx="176">
                  <c:v>5.81468677520752</c:v>
                </c:pt>
                <c:pt idx="177">
                  <c:v>5.814865112304688</c:v>
                </c:pt>
                <c:pt idx="178">
                  <c:v>5.814589977264404</c:v>
                </c:pt>
                <c:pt idx="179">
                  <c:v>5.81463623046875</c:v>
                </c:pt>
                <c:pt idx="180">
                  <c:v>5.814909934997559</c:v>
                </c:pt>
                <c:pt idx="181">
                  <c:v>5.814937114715576</c:v>
                </c:pt>
                <c:pt idx="182">
                  <c:v>5.814334869384766</c:v>
                </c:pt>
                <c:pt idx="183">
                  <c:v>5.814435958862305</c:v>
                </c:pt>
                <c:pt idx="184">
                  <c:v>5.814949989318848</c:v>
                </c:pt>
                <c:pt idx="185">
                  <c:v>5.814301013946533</c:v>
                </c:pt>
                <c:pt idx="186">
                  <c:v>5.814796924591064</c:v>
                </c:pt>
                <c:pt idx="187">
                  <c:v>5.814530849456787</c:v>
                </c:pt>
                <c:pt idx="188">
                  <c:v>5.814746856689453</c:v>
                </c:pt>
                <c:pt idx="189">
                  <c:v>5.815132141113281</c:v>
                </c:pt>
                <c:pt idx="190">
                  <c:v>5.814948081970215</c:v>
                </c:pt>
                <c:pt idx="191">
                  <c:v>5.814570903778076</c:v>
                </c:pt>
                <c:pt idx="192">
                  <c:v>5.814538955688477</c:v>
                </c:pt>
                <c:pt idx="193">
                  <c:v>5.814309120178223</c:v>
                </c:pt>
                <c:pt idx="194">
                  <c:v>5.814515113830566</c:v>
                </c:pt>
                <c:pt idx="195">
                  <c:v>5.81481409072876</c:v>
                </c:pt>
                <c:pt idx="196">
                  <c:v>5.815261840820312</c:v>
                </c:pt>
                <c:pt idx="197">
                  <c:v>5.814897060394287</c:v>
                </c:pt>
                <c:pt idx="198">
                  <c:v>5.814521789550781</c:v>
                </c:pt>
                <c:pt idx="199">
                  <c:v>5.814564228057861</c:v>
                </c:pt>
                <c:pt idx="200">
                  <c:v>5.814590930938721</c:v>
                </c:pt>
                <c:pt idx="201">
                  <c:v>5.814818859100342</c:v>
                </c:pt>
                <c:pt idx="202">
                  <c:v>5.814824104309082</c:v>
                </c:pt>
                <c:pt idx="203">
                  <c:v>5.814899921417236</c:v>
                </c:pt>
                <c:pt idx="204">
                  <c:v>5.814599990844727</c:v>
                </c:pt>
                <c:pt idx="205">
                  <c:v>5.814920902252197</c:v>
                </c:pt>
                <c:pt idx="206">
                  <c:v>5.815412044525146</c:v>
                </c:pt>
                <c:pt idx="207">
                  <c:v>5.814925193786621</c:v>
                </c:pt>
                <c:pt idx="208">
                  <c:v>5.814888954162598</c:v>
                </c:pt>
                <c:pt idx="209">
                  <c:v>5.814891815185547</c:v>
                </c:pt>
                <c:pt idx="210">
                  <c:v>5.815810203552246</c:v>
                </c:pt>
                <c:pt idx="211">
                  <c:v>5.815157890319824</c:v>
                </c:pt>
                <c:pt idx="212">
                  <c:v>5.814342975616455</c:v>
                </c:pt>
                <c:pt idx="213">
                  <c:v>5.814345836639404</c:v>
                </c:pt>
                <c:pt idx="214">
                  <c:v>5.814695835113525</c:v>
                </c:pt>
                <c:pt idx="215">
                  <c:v>5.815281867980957</c:v>
                </c:pt>
                <c:pt idx="216">
                  <c:v>5.815330982208252</c:v>
                </c:pt>
                <c:pt idx="217">
                  <c:v>5.814672946929932</c:v>
                </c:pt>
                <c:pt idx="218">
                  <c:v>5.814773082733154</c:v>
                </c:pt>
                <c:pt idx="219">
                  <c:v>5.81481409072876</c:v>
                </c:pt>
                <c:pt idx="220">
                  <c:v>5.81417179107666</c:v>
                </c:pt>
                <c:pt idx="221">
                  <c:v>5.815035820007324</c:v>
                </c:pt>
                <c:pt idx="222">
                  <c:v>5.815979957580566</c:v>
                </c:pt>
                <c:pt idx="223">
                  <c:v>5.813847064971924</c:v>
                </c:pt>
                <c:pt idx="224">
                  <c:v>5.81486988067627</c:v>
                </c:pt>
                <c:pt idx="225">
                  <c:v>5.814348220825195</c:v>
                </c:pt>
                <c:pt idx="226">
                  <c:v>5.815192222595215</c:v>
                </c:pt>
                <c:pt idx="227">
                  <c:v>5.814416885375977</c:v>
                </c:pt>
                <c:pt idx="228">
                  <c:v>5.815086841583252</c:v>
                </c:pt>
                <c:pt idx="229">
                  <c:v>5.81493616104126</c:v>
                </c:pt>
                <c:pt idx="230">
                  <c:v>5.814839839935303</c:v>
                </c:pt>
                <c:pt idx="231">
                  <c:v>5.815021991729736</c:v>
                </c:pt>
                <c:pt idx="232">
                  <c:v>5.815301895141602</c:v>
                </c:pt>
                <c:pt idx="233">
                  <c:v>5.815151214599609</c:v>
                </c:pt>
                <c:pt idx="234">
                  <c:v>5.814879894256592</c:v>
                </c:pt>
                <c:pt idx="235">
                  <c:v>5.815355777740479</c:v>
                </c:pt>
                <c:pt idx="236">
                  <c:v>5.814219951629639</c:v>
                </c:pt>
                <c:pt idx="237">
                  <c:v>5.815718173980713</c:v>
                </c:pt>
                <c:pt idx="238">
                  <c:v>5.813953876495361</c:v>
                </c:pt>
                <c:pt idx="239">
                  <c:v>5.815032958984375</c:v>
                </c:pt>
                <c:pt idx="240">
                  <c:v>5.815423011779785</c:v>
                </c:pt>
                <c:pt idx="241">
                  <c:v>5.814228057861328</c:v>
                </c:pt>
                <c:pt idx="242">
                  <c:v>5.81492280960083</c:v>
                </c:pt>
                <c:pt idx="243">
                  <c:v>5.81483793258667</c:v>
                </c:pt>
                <c:pt idx="244">
                  <c:v>5.81421422958374</c:v>
                </c:pt>
                <c:pt idx="245">
                  <c:v>5.814139842987061</c:v>
                </c:pt>
                <c:pt idx="246">
                  <c:v>5.814976215362549</c:v>
                </c:pt>
                <c:pt idx="247">
                  <c:v>5.814838886260986</c:v>
                </c:pt>
                <c:pt idx="248">
                  <c:v>5.814626216888428</c:v>
                </c:pt>
                <c:pt idx="249">
                  <c:v>5.815007209777832</c:v>
                </c:pt>
                <c:pt idx="250">
                  <c:v>5.815008163452148</c:v>
                </c:pt>
                <c:pt idx="251">
                  <c:v>5.815938949584961</c:v>
                </c:pt>
                <c:pt idx="252">
                  <c:v>5.815622806549072</c:v>
                </c:pt>
                <c:pt idx="253">
                  <c:v>5.813680171966553</c:v>
                </c:pt>
                <c:pt idx="254">
                  <c:v>5.813989162445068</c:v>
                </c:pt>
                <c:pt idx="255">
                  <c:v>5.815924167633057</c:v>
                </c:pt>
                <c:pt idx="256">
                  <c:v>5.81469202041626</c:v>
                </c:pt>
                <c:pt idx="257">
                  <c:v>5.814949035644531</c:v>
                </c:pt>
                <c:pt idx="258">
                  <c:v>5.815339088439941</c:v>
                </c:pt>
                <c:pt idx="259">
                  <c:v>5.814135074615479</c:v>
                </c:pt>
                <c:pt idx="260">
                  <c:v>5.81480884552002</c:v>
                </c:pt>
                <c:pt idx="261">
                  <c:v>5.814517021179199</c:v>
                </c:pt>
                <c:pt idx="262">
                  <c:v>5.815081119537354</c:v>
                </c:pt>
                <c:pt idx="263">
                  <c:v>5.814732074737549</c:v>
                </c:pt>
                <c:pt idx="264">
                  <c:v>5.815738201141357</c:v>
                </c:pt>
                <c:pt idx="265">
                  <c:v>5.816695213317871</c:v>
                </c:pt>
                <c:pt idx="266">
                  <c:v>5.814659118652344</c:v>
                </c:pt>
                <c:pt idx="267">
                  <c:v>5.814980030059814</c:v>
                </c:pt>
                <c:pt idx="268">
                  <c:v>5.81519889831543</c:v>
                </c:pt>
                <c:pt idx="269">
                  <c:v>5.81463098526001</c:v>
                </c:pt>
                <c:pt idx="270">
                  <c:v>5.815299034118652</c:v>
                </c:pt>
                <c:pt idx="271">
                  <c:v>5.815031051635742</c:v>
                </c:pt>
                <c:pt idx="272">
                  <c:v>5.815144062042236</c:v>
                </c:pt>
                <c:pt idx="273">
                  <c:v>5.815289974212646</c:v>
                </c:pt>
                <c:pt idx="274">
                  <c:v>5.814291000366211</c:v>
                </c:pt>
                <c:pt idx="275">
                  <c:v>5.815096855163574</c:v>
                </c:pt>
                <c:pt idx="276">
                  <c:v>5.815165042877197</c:v>
                </c:pt>
                <c:pt idx="277">
                  <c:v>5.815337181091309</c:v>
                </c:pt>
                <c:pt idx="278">
                  <c:v>5.815560817718506</c:v>
                </c:pt>
                <c:pt idx="279">
                  <c:v>5.814603805541992</c:v>
                </c:pt>
                <c:pt idx="280">
                  <c:v>5.814188957214355</c:v>
                </c:pt>
                <c:pt idx="281">
                  <c:v>5.814764976501465</c:v>
                </c:pt>
                <c:pt idx="282">
                  <c:v>5.815877914428711</c:v>
                </c:pt>
                <c:pt idx="283">
                  <c:v>5.814719200134277</c:v>
                </c:pt>
                <c:pt idx="284">
                  <c:v>5.813793182373047</c:v>
                </c:pt>
                <c:pt idx="285">
                  <c:v>5.814355850219727</c:v>
                </c:pt>
                <c:pt idx="286">
                  <c:v>5.814459800720215</c:v>
                </c:pt>
                <c:pt idx="287">
                  <c:v>5.814733028411865</c:v>
                </c:pt>
                <c:pt idx="288">
                  <c:v>5.814766883850098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SIM1!$C$11:$C$299</c:f>
              <c:numCache>
                <c:ptCount val="289"/>
                <c:pt idx="0">
                  <c:v>0</c:v>
                </c:pt>
                <c:pt idx="1">
                  <c:v>0.2503671646118164</c:v>
                </c:pt>
                <c:pt idx="2">
                  <c:v>0.5001519322395325</c:v>
                </c:pt>
                <c:pt idx="3">
                  <c:v>0.7503069639205933</c:v>
                </c:pt>
                <c:pt idx="4">
                  <c:v>1.000024199485779</c:v>
                </c:pt>
                <c:pt idx="5">
                  <c:v>1.250035881996155</c:v>
                </c:pt>
                <c:pt idx="6">
                  <c:v>1.500266671180725</c:v>
                </c:pt>
                <c:pt idx="7">
                  <c:v>1.750089168548584</c:v>
                </c:pt>
                <c:pt idx="8">
                  <c:v>2.000319719314575</c:v>
                </c:pt>
                <c:pt idx="9">
                  <c:v>2.250142335891724</c:v>
                </c:pt>
                <c:pt idx="10">
                  <c:v>2.500373125076294</c:v>
                </c:pt>
                <c:pt idx="11">
                  <c:v>2.750195503234863</c:v>
                </c:pt>
                <c:pt idx="12">
                  <c:v>3.000016689300537</c:v>
                </c:pt>
                <c:pt idx="13">
                  <c:v>3.250250101089478</c:v>
                </c:pt>
                <c:pt idx="14">
                  <c:v>3.500072240829468</c:v>
                </c:pt>
                <c:pt idx="15">
                  <c:v>3.750302791595459</c:v>
                </c:pt>
                <c:pt idx="16">
                  <c:v>4.000124931335449</c:v>
                </c:pt>
                <c:pt idx="17">
                  <c:v>4.25035572052002</c:v>
                </c:pt>
                <c:pt idx="18">
                  <c:v>4.50017786026001</c:v>
                </c:pt>
                <c:pt idx="19">
                  <c:v>4.75</c:v>
                </c:pt>
                <c:pt idx="20">
                  <c:v>5.00023078918457</c:v>
                </c:pt>
                <c:pt idx="21">
                  <c:v>5.250052928924561</c:v>
                </c:pt>
                <c:pt idx="22">
                  <c:v>5.500283241271973</c:v>
                </c:pt>
                <c:pt idx="23">
                  <c:v>5.750105381011963</c:v>
                </c:pt>
                <c:pt idx="24">
                  <c:v>6.000336170196533</c:v>
                </c:pt>
                <c:pt idx="25">
                  <c:v>6.250158309936523</c:v>
                </c:pt>
                <c:pt idx="26">
                  <c:v>6.500391483306885</c:v>
                </c:pt>
                <c:pt idx="27">
                  <c:v>6.750214099884033</c:v>
                </c:pt>
                <c:pt idx="28">
                  <c:v>7.000036239624023</c:v>
                </c:pt>
                <c:pt idx="29">
                  <c:v>7.250266551971436</c:v>
                </c:pt>
                <c:pt idx="30">
                  <c:v>7.500088691711426</c:v>
                </c:pt>
                <c:pt idx="31">
                  <c:v>7.750319480895996</c:v>
                </c:pt>
                <c:pt idx="32">
                  <c:v>8.000142097473145</c:v>
                </c:pt>
                <c:pt idx="33">
                  <c:v>8.250371932983398</c:v>
                </c:pt>
                <c:pt idx="34">
                  <c:v>8.500194549560547</c:v>
                </c:pt>
                <c:pt idx="35">
                  <c:v>8.750016212463379</c:v>
                </c:pt>
                <c:pt idx="36">
                  <c:v>9.000247001647949</c:v>
                </c:pt>
                <c:pt idx="37">
                  <c:v>9.250069618225098</c:v>
                </c:pt>
                <c:pt idx="38">
                  <c:v>9.500300407409668</c:v>
                </c:pt>
                <c:pt idx="39">
                  <c:v>9.750124931335449</c:v>
                </c:pt>
                <c:pt idx="40">
                  <c:v>10.00035572052002</c:v>
                </c:pt>
                <c:pt idx="41">
                  <c:v>10.25017738342285</c:v>
                </c:pt>
                <c:pt idx="42">
                  <c:v>10.50040817260742</c:v>
                </c:pt>
                <c:pt idx="43">
                  <c:v>10.75023078918457</c:v>
                </c:pt>
                <c:pt idx="44">
                  <c:v>11.0000524520874</c:v>
                </c:pt>
                <c:pt idx="45">
                  <c:v>11.25028324127197</c:v>
                </c:pt>
                <c:pt idx="46">
                  <c:v>11.50010585784912</c:v>
                </c:pt>
                <c:pt idx="47">
                  <c:v>11.75033569335938</c:v>
                </c:pt>
                <c:pt idx="48">
                  <c:v>12.00015830993652</c:v>
                </c:pt>
                <c:pt idx="49">
                  <c:v>12.25038909912109</c:v>
                </c:pt>
                <c:pt idx="50">
                  <c:v>12.50021076202393</c:v>
                </c:pt>
                <c:pt idx="51">
                  <c:v>12.75003337860107</c:v>
                </c:pt>
                <c:pt idx="52">
                  <c:v>13.00026702880859</c:v>
                </c:pt>
                <c:pt idx="53">
                  <c:v>13.25008869171143</c:v>
                </c:pt>
                <c:pt idx="54">
                  <c:v>13.500319480896</c:v>
                </c:pt>
                <c:pt idx="55">
                  <c:v>13.75014209747314</c:v>
                </c:pt>
                <c:pt idx="56">
                  <c:v>14.0003719329834</c:v>
                </c:pt>
                <c:pt idx="57">
                  <c:v>14.25019454956055</c:v>
                </c:pt>
                <c:pt idx="58">
                  <c:v>14.50001621246338</c:v>
                </c:pt>
                <c:pt idx="59">
                  <c:v>14.75024700164795</c:v>
                </c:pt>
                <c:pt idx="60">
                  <c:v>15.0000696182251</c:v>
                </c:pt>
                <c:pt idx="61">
                  <c:v>15.25030040740967</c:v>
                </c:pt>
                <c:pt idx="62">
                  <c:v>15.5001220703125</c:v>
                </c:pt>
                <c:pt idx="63">
                  <c:v>15.75035285949707</c:v>
                </c:pt>
                <c:pt idx="64">
                  <c:v>16.00017547607422</c:v>
                </c:pt>
                <c:pt idx="65">
                  <c:v>16.25040817260742</c:v>
                </c:pt>
                <c:pt idx="66">
                  <c:v>16.50023078918457</c:v>
                </c:pt>
                <c:pt idx="67">
                  <c:v>16.75005340576172</c:v>
                </c:pt>
                <c:pt idx="68">
                  <c:v>17.00028419494629</c:v>
                </c:pt>
                <c:pt idx="69">
                  <c:v>17.2501049041748</c:v>
                </c:pt>
                <c:pt idx="70">
                  <c:v>17.50033569335938</c:v>
                </c:pt>
                <c:pt idx="71">
                  <c:v>17.75015830993652</c:v>
                </c:pt>
                <c:pt idx="72">
                  <c:v>18.00038909912109</c:v>
                </c:pt>
                <c:pt idx="73">
                  <c:v>18.25021171569824</c:v>
                </c:pt>
                <c:pt idx="74">
                  <c:v>18.50003242492676</c:v>
                </c:pt>
                <c:pt idx="75">
                  <c:v>18.75026321411133</c:v>
                </c:pt>
                <c:pt idx="76">
                  <c:v>19.00008583068848</c:v>
                </c:pt>
                <c:pt idx="77">
                  <c:v>19.25031661987305</c:v>
                </c:pt>
                <c:pt idx="78">
                  <c:v>19.50014114379883</c:v>
                </c:pt>
                <c:pt idx="79">
                  <c:v>19.7503719329834</c:v>
                </c:pt>
                <c:pt idx="80">
                  <c:v>20.00019454956055</c:v>
                </c:pt>
                <c:pt idx="81">
                  <c:v>20.2500171661377</c:v>
                </c:pt>
                <c:pt idx="82">
                  <c:v>20.50024795532227</c:v>
                </c:pt>
                <c:pt idx="83">
                  <c:v>20.75006866455078</c:v>
                </c:pt>
                <c:pt idx="84">
                  <c:v>21.00029945373535</c:v>
                </c:pt>
                <c:pt idx="85">
                  <c:v>21.2501220703125</c:v>
                </c:pt>
                <c:pt idx="86">
                  <c:v>21.50035285949707</c:v>
                </c:pt>
                <c:pt idx="87">
                  <c:v>21.75017547607422</c:v>
                </c:pt>
                <c:pt idx="88">
                  <c:v>22.00040626525879</c:v>
                </c:pt>
                <c:pt idx="89">
                  <c:v>22.2502269744873</c:v>
                </c:pt>
                <c:pt idx="90">
                  <c:v>22.50004959106445</c:v>
                </c:pt>
                <c:pt idx="91">
                  <c:v>22.75028419494629</c:v>
                </c:pt>
                <c:pt idx="92">
                  <c:v>23.0001049041748</c:v>
                </c:pt>
                <c:pt idx="93">
                  <c:v>23.25033569335938</c:v>
                </c:pt>
                <c:pt idx="94">
                  <c:v>23.50015830993652</c:v>
                </c:pt>
                <c:pt idx="95">
                  <c:v>23.75038909912109</c:v>
                </c:pt>
                <c:pt idx="96">
                  <c:v>24.00021171569824</c:v>
                </c:pt>
                <c:pt idx="97">
                  <c:v>24.25003242492676</c:v>
                </c:pt>
                <c:pt idx="98">
                  <c:v>24.50026321411133</c:v>
                </c:pt>
                <c:pt idx="99">
                  <c:v>24.75008583068848</c:v>
                </c:pt>
                <c:pt idx="100">
                  <c:v>25.00031661987305</c:v>
                </c:pt>
                <c:pt idx="101">
                  <c:v>25.2501392364502</c:v>
                </c:pt>
                <c:pt idx="102">
                  <c:v>25.50037002563477</c:v>
                </c:pt>
                <c:pt idx="103">
                  <c:v>25.75019073486328</c:v>
                </c:pt>
                <c:pt idx="104">
                  <c:v>26.0000171661377</c:v>
                </c:pt>
                <c:pt idx="105">
                  <c:v>26.25024795532227</c:v>
                </c:pt>
                <c:pt idx="106">
                  <c:v>26.50006866455078</c:v>
                </c:pt>
                <c:pt idx="107">
                  <c:v>26.75029945373535</c:v>
                </c:pt>
                <c:pt idx="108">
                  <c:v>27.0001220703125</c:v>
                </c:pt>
                <c:pt idx="109">
                  <c:v>27.25035285949707</c:v>
                </c:pt>
                <c:pt idx="110">
                  <c:v>27.50017547607422</c:v>
                </c:pt>
                <c:pt idx="111">
                  <c:v>27.75040626525879</c:v>
                </c:pt>
                <c:pt idx="112">
                  <c:v>28.00022315979004</c:v>
                </c:pt>
                <c:pt idx="113">
                  <c:v>28.25005531311035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29.00033378601074</c:v>
                </c:pt>
                <c:pt idx="117">
                  <c:v>29.25016593933105</c:v>
                </c:pt>
                <c:pt idx="118">
                  <c:v>29.50038909912109</c:v>
                </c:pt>
                <c:pt idx="119">
                  <c:v>29.75022315979004</c:v>
                </c:pt>
                <c:pt idx="120">
                  <c:v>30.00002861022949</c:v>
                </c:pt>
                <c:pt idx="121">
                  <c:v>30.2502498626709</c:v>
                </c:pt>
                <c:pt idx="122">
                  <c:v>30.50008392333984</c:v>
                </c:pt>
                <c:pt idx="123">
                  <c:v>30.75030517578125</c:v>
                </c:pt>
                <c:pt idx="124">
                  <c:v>31.0001392364502</c:v>
                </c:pt>
                <c:pt idx="125">
                  <c:v>31.2503604888916</c:v>
                </c:pt>
                <c:pt idx="126">
                  <c:v>31.50019454956055</c:v>
                </c:pt>
                <c:pt idx="127">
                  <c:v>31.75002861022949</c:v>
                </c:pt>
                <c:pt idx="128">
                  <c:v>32.00025177001953</c:v>
                </c:pt>
                <c:pt idx="129">
                  <c:v>32.25005722045898</c:v>
                </c:pt>
                <c:pt idx="130">
                  <c:v>32.50030517578125</c:v>
                </c:pt>
                <c:pt idx="131">
                  <c:v>32.7501106262207</c:v>
                </c:pt>
                <c:pt idx="132">
                  <c:v>33.00036239624023</c:v>
                </c:pt>
                <c:pt idx="133">
                  <c:v>33.25016784667969</c:v>
                </c:pt>
                <c:pt idx="134">
                  <c:v>33.50041580200195</c:v>
                </c:pt>
                <c:pt idx="135">
                  <c:v>33.75022125244141</c:v>
                </c:pt>
                <c:pt idx="136">
                  <c:v>34.00005722045898</c:v>
                </c:pt>
                <c:pt idx="137">
                  <c:v>34.25027847290039</c:v>
                </c:pt>
                <c:pt idx="138">
                  <c:v>34.5001106262207</c:v>
                </c:pt>
                <c:pt idx="139">
                  <c:v>34.75033187866211</c:v>
                </c:pt>
                <c:pt idx="140">
                  <c:v>35.00016784667969</c:v>
                </c:pt>
                <c:pt idx="141">
                  <c:v>35.25038909912109</c:v>
                </c:pt>
                <c:pt idx="142">
                  <c:v>35.50022125244141</c:v>
                </c:pt>
                <c:pt idx="143">
                  <c:v>35.75002670288086</c:v>
                </c:pt>
                <c:pt idx="144">
                  <c:v>36.00025177001953</c:v>
                </c:pt>
                <c:pt idx="145">
                  <c:v>36.25008392333984</c:v>
                </c:pt>
                <c:pt idx="146">
                  <c:v>36.50030517578125</c:v>
                </c:pt>
                <c:pt idx="147">
                  <c:v>36.75013732910156</c:v>
                </c:pt>
                <c:pt idx="148">
                  <c:v>37.00036239624023</c:v>
                </c:pt>
                <c:pt idx="149">
                  <c:v>37.25019454956055</c:v>
                </c:pt>
                <c:pt idx="150">
                  <c:v>37.50002670288086</c:v>
                </c:pt>
                <c:pt idx="151">
                  <c:v>37.75025177001953</c:v>
                </c:pt>
                <c:pt idx="152">
                  <c:v>38.00005722045898</c:v>
                </c:pt>
                <c:pt idx="153">
                  <c:v>38.25030517578125</c:v>
                </c:pt>
                <c:pt idx="154">
                  <c:v>38.5001106262207</c:v>
                </c:pt>
                <c:pt idx="155">
                  <c:v>38.75036239624023</c:v>
                </c:pt>
                <c:pt idx="156">
                  <c:v>39.00016784667969</c:v>
                </c:pt>
                <c:pt idx="157">
                  <c:v>39.25041580200195</c:v>
                </c:pt>
                <c:pt idx="158">
                  <c:v>39.50022125244141</c:v>
                </c:pt>
                <c:pt idx="159">
                  <c:v>39.75005722045898</c:v>
                </c:pt>
                <c:pt idx="160">
                  <c:v>40.00027847290039</c:v>
                </c:pt>
                <c:pt idx="161">
                  <c:v>40.2501106262207</c:v>
                </c:pt>
                <c:pt idx="162">
                  <c:v>40.50033187866211</c:v>
                </c:pt>
                <c:pt idx="163">
                  <c:v>40.75016784667969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41.50002670288086</c:v>
                </c:pt>
                <c:pt idx="167">
                  <c:v>41.75025177001953</c:v>
                </c:pt>
                <c:pt idx="168">
                  <c:v>42.00008392333984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42.75036239624023</c:v>
                </c:pt>
                <c:pt idx="172">
                  <c:v>43.00019454956055</c:v>
                </c:pt>
                <c:pt idx="173">
                  <c:v>43.25</c:v>
                </c:pt>
                <c:pt idx="174">
                  <c:v>43.50025177001953</c:v>
                </c:pt>
                <c:pt idx="175">
                  <c:v>43.75005722045898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44.50036239624023</c:v>
                </c:pt>
                <c:pt idx="179">
                  <c:v>44.75016784667969</c:v>
                </c:pt>
                <c:pt idx="180">
                  <c:v>45.00041580200195</c:v>
                </c:pt>
                <c:pt idx="181">
                  <c:v>45.25022125244141</c:v>
                </c:pt>
                <c:pt idx="182">
                  <c:v>45.50005722045898</c:v>
                </c:pt>
                <c:pt idx="183">
                  <c:v>45.75027847290039</c:v>
                </c:pt>
                <c:pt idx="184">
                  <c:v>46.0001106262207</c:v>
                </c:pt>
                <c:pt idx="185">
                  <c:v>46.25033187866211</c:v>
                </c:pt>
                <c:pt idx="186">
                  <c:v>46.50016784667969</c:v>
                </c:pt>
                <c:pt idx="187">
                  <c:v>46.75038909912109</c:v>
                </c:pt>
                <c:pt idx="188">
                  <c:v>47.00022125244141</c:v>
                </c:pt>
                <c:pt idx="189">
                  <c:v>47.25002670288086</c:v>
                </c:pt>
                <c:pt idx="190">
                  <c:v>47.50025177001953</c:v>
                </c:pt>
                <c:pt idx="191">
                  <c:v>47.75008392333984</c:v>
                </c:pt>
                <c:pt idx="192">
                  <c:v>48.00030517578125</c:v>
                </c:pt>
                <c:pt idx="193">
                  <c:v>48.25013732910156</c:v>
                </c:pt>
                <c:pt idx="194">
                  <c:v>48.50036239624023</c:v>
                </c:pt>
                <c:pt idx="195">
                  <c:v>48.75019454956055</c:v>
                </c:pt>
                <c:pt idx="196">
                  <c:v>49</c:v>
                </c:pt>
                <c:pt idx="197">
                  <c:v>49.25025177001953</c:v>
                </c:pt>
                <c:pt idx="198">
                  <c:v>49.50005722045898</c:v>
                </c:pt>
                <c:pt idx="199">
                  <c:v>49.75030517578125</c:v>
                </c:pt>
                <c:pt idx="200">
                  <c:v>50.0001106262207</c:v>
                </c:pt>
                <c:pt idx="201">
                  <c:v>50.25036239624023</c:v>
                </c:pt>
                <c:pt idx="202">
                  <c:v>50.50016784667969</c:v>
                </c:pt>
                <c:pt idx="203">
                  <c:v>50.75041580200195</c:v>
                </c:pt>
                <c:pt idx="204">
                  <c:v>51.00022125244141</c:v>
                </c:pt>
                <c:pt idx="205">
                  <c:v>51.25005722045898</c:v>
                </c:pt>
                <c:pt idx="206">
                  <c:v>51.50027847290039</c:v>
                </c:pt>
                <c:pt idx="207">
                  <c:v>51.7501106262207</c:v>
                </c:pt>
                <c:pt idx="208">
                  <c:v>52.00033187866211</c:v>
                </c:pt>
                <c:pt idx="209">
                  <c:v>52.25016784667969</c:v>
                </c:pt>
                <c:pt idx="210">
                  <c:v>52.50038909912109</c:v>
                </c:pt>
                <c:pt idx="211">
                  <c:v>52.75019454956055</c:v>
                </c:pt>
                <c:pt idx="212">
                  <c:v>53.00002670288086</c:v>
                </c:pt>
                <c:pt idx="213">
                  <c:v>53.25025177001953</c:v>
                </c:pt>
                <c:pt idx="214">
                  <c:v>53.50008392333984</c:v>
                </c:pt>
                <c:pt idx="215">
                  <c:v>53.75030517578125</c:v>
                </c:pt>
                <c:pt idx="216">
                  <c:v>54.00013732910156</c:v>
                </c:pt>
                <c:pt idx="217">
                  <c:v>54.25036239624023</c:v>
                </c:pt>
                <c:pt idx="218">
                  <c:v>54.50019454956055</c:v>
                </c:pt>
                <c:pt idx="219">
                  <c:v>54.75</c:v>
                </c:pt>
                <c:pt idx="220">
                  <c:v>55.00025177001953</c:v>
                </c:pt>
                <c:pt idx="221">
                  <c:v>55.25005722045898</c:v>
                </c:pt>
                <c:pt idx="222">
                  <c:v>55.50030517578125</c:v>
                </c:pt>
                <c:pt idx="223">
                  <c:v>55.7501106262207</c:v>
                </c:pt>
                <c:pt idx="224">
                  <c:v>56.00036239624023</c:v>
                </c:pt>
                <c:pt idx="225">
                  <c:v>56.25016784667969</c:v>
                </c:pt>
                <c:pt idx="226">
                  <c:v>56.50038909912109</c:v>
                </c:pt>
                <c:pt idx="227">
                  <c:v>56.75022125244141</c:v>
                </c:pt>
                <c:pt idx="228">
                  <c:v>57.00005722045898</c:v>
                </c:pt>
                <c:pt idx="229">
                  <c:v>57.25027847290039</c:v>
                </c:pt>
                <c:pt idx="230">
                  <c:v>57.5001106262207</c:v>
                </c:pt>
                <c:pt idx="231">
                  <c:v>57.75033187866211</c:v>
                </c:pt>
                <c:pt idx="232">
                  <c:v>58.00016784667969</c:v>
                </c:pt>
                <c:pt idx="233">
                  <c:v>58.25038909912109</c:v>
                </c:pt>
                <c:pt idx="234">
                  <c:v>58.50019454956055</c:v>
                </c:pt>
                <c:pt idx="235">
                  <c:v>58.75002670288086</c:v>
                </c:pt>
                <c:pt idx="236">
                  <c:v>59.00025177001953</c:v>
                </c:pt>
                <c:pt idx="237">
                  <c:v>59.25008392333984</c:v>
                </c:pt>
                <c:pt idx="238">
                  <c:v>59.50030517578125</c:v>
                </c:pt>
                <c:pt idx="239">
                  <c:v>59.75013732910156</c:v>
                </c:pt>
                <c:pt idx="240">
                  <c:v>60.00036239624023</c:v>
                </c:pt>
                <c:pt idx="241">
                  <c:v>60.25019454956055</c:v>
                </c:pt>
                <c:pt idx="242">
                  <c:v>60.5</c:v>
                </c:pt>
                <c:pt idx="243">
                  <c:v>60.75025177001953</c:v>
                </c:pt>
                <c:pt idx="244">
                  <c:v>61.00005722045898</c:v>
                </c:pt>
                <c:pt idx="245">
                  <c:v>61.25030517578125</c:v>
                </c:pt>
                <c:pt idx="246">
                  <c:v>61.5001106262207</c:v>
                </c:pt>
                <c:pt idx="247">
                  <c:v>61.75036239624023</c:v>
                </c:pt>
                <c:pt idx="248">
                  <c:v>62.00016784667969</c:v>
                </c:pt>
                <c:pt idx="249">
                  <c:v>62.25038909912109</c:v>
                </c:pt>
                <c:pt idx="250">
                  <c:v>62.50022125244141</c:v>
                </c:pt>
                <c:pt idx="251">
                  <c:v>62.75005722045898</c:v>
                </c:pt>
                <c:pt idx="252">
                  <c:v>63.00027847290039</c:v>
                </c:pt>
                <c:pt idx="253">
                  <c:v>63.2501106262207</c:v>
                </c:pt>
                <c:pt idx="254">
                  <c:v>63.50033187866211</c:v>
                </c:pt>
                <c:pt idx="255">
                  <c:v>63.75016784667969</c:v>
                </c:pt>
                <c:pt idx="256">
                  <c:v>64.00038909912109</c:v>
                </c:pt>
                <c:pt idx="257">
                  <c:v>64.25019073486328</c:v>
                </c:pt>
                <c:pt idx="258">
                  <c:v>64.50003051757812</c:v>
                </c:pt>
                <c:pt idx="259">
                  <c:v>64.75025177001953</c:v>
                </c:pt>
                <c:pt idx="260">
                  <c:v>65.00008392333984</c:v>
                </c:pt>
                <c:pt idx="261">
                  <c:v>65.25030517578125</c:v>
                </c:pt>
                <c:pt idx="262">
                  <c:v>65.50013732910156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</c:v>
                </c:pt>
                <c:pt idx="266">
                  <c:v>66.50025177001953</c:v>
                </c:pt>
                <c:pt idx="267">
                  <c:v>66.75005340576172</c:v>
                </c:pt>
                <c:pt idx="268">
                  <c:v>67.00030517578125</c:v>
                </c:pt>
                <c:pt idx="269">
                  <c:v>67.25011444091797</c:v>
                </c:pt>
                <c:pt idx="270">
                  <c:v>67.50035858154297</c:v>
                </c:pt>
                <c:pt idx="271">
                  <c:v>67.75016784667969</c:v>
                </c:pt>
                <c:pt idx="272">
                  <c:v>68.00038909912109</c:v>
                </c:pt>
                <c:pt idx="273">
                  <c:v>68.25022125244141</c:v>
                </c:pt>
                <c:pt idx="274">
                  <c:v>68.50005340576172</c:v>
                </c:pt>
                <c:pt idx="275">
                  <c:v>68.75027465820312</c:v>
                </c:pt>
                <c:pt idx="276">
                  <c:v>69.00011444091797</c:v>
                </c:pt>
                <c:pt idx="277">
                  <c:v>69.25033569335938</c:v>
                </c:pt>
                <c:pt idx="278">
                  <c:v>69.50016784667969</c:v>
                </c:pt>
                <c:pt idx="279">
                  <c:v>69.75038909912109</c:v>
                </c:pt>
                <c:pt idx="280">
                  <c:v>70.00019073486328</c:v>
                </c:pt>
                <c:pt idx="281">
                  <c:v>70.25003051757812</c:v>
                </c:pt>
                <c:pt idx="282">
                  <c:v>70.50025177001953</c:v>
                </c:pt>
                <c:pt idx="283">
                  <c:v>70.75008392333984</c:v>
                </c:pt>
                <c:pt idx="284">
                  <c:v>71.00030517578125</c:v>
                </c:pt>
                <c:pt idx="285">
                  <c:v>71.25013732910156</c:v>
                </c:pt>
                <c:pt idx="286">
                  <c:v>71.50035858154297</c:v>
                </c:pt>
                <c:pt idx="287">
                  <c:v>71.75019073486328</c:v>
                </c:pt>
                <c:pt idx="288">
                  <c:v>72</c:v>
                </c:pt>
              </c:numCache>
            </c:numRef>
          </c:xVal>
          <c:yVal>
            <c:numRef>
              <c:f>SIM1!$H$11:$H$299</c:f>
              <c:numCache>
                <c:ptCount val="289"/>
                <c:pt idx="0">
                  <c:v>9.87746524810791</c:v>
                </c:pt>
                <c:pt idx="1">
                  <c:v>15.4488697052002</c:v>
                </c:pt>
                <c:pt idx="2">
                  <c:v>13.97049045562744</c:v>
                </c:pt>
                <c:pt idx="3">
                  <c:v>13.3164701461792</c:v>
                </c:pt>
                <c:pt idx="4">
                  <c:v>13.49567985534668</c:v>
                </c:pt>
                <c:pt idx="5">
                  <c:v>11.59778022766113</c:v>
                </c:pt>
                <c:pt idx="6">
                  <c:v>12.8129301071167</c:v>
                </c:pt>
                <c:pt idx="7">
                  <c:v>12.61380958557129</c:v>
                </c:pt>
                <c:pt idx="8">
                  <c:v>12.27962970733643</c:v>
                </c:pt>
                <c:pt idx="9">
                  <c:v>12.43274974822998</c:v>
                </c:pt>
                <c:pt idx="10">
                  <c:v>12.22107982635498</c:v>
                </c:pt>
                <c:pt idx="11">
                  <c:v>12.29277992248535</c:v>
                </c:pt>
                <c:pt idx="12">
                  <c:v>12.27081966400146</c:v>
                </c:pt>
                <c:pt idx="13">
                  <c:v>12.12981986999512</c:v>
                </c:pt>
                <c:pt idx="14">
                  <c:v>12.19044971466064</c:v>
                </c:pt>
                <c:pt idx="15">
                  <c:v>12.22393035888672</c:v>
                </c:pt>
                <c:pt idx="16">
                  <c:v>12.14278030395508</c:v>
                </c:pt>
                <c:pt idx="17">
                  <c:v>12.17510986328125</c:v>
                </c:pt>
                <c:pt idx="18">
                  <c:v>12.1471004486084</c:v>
                </c:pt>
                <c:pt idx="19">
                  <c:v>12.11773014068604</c:v>
                </c:pt>
                <c:pt idx="20">
                  <c:v>12.12627029418945</c:v>
                </c:pt>
                <c:pt idx="21">
                  <c:v>12.10186004638672</c:v>
                </c:pt>
                <c:pt idx="22">
                  <c:v>12.09193992614746</c:v>
                </c:pt>
                <c:pt idx="23">
                  <c:v>12.09039974212646</c:v>
                </c:pt>
                <c:pt idx="24">
                  <c:v>12.07526016235352</c:v>
                </c:pt>
                <c:pt idx="25">
                  <c:v>12.07067012786865</c:v>
                </c:pt>
                <c:pt idx="26">
                  <c:v>12.06556034088135</c:v>
                </c:pt>
                <c:pt idx="27">
                  <c:v>12.05665016174316</c:v>
                </c:pt>
                <c:pt idx="28">
                  <c:v>12.05333995819092</c:v>
                </c:pt>
                <c:pt idx="29">
                  <c:v>12.04806995391846</c:v>
                </c:pt>
                <c:pt idx="30">
                  <c:v>12.04283046722412</c:v>
                </c:pt>
                <c:pt idx="31">
                  <c:v>12.03997039794922</c:v>
                </c:pt>
                <c:pt idx="32">
                  <c:v>12.03579998016357</c:v>
                </c:pt>
                <c:pt idx="33">
                  <c:v>12.03283977508545</c:v>
                </c:pt>
                <c:pt idx="34">
                  <c:v>12.03026962280273</c:v>
                </c:pt>
                <c:pt idx="35">
                  <c:v>12.02760982513428</c:v>
                </c:pt>
                <c:pt idx="36">
                  <c:v>12.02550983428955</c:v>
                </c:pt>
                <c:pt idx="37">
                  <c:v>12.02346038818359</c:v>
                </c:pt>
                <c:pt idx="38">
                  <c:v>12.02190971374512</c:v>
                </c:pt>
                <c:pt idx="39">
                  <c:v>12.02066040039062</c:v>
                </c:pt>
                <c:pt idx="40">
                  <c:v>12.01908016204834</c:v>
                </c:pt>
                <c:pt idx="41">
                  <c:v>12.01803970336914</c:v>
                </c:pt>
                <c:pt idx="42">
                  <c:v>12.01679039001465</c:v>
                </c:pt>
                <c:pt idx="43">
                  <c:v>12.01632022857666</c:v>
                </c:pt>
                <c:pt idx="44">
                  <c:v>12.01531982421875</c:v>
                </c:pt>
                <c:pt idx="45">
                  <c:v>12.01494979858398</c:v>
                </c:pt>
                <c:pt idx="46">
                  <c:v>12.01424026489258</c:v>
                </c:pt>
                <c:pt idx="47">
                  <c:v>12.01389026641846</c:v>
                </c:pt>
                <c:pt idx="48">
                  <c:v>12.01344966888428</c:v>
                </c:pt>
                <c:pt idx="49">
                  <c:v>12.01298999786377</c:v>
                </c:pt>
                <c:pt idx="50">
                  <c:v>12.01292037963867</c:v>
                </c:pt>
                <c:pt idx="51">
                  <c:v>12.01251983642578</c:v>
                </c:pt>
                <c:pt idx="52">
                  <c:v>12.01282978057861</c:v>
                </c:pt>
                <c:pt idx="53">
                  <c:v>12.01224040985107</c:v>
                </c:pt>
                <c:pt idx="54">
                  <c:v>12.01233005523682</c:v>
                </c:pt>
                <c:pt idx="55">
                  <c:v>12.01243019104004</c:v>
                </c:pt>
                <c:pt idx="56">
                  <c:v>12.01169967651367</c:v>
                </c:pt>
                <c:pt idx="57">
                  <c:v>12.01241016387939</c:v>
                </c:pt>
                <c:pt idx="58">
                  <c:v>12.01237010955811</c:v>
                </c:pt>
                <c:pt idx="59">
                  <c:v>12.01206016540527</c:v>
                </c:pt>
                <c:pt idx="60">
                  <c:v>12.01226043701172</c:v>
                </c:pt>
                <c:pt idx="61">
                  <c:v>12.01185035705566</c:v>
                </c:pt>
                <c:pt idx="62">
                  <c:v>12.01229953765869</c:v>
                </c:pt>
                <c:pt idx="63">
                  <c:v>12.01231002807617</c:v>
                </c:pt>
                <c:pt idx="64">
                  <c:v>12.01212978363037</c:v>
                </c:pt>
                <c:pt idx="65">
                  <c:v>12.01237964630127</c:v>
                </c:pt>
                <c:pt idx="66">
                  <c:v>12.01270008087158</c:v>
                </c:pt>
                <c:pt idx="67">
                  <c:v>12.01243019104004</c:v>
                </c:pt>
                <c:pt idx="68">
                  <c:v>12.0128698348999</c:v>
                </c:pt>
                <c:pt idx="69">
                  <c:v>12.01307010650635</c:v>
                </c:pt>
                <c:pt idx="70">
                  <c:v>12.01266956329346</c:v>
                </c:pt>
                <c:pt idx="71">
                  <c:v>12.0126895904541</c:v>
                </c:pt>
                <c:pt idx="72">
                  <c:v>12.01319026947021</c:v>
                </c:pt>
                <c:pt idx="73">
                  <c:v>12.01319026947021</c:v>
                </c:pt>
                <c:pt idx="74">
                  <c:v>12.01366996765137</c:v>
                </c:pt>
                <c:pt idx="75">
                  <c:v>12.01381015777588</c:v>
                </c:pt>
                <c:pt idx="76">
                  <c:v>12.01315021514893</c:v>
                </c:pt>
                <c:pt idx="77">
                  <c:v>12.01377010345459</c:v>
                </c:pt>
                <c:pt idx="78">
                  <c:v>12.01360034942627</c:v>
                </c:pt>
                <c:pt idx="79">
                  <c:v>12.01375961303711</c:v>
                </c:pt>
                <c:pt idx="80">
                  <c:v>12.0135498046875</c:v>
                </c:pt>
                <c:pt idx="81">
                  <c:v>12.01366996765137</c:v>
                </c:pt>
                <c:pt idx="82">
                  <c:v>12.01426982879639</c:v>
                </c:pt>
                <c:pt idx="83">
                  <c:v>12.01447010040283</c:v>
                </c:pt>
                <c:pt idx="84">
                  <c:v>12.01436042785645</c:v>
                </c:pt>
                <c:pt idx="85">
                  <c:v>12.01471996307373</c:v>
                </c:pt>
                <c:pt idx="86">
                  <c:v>12.01350975036621</c:v>
                </c:pt>
                <c:pt idx="87">
                  <c:v>12.01509952545166</c:v>
                </c:pt>
                <c:pt idx="88">
                  <c:v>12.01403999328613</c:v>
                </c:pt>
                <c:pt idx="89">
                  <c:v>12.01488018035889</c:v>
                </c:pt>
                <c:pt idx="90">
                  <c:v>12.01513004302979</c:v>
                </c:pt>
                <c:pt idx="91">
                  <c:v>12.01381969451904</c:v>
                </c:pt>
                <c:pt idx="92">
                  <c:v>12.01469039916992</c:v>
                </c:pt>
                <c:pt idx="93">
                  <c:v>12.01420021057129</c:v>
                </c:pt>
                <c:pt idx="94">
                  <c:v>12.01463985443115</c:v>
                </c:pt>
                <c:pt idx="95">
                  <c:v>12.01544952392578</c:v>
                </c:pt>
                <c:pt idx="96">
                  <c:v>12.01531028747559</c:v>
                </c:pt>
                <c:pt idx="97">
                  <c:v>12.01478004455566</c:v>
                </c:pt>
                <c:pt idx="98">
                  <c:v>12.01566028594971</c:v>
                </c:pt>
                <c:pt idx="99">
                  <c:v>12.01519012451172</c:v>
                </c:pt>
                <c:pt idx="100">
                  <c:v>12.01568984985352</c:v>
                </c:pt>
                <c:pt idx="101">
                  <c:v>12.01587963104248</c:v>
                </c:pt>
                <c:pt idx="102">
                  <c:v>12.0149097442627</c:v>
                </c:pt>
                <c:pt idx="103">
                  <c:v>12.01560974121094</c:v>
                </c:pt>
                <c:pt idx="104">
                  <c:v>12.01548004150391</c:v>
                </c:pt>
                <c:pt idx="105">
                  <c:v>12.01515007019043</c:v>
                </c:pt>
                <c:pt idx="106">
                  <c:v>12.01591968536377</c:v>
                </c:pt>
                <c:pt idx="107">
                  <c:v>12.01589012145996</c:v>
                </c:pt>
                <c:pt idx="108">
                  <c:v>12.01589965820312</c:v>
                </c:pt>
                <c:pt idx="109">
                  <c:v>12.01595020294189</c:v>
                </c:pt>
                <c:pt idx="110">
                  <c:v>12.01597023010254</c:v>
                </c:pt>
                <c:pt idx="111">
                  <c:v>12.01576995849609</c:v>
                </c:pt>
                <c:pt idx="112">
                  <c:v>12.01601028442383</c:v>
                </c:pt>
                <c:pt idx="113">
                  <c:v>12.01589012145996</c:v>
                </c:pt>
                <c:pt idx="114">
                  <c:v>12.01618957519531</c:v>
                </c:pt>
                <c:pt idx="115">
                  <c:v>12.01523971557617</c:v>
                </c:pt>
                <c:pt idx="116">
                  <c:v>12.01607990264893</c:v>
                </c:pt>
                <c:pt idx="117">
                  <c:v>12.01624011993408</c:v>
                </c:pt>
                <c:pt idx="118">
                  <c:v>12.01611042022705</c:v>
                </c:pt>
                <c:pt idx="119">
                  <c:v>12.01663017272949</c:v>
                </c:pt>
                <c:pt idx="120">
                  <c:v>12.01583957672119</c:v>
                </c:pt>
                <c:pt idx="121">
                  <c:v>12.01626014709473</c:v>
                </c:pt>
                <c:pt idx="122">
                  <c:v>12.01642990112305</c:v>
                </c:pt>
                <c:pt idx="123">
                  <c:v>12.01630973815918</c:v>
                </c:pt>
                <c:pt idx="124">
                  <c:v>12.01644039154053</c:v>
                </c:pt>
                <c:pt idx="125">
                  <c:v>12.01628971099854</c:v>
                </c:pt>
                <c:pt idx="126">
                  <c:v>12.01636981964111</c:v>
                </c:pt>
                <c:pt idx="127">
                  <c:v>12.01692962646484</c:v>
                </c:pt>
                <c:pt idx="128">
                  <c:v>12.01636981964111</c:v>
                </c:pt>
                <c:pt idx="129">
                  <c:v>12.01659965515137</c:v>
                </c:pt>
                <c:pt idx="130">
                  <c:v>12.01698017120361</c:v>
                </c:pt>
                <c:pt idx="131">
                  <c:v>12.01675033569336</c:v>
                </c:pt>
                <c:pt idx="132">
                  <c:v>12.01725959777832</c:v>
                </c:pt>
                <c:pt idx="133">
                  <c:v>12.01564025878906</c:v>
                </c:pt>
                <c:pt idx="134">
                  <c:v>12.0172004699707</c:v>
                </c:pt>
                <c:pt idx="135">
                  <c:v>12.01663970947266</c:v>
                </c:pt>
                <c:pt idx="136">
                  <c:v>12.0166597366333</c:v>
                </c:pt>
                <c:pt idx="137">
                  <c:v>12.01716041564941</c:v>
                </c:pt>
                <c:pt idx="138">
                  <c:v>12.01655960083008</c:v>
                </c:pt>
                <c:pt idx="139">
                  <c:v>12.0173397064209</c:v>
                </c:pt>
                <c:pt idx="140">
                  <c:v>12.01655960083008</c:v>
                </c:pt>
                <c:pt idx="141">
                  <c:v>12.01692008972168</c:v>
                </c:pt>
                <c:pt idx="142">
                  <c:v>12.0170202255249</c:v>
                </c:pt>
                <c:pt idx="143">
                  <c:v>12.0169095993042</c:v>
                </c:pt>
                <c:pt idx="144">
                  <c:v>12.01721000671387</c:v>
                </c:pt>
                <c:pt idx="145">
                  <c:v>12.01696014404297</c:v>
                </c:pt>
                <c:pt idx="146">
                  <c:v>12.01721000671387</c:v>
                </c:pt>
                <c:pt idx="147">
                  <c:v>12.01735973358154</c:v>
                </c:pt>
                <c:pt idx="148">
                  <c:v>12.01712989807129</c:v>
                </c:pt>
                <c:pt idx="149">
                  <c:v>12.0172700881958</c:v>
                </c:pt>
                <c:pt idx="150">
                  <c:v>12.01733016967773</c:v>
                </c:pt>
                <c:pt idx="151">
                  <c:v>12.01745986938477</c:v>
                </c:pt>
                <c:pt idx="152">
                  <c:v>12.01708984375</c:v>
                </c:pt>
                <c:pt idx="153">
                  <c:v>12.01727962493896</c:v>
                </c:pt>
                <c:pt idx="154">
                  <c:v>12.01760005950928</c:v>
                </c:pt>
                <c:pt idx="155">
                  <c:v>12.01725006103516</c:v>
                </c:pt>
                <c:pt idx="156">
                  <c:v>12.0173397064209</c:v>
                </c:pt>
                <c:pt idx="157">
                  <c:v>12.0175199508667</c:v>
                </c:pt>
                <c:pt idx="158">
                  <c:v>12.01725959777832</c:v>
                </c:pt>
                <c:pt idx="159">
                  <c:v>12.01758003234863</c:v>
                </c:pt>
                <c:pt idx="160">
                  <c:v>12.01772975921631</c:v>
                </c:pt>
                <c:pt idx="161">
                  <c:v>12.01772975921631</c:v>
                </c:pt>
                <c:pt idx="162">
                  <c:v>12.01747035980225</c:v>
                </c:pt>
                <c:pt idx="163">
                  <c:v>12.01745986938477</c:v>
                </c:pt>
                <c:pt idx="164">
                  <c:v>12.01768970489502</c:v>
                </c:pt>
                <c:pt idx="165">
                  <c:v>12.01751041412354</c:v>
                </c:pt>
                <c:pt idx="166">
                  <c:v>12.01768970489502</c:v>
                </c:pt>
                <c:pt idx="167">
                  <c:v>12.01756000518799</c:v>
                </c:pt>
                <c:pt idx="168">
                  <c:v>12.01735019683838</c:v>
                </c:pt>
                <c:pt idx="169">
                  <c:v>12.01760005950928</c:v>
                </c:pt>
                <c:pt idx="170">
                  <c:v>12.01778984069824</c:v>
                </c:pt>
                <c:pt idx="171">
                  <c:v>12.01795959472656</c:v>
                </c:pt>
                <c:pt idx="172">
                  <c:v>12.01725006103516</c:v>
                </c:pt>
                <c:pt idx="173">
                  <c:v>12.01791954040527</c:v>
                </c:pt>
                <c:pt idx="174">
                  <c:v>12.01737976074219</c:v>
                </c:pt>
                <c:pt idx="175">
                  <c:v>12.01768016815186</c:v>
                </c:pt>
                <c:pt idx="176">
                  <c:v>12.01770973205566</c:v>
                </c:pt>
                <c:pt idx="177">
                  <c:v>12.01770973205566</c:v>
                </c:pt>
                <c:pt idx="178">
                  <c:v>12.01755046844482</c:v>
                </c:pt>
                <c:pt idx="179">
                  <c:v>12.0177698135376</c:v>
                </c:pt>
                <c:pt idx="180">
                  <c:v>12.01774024963379</c:v>
                </c:pt>
                <c:pt idx="181">
                  <c:v>12.01762008666992</c:v>
                </c:pt>
                <c:pt idx="182">
                  <c:v>12.01842021942139</c:v>
                </c:pt>
                <c:pt idx="183">
                  <c:v>12.0174503326416</c:v>
                </c:pt>
                <c:pt idx="184">
                  <c:v>12.01799964904785</c:v>
                </c:pt>
                <c:pt idx="185">
                  <c:v>12.01758003234863</c:v>
                </c:pt>
                <c:pt idx="186">
                  <c:v>12.01768970489502</c:v>
                </c:pt>
                <c:pt idx="187">
                  <c:v>12.01786041259766</c:v>
                </c:pt>
                <c:pt idx="188">
                  <c:v>12.01791954040527</c:v>
                </c:pt>
                <c:pt idx="189">
                  <c:v>12.01772975921631</c:v>
                </c:pt>
                <c:pt idx="190">
                  <c:v>12.01830005645752</c:v>
                </c:pt>
                <c:pt idx="191">
                  <c:v>12.0174503326416</c:v>
                </c:pt>
                <c:pt idx="192">
                  <c:v>12.01784992218018</c:v>
                </c:pt>
                <c:pt idx="193">
                  <c:v>12.01723003387451</c:v>
                </c:pt>
                <c:pt idx="194">
                  <c:v>12.01782035827637</c:v>
                </c:pt>
                <c:pt idx="195">
                  <c:v>12.01772975921631</c:v>
                </c:pt>
                <c:pt idx="196">
                  <c:v>12.01821041107178</c:v>
                </c:pt>
                <c:pt idx="197">
                  <c:v>12.01793956756592</c:v>
                </c:pt>
                <c:pt idx="198">
                  <c:v>12.01793956756592</c:v>
                </c:pt>
                <c:pt idx="199">
                  <c:v>12.01793956756592</c:v>
                </c:pt>
                <c:pt idx="200">
                  <c:v>12.01772022247314</c:v>
                </c:pt>
                <c:pt idx="201">
                  <c:v>12.01793003082275</c:v>
                </c:pt>
                <c:pt idx="202">
                  <c:v>12.01762962341309</c:v>
                </c:pt>
                <c:pt idx="203">
                  <c:v>12.01811027526855</c:v>
                </c:pt>
                <c:pt idx="204">
                  <c:v>12.01737976074219</c:v>
                </c:pt>
                <c:pt idx="205">
                  <c:v>12.01826000213623</c:v>
                </c:pt>
                <c:pt idx="206">
                  <c:v>12.01869010925293</c:v>
                </c:pt>
                <c:pt idx="207">
                  <c:v>12.0178804397583</c:v>
                </c:pt>
                <c:pt idx="208">
                  <c:v>12.01871967315674</c:v>
                </c:pt>
                <c:pt idx="209">
                  <c:v>12.01815032958984</c:v>
                </c:pt>
                <c:pt idx="210">
                  <c:v>12.01858043670654</c:v>
                </c:pt>
                <c:pt idx="211">
                  <c:v>12.01875019073486</c:v>
                </c:pt>
                <c:pt idx="212">
                  <c:v>12.0180196762085</c:v>
                </c:pt>
                <c:pt idx="213">
                  <c:v>12.0175199508667</c:v>
                </c:pt>
                <c:pt idx="214">
                  <c:v>12.01811981201172</c:v>
                </c:pt>
                <c:pt idx="215">
                  <c:v>12.01807022094727</c:v>
                </c:pt>
                <c:pt idx="216">
                  <c:v>12.01805973052979</c:v>
                </c:pt>
                <c:pt idx="217">
                  <c:v>12.01852989196777</c:v>
                </c:pt>
                <c:pt idx="218">
                  <c:v>12.01723003387451</c:v>
                </c:pt>
                <c:pt idx="219">
                  <c:v>12.01782035827637</c:v>
                </c:pt>
                <c:pt idx="220">
                  <c:v>12.01871013641357</c:v>
                </c:pt>
                <c:pt idx="221">
                  <c:v>12.01704025268555</c:v>
                </c:pt>
                <c:pt idx="222">
                  <c:v>12.01875019073486</c:v>
                </c:pt>
                <c:pt idx="223">
                  <c:v>12.01774024963379</c:v>
                </c:pt>
                <c:pt idx="224">
                  <c:v>12.01881980895996</c:v>
                </c:pt>
                <c:pt idx="225">
                  <c:v>12.01762008666992</c:v>
                </c:pt>
                <c:pt idx="226">
                  <c:v>12.01842975616455</c:v>
                </c:pt>
                <c:pt idx="227">
                  <c:v>12.01774024963379</c:v>
                </c:pt>
                <c:pt idx="228">
                  <c:v>12.01795959472656</c:v>
                </c:pt>
                <c:pt idx="229">
                  <c:v>12.01786041259766</c:v>
                </c:pt>
                <c:pt idx="230">
                  <c:v>12.0184497833252</c:v>
                </c:pt>
                <c:pt idx="231">
                  <c:v>12.01821994781494</c:v>
                </c:pt>
                <c:pt idx="232">
                  <c:v>12.01848030090332</c:v>
                </c:pt>
                <c:pt idx="233">
                  <c:v>12.01877021789551</c:v>
                </c:pt>
                <c:pt idx="234">
                  <c:v>12.01747989654541</c:v>
                </c:pt>
                <c:pt idx="235">
                  <c:v>12.01900959014893</c:v>
                </c:pt>
                <c:pt idx="236">
                  <c:v>12.01772022247314</c:v>
                </c:pt>
                <c:pt idx="237">
                  <c:v>12.01825046539307</c:v>
                </c:pt>
                <c:pt idx="238">
                  <c:v>12.01933002471924</c:v>
                </c:pt>
                <c:pt idx="239">
                  <c:v>12.01778030395508</c:v>
                </c:pt>
                <c:pt idx="240">
                  <c:v>12.01873016357422</c:v>
                </c:pt>
                <c:pt idx="241">
                  <c:v>12.01817989349365</c:v>
                </c:pt>
                <c:pt idx="242">
                  <c:v>12.0178804397583</c:v>
                </c:pt>
                <c:pt idx="243">
                  <c:v>12.01790046691895</c:v>
                </c:pt>
                <c:pt idx="244">
                  <c:v>12.0177698135376</c:v>
                </c:pt>
                <c:pt idx="245">
                  <c:v>12.01803970336914</c:v>
                </c:pt>
                <c:pt idx="246">
                  <c:v>12.01753997802734</c:v>
                </c:pt>
                <c:pt idx="247">
                  <c:v>12.01840019226074</c:v>
                </c:pt>
                <c:pt idx="248">
                  <c:v>12.01790046691895</c:v>
                </c:pt>
                <c:pt idx="249">
                  <c:v>12.01782989501953</c:v>
                </c:pt>
                <c:pt idx="250">
                  <c:v>12.01873016357422</c:v>
                </c:pt>
                <c:pt idx="251">
                  <c:v>12.01844024658203</c:v>
                </c:pt>
                <c:pt idx="252">
                  <c:v>12.0175199508667</c:v>
                </c:pt>
                <c:pt idx="253">
                  <c:v>12.01924991607666</c:v>
                </c:pt>
                <c:pt idx="254">
                  <c:v>12.01712036132812</c:v>
                </c:pt>
                <c:pt idx="255">
                  <c:v>12.01867961883545</c:v>
                </c:pt>
                <c:pt idx="256">
                  <c:v>12.0185604095459</c:v>
                </c:pt>
                <c:pt idx="257">
                  <c:v>12.0178804397583</c:v>
                </c:pt>
                <c:pt idx="258">
                  <c:v>12.01852035522461</c:v>
                </c:pt>
                <c:pt idx="259">
                  <c:v>12.01768970489502</c:v>
                </c:pt>
                <c:pt idx="260">
                  <c:v>12.01877021789551</c:v>
                </c:pt>
                <c:pt idx="261">
                  <c:v>12.01762962341309</c:v>
                </c:pt>
                <c:pt idx="262">
                  <c:v>12.01708984375</c:v>
                </c:pt>
                <c:pt idx="263">
                  <c:v>12.02007007598877</c:v>
                </c:pt>
                <c:pt idx="264">
                  <c:v>12.01772022247314</c:v>
                </c:pt>
                <c:pt idx="265">
                  <c:v>12.01891040802002</c:v>
                </c:pt>
                <c:pt idx="266">
                  <c:v>12.01889038085938</c:v>
                </c:pt>
                <c:pt idx="267">
                  <c:v>12.01803970336914</c:v>
                </c:pt>
                <c:pt idx="268">
                  <c:v>12.01922988891602</c:v>
                </c:pt>
                <c:pt idx="269">
                  <c:v>12.01846027374268</c:v>
                </c:pt>
                <c:pt idx="270">
                  <c:v>12.01846027374268</c:v>
                </c:pt>
                <c:pt idx="271">
                  <c:v>12.01941967010498</c:v>
                </c:pt>
                <c:pt idx="272">
                  <c:v>12.01834964752197</c:v>
                </c:pt>
                <c:pt idx="273">
                  <c:v>12.01879024505615</c:v>
                </c:pt>
                <c:pt idx="274">
                  <c:v>12.01844024658203</c:v>
                </c:pt>
                <c:pt idx="275">
                  <c:v>12.01860046386719</c:v>
                </c:pt>
                <c:pt idx="276">
                  <c:v>12.01883029937744</c:v>
                </c:pt>
                <c:pt idx="277">
                  <c:v>12.01869010925293</c:v>
                </c:pt>
                <c:pt idx="278">
                  <c:v>12.01920986175537</c:v>
                </c:pt>
                <c:pt idx="279">
                  <c:v>12.01825046539307</c:v>
                </c:pt>
                <c:pt idx="280">
                  <c:v>12.01852035522461</c:v>
                </c:pt>
                <c:pt idx="281">
                  <c:v>12.01881980895996</c:v>
                </c:pt>
                <c:pt idx="282">
                  <c:v>12.01768970489502</c:v>
                </c:pt>
                <c:pt idx="283">
                  <c:v>12.01945018768311</c:v>
                </c:pt>
                <c:pt idx="284">
                  <c:v>12.01735973358154</c:v>
                </c:pt>
                <c:pt idx="285">
                  <c:v>12.01753997802734</c:v>
                </c:pt>
                <c:pt idx="286">
                  <c:v>12.01836013793945</c:v>
                </c:pt>
                <c:pt idx="287">
                  <c:v>12.0174503326416</c:v>
                </c:pt>
                <c:pt idx="288">
                  <c:v>12.01823043823242</c:v>
                </c:pt>
              </c:numCache>
            </c:numRef>
          </c:yVal>
        </c:ser>
        <c:ser>
          <c:idx val="3"/>
          <c:order val="3"/>
          <c:tx>
            <c:strRef>
              <c:f>Legends!B5</c:f>
              <c:strCache>
                <c:ptCount val="1"/>
                <c:pt idx="0">
                  <c:v>VAR4</c:v>
                </c:pt>
              </c:strCache>
            </c:strRef>
          </c:tx>
          <c:marker>
            <c:symbol val="none"/>
          </c:marker>
          <c:xVal>
            <c:numRef>
              <c:f>SIM1!$D$11:$D$299</c:f>
              <c:numCache>
                <c:ptCount val="289"/>
                <c:pt idx="0">
                  <c:v>0</c:v>
                </c:pt>
                <c:pt idx="1">
                  <c:v>0.2503671646118164</c:v>
                </c:pt>
                <c:pt idx="2">
                  <c:v>0.5001519322395325</c:v>
                </c:pt>
                <c:pt idx="3">
                  <c:v>0.7503069639205933</c:v>
                </c:pt>
                <c:pt idx="4">
                  <c:v>1.000024199485779</c:v>
                </c:pt>
                <c:pt idx="5">
                  <c:v>1.250035881996155</c:v>
                </c:pt>
                <c:pt idx="6">
                  <c:v>1.500266671180725</c:v>
                </c:pt>
                <c:pt idx="7">
                  <c:v>1.750089168548584</c:v>
                </c:pt>
                <c:pt idx="8">
                  <c:v>2.000319719314575</c:v>
                </c:pt>
                <c:pt idx="9">
                  <c:v>2.250142335891724</c:v>
                </c:pt>
                <c:pt idx="10">
                  <c:v>2.500373125076294</c:v>
                </c:pt>
                <c:pt idx="11">
                  <c:v>2.750195503234863</c:v>
                </c:pt>
                <c:pt idx="12">
                  <c:v>3.000016689300537</c:v>
                </c:pt>
                <c:pt idx="13">
                  <c:v>3.250250101089478</c:v>
                </c:pt>
                <c:pt idx="14">
                  <c:v>3.500072240829468</c:v>
                </c:pt>
                <c:pt idx="15">
                  <c:v>3.750302791595459</c:v>
                </c:pt>
                <c:pt idx="16">
                  <c:v>4.000124931335449</c:v>
                </c:pt>
                <c:pt idx="17">
                  <c:v>4.25035572052002</c:v>
                </c:pt>
                <c:pt idx="18">
                  <c:v>4.50017786026001</c:v>
                </c:pt>
                <c:pt idx="19">
                  <c:v>4.75</c:v>
                </c:pt>
                <c:pt idx="20">
                  <c:v>5.00023078918457</c:v>
                </c:pt>
                <c:pt idx="21">
                  <c:v>5.250052928924561</c:v>
                </c:pt>
                <c:pt idx="22">
                  <c:v>5.500283241271973</c:v>
                </c:pt>
                <c:pt idx="23">
                  <c:v>5.750105381011963</c:v>
                </c:pt>
                <c:pt idx="24">
                  <c:v>6.000336170196533</c:v>
                </c:pt>
                <c:pt idx="25">
                  <c:v>6.250158309936523</c:v>
                </c:pt>
                <c:pt idx="26">
                  <c:v>6.500391483306885</c:v>
                </c:pt>
                <c:pt idx="27">
                  <c:v>6.750214099884033</c:v>
                </c:pt>
                <c:pt idx="28">
                  <c:v>7.000036239624023</c:v>
                </c:pt>
                <c:pt idx="29">
                  <c:v>7.250266551971436</c:v>
                </c:pt>
                <c:pt idx="30">
                  <c:v>7.500088691711426</c:v>
                </c:pt>
                <c:pt idx="31">
                  <c:v>7.750319480895996</c:v>
                </c:pt>
                <c:pt idx="32">
                  <c:v>8.000142097473145</c:v>
                </c:pt>
                <c:pt idx="33">
                  <c:v>8.250371932983398</c:v>
                </c:pt>
                <c:pt idx="34">
                  <c:v>8.500194549560547</c:v>
                </c:pt>
                <c:pt idx="35">
                  <c:v>8.750016212463379</c:v>
                </c:pt>
                <c:pt idx="36">
                  <c:v>9.000247001647949</c:v>
                </c:pt>
                <c:pt idx="37">
                  <c:v>9.250069618225098</c:v>
                </c:pt>
                <c:pt idx="38">
                  <c:v>9.500300407409668</c:v>
                </c:pt>
                <c:pt idx="39">
                  <c:v>9.750124931335449</c:v>
                </c:pt>
                <c:pt idx="40">
                  <c:v>10.00035572052002</c:v>
                </c:pt>
                <c:pt idx="41">
                  <c:v>10.25017738342285</c:v>
                </c:pt>
                <c:pt idx="42">
                  <c:v>10.50040817260742</c:v>
                </c:pt>
                <c:pt idx="43">
                  <c:v>10.75023078918457</c:v>
                </c:pt>
                <c:pt idx="44">
                  <c:v>11.0000524520874</c:v>
                </c:pt>
                <c:pt idx="45">
                  <c:v>11.25028324127197</c:v>
                </c:pt>
                <c:pt idx="46">
                  <c:v>11.50010585784912</c:v>
                </c:pt>
                <c:pt idx="47">
                  <c:v>11.75033569335938</c:v>
                </c:pt>
                <c:pt idx="48">
                  <c:v>12.00015830993652</c:v>
                </c:pt>
                <c:pt idx="49">
                  <c:v>12.25038909912109</c:v>
                </c:pt>
                <c:pt idx="50">
                  <c:v>12.50021076202393</c:v>
                </c:pt>
                <c:pt idx="51">
                  <c:v>12.75003337860107</c:v>
                </c:pt>
                <c:pt idx="52">
                  <c:v>13.00026702880859</c:v>
                </c:pt>
                <c:pt idx="53">
                  <c:v>13.25008869171143</c:v>
                </c:pt>
                <c:pt idx="54">
                  <c:v>13.500319480896</c:v>
                </c:pt>
                <c:pt idx="55">
                  <c:v>13.75014209747314</c:v>
                </c:pt>
                <c:pt idx="56">
                  <c:v>14.0003719329834</c:v>
                </c:pt>
                <c:pt idx="57">
                  <c:v>14.25019454956055</c:v>
                </c:pt>
                <c:pt idx="58">
                  <c:v>14.50001621246338</c:v>
                </c:pt>
                <c:pt idx="59">
                  <c:v>14.75024700164795</c:v>
                </c:pt>
                <c:pt idx="60">
                  <c:v>15.0000696182251</c:v>
                </c:pt>
                <c:pt idx="61">
                  <c:v>15.25030040740967</c:v>
                </c:pt>
                <c:pt idx="62">
                  <c:v>15.5001220703125</c:v>
                </c:pt>
                <c:pt idx="63">
                  <c:v>15.75035285949707</c:v>
                </c:pt>
                <c:pt idx="64">
                  <c:v>16.00017547607422</c:v>
                </c:pt>
                <c:pt idx="65">
                  <c:v>16.25040817260742</c:v>
                </c:pt>
                <c:pt idx="66">
                  <c:v>16.50023078918457</c:v>
                </c:pt>
                <c:pt idx="67">
                  <c:v>16.75005340576172</c:v>
                </c:pt>
                <c:pt idx="68">
                  <c:v>17.00028419494629</c:v>
                </c:pt>
                <c:pt idx="69">
                  <c:v>17.2501049041748</c:v>
                </c:pt>
                <c:pt idx="70">
                  <c:v>17.50033569335938</c:v>
                </c:pt>
                <c:pt idx="71">
                  <c:v>17.75015830993652</c:v>
                </c:pt>
                <c:pt idx="72">
                  <c:v>18.00038909912109</c:v>
                </c:pt>
                <c:pt idx="73">
                  <c:v>18.25021171569824</c:v>
                </c:pt>
                <c:pt idx="74">
                  <c:v>18.50003242492676</c:v>
                </c:pt>
                <c:pt idx="75">
                  <c:v>18.75026321411133</c:v>
                </c:pt>
                <c:pt idx="76">
                  <c:v>19.00008583068848</c:v>
                </c:pt>
                <c:pt idx="77">
                  <c:v>19.25031661987305</c:v>
                </c:pt>
                <c:pt idx="78">
                  <c:v>19.50014114379883</c:v>
                </c:pt>
                <c:pt idx="79">
                  <c:v>19.7503719329834</c:v>
                </c:pt>
                <c:pt idx="80">
                  <c:v>20.00019454956055</c:v>
                </c:pt>
                <c:pt idx="81">
                  <c:v>20.2500171661377</c:v>
                </c:pt>
                <c:pt idx="82">
                  <c:v>20.50024795532227</c:v>
                </c:pt>
                <c:pt idx="83">
                  <c:v>20.75006866455078</c:v>
                </c:pt>
                <c:pt idx="84">
                  <c:v>21.00029945373535</c:v>
                </c:pt>
                <c:pt idx="85">
                  <c:v>21.2501220703125</c:v>
                </c:pt>
                <c:pt idx="86">
                  <c:v>21.50035285949707</c:v>
                </c:pt>
                <c:pt idx="87">
                  <c:v>21.75017547607422</c:v>
                </c:pt>
                <c:pt idx="88">
                  <c:v>22.00040626525879</c:v>
                </c:pt>
                <c:pt idx="89">
                  <c:v>22.2502269744873</c:v>
                </c:pt>
                <c:pt idx="90">
                  <c:v>22.50004959106445</c:v>
                </c:pt>
                <c:pt idx="91">
                  <c:v>22.75028419494629</c:v>
                </c:pt>
                <c:pt idx="92">
                  <c:v>23.0001049041748</c:v>
                </c:pt>
                <c:pt idx="93">
                  <c:v>23.25033569335938</c:v>
                </c:pt>
                <c:pt idx="94">
                  <c:v>23.50015830993652</c:v>
                </c:pt>
                <c:pt idx="95">
                  <c:v>23.75038909912109</c:v>
                </c:pt>
                <c:pt idx="96">
                  <c:v>24.00021171569824</c:v>
                </c:pt>
                <c:pt idx="97">
                  <c:v>24.25003242492676</c:v>
                </c:pt>
                <c:pt idx="98">
                  <c:v>24.50026321411133</c:v>
                </c:pt>
                <c:pt idx="99">
                  <c:v>24.75008583068848</c:v>
                </c:pt>
                <c:pt idx="100">
                  <c:v>25.00031661987305</c:v>
                </c:pt>
                <c:pt idx="101">
                  <c:v>25.2501392364502</c:v>
                </c:pt>
                <c:pt idx="102">
                  <c:v>25.50037002563477</c:v>
                </c:pt>
                <c:pt idx="103">
                  <c:v>25.75019073486328</c:v>
                </c:pt>
                <c:pt idx="104">
                  <c:v>26.0000171661377</c:v>
                </c:pt>
                <c:pt idx="105">
                  <c:v>26.25024795532227</c:v>
                </c:pt>
                <c:pt idx="106">
                  <c:v>26.50006866455078</c:v>
                </c:pt>
                <c:pt idx="107">
                  <c:v>26.75029945373535</c:v>
                </c:pt>
                <c:pt idx="108">
                  <c:v>27.0001220703125</c:v>
                </c:pt>
                <c:pt idx="109">
                  <c:v>27.25035285949707</c:v>
                </c:pt>
                <c:pt idx="110">
                  <c:v>27.50017547607422</c:v>
                </c:pt>
                <c:pt idx="111">
                  <c:v>27.75040626525879</c:v>
                </c:pt>
                <c:pt idx="112">
                  <c:v>28.00022315979004</c:v>
                </c:pt>
                <c:pt idx="113">
                  <c:v>28.25005531311035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29.00033378601074</c:v>
                </c:pt>
                <c:pt idx="117">
                  <c:v>29.25016593933105</c:v>
                </c:pt>
                <c:pt idx="118">
                  <c:v>29.50038909912109</c:v>
                </c:pt>
                <c:pt idx="119">
                  <c:v>29.75022315979004</c:v>
                </c:pt>
                <c:pt idx="120">
                  <c:v>30.00002861022949</c:v>
                </c:pt>
                <c:pt idx="121">
                  <c:v>30.2502498626709</c:v>
                </c:pt>
                <c:pt idx="122">
                  <c:v>30.50008392333984</c:v>
                </c:pt>
                <c:pt idx="123">
                  <c:v>30.75030517578125</c:v>
                </c:pt>
                <c:pt idx="124">
                  <c:v>31.0001392364502</c:v>
                </c:pt>
                <c:pt idx="125">
                  <c:v>31.2503604888916</c:v>
                </c:pt>
                <c:pt idx="126">
                  <c:v>31.50019454956055</c:v>
                </c:pt>
                <c:pt idx="127">
                  <c:v>31.75002861022949</c:v>
                </c:pt>
                <c:pt idx="128">
                  <c:v>32.00025177001953</c:v>
                </c:pt>
                <c:pt idx="129">
                  <c:v>32.25005722045898</c:v>
                </c:pt>
                <c:pt idx="130">
                  <c:v>32.50030517578125</c:v>
                </c:pt>
                <c:pt idx="131">
                  <c:v>32.7501106262207</c:v>
                </c:pt>
                <c:pt idx="132">
                  <c:v>33.00036239624023</c:v>
                </c:pt>
                <c:pt idx="133">
                  <c:v>33.25016784667969</c:v>
                </c:pt>
                <c:pt idx="134">
                  <c:v>33.50041580200195</c:v>
                </c:pt>
                <c:pt idx="135">
                  <c:v>33.75022125244141</c:v>
                </c:pt>
                <c:pt idx="136">
                  <c:v>34.00005722045898</c:v>
                </c:pt>
                <c:pt idx="137">
                  <c:v>34.25027847290039</c:v>
                </c:pt>
                <c:pt idx="138">
                  <c:v>34.5001106262207</c:v>
                </c:pt>
                <c:pt idx="139">
                  <c:v>34.75033187866211</c:v>
                </c:pt>
                <c:pt idx="140">
                  <c:v>35.00016784667969</c:v>
                </c:pt>
                <c:pt idx="141">
                  <c:v>35.25038909912109</c:v>
                </c:pt>
                <c:pt idx="142">
                  <c:v>35.50022125244141</c:v>
                </c:pt>
                <c:pt idx="143">
                  <c:v>35.75002670288086</c:v>
                </c:pt>
                <c:pt idx="144">
                  <c:v>36.00025177001953</c:v>
                </c:pt>
                <c:pt idx="145">
                  <c:v>36.25008392333984</c:v>
                </c:pt>
                <c:pt idx="146">
                  <c:v>36.50030517578125</c:v>
                </c:pt>
                <c:pt idx="147">
                  <c:v>36.75013732910156</c:v>
                </c:pt>
                <c:pt idx="148">
                  <c:v>37.00036239624023</c:v>
                </c:pt>
                <c:pt idx="149">
                  <c:v>37.25019454956055</c:v>
                </c:pt>
                <c:pt idx="150">
                  <c:v>37.50002670288086</c:v>
                </c:pt>
                <c:pt idx="151">
                  <c:v>37.75025177001953</c:v>
                </c:pt>
                <c:pt idx="152">
                  <c:v>38.00005722045898</c:v>
                </c:pt>
                <c:pt idx="153">
                  <c:v>38.25030517578125</c:v>
                </c:pt>
                <c:pt idx="154">
                  <c:v>38.5001106262207</c:v>
                </c:pt>
                <c:pt idx="155">
                  <c:v>38.75036239624023</c:v>
                </c:pt>
                <c:pt idx="156">
                  <c:v>39.00016784667969</c:v>
                </c:pt>
                <c:pt idx="157">
                  <c:v>39.25041580200195</c:v>
                </c:pt>
                <c:pt idx="158">
                  <c:v>39.50022125244141</c:v>
                </c:pt>
                <c:pt idx="159">
                  <c:v>39.75005722045898</c:v>
                </c:pt>
                <c:pt idx="160">
                  <c:v>40.00027847290039</c:v>
                </c:pt>
                <c:pt idx="161">
                  <c:v>40.2501106262207</c:v>
                </c:pt>
                <c:pt idx="162">
                  <c:v>40.50033187866211</c:v>
                </c:pt>
                <c:pt idx="163">
                  <c:v>40.75016784667969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41.50002670288086</c:v>
                </c:pt>
                <c:pt idx="167">
                  <c:v>41.75025177001953</c:v>
                </c:pt>
                <c:pt idx="168">
                  <c:v>42.00008392333984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42.75036239624023</c:v>
                </c:pt>
                <c:pt idx="172">
                  <c:v>43.00019454956055</c:v>
                </c:pt>
                <c:pt idx="173">
                  <c:v>43.25</c:v>
                </c:pt>
                <c:pt idx="174">
                  <c:v>43.50025177001953</c:v>
                </c:pt>
                <c:pt idx="175">
                  <c:v>43.75005722045898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44.50036239624023</c:v>
                </c:pt>
                <c:pt idx="179">
                  <c:v>44.75016784667969</c:v>
                </c:pt>
                <c:pt idx="180">
                  <c:v>45.00041580200195</c:v>
                </c:pt>
                <c:pt idx="181">
                  <c:v>45.25022125244141</c:v>
                </c:pt>
                <c:pt idx="182">
                  <c:v>45.50005722045898</c:v>
                </c:pt>
                <c:pt idx="183">
                  <c:v>45.75027847290039</c:v>
                </c:pt>
                <c:pt idx="184">
                  <c:v>46.0001106262207</c:v>
                </c:pt>
                <c:pt idx="185">
                  <c:v>46.25033187866211</c:v>
                </c:pt>
                <c:pt idx="186">
                  <c:v>46.50016784667969</c:v>
                </c:pt>
                <c:pt idx="187">
                  <c:v>46.75038909912109</c:v>
                </c:pt>
                <c:pt idx="188">
                  <c:v>47.00022125244141</c:v>
                </c:pt>
                <c:pt idx="189">
                  <c:v>47.25002670288086</c:v>
                </c:pt>
                <c:pt idx="190">
                  <c:v>47.50025177001953</c:v>
                </c:pt>
                <c:pt idx="191">
                  <c:v>47.75008392333984</c:v>
                </c:pt>
                <c:pt idx="192">
                  <c:v>48.00030517578125</c:v>
                </c:pt>
                <c:pt idx="193">
                  <c:v>48.25013732910156</c:v>
                </c:pt>
                <c:pt idx="194">
                  <c:v>48.50036239624023</c:v>
                </c:pt>
                <c:pt idx="195">
                  <c:v>48.75019454956055</c:v>
                </c:pt>
                <c:pt idx="196">
                  <c:v>49</c:v>
                </c:pt>
                <c:pt idx="197">
                  <c:v>49.25025177001953</c:v>
                </c:pt>
                <c:pt idx="198">
                  <c:v>49.50005722045898</c:v>
                </c:pt>
                <c:pt idx="199">
                  <c:v>49.75030517578125</c:v>
                </c:pt>
                <c:pt idx="200">
                  <c:v>50.0001106262207</c:v>
                </c:pt>
                <c:pt idx="201">
                  <c:v>50.25036239624023</c:v>
                </c:pt>
                <c:pt idx="202">
                  <c:v>50.50016784667969</c:v>
                </c:pt>
                <c:pt idx="203">
                  <c:v>50.75041580200195</c:v>
                </c:pt>
                <c:pt idx="204">
                  <c:v>51.00022125244141</c:v>
                </c:pt>
                <c:pt idx="205">
                  <c:v>51.25005722045898</c:v>
                </c:pt>
                <c:pt idx="206">
                  <c:v>51.50027847290039</c:v>
                </c:pt>
                <c:pt idx="207">
                  <c:v>51.7501106262207</c:v>
                </c:pt>
                <c:pt idx="208">
                  <c:v>52.00033187866211</c:v>
                </c:pt>
                <c:pt idx="209">
                  <c:v>52.25016784667969</c:v>
                </c:pt>
                <c:pt idx="210">
                  <c:v>52.50038909912109</c:v>
                </c:pt>
                <c:pt idx="211">
                  <c:v>52.75019454956055</c:v>
                </c:pt>
                <c:pt idx="212">
                  <c:v>53.00002670288086</c:v>
                </c:pt>
                <c:pt idx="213">
                  <c:v>53.25025177001953</c:v>
                </c:pt>
                <c:pt idx="214">
                  <c:v>53.50008392333984</c:v>
                </c:pt>
                <c:pt idx="215">
                  <c:v>53.75030517578125</c:v>
                </c:pt>
                <c:pt idx="216">
                  <c:v>54.00013732910156</c:v>
                </c:pt>
                <c:pt idx="217">
                  <c:v>54.25036239624023</c:v>
                </c:pt>
                <c:pt idx="218">
                  <c:v>54.50019454956055</c:v>
                </c:pt>
                <c:pt idx="219">
                  <c:v>54.75</c:v>
                </c:pt>
                <c:pt idx="220">
                  <c:v>55.00025177001953</c:v>
                </c:pt>
                <c:pt idx="221">
                  <c:v>55.25005722045898</c:v>
                </c:pt>
                <c:pt idx="222">
                  <c:v>55.50030517578125</c:v>
                </c:pt>
                <c:pt idx="223">
                  <c:v>55.7501106262207</c:v>
                </c:pt>
                <c:pt idx="224">
                  <c:v>56.00036239624023</c:v>
                </c:pt>
                <c:pt idx="225">
                  <c:v>56.25016784667969</c:v>
                </c:pt>
                <c:pt idx="226">
                  <c:v>56.50038909912109</c:v>
                </c:pt>
                <c:pt idx="227">
                  <c:v>56.75022125244141</c:v>
                </c:pt>
                <c:pt idx="228">
                  <c:v>57.00005722045898</c:v>
                </c:pt>
                <c:pt idx="229">
                  <c:v>57.25027847290039</c:v>
                </c:pt>
                <c:pt idx="230">
                  <c:v>57.5001106262207</c:v>
                </c:pt>
                <c:pt idx="231">
                  <c:v>57.75033187866211</c:v>
                </c:pt>
                <c:pt idx="232">
                  <c:v>58.00016784667969</c:v>
                </c:pt>
                <c:pt idx="233">
                  <c:v>58.25038909912109</c:v>
                </c:pt>
                <c:pt idx="234">
                  <c:v>58.50019454956055</c:v>
                </c:pt>
                <c:pt idx="235">
                  <c:v>58.75002670288086</c:v>
                </c:pt>
                <c:pt idx="236">
                  <c:v>59.00025177001953</c:v>
                </c:pt>
                <c:pt idx="237">
                  <c:v>59.25008392333984</c:v>
                </c:pt>
                <c:pt idx="238">
                  <c:v>59.50030517578125</c:v>
                </c:pt>
                <c:pt idx="239">
                  <c:v>59.75013732910156</c:v>
                </c:pt>
                <c:pt idx="240">
                  <c:v>60.00036239624023</c:v>
                </c:pt>
                <c:pt idx="241">
                  <c:v>60.25019454956055</c:v>
                </c:pt>
                <c:pt idx="242">
                  <c:v>60.5</c:v>
                </c:pt>
                <c:pt idx="243">
                  <c:v>60.75025177001953</c:v>
                </c:pt>
                <c:pt idx="244">
                  <c:v>61.00005722045898</c:v>
                </c:pt>
                <c:pt idx="245">
                  <c:v>61.25030517578125</c:v>
                </c:pt>
                <c:pt idx="246">
                  <c:v>61.5001106262207</c:v>
                </c:pt>
                <c:pt idx="247">
                  <c:v>61.75036239624023</c:v>
                </c:pt>
                <c:pt idx="248">
                  <c:v>62.00016784667969</c:v>
                </c:pt>
                <c:pt idx="249">
                  <c:v>62.25038909912109</c:v>
                </c:pt>
                <c:pt idx="250">
                  <c:v>62.50022125244141</c:v>
                </c:pt>
                <c:pt idx="251">
                  <c:v>62.75005722045898</c:v>
                </c:pt>
                <c:pt idx="252">
                  <c:v>63.00027847290039</c:v>
                </c:pt>
                <c:pt idx="253">
                  <c:v>63.2501106262207</c:v>
                </c:pt>
                <c:pt idx="254">
                  <c:v>63.50033187866211</c:v>
                </c:pt>
                <c:pt idx="255">
                  <c:v>63.75016784667969</c:v>
                </c:pt>
                <c:pt idx="256">
                  <c:v>64.00038909912109</c:v>
                </c:pt>
                <c:pt idx="257">
                  <c:v>64.25019073486328</c:v>
                </c:pt>
                <c:pt idx="258">
                  <c:v>64.50003051757812</c:v>
                </c:pt>
                <c:pt idx="259">
                  <c:v>64.75025177001953</c:v>
                </c:pt>
                <c:pt idx="260">
                  <c:v>65.00008392333984</c:v>
                </c:pt>
                <c:pt idx="261">
                  <c:v>65.25030517578125</c:v>
                </c:pt>
                <c:pt idx="262">
                  <c:v>65.50013732910156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</c:v>
                </c:pt>
                <c:pt idx="266">
                  <c:v>66.50025177001953</c:v>
                </c:pt>
                <c:pt idx="267">
                  <c:v>66.75005340576172</c:v>
                </c:pt>
                <c:pt idx="268">
                  <c:v>67.00030517578125</c:v>
                </c:pt>
                <c:pt idx="269">
                  <c:v>67.25011444091797</c:v>
                </c:pt>
                <c:pt idx="270">
                  <c:v>67.50035858154297</c:v>
                </c:pt>
                <c:pt idx="271">
                  <c:v>67.75016784667969</c:v>
                </c:pt>
                <c:pt idx="272">
                  <c:v>68.00038909912109</c:v>
                </c:pt>
                <c:pt idx="273">
                  <c:v>68.25022125244141</c:v>
                </c:pt>
                <c:pt idx="274">
                  <c:v>68.50005340576172</c:v>
                </c:pt>
                <c:pt idx="275">
                  <c:v>68.75027465820312</c:v>
                </c:pt>
                <c:pt idx="276">
                  <c:v>69.00011444091797</c:v>
                </c:pt>
                <c:pt idx="277">
                  <c:v>69.25033569335938</c:v>
                </c:pt>
                <c:pt idx="278">
                  <c:v>69.50016784667969</c:v>
                </c:pt>
                <c:pt idx="279">
                  <c:v>69.75038909912109</c:v>
                </c:pt>
                <c:pt idx="280">
                  <c:v>70.00019073486328</c:v>
                </c:pt>
                <c:pt idx="281">
                  <c:v>70.25003051757812</c:v>
                </c:pt>
                <c:pt idx="282">
                  <c:v>70.50025177001953</c:v>
                </c:pt>
                <c:pt idx="283">
                  <c:v>70.75008392333984</c:v>
                </c:pt>
                <c:pt idx="284">
                  <c:v>71.00030517578125</c:v>
                </c:pt>
                <c:pt idx="285">
                  <c:v>71.25013732910156</c:v>
                </c:pt>
                <c:pt idx="286">
                  <c:v>71.50035858154297</c:v>
                </c:pt>
                <c:pt idx="287">
                  <c:v>71.75019073486328</c:v>
                </c:pt>
                <c:pt idx="288">
                  <c:v>72</c:v>
                </c:pt>
              </c:numCache>
            </c:numRef>
          </c:xVal>
          <c:yVal>
            <c:numRef>
              <c:f>SIM1!$I$11:$I$299</c:f>
              <c:numCache>
                <c:ptCount val="289"/>
                <c:pt idx="0">
                  <c:v>0.04023474827408791</c:v>
                </c:pt>
                <c:pt idx="1">
                  <c:v>0.05202734097838402</c:v>
                </c:pt>
                <c:pt idx="2">
                  <c:v>0.03673849999904633</c:v>
                </c:pt>
                <c:pt idx="3">
                  <c:v>0.04264308884739876</c:v>
                </c:pt>
                <c:pt idx="4">
                  <c:v>0.03733047097921371</c:v>
                </c:pt>
                <c:pt idx="5">
                  <c:v>0.03343437984585762</c:v>
                </c:pt>
                <c:pt idx="6">
                  <c:v>0.03468288108706474</c:v>
                </c:pt>
                <c:pt idx="7">
                  <c:v>0.03280157968401909</c:v>
                </c:pt>
                <c:pt idx="8">
                  <c:v>0.0354129783809185</c:v>
                </c:pt>
                <c:pt idx="9">
                  <c:v>0.03438536077737808</c:v>
                </c:pt>
                <c:pt idx="10">
                  <c:v>0.03372646868228912</c:v>
                </c:pt>
                <c:pt idx="11">
                  <c:v>0.03502615168690681</c:v>
                </c:pt>
                <c:pt idx="12">
                  <c:v>0.03443736955523491</c:v>
                </c:pt>
                <c:pt idx="13">
                  <c:v>0.03436591103672981</c:v>
                </c:pt>
                <c:pt idx="14">
                  <c:v>0.03524487093091011</c:v>
                </c:pt>
                <c:pt idx="15">
                  <c:v>0.03509030118584633</c:v>
                </c:pt>
                <c:pt idx="16">
                  <c:v>0.03498442843556404</c:v>
                </c:pt>
                <c:pt idx="17">
                  <c:v>0.0349937416613102</c:v>
                </c:pt>
                <c:pt idx="18">
                  <c:v>0.03468092158436775</c:v>
                </c:pt>
                <c:pt idx="19">
                  <c:v>0.03473073989152908</c:v>
                </c:pt>
                <c:pt idx="20">
                  <c:v>0.03469723090529442</c:v>
                </c:pt>
                <c:pt idx="21">
                  <c:v>0.03459233045578003</c:v>
                </c:pt>
                <c:pt idx="22">
                  <c:v>0.03463288024067879</c:v>
                </c:pt>
                <c:pt idx="23">
                  <c:v>0.03459354862570763</c:v>
                </c:pt>
                <c:pt idx="24">
                  <c:v>0.03455797955393791</c:v>
                </c:pt>
                <c:pt idx="25">
                  <c:v>0.03456699103116989</c:v>
                </c:pt>
                <c:pt idx="26">
                  <c:v>0.03453446924686432</c:v>
                </c:pt>
                <c:pt idx="27">
                  <c:v>0.03452004864811897</c:v>
                </c:pt>
                <c:pt idx="28">
                  <c:v>0.03451545909047127</c:v>
                </c:pt>
                <c:pt idx="29">
                  <c:v>0.0344921313226223</c:v>
                </c:pt>
                <c:pt idx="30">
                  <c:v>0.0344836488366127</c:v>
                </c:pt>
                <c:pt idx="31">
                  <c:v>0.03447410836815834</c:v>
                </c:pt>
                <c:pt idx="32">
                  <c:v>0.03446165099740028</c:v>
                </c:pt>
                <c:pt idx="33">
                  <c:v>0.03445655852556229</c:v>
                </c:pt>
                <c:pt idx="34">
                  <c:v>0.03444856032729149</c:v>
                </c:pt>
                <c:pt idx="35">
                  <c:v>0.03444052115082741</c:v>
                </c:pt>
                <c:pt idx="36">
                  <c:v>0.03443447127938271</c:v>
                </c:pt>
                <c:pt idx="37">
                  <c:v>0.03442975878715515</c:v>
                </c:pt>
                <c:pt idx="38">
                  <c:v>0.034425999969244</c:v>
                </c:pt>
                <c:pt idx="39">
                  <c:v>0.03442317992448807</c:v>
                </c:pt>
                <c:pt idx="40">
                  <c:v>0.03441895917057991</c:v>
                </c:pt>
                <c:pt idx="41">
                  <c:v>0.03441619873046875</c:v>
                </c:pt>
                <c:pt idx="42">
                  <c:v>0.03441182151436806</c:v>
                </c:pt>
                <c:pt idx="43">
                  <c:v>0.0344102717936039</c:v>
                </c:pt>
                <c:pt idx="44">
                  <c:v>0.03440894931554794</c:v>
                </c:pt>
                <c:pt idx="45">
                  <c:v>0.03440871089696884</c:v>
                </c:pt>
                <c:pt idx="46">
                  <c:v>0.03440599143505096</c:v>
                </c:pt>
                <c:pt idx="47">
                  <c:v>0.03440574184060097</c:v>
                </c:pt>
                <c:pt idx="48">
                  <c:v>0.03440399095416069</c:v>
                </c:pt>
                <c:pt idx="49">
                  <c:v>0.03440276905894279</c:v>
                </c:pt>
                <c:pt idx="50">
                  <c:v>0.03440428897738457</c:v>
                </c:pt>
                <c:pt idx="51">
                  <c:v>0.03440187871456146</c:v>
                </c:pt>
                <c:pt idx="52">
                  <c:v>0.03440349921584129</c:v>
                </c:pt>
                <c:pt idx="53">
                  <c:v>0.03440187871456146</c:v>
                </c:pt>
                <c:pt idx="54">
                  <c:v>0.03440380096435547</c:v>
                </c:pt>
                <c:pt idx="55">
                  <c:v>0.0344005785882473</c:v>
                </c:pt>
                <c:pt idx="56">
                  <c:v>0.0344013087451458</c:v>
                </c:pt>
                <c:pt idx="57">
                  <c:v>0.03440282866358757</c:v>
                </c:pt>
                <c:pt idx="58">
                  <c:v>0.03440102934837341</c:v>
                </c:pt>
                <c:pt idx="59">
                  <c:v>0.03440422937273979</c:v>
                </c:pt>
                <c:pt idx="60">
                  <c:v>0.03440269827842712</c:v>
                </c:pt>
                <c:pt idx="61">
                  <c:v>0.03440167009830475</c:v>
                </c:pt>
                <c:pt idx="62">
                  <c:v>0.03440330922603607</c:v>
                </c:pt>
                <c:pt idx="63">
                  <c:v>0.03440298140048981</c:v>
                </c:pt>
                <c:pt idx="64">
                  <c:v>0.03440548107028008</c:v>
                </c:pt>
                <c:pt idx="65">
                  <c:v>0.03440285846590996</c:v>
                </c:pt>
                <c:pt idx="66">
                  <c:v>0.03440478071570396</c:v>
                </c:pt>
                <c:pt idx="67">
                  <c:v>0.03440548852086067</c:v>
                </c:pt>
                <c:pt idx="68">
                  <c:v>0.03440665081143379</c:v>
                </c:pt>
                <c:pt idx="69">
                  <c:v>0.03440491110086441</c:v>
                </c:pt>
                <c:pt idx="70">
                  <c:v>0.03440545126795769</c:v>
                </c:pt>
                <c:pt idx="71">
                  <c:v>0.03440478071570396</c:v>
                </c:pt>
                <c:pt idx="72">
                  <c:v>0.03440548107028008</c:v>
                </c:pt>
                <c:pt idx="73">
                  <c:v>0.03440701961517334</c:v>
                </c:pt>
                <c:pt idx="74">
                  <c:v>0.03441029042005539</c:v>
                </c:pt>
                <c:pt idx="75">
                  <c:v>0.03440809994935989</c:v>
                </c:pt>
                <c:pt idx="76">
                  <c:v>0.03440868854522705</c:v>
                </c:pt>
                <c:pt idx="77">
                  <c:v>0.03441201150417328</c:v>
                </c:pt>
                <c:pt idx="78">
                  <c:v>0.03440799936652184</c:v>
                </c:pt>
                <c:pt idx="79">
                  <c:v>0.03440928086638451</c:v>
                </c:pt>
                <c:pt idx="80">
                  <c:v>0.03440617024898529</c:v>
                </c:pt>
                <c:pt idx="81">
                  <c:v>0.03441274911165237</c:v>
                </c:pt>
                <c:pt idx="82">
                  <c:v>0.03441115841269493</c:v>
                </c:pt>
                <c:pt idx="83">
                  <c:v>0.03441347926855087</c:v>
                </c:pt>
                <c:pt idx="84">
                  <c:v>0.03441197052598</c:v>
                </c:pt>
                <c:pt idx="85">
                  <c:v>0.03441388159990311</c:v>
                </c:pt>
                <c:pt idx="86">
                  <c:v>0.03441017866134644</c:v>
                </c:pt>
                <c:pt idx="87">
                  <c:v>0.03441378846764565</c:v>
                </c:pt>
                <c:pt idx="88">
                  <c:v>0.03441208973526955</c:v>
                </c:pt>
                <c:pt idx="89">
                  <c:v>0.03441721946001053</c:v>
                </c:pt>
                <c:pt idx="90">
                  <c:v>0.03441122174263</c:v>
                </c:pt>
                <c:pt idx="91">
                  <c:v>0.03441007062792778</c:v>
                </c:pt>
                <c:pt idx="92">
                  <c:v>0.03441156074404716</c:v>
                </c:pt>
                <c:pt idx="93">
                  <c:v>0.03440624848008156</c:v>
                </c:pt>
                <c:pt idx="94">
                  <c:v>0.03441609814763069</c:v>
                </c:pt>
                <c:pt idx="95">
                  <c:v>0.03441841900348663</c:v>
                </c:pt>
                <c:pt idx="96">
                  <c:v>0.03441730141639709</c:v>
                </c:pt>
                <c:pt idx="97">
                  <c:v>0.0344141498208046</c:v>
                </c:pt>
                <c:pt idx="98">
                  <c:v>0.03441387042403221</c:v>
                </c:pt>
                <c:pt idx="99">
                  <c:v>0.03441394865512848</c:v>
                </c:pt>
                <c:pt idx="100">
                  <c:v>0.03442152962088585</c:v>
                </c:pt>
                <c:pt idx="101">
                  <c:v>0.03441537916660309</c:v>
                </c:pt>
                <c:pt idx="102">
                  <c:v>0.03441838175058365</c:v>
                </c:pt>
                <c:pt idx="103">
                  <c:v>0.03441543877124786</c:v>
                </c:pt>
                <c:pt idx="104">
                  <c:v>0.03441274166107178</c:v>
                </c:pt>
                <c:pt idx="105">
                  <c:v>0.03441907092928886</c:v>
                </c:pt>
                <c:pt idx="106">
                  <c:v>0.03441715985536575</c:v>
                </c:pt>
                <c:pt idx="107">
                  <c:v>0.03441942110657692</c:v>
                </c:pt>
                <c:pt idx="108">
                  <c:v>0.03441904112696648</c:v>
                </c:pt>
                <c:pt idx="109">
                  <c:v>0.03441683948040009</c:v>
                </c:pt>
                <c:pt idx="110">
                  <c:v>0.03441866114735603</c:v>
                </c:pt>
                <c:pt idx="111">
                  <c:v>0.03441758826375008</c:v>
                </c:pt>
                <c:pt idx="112">
                  <c:v>0.03441882878541946</c:v>
                </c:pt>
                <c:pt idx="113">
                  <c:v>0.03441840037703514</c:v>
                </c:pt>
                <c:pt idx="114">
                  <c:v>0.03441980108618736</c:v>
                </c:pt>
                <c:pt idx="115">
                  <c:v>0.03441910073161125</c:v>
                </c:pt>
                <c:pt idx="116">
                  <c:v>0.03441751003265381</c:v>
                </c:pt>
                <c:pt idx="117">
                  <c:v>0.03441800177097321</c:v>
                </c:pt>
                <c:pt idx="118">
                  <c:v>0.03442151844501495</c:v>
                </c:pt>
                <c:pt idx="119">
                  <c:v>0.0344211682677269</c:v>
                </c:pt>
                <c:pt idx="120">
                  <c:v>0.03441692143678665</c:v>
                </c:pt>
                <c:pt idx="121">
                  <c:v>0.03442002832889557</c:v>
                </c:pt>
                <c:pt idx="122">
                  <c:v>0.03441900014877319</c:v>
                </c:pt>
                <c:pt idx="123">
                  <c:v>0.03441834822297096</c:v>
                </c:pt>
                <c:pt idx="124">
                  <c:v>0.03442161902785301</c:v>
                </c:pt>
                <c:pt idx="125">
                  <c:v>0.03442021831870079</c:v>
                </c:pt>
                <c:pt idx="126">
                  <c:v>0.03441929817199707</c:v>
                </c:pt>
                <c:pt idx="127">
                  <c:v>0.03442183881998062</c:v>
                </c:pt>
                <c:pt idx="128">
                  <c:v>0.03442113101482391</c:v>
                </c:pt>
                <c:pt idx="129">
                  <c:v>0.03442114964127541</c:v>
                </c:pt>
                <c:pt idx="130">
                  <c:v>0.03442275896668434</c:v>
                </c:pt>
                <c:pt idx="131">
                  <c:v>0.03442128002643585</c:v>
                </c:pt>
                <c:pt idx="132">
                  <c:v>0.03442392870783806</c:v>
                </c:pt>
                <c:pt idx="133">
                  <c:v>0.03442022949457169</c:v>
                </c:pt>
                <c:pt idx="134">
                  <c:v>0.03442278131842613</c:v>
                </c:pt>
                <c:pt idx="135">
                  <c:v>0.03441983833909035</c:v>
                </c:pt>
                <c:pt idx="136">
                  <c:v>0.03442329168319702</c:v>
                </c:pt>
                <c:pt idx="137">
                  <c:v>0.03442222997546196</c:v>
                </c:pt>
                <c:pt idx="138">
                  <c:v>0.03442049026489258</c:v>
                </c:pt>
                <c:pt idx="139">
                  <c:v>0.03442341834306717</c:v>
                </c:pt>
                <c:pt idx="140">
                  <c:v>0.03441895917057991</c:v>
                </c:pt>
                <c:pt idx="141">
                  <c:v>0.03442209959030151</c:v>
                </c:pt>
                <c:pt idx="142">
                  <c:v>0.03442199155688286</c:v>
                </c:pt>
                <c:pt idx="143">
                  <c:v>0.03442253917455673</c:v>
                </c:pt>
                <c:pt idx="144">
                  <c:v>0.03442421928048134</c:v>
                </c:pt>
                <c:pt idx="145">
                  <c:v>0.03442456945776939</c:v>
                </c:pt>
                <c:pt idx="146">
                  <c:v>0.03442351147532463</c:v>
                </c:pt>
                <c:pt idx="147">
                  <c:v>0.03442417830228806</c:v>
                </c:pt>
                <c:pt idx="148">
                  <c:v>0.03442281857132912</c:v>
                </c:pt>
                <c:pt idx="149">
                  <c:v>0.03442258015275002</c:v>
                </c:pt>
                <c:pt idx="150">
                  <c:v>0.03442461043596268</c:v>
                </c:pt>
                <c:pt idx="151">
                  <c:v>0.03442332893610001</c:v>
                </c:pt>
                <c:pt idx="152">
                  <c:v>0.03442372009158134</c:v>
                </c:pt>
                <c:pt idx="153">
                  <c:v>0.03442461043596268</c:v>
                </c:pt>
                <c:pt idx="154">
                  <c:v>0.0344243012368679</c:v>
                </c:pt>
                <c:pt idx="155">
                  <c:v>0.03442427143454552</c:v>
                </c:pt>
                <c:pt idx="156">
                  <c:v>0.03442579135298729</c:v>
                </c:pt>
                <c:pt idx="157">
                  <c:v>0.03442410007119179</c:v>
                </c:pt>
                <c:pt idx="158">
                  <c:v>0.03442391008138657</c:v>
                </c:pt>
                <c:pt idx="159">
                  <c:v>0.03442554175853729</c:v>
                </c:pt>
                <c:pt idx="160">
                  <c:v>0.03442550823092461</c:v>
                </c:pt>
                <c:pt idx="161">
                  <c:v>0.03442703932523727</c:v>
                </c:pt>
                <c:pt idx="162">
                  <c:v>0.03442426025867462</c:v>
                </c:pt>
                <c:pt idx="163">
                  <c:v>0.03442370891571045</c:v>
                </c:pt>
                <c:pt idx="164">
                  <c:v>0.03442516922950745</c:v>
                </c:pt>
                <c:pt idx="165">
                  <c:v>0.03442468121647835</c:v>
                </c:pt>
                <c:pt idx="166">
                  <c:v>0.03442753851413727</c:v>
                </c:pt>
                <c:pt idx="167">
                  <c:v>0.03442493826150894</c:v>
                </c:pt>
                <c:pt idx="168">
                  <c:v>0.03442367166280746</c:v>
                </c:pt>
                <c:pt idx="169">
                  <c:v>0.03442531824111938</c:v>
                </c:pt>
                <c:pt idx="170">
                  <c:v>0.03442535176873207</c:v>
                </c:pt>
                <c:pt idx="171">
                  <c:v>0.034425288438797</c:v>
                </c:pt>
                <c:pt idx="172">
                  <c:v>0.03442424163222313</c:v>
                </c:pt>
                <c:pt idx="173">
                  <c:v>0.0344252698123455</c:v>
                </c:pt>
                <c:pt idx="174">
                  <c:v>0.03442313894629478</c:v>
                </c:pt>
                <c:pt idx="175">
                  <c:v>0.03442658111453056</c:v>
                </c:pt>
                <c:pt idx="176">
                  <c:v>0.03442534059286118</c:v>
                </c:pt>
                <c:pt idx="177">
                  <c:v>0.03442630171775818</c:v>
                </c:pt>
                <c:pt idx="178">
                  <c:v>0.03442448005080223</c:v>
                </c:pt>
                <c:pt idx="179">
                  <c:v>0.03442518040537834</c:v>
                </c:pt>
                <c:pt idx="180">
                  <c:v>0.03442664071917534</c:v>
                </c:pt>
                <c:pt idx="181">
                  <c:v>0.03442652150988579</c:v>
                </c:pt>
                <c:pt idx="182">
                  <c:v>0.03442483022809029</c:v>
                </c:pt>
                <c:pt idx="183">
                  <c:v>0.03442348912358284</c:v>
                </c:pt>
                <c:pt idx="184">
                  <c:v>0.03442731127142906</c:v>
                </c:pt>
                <c:pt idx="185">
                  <c:v>0.03442294895648956</c:v>
                </c:pt>
                <c:pt idx="186">
                  <c:v>0.03442585095763206</c:v>
                </c:pt>
                <c:pt idx="187">
                  <c:v>0.03442471846938133</c:v>
                </c:pt>
                <c:pt idx="188">
                  <c:v>0.03442610055208206</c:v>
                </c:pt>
                <c:pt idx="189">
                  <c:v>0.03442776948213577</c:v>
                </c:pt>
                <c:pt idx="190">
                  <c:v>0.03442792966961861</c:v>
                </c:pt>
                <c:pt idx="191">
                  <c:v>0.03442421182990074</c:v>
                </c:pt>
                <c:pt idx="192">
                  <c:v>0.03442474827170372</c:v>
                </c:pt>
                <c:pt idx="193">
                  <c:v>0.03442228958010674</c:v>
                </c:pt>
                <c:pt idx="194">
                  <c:v>0.03442453965544701</c:v>
                </c:pt>
                <c:pt idx="195">
                  <c:v>0.03442602977156639</c:v>
                </c:pt>
                <c:pt idx="196">
                  <c:v>0.03442947939038277</c:v>
                </c:pt>
                <c:pt idx="197">
                  <c:v>0.03442696109414101</c:v>
                </c:pt>
                <c:pt idx="198">
                  <c:v>0.03442488983273506</c:v>
                </c:pt>
                <c:pt idx="199">
                  <c:v>0.03442513942718506</c:v>
                </c:pt>
                <c:pt idx="200">
                  <c:v>0.03442481160163879</c:v>
                </c:pt>
                <c:pt idx="201">
                  <c:v>0.0344264805316925</c:v>
                </c:pt>
                <c:pt idx="202">
                  <c:v>0.03442586958408356</c:v>
                </c:pt>
                <c:pt idx="203">
                  <c:v>0.03442728146910667</c:v>
                </c:pt>
                <c:pt idx="204">
                  <c:v>0.03442420065402985</c:v>
                </c:pt>
                <c:pt idx="205">
                  <c:v>0.03442769125103951</c:v>
                </c:pt>
                <c:pt idx="206">
                  <c:v>0.03443128988146782</c:v>
                </c:pt>
                <c:pt idx="207">
                  <c:v>0.03442693874239922</c:v>
                </c:pt>
                <c:pt idx="208">
                  <c:v>0.0344284400343895</c:v>
                </c:pt>
                <c:pt idx="209">
                  <c:v>0.03442738950252533</c:v>
                </c:pt>
                <c:pt idx="210">
                  <c:v>0.03443314880132675</c:v>
                </c:pt>
                <c:pt idx="211">
                  <c:v>0.03442994877696037</c:v>
                </c:pt>
                <c:pt idx="212">
                  <c:v>0.0344240814447403</c:v>
                </c:pt>
                <c:pt idx="213">
                  <c:v>0.03442298993468285</c:v>
                </c:pt>
                <c:pt idx="214">
                  <c:v>0.03442608937621117</c:v>
                </c:pt>
                <c:pt idx="215">
                  <c:v>0.03442924842238426</c:v>
                </c:pt>
                <c:pt idx="216">
                  <c:v>0.03442943841218948</c:v>
                </c:pt>
                <c:pt idx="217">
                  <c:v>0.03442687913775444</c:v>
                </c:pt>
                <c:pt idx="218">
                  <c:v>0.03442484140396118</c:v>
                </c:pt>
                <c:pt idx="219">
                  <c:v>0.03442611172795296</c:v>
                </c:pt>
                <c:pt idx="220">
                  <c:v>0.03442450985312462</c:v>
                </c:pt>
                <c:pt idx="221">
                  <c:v>0.03442585840821266</c:v>
                </c:pt>
                <c:pt idx="222">
                  <c:v>0.03443435952067375</c:v>
                </c:pt>
                <c:pt idx="223">
                  <c:v>0.03442079946398735</c:v>
                </c:pt>
                <c:pt idx="224">
                  <c:v>0.03442851081490517</c:v>
                </c:pt>
                <c:pt idx="225">
                  <c:v>0.03442316129803658</c:v>
                </c:pt>
                <c:pt idx="226">
                  <c:v>0.0344293899834156</c:v>
                </c:pt>
                <c:pt idx="227">
                  <c:v>0.0344238318502903</c:v>
                </c:pt>
                <c:pt idx="228">
                  <c:v>0.0344279408454895</c:v>
                </c:pt>
                <c:pt idx="229">
                  <c:v>0.03442690894007683</c:v>
                </c:pt>
                <c:pt idx="230">
                  <c:v>0.03442760929465294</c:v>
                </c:pt>
                <c:pt idx="231">
                  <c:v>0.0344281792640686</c:v>
                </c:pt>
                <c:pt idx="232">
                  <c:v>0.03443016856908798</c:v>
                </c:pt>
                <c:pt idx="233">
                  <c:v>0.03442993015050888</c:v>
                </c:pt>
                <c:pt idx="234">
                  <c:v>0.03442585095763206</c:v>
                </c:pt>
                <c:pt idx="235">
                  <c:v>0.03443150967359543</c:v>
                </c:pt>
                <c:pt idx="236">
                  <c:v>0.03442278131842613</c:v>
                </c:pt>
                <c:pt idx="237">
                  <c:v>0.03443191945552826</c:v>
                </c:pt>
                <c:pt idx="238">
                  <c:v>0.03442446887493134</c:v>
                </c:pt>
                <c:pt idx="239">
                  <c:v>0.03442737832665443</c:v>
                </c:pt>
                <c:pt idx="240">
                  <c:v>0.03443115949630737</c:v>
                </c:pt>
                <c:pt idx="241">
                  <c:v>0.03442373871803284</c:v>
                </c:pt>
                <c:pt idx="242">
                  <c:v>0.03442690148949623</c:v>
                </c:pt>
                <c:pt idx="243">
                  <c:v>0.03442639112472534</c:v>
                </c:pt>
                <c:pt idx="244">
                  <c:v>0.03442278876900673</c:v>
                </c:pt>
                <c:pt idx="245">
                  <c:v>0.03442293033003807</c:v>
                </c:pt>
                <c:pt idx="246">
                  <c:v>0.03442645817995071</c:v>
                </c:pt>
                <c:pt idx="247">
                  <c:v>0.03442737087607384</c:v>
                </c:pt>
                <c:pt idx="248">
                  <c:v>0.03442535176873207</c:v>
                </c:pt>
                <c:pt idx="249">
                  <c:v>0.0344272293150425</c:v>
                </c:pt>
                <c:pt idx="250">
                  <c:v>0.03442903980612755</c:v>
                </c:pt>
                <c:pt idx="251">
                  <c:v>0.03443368896842003</c:v>
                </c:pt>
                <c:pt idx="252">
                  <c:v>0.03443003818392754</c:v>
                </c:pt>
                <c:pt idx="253">
                  <c:v>0.03442288935184479</c:v>
                </c:pt>
                <c:pt idx="254">
                  <c:v>0.03442038968205452</c:v>
                </c:pt>
                <c:pt idx="255">
                  <c:v>0.03443383052945137</c:v>
                </c:pt>
                <c:pt idx="256">
                  <c:v>0.0344269685447216</c:v>
                </c:pt>
                <c:pt idx="257">
                  <c:v>0.03442708030343056</c:v>
                </c:pt>
                <c:pt idx="258">
                  <c:v>0.03443042933940887</c:v>
                </c:pt>
                <c:pt idx="259">
                  <c:v>0.03442217037081718</c:v>
                </c:pt>
                <c:pt idx="260">
                  <c:v>0.03442798182368279</c:v>
                </c:pt>
                <c:pt idx="261">
                  <c:v>0.03442417085170746</c:v>
                </c:pt>
                <c:pt idx="262">
                  <c:v>0.03442607074975967</c:v>
                </c:pt>
                <c:pt idx="263">
                  <c:v>0.03443016856908798</c:v>
                </c:pt>
                <c:pt idx="264">
                  <c:v>0.03443114832043648</c:v>
                </c:pt>
                <c:pt idx="265">
                  <c:v>0.03443853929638863</c:v>
                </c:pt>
                <c:pt idx="266">
                  <c:v>0.03442766144871712</c:v>
                </c:pt>
                <c:pt idx="267">
                  <c:v>0.03442765027284622</c:v>
                </c:pt>
                <c:pt idx="268">
                  <c:v>0.03443102166056633</c:v>
                </c:pt>
                <c:pt idx="269">
                  <c:v>0.03442651033401489</c:v>
                </c:pt>
                <c:pt idx="270">
                  <c:v>0.03443006053566933</c:v>
                </c:pt>
                <c:pt idx="271">
                  <c:v>0.03443045169115067</c:v>
                </c:pt>
                <c:pt idx="272">
                  <c:v>0.03442903980612755</c:v>
                </c:pt>
                <c:pt idx="273">
                  <c:v>0.0344306007027626</c:v>
                </c:pt>
                <c:pt idx="274">
                  <c:v>0.03442449122667313</c:v>
                </c:pt>
                <c:pt idx="275">
                  <c:v>0.03442919999361038</c:v>
                </c:pt>
                <c:pt idx="276">
                  <c:v>0.03443000838160515</c:v>
                </c:pt>
                <c:pt idx="277">
                  <c:v>0.03443074971437454</c:v>
                </c:pt>
                <c:pt idx="278">
                  <c:v>0.0344330407679081</c:v>
                </c:pt>
                <c:pt idx="279">
                  <c:v>0.03442586958408356</c:v>
                </c:pt>
                <c:pt idx="280">
                  <c:v>0.0344240814447403</c:v>
                </c:pt>
                <c:pt idx="281">
                  <c:v>0.03442792966961861</c:v>
                </c:pt>
                <c:pt idx="282">
                  <c:v>0.03443162888288498</c:v>
                </c:pt>
                <c:pt idx="283">
                  <c:v>0.03442880883812904</c:v>
                </c:pt>
                <c:pt idx="284">
                  <c:v>0.03441981971263885</c:v>
                </c:pt>
                <c:pt idx="285">
                  <c:v>0.03442297130823135</c:v>
                </c:pt>
                <c:pt idx="286">
                  <c:v>0.03442524001002312</c:v>
                </c:pt>
                <c:pt idx="287">
                  <c:v>0.034425038844347</c:v>
                </c:pt>
                <c:pt idx="288">
                  <c:v>0.03442670032382011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Report-2031_Oil_4500bopd_Liquid_4789blpd_5MMSCFD_GL_TD_Only_OP1.genkey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SIM2!$A$11:$A$299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1.250362277030945</c:v>
                </c:pt>
                <c:pt idx="6">
                  <c:v>1.500348329544067</c:v>
                </c:pt>
                <c:pt idx="7">
                  <c:v>1.750333905220032</c:v>
                </c:pt>
                <c:pt idx="8">
                  <c:v>2.000319480895996</c:v>
                </c:pt>
                <c:pt idx="9">
                  <c:v>2.250304937362671</c:v>
                </c:pt>
                <c:pt idx="10">
                  <c:v>2.500290632247925</c:v>
                </c:pt>
                <c:pt idx="11">
                  <c:v>2.7502760887146</c:v>
                </c:pt>
                <c:pt idx="12">
                  <c:v>3.000097274780273</c:v>
                </c:pt>
                <c:pt idx="13">
                  <c:v>3.25011944770813</c:v>
                </c:pt>
                <c:pt idx="14">
                  <c:v>3.500241756439209</c:v>
                </c:pt>
                <c:pt idx="15">
                  <c:v>3.750241756439209</c:v>
                </c:pt>
                <c:pt idx="16">
                  <c:v>4.000097274780273</c:v>
                </c:pt>
                <c:pt idx="17">
                  <c:v>4.250372409820557</c:v>
                </c:pt>
                <c:pt idx="18">
                  <c:v>4.500458240509033</c:v>
                </c:pt>
                <c:pt idx="19">
                  <c:v>4.750261306762695</c:v>
                </c:pt>
                <c:pt idx="20">
                  <c:v>5.000511169433594</c:v>
                </c:pt>
                <c:pt idx="21">
                  <c:v>5.250458240509033</c:v>
                </c:pt>
                <c:pt idx="22">
                  <c:v>5.500708103179932</c:v>
                </c:pt>
                <c:pt idx="23">
                  <c:v>5.750102996826172</c:v>
                </c:pt>
                <c:pt idx="24">
                  <c:v>6.000141620635986</c:v>
                </c:pt>
                <c:pt idx="25">
                  <c:v>6.250077724456787</c:v>
                </c:pt>
                <c:pt idx="26">
                  <c:v>6.500152587890625</c:v>
                </c:pt>
                <c:pt idx="27">
                  <c:v>6.750280380249023</c:v>
                </c:pt>
                <c:pt idx="28">
                  <c:v>7.000197410583496</c:v>
                </c:pt>
                <c:pt idx="29">
                  <c:v>7.250205516815186</c:v>
                </c:pt>
                <c:pt idx="30">
                  <c:v>7.500277996063232</c:v>
                </c:pt>
                <c:pt idx="31">
                  <c:v>7.750138759613037</c:v>
                </c:pt>
                <c:pt idx="32">
                  <c:v>8.000371932983398</c:v>
                </c:pt>
                <c:pt idx="33">
                  <c:v>8.250127792358398</c:v>
                </c:pt>
                <c:pt idx="34">
                  <c:v>8.500100135803223</c:v>
                </c:pt>
                <c:pt idx="35">
                  <c:v>8.750033378601074</c:v>
                </c:pt>
                <c:pt idx="36">
                  <c:v>9.000444412231445</c:v>
                </c:pt>
                <c:pt idx="37">
                  <c:v>9.250080108642578</c:v>
                </c:pt>
                <c:pt idx="38">
                  <c:v>9.500617027282715</c:v>
                </c:pt>
                <c:pt idx="39">
                  <c:v>9.75078010559082</c:v>
                </c:pt>
                <c:pt idx="40">
                  <c:v>10.00001907348633</c:v>
                </c:pt>
                <c:pt idx="41">
                  <c:v>10.25024700164795</c:v>
                </c:pt>
                <c:pt idx="42">
                  <c:v>10.50033092498779</c:v>
                </c:pt>
                <c:pt idx="43">
                  <c:v>10.75027179718018</c:v>
                </c:pt>
                <c:pt idx="44">
                  <c:v>11.00011920928955</c:v>
                </c:pt>
                <c:pt idx="45">
                  <c:v>11.25021934509277</c:v>
                </c:pt>
                <c:pt idx="46">
                  <c:v>11.5001859664917</c:v>
                </c:pt>
                <c:pt idx="47">
                  <c:v>11.75002765655518</c:v>
                </c:pt>
                <c:pt idx="48">
                  <c:v>12.00011348724365</c:v>
                </c:pt>
                <c:pt idx="49">
                  <c:v>12.2503719329834</c:v>
                </c:pt>
                <c:pt idx="50">
                  <c:v>12.50043869018555</c:v>
                </c:pt>
                <c:pt idx="51">
                  <c:v>12.75056648254395</c:v>
                </c:pt>
                <c:pt idx="52">
                  <c:v>13.00006675720215</c:v>
                </c:pt>
                <c:pt idx="53">
                  <c:v>13.2501916885376</c:v>
                </c:pt>
                <c:pt idx="54">
                  <c:v>13.5005054473877</c:v>
                </c:pt>
                <c:pt idx="55">
                  <c:v>13.75016117095947</c:v>
                </c:pt>
                <c:pt idx="56">
                  <c:v>14.00051689147949</c:v>
                </c:pt>
                <c:pt idx="57">
                  <c:v>14.25014972686768</c:v>
                </c:pt>
                <c:pt idx="58">
                  <c:v>14.50046920776367</c:v>
                </c:pt>
                <c:pt idx="59">
                  <c:v>14.75034713745117</c:v>
                </c:pt>
                <c:pt idx="60">
                  <c:v>15.00014400482178</c:v>
                </c:pt>
                <c:pt idx="61">
                  <c:v>15.25021076202393</c:v>
                </c:pt>
                <c:pt idx="62">
                  <c:v>15.50024700164795</c:v>
                </c:pt>
                <c:pt idx="63">
                  <c:v>15.75032234191895</c:v>
                </c:pt>
                <c:pt idx="64">
                  <c:v>16.00037574768066</c:v>
                </c:pt>
                <c:pt idx="65">
                  <c:v>16.2500057220459</c:v>
                </c:pt>
                <c:pt idx="66">
                  <c:v>16.50015258789062</c:v>
                </c:pt>
                <c:pt idx="67">
                  <c:v>16.7504997253418</c:v>
                </c:pt>
                <c:pt idx="68">
                  <c:v>17.0006275177002</c:v>
                </c:pt>
                <c:pt idx="69">
                  <c:v>17.25049209594727</c:v>
                </c:pt>
                <c:pt idx="70">
                  <c:v>17.50015640258789</c:v>
                </c:pt>
                <c:pt idx="71">
                  <c:v>17.75071716308594</c:v>
                </c:pt>
                <c:pt idx="72">
                  <c:v>18.00077247619629</c:v>
                </c:pt>
                <c:pt idx="73">
                  <c:v>18.25021743774414</c:v>
                </c:pt>
                <c:pt idx="74">
                  <c:v>18.50031471252441</c:v>
                </c:pt>
                <c:pt idx="75">
                  <c:v>18.75001907348633</c:v>
                </c:pt>
                <c:pt idx="76">
                  <c:v>19.00028610229492</c:v>
                </c:pt>
                <c:pt idx="77">
                  <c:v>19.2502326965332</c:v>
                </c:pt>
                <c:pt idx="78">
                  <c:v>19.50001907348633</c:v>
                </c:pt>
                <c:pt idx="79">
                  <c:v>19.7501049041748</c:v>
                </c:pt>
                <c:pt idx="80">
                  <c:v>20.00030517578125</c:v>
                </c:pt>
                <c:pt idx="81">
                  <c:v>20.25009536743164</c:v>
                </c:pt>
                <c:pt idx="82">
                  <c:v>20.50015068054199</c:v>
                </c:pt>
                <c:pt idx="83">
                  <c:v>20.75005912780762</c:v>
                </c:pt>
                <c:pt idx="84">
                  <c:v>21.00000762939453</c:v>
                </c:pt>
                <c:pt idx="85">
                  <c:v>21.25007247924805</c:v>
                </c:pt>
                <c:pt idx="86">
                  <c:v>21.50043678283691</c:v>
                </c:pt>
                <c:pt idx="87">
                  <c:v>21.75017738342285</c:v>
                </c:pt>
                <c:pt idx="88">
                  <c:v>22.00059700012207</c:v>
                </c:pt>
                <c:pt idx="89">
                  <c:v>22.2502384185791</c:v>
                </c:pt>
                <c:pt idx="90">
                  <c:v>22.50051307678223</c:v>
                </c:pt>
                <c:pt idx="91">
                  <c:v>22.75069999694824</c:v>
                </c:pt>
                <c:pt idx="92">
                  <c:v>23.00012969970703</c:v>
                </c:pt>
                <c:pt idx="93">
                  <c:v>23.25051689147949</c:v>
                </c:pt>
                <c:pt idx="94">
                  <c:v>23.50000190734863</c:v>
                </c:pt>
                <c:pt idx="95">
                  <c:v>23.75021934509277</c:v>
                </c:pt>
                <c:pt idx="96">
                  <c:v>24.00034523010254</c:v>
                </c:pt>
                <c:pt idx="97">
                  <c:v>24.25016403198242</c:v>
                </c:pt>
                <c:pt idx="98">
                  <c:v>24.50034523010254</c:v>
                </c:pt>
                <c:pt idx="99">
                  <c:v>24.75016403198242</c:v>
                </c:pt>
                <c:pt idx="100">
                  <c:v>25.00034523010254</c:v>
                </c:pt>
                <c:pt idx="101">
                  <c:v>25.25016403198242</c:v>
                </c:pt>
                <c:pt idx="102">
                  <c:v>25.50043869018555</c:v>
                </c:pt>
                <c:pt idx="103">
                  <c:v>25.75048828125</c:v>
                </c:pt>
                <c:pt idx="104">
                  <c:v>26.00040817260742</c:v>
                </c:pt>
                <c:pt idx="105">
                  <c:v>26.25052261352539</c:v>
                </c:pt>
                <c:pt idx="106">
                  <c:v>26.5001106262207</c:v>
                </c:pt>
                <c:pt idx="107">
                  <c:v>26.75054168701172</c:v>
                </c:pt>
                <c:pt idx="108">
                  <c:v>27.00056457519531</c:v>
                </c:pt>
                <c:pt idx="109">
                  <c:v>27.25063705444336</c:v>
                </c:pt>
                <c:pt idx="110">
                  <c:v>27.50048828125</c:v>
                </c:pt>
                <c:pt idx="111">
                  <c:v>27.75032997131348</c:v>
                </c:pt>
                <c:pt idx="112">
                  <c:v>28.0003604888916</c:v>
                </c:pt>
                <c:pt idx="113">
                  <c:v>28.25030517578125</c:v>
                </c:pt>
                <c:pt idx="114">
                  <c:v>28.50033378601074</c:v>
                </c:pt>
                <c:pt idx="115">
                  <c:v>28.75002861022949</c:v>
                </c:pt>
                <c:pt idx="116">
                  <c:v>29.0001106262207</c:v>
                </c:pt>
                <c:pt idx="117">
                  <c:v>29.25019454956055</c:v>
                </c:pt>
                <c:pt idx="118">
                  <c:v>29.50030517578125</c:v>
                </c:pt>
                <c:pt idx="119">
                  <c:v>29.75008392333984</c:v>
                </c:pt>
                <c:pt idx="120">
                  <c:v>30.00008392333984</c:v>
                </c:pt>
                <c:pt idx="121">
                  <c:v>30.2503604888916</c:v>
                </c:pt>
                <c:pt idx="122">
                  <c:v>30.50030517578125</c:v>
                </c:pt>
                <c:pt idx="123">
                  <c:v>30.75008392333984</c:v>
                </c:pt>
                <c:pt idx="124">
                  <c:v>31.00077819824219</c:v>
                </c:pt>
                <c:pt idx="125">
                  <c:v>31.2504997253418</c:v>
                </c:pt>
                <c:pt idx="126">
                  <c:v>31.50055503845215</c:v>
                </c:pt>
                <c:pt idx="127">
                  <c:v>31.75041580200195</c:v>
                </c:pt>
                <c:pt idx="128">
                  <c:v>32.00055694580078</c:v>
                </c:pt>
                <c:pt idx="129">
                  <c:v>32.25002670288086</c:v>
                </c:pt>
                <c:pt idx="130">
                  <c:v>32.50025177001953</c:v>
                </c:pt>
                <c:pt idx="131">
                  <c:v>32.75008392333984</c:v>
                </c:pt>
                <c:pt idx="132">
                  <c:v>33.0001106262207</c:v>
                </c:pt>
                <c:pt idx="133">
                  <c:v>33.25016784667969</c:v>
                </c:pt>
                <c:pt idx="134">
                  <c:v>33.50027847290039</c:v>
                </c:pt>
                <c:pt idx="135">
                  <c:v>33.75019454956055</c:v>
                </c:pt>
                <c:pt idx="136">
                  <c:v>34.00008392333984</c:v>
                </c:pt>
                <c:pt idx="137">
                  <c:v>34.25033187866211</c:v>
                </c:pt>
                <c:pt idx="138">
                  <c:v>34.50030517578125</c:v>
                </c:pt>
                <c:pt idx="139">
                  <c:v>34.7501106262207</c:v>
                </c:pt>
                <c:pt idx="140">
                  <c:v>35.00008392333984</c:v>
                </c:pt>
                <c:pt idx="141">
                  <c:v>35.25</c:v>
                </c:pt>
                <c:pt idx="142">
                  <c:v>35.5006103515625</c:v>
                </c:pt>
                <c:pt idx="143">
                  <c:v>35.7506103515625</c:v>
                </c:pt>
                <c:pt idx="144">
                  <c:v>36.00033187866211</c:v>
                </c:pt>
                <c:pt idx="145">
                  <c:v>36.25091552734375</c:v>
                </c:pt>
                <c:pt idx="146">
                  <c:v>36.50027847290039</c:v>
                </c:pt>
                <c:pt idx="147">
                  <c:v>36.75002670288086</c:v>
                </c:pt>
                <c:pt idx="148">
                  <c:v>37.00016784667969</c:v>
                </c:pt>
                <c:pt idx="149">
                  <c:v>37.25005722045898</c:v>
                </c:pt>
                <c:pt idx="150">
                  <c:v>37.50016784667969</c:v>
                </c:pt>
                <c:pt idx="151">
                  <c:v>37.75016784667969</c:v>
                </c:pt>
                <c:pt idx="152">
                  <c:v>38.00016784667969</c:v>
                </c:pt>
                <c:pt idx="153">
                  <c:v>38.25019454956055</c:v>
                </c:pt>
                <c:pt idx="154">
                  <c:v>38.50019454956055</c:v>
                </c:pt>
                <c:pt idx="155">
                  <c:v>38.75033187866211</c:v>
                </c:pt>
                <c:pt idx="156">
                  <c:v>39.00019454956055</c:v>
                </c:pt>
                <c:pt idx="157">
                  <c:v>39.25013732910156</c:v>
                </c:pt>
                <c:pt idx="158">
                  <c:v>39.50025177001953</c:v>
                </c:pt>
                <c:pt idx="159">
                  <c:v>39.75027847290039</c:v>
                </c:pt>
                <c:pt idx="160">
                  <c:v>40.00080490112305</c:v>
                </c:pt>
                <c:pt idx="161">
                  <c:v>40.25005722045898</c:v>
                </c:pt>
                <c:pt idx="162">
                  <c:v>40.50063705444336</c:v>
                </c:pt>
                <c:pt idx="163">
                  <c:v>40.75005722045898</c:v>
                </c:pt>
                <c:pt idx="164">
                  <c:v>41.00022125244141</c:v>
                </c:pt>
                <c:pt idx="165">
                  <c:v>41.25019454956055</c:v>
                </c:pt>
                <c:pt idx="166">
                  <c:v>41.50008392333984</c:v>
                </c:pt>
                <c:pt idx="167">
                  <c:v>41.75005722045898</c:v>
                </c:pt>
                <c:pt idx="168">
                  <c:v>42.00013732910156</c:v>
                </c:pt>
                <c:pt idx="169">
                  <c:v>42.2501106262207</c:v>
                </c:pt>
                <c:pt idx="170">
                  <c:v>42.50033187866211</c:v>
                </c:pt>
                <c:pt idx="171">
                  <c:v>42.75005722045898</c:v>
                </c:pt>
                <c:pt idx="172">
                  <c:v>43.0001106262207</c:v>
                </c:pt>
                <c:pt idx="173">
                  <c:v>43.25019454956055</c:v>
                </c:pt>
                <c:pt idx="174">
                  <c:v>43.50025177001953</c:v>
                </c:pt>
                <c:pt idx="175">
                  <c:v>43.75027847290039</c:v>
                </c:pt>
                <c:pt idx="176">
                  <c:v>44.00016784667969</c:v>
                </c:pt>
                <c:pt idx="177">
                  <c:v>44.25038909912109</c:v>
                </c:pt>
                <c:pt idx="178">
                  <c:v>44.50047302246094</c:v>
                </c:pt>
                <c:pt idx="179">
                  <c:v>44.75019454956055</c:v>
                </c:pt>
                <c:pt idx="180">
                  <c:v>45.00066757202148</c:v>
                </c:pt>
                <c:pt idx="181">
                  <c:v>45.25008392333984</c:v>
                </c:pt>
                <c:pt idx="182">
                  <c:v>45.50019454956055</c:v>
                </c:pt>
                <c:pt idx="183">
                  <c:v>45.75066757202148</c:v>
                </c:pt>
                <c:pt idx="184">
                  <c:v>46.00030517578125</c:v>
                </c:pt>
                <c:pt idx="185">
                  <c:v>46.25038909912109</c:v>
                </c:pt>
                <c:pt idx="186">
                  <c:v>46.50005722045898</c:v>
                </c:pt>
                <c:pt idx="187">
                  <c:v>46.75008392333984</c:v>
                </c:pt>
                <c:pt idx="188">
                  <c:v>47.00013732910156</c:v>
                </c:pt>
                <c:pt idx="189">
                  <c:v>47.25022125244141</c:v>
                </c:pt>
                <c:pt idx="190">
                  <c:v>47.50027847290039</c:v>
                </c:pt>
                <c:pt idx="191">
                  <c:v>47.75033187866211</c:v>
                </c:pt>
                <c:pt idx="192">
                  <c:v>48.00002670288086</c:v>
                </c:pt>
                <c:pt idx="193">
                  <c:v>48.2501106262207</c:v>
                </c:pt>
                <c:pt idx="194">
                  <c:v>48.50038909912109</c:v>
                </c:pt>
                <c:pt idx="195">
                  <c:v>48.75019454956055</c:v>
                </c:pt>
                <c:pt idx="196">
                  <c:v>49.00036239624023</c:v>
                </c:pt>
                <c:pt idx="197">
                  <c:v>49.2501106262207</c:v>
                </c:pt>
                <c:pt idx="198">
                  <c:v>49.50019454956055</c:v>
                </c:pt>
                <c:pt idx="199">
                  <c:v>49.75005722045898</c:v>
                </c:pt>
                <c:pt idx="200">
                  <c:v>50.00013732910156</c:v>
                </c:pt>
                <c:pt idx="201">
                  <c:v>50.25005722045898</c:v>
                </c:pt>
                <c:pt idx="202">
                  <c:v>50.50036239624023</c:v>
                </c:pt>
                <c:pt idx="203">
                  <c:v>50.75030517578125</c:v>
                </c:pt>
                <c:pt idx="204">
                  <c:v>51.00005722045898</c:v>
                </c:pt>
                <c:pt idx="205">
                  <c:v>51.25027847290039</c:v>
                </c:pt>
                <c:pt idx="206">
                  <c:v>51.50005722045898</c:v>
                </c:pt>
                <c:pt idx="207">
                  <c:v>51.75</c:v>
                </c:pt>
                <c:pt idx="208">
                  <c:v>52.00030517578125</c:v>
                </c:pt>
                <c:pt idx="209">
                  <c:v>52.2501106262207</c:v>
                </c:pt>
                <c:pt idx="210">
                  <c:v>52.50030517578125</c:v>
                </c:pt>
                <c:pt idx="211">
                  <c:v>52.7501106262207</c:v>
                </c:pt>
                <c:pt idx="212">
                  <c:v>53.00027847290039</c:v>
                </c:pt>
                <c:pt idx="213">
                  <c:v>53.25002670288086</c:v>
                </c:pt>
                <c:pt idx="214">
                  <c:v>53.5004997253418</c:v>
                </c:pt>
                <c:pt idx="215">
                  <c:v>53.75052642822266</c:v>
                </c:pt>
                <c:pt idx="216">
                  <c:v>54.00005722045898</c:v>
                </c:pt>
                <c:pt idx="217">
                  <c:v>54.25058364868164</c:v>
                </c:pt>
                <c:pt idx="218">
                  <c:v>54.50063705444336</c:v>
                </c:pt>
                <c:pt idx="219">
                  <c:v>54.7504997253418</c:v>
                </c:pt>
                <c:pt idx="220">
                  <c:v>55</c:v>
                </c:pt>
                <c:pt idx="221">
                  <c:v>55.25047302246094</c:v>
                </c:pt>
                <c:pt idx="222">
                  <c:v>55.5004997253418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</c:v>
                </c:pt>
                <c:pt idx="226">
                  <c:v>56.50022125244141</c:v>
                </c:pt>
                <c:pt idx="227">
                  <c:v>56.75022125244141</c:v>
                </c:pt>
                <c:pt idx="228">
                  <c:v>57.00022125244141</c:v>
                </c:pt>
                <c:pt idx="229">
                  <c:v>57.25019454956055</c:v>
                </c:pt>
                <c:pt idx="230">
                  <c:v>57.50005722045898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58.25047302246094</c:v>
                </c:pt>
                <c:pt idx="234">
                  <c:v>58.50036239624023</c:v>
                </c:pt>
                <c:pt idx="235">
                  <c:v>58.7504997253418</c:v>
                </c:pt>
                <c:pt idx="236">
                  <c:v>59.00041580200195</c:v>
                </c:pt>
                <c:pt idx="237">
                  <c:v>59.2506103515625</c:v>
                </c:pt>
                <c:pt idx="238">
                  <c:v>59.50030517578125</c:v>
                </c:pt>
                <c:pt idx="239">
                  <c:v>59.75041580200195</c:v>
                </c:pt>
                <c:pt idx="240">
                  <c:v>60.00027847290039</c:v>
                </c:pt>
                <c:pt idx="241">
                  <c:v>60.25027847290039</c:v>
                </c:pt>
                <c:pt idx="242">
                  <c:v>60.50041580200195</c:v>
                </c:pt>
                <c:pt idx="243">
                  <c:v>60.75019454956055</c:v>
                </c:pt>
                <c:pt idx="244">
                  <c:v>61.00027847290039</c:v>
                </c:pt>
                <c:pt idx="245">
                  <c:v>61.2501106262207</c:v>
                </c:pt>
                <c:pt idx="246">
                  <c:v>61.50019454956055</c:v>
                </c:pt>
                <c:pt idx="247">
                  <c:v>61.75027847290039</c:v>
                </c:pt>
                <c:pt idx="248">
                  <c:v>62.00033187866211</c:v>
                </c:pt>
                <c:pt idx="249">
                  <c:v>62.25013732910156</c:v>
                </c:pt>
                <c:pt idx="250">
                  <c:v>62.50005722045898</c:v>
                </c:pt>
                <c:pt idx="251">
                  <c:v>62.75002670288086</c:v>
                </c:pt>
                <c:pt idx="252">
                  <c:v>63.00022125244141</c:v>
                </c:pt>
                <c:pt idx="253">
                  <c:v>63.25022125244141</c:v>
                </c:pt>
                <c:pt idx="254">
                  <c:v>63.50013732910156</c:v>
                </c:pt>
                <c:pt idx="255">
                  <c:v>63.75030517578125</c:v>
                </c:pt>
                <c:pt idx="256">
                  <c:v>64.0006103515625</c:v>
                </c:pt>
                <c:pt idx="257">
                  <c:v>64.25003051757812</c:v>
                </c:pt>
                <c:pt idx="258">
                  <c:v>64.50016784667969</c:v>
                </c:pt>
                <c:pt idx="259">
                  <c:v>64.75025177001953</c:v>
                </c:pt>
                <c:pt idx="260">
                  <c:v>65.00011444091797</c:v>
                </c:pt>
                <c:pt idx="261">
                  <c:v>65.25011444091797</c:v>
                </c:pt>
                <c:pt idx="262">
                  <c:v>65.50025177001953</c:v>
                </c:pt>
                <c:pt idx="263">
                  <c:v>65.75025177001953</c:v>
                </c:pt>
                <c:pt idx="264">
                  <c:v>66.00025177001953</c:v>
                </c:pt>
                <c:pt idx="265">
                  <c:v>66.25025177001953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67.00013732910156</c:v>
                </c:pt>
                <c:pt idx="269">
                  <c:v>67.25038909912109</c:v>
                </c:pt>
                <c:pt idx="270">
                  <c:v>67.50019073486328</c:v>
                </c:pt>
                <c:pt idx="271">
                  <c:v>67.75038909912109</c:v>
                </c:pt>
                <c:pt idx="272">
                  <c:v>68.00016784667969</c:v>
                </c:pt>
                <c:pt idx="273">
                  <c:v>68.25013732910156</c:v>
                </c:pt>
                <c:pt idx="274">
                  <c:v>68.50050354003906</c:v>
                </c:pt>
                <c:pt idx="275">
                  <c:v>68.75072479248047</c:v>
                </c:pt>
                <c:pt idx="276">
                  <c:v>69.00019073486328</c:v>
                </c:pt>
                <c:pt idx="277">
                  <c:v>69.25027465820312</c:v>
                </c:pt>
                <c:pt idx="278">
                  <c:v>69.50005340576172</c:v>
                </c:pt>
                <c:pt idx="279">
                  <c:v>69.75030517578125</c:v>
                </c:pt>
                <c:pt idx="280">
                  <c:v>70.00027465820312</c:v>
                </c:pt>
                <c:pt idx="281">
                  <c:v>70.25016784667969</c:v>
                </c:pt>
                <c:pt idx="282">
                  <c:v>70.50022125244141</c:v>
                </c:pt>
                <c:pt idx="283">
                  <c:v>70.75019073486328</c:v>
                </c:pt>
                <c:pt idx="284">
                  <c:v>71.00016784667969</c:v>
                </c:pt>
                <c:pt idx="285">
                  <c:v>71.25013732910156</c:v>
                </c:pt>
                <c:pt idx="286">
                  <c:v>71.50016784667969</c:v>
                </c:pt>
                <c:pt idx="287">
                  <c:v>71.75038909912109</c:v>
                </c:pt>
                <c:pt idx="288">
                  <c:v>72.00019073486328</c:v>
                </c:pt>
              </c:numCache>
            </c:numRef>
          </c:xVal>
          <c:yVal>
            <c:numRef>
              <c:f>SIM2!$F$11:$F$299</c:f>
              <c:numCache>
                <c:ptCount val="289"/>
                <c:pt idx="0">
                  <c:v>0.01899014040827751</c:v>
                </c:pt>
                <c:pt idx="1">
                  <c:v>0.0130656398832798</c:v>
                </c:pt>
                <c:pt idx="2">
                  <c:v>0.009224898181855679</c:v>
                </c:pt>
                <c:pt idx="3">
                  <c:v>0.01388760004192591</c:v>
                </c:pt>
                <c:pt idx="4">
                  <c:v>0.008046560920774937</c:v>
                </c:pt>
                <c:pt idx="5">
                  <c:v>0.006253426894545555</c:v>
                </c:pt>
                <c:pt idx="6">
                  <c:v>0.01099324971437454</c:v>
                </c:pt>
                <c:pt idx="7">
                  <c:v>0.007645462173968554</c:v>
                </c:pt>
                <c:pt idx="8">
                  <c:v>0.008920475840568542</c:v>
                </c:pt>
                <c:pt idx="9">
                  <c:v>0.008142299018800259</c:v>
                </c:pt>
                <c:pt idx="10">
                  <c:v>0.007999487221240997</c:v>
                </c:pt>
                <c:pt idx="11">
                  <c:v>0.01836380921304226</c:v>
                </c:pt>
                <c:pt idx="12">
                  <c:v>0.007615745067596436</c:v>
                </c:pt>
                <c:pt idx="13">
                  <c:v>0.005757988896220922</c:v>
                </c:pt>
                <c:pt idx="14">
                  <c:v>0.0128260999917984</c:v>
                </c:pt>
                <c:pt idx="15">
                  <c:v>0.009497069753706455</c:v>
                </c:pt>
                <c:pt idx="16">
                  <c:v>-0.0003748451999854296</c:v>
                </c:pt>
                <c:pt idx="17">
                  <c:v>-0.001041476032696664</c:v>
                </c:pt>
                <c:pt idx="18">
                  <c:v>-0.0007887210813350976</c:v>
                </c:pt>
                <c:pt idx="19">
                  <c:v>0.1061370968818665</c:v>
                </c:pt>
                <c:pt idx="20">
                  <c:v>0.003650814993306994</c:v>
                </c:pt>
                <c:pt idx="21">
                  <c:v>-0.0005991857033222914</c:v>
                </c:pt>
                <c:pt idx="22">
                  <c:v>-0.001275021000765264</c:v>
                </c:pt>
                <c:pt idx="23">
                  <c:v>0.137664794921875</c:v>
                </c:pt>
                <c:pt idx="24">
                  <c:v>0.03853410854935646</c:v>
                </c:pt>
                <c:pt idx="25">
                  <c:v>0.01381864957511425</c:v>
                </c:pt>
                <c:pt idx="26">
                  <c:v>0.005012299865484238</c:v>
                </c:pt>
                <c:pt idx="27">
                  <c:v>0.006646659225225449</c:v>
                </c:pt>
                <c:pt idx="28">
                  <c:v>0.004747910890728235</c:v>
                </c:pt>
                <c:pt idx="29">
                  <c:v>0.004248705226927996</c:v>
                </c:pt>
                <c:pt idx="30">
                  <c:v>0.01221065036952496</c:v>
                </c:pt>
                <c:pt idx="31">
                  <c:v>0.006391381844878197</c:v>
                </c:pt>
                <c:pt idx="32">
                  <c:v>0.004099986050277948</c:v>
                </c:pt>
                <c:pt idx="33">
                  <c:v>-0.0005198799190111458</c:v>
                </c:pt>
                <c:pt idx="34">
                  <c:v>-0.0008030513999983668</c:v>
                </c:pt>
                <c:pt idx="35">
                  <c:v>-3.065040073124692E-5</c:v>
                </c:pt>
                <c:pt idx="36">
                  <c:v>0.001112784957513213</c:v>
                </c:pt>
                <c:pt idx="37">
                  <c:v>0.0001492525043431669</c:v>
                </c:pt>
                <c:pt idx="38">
                  <c:v>0.000394556496758014</c:v>
                </c:pt>
                <c:pt idx="39">
                  <c:v>-0.0010599410161376</c:v>
                </c:pt>
                <c:pt idx="40">
                  <c:v>0.006617133971303701</c:v>
                </c:pt>
                <c:pt idx="41">
                  <c:v>0.0326506607234478</c:v>
                </c:pt>
                <c:pt idx="42">
                  <c:v>0.009029592387378216</c:v>
                </c:pt>
                <c:pt idx="43">
                  <c:v>0.00702108396217227</c:v>
                </c:pt>
                <c:pt idx="44">
                  <c:v>0.005500460974872112</c:v>
                </c:pt>
                <c:pt idx="45">
                  <c:v>0.004566628951579332</c:v>
                </c:pt>
                <c:pt idx="46">
                  <c:v>0.004893558099865913</c:v>
                </c:pt>
                <c:pt idx="47">
                  <c:v>0.00831142533570528</c:v>
                </c:pt>
                <c:pt idx="48">
                  <c:v>0.007675514090806246</c:v>
                </c:pt>
                <c:pt idx="49">
                  <c:v>0.0007922840886749327</c:v>
                </c:pt>
                <c:pt idx="50">
                  <c:v>-0.00379423308186233</c:v>
                </c:pt>
                <c:pt idx="51">
                  <c:v>-0.0007580395904369652</c:v>
                </c:pt>
                <c:pt idx="52">
                  <c:v>0.01546690985560417</c:v>
                </c:pt>
                <c:pt idx="53">
                  <c:v>-0.0003110273100901395</c:v>
                </c:pt>
                <c:pt idx="54">
                  <c:v>-0.001348149031400681</c:v>
                </c:pt>
                <c:pt idx="55">
                  <c:v>-0.0009716441272757947</c:v>
                </c:pt>
                <c:pt idx="56">
                  <c:v>0.07384085655212402</c:v>
                </c:pt>
                <c:pt idx="57">
                  <c:v>0.01090988982468843</c:v>
                </c:pt>
                <c:pt idx="58">
                  <c:v>0.01847703941166401</c:v>
                </c:pt>
                <c:pt idx="59">
                  <c:v>0.005588488187640905</c:v>
                </c:pt>
                <c:pt idx="60">
                  <c:v>0.007812809199094772</c:v>
                </c:pt>
                <c:pt idx="61">
                  <c:v>0.004891919903457165</c:v>
                </c:pt>
                <c:pt idx="62">
                  <c:v>0.004196906927973032</c:v>
                </c:pt>
                <c:pt idx="63">
                  <c:v>0.008658421225845814</c:v>
                </c:pt>
                <c:pt idx="64">
                  <c:v>0.006406820844858885</c:v>
                </c:pt>
                <c:pt idx="65">
                  <c:v>0.005872236099094152</c:v>
                </c:pt>
                <c:pt idx="66">
                  <c:v>-0.0009354266803711653</c:v>
                </c:pt>
                <c:pt idx="67">
                  <c:v>-0.001696301042102277</c:v>
                </c:pt>
                <c:pt idx="68">
                  <c:v>-0.001356828026473522</c:v>
                </c:pt>
                <c:pt idx="69">
                  <c:v>0.0009922221070155501</c:v>
                </c:pt>
                <c:pt idx="70">
                  <c:v>-0.0007894532172940671</c:v>
                </c:pt>
                <c:pt idx="71">
                  <c:v>0.000445316603872925</c:v>
                </c:pt>
                <c:pt idx="72">
                  <c:v>-0.0008901495020836592</c:v>
                </c:pt>
                <c:pt idx="73">
                  <c:v>0.1850046068429947</c:v>
                </c:pt>
                <c:pt idx="74">
                  <c:v>0.03728815168142319</c:v>
                </c:pt>
                <c:pt idx="75">
                  <c:v>0.01477438025176525</c:v>
                </c:pt>
                <c:pt idx="76">
                  <c:v>0.006519203074276447</c:v>
                </c:pt>
                <c:pt idx="77">
                  <c:v>0.006396471057087183</c:v>
                </c:pt>
                <c:pt idx="78">
                  <c:v>0.004567897878587246</c:v>
                </c:pt>
                <c:pt idx="79">
                  <c:v>0.003996908199042082</c:v>
                </c:pt>
                <c:pt idx="80">
                  <c:v>0.012229910120368</c:v>
                </c:pt>
                <c:pt idx="81">
                  <c:v>0.006907638162374496</c:v>
                </c:pt>
                <c:pt idx="82">
                  <c:v>0.004419077187776566</c:v>
                </c:pt>
                <c:pt idx="83">
                  <c:v>0.02588227950036526</c:v>
                </c:pt>
                <c:pt idx="84">
                  <c:v>0.005610228981822729</c:v>
                </c:pt>
                <c:pt idx="85">
                  <c:v>-0.002488119062036276</c:v>
                </c:pt>
                <c:pt idx="86">
                  <c:v>-0.001759937964379787</c:v>
                </c:pt>
                <c:pt idx="87">
                  <c:v>-0.0009785130387172103</c:v>
                </c:pt>
                <c:pt idx="88">
                  <c:v>-0.000851265387609601</c:v>
                </c:pt>
                <c:pt idx="89">
                  <c:v>0.002328045899048448</c:v>
                </c:pt>
                <c:pt idx="90">
                  <c:v>-0.002363095059990883</c:v>
                </c:pt>
                <c:pt idx="91">
                  <c:v>0.0002361239021411166</c:v>
                </c:pt>
                <c:pt idx="92">
                  <c:v>0.07791154831647873</c:v>
                </c:pt>
                <c:pt idx="93">
                  <c:v>0.01242948975414038</c:v>
                </c:pt>
                <c:pt idx="94">
                  <c:v>0.01452783029526472</c:v>
                </c:pt>
                <c:pt idx="95">
                  <c:v>0.005200088024139404</c:v>
                </c:pt>
                <c:pt idx="96">
                  <c:v>0.006213060114532709</c:v>
                </c:pt>
                <c:pt idx="97">
                  <c:v>0.005017496179789305</c:v>
                </c:pt>
                <c:pt idx="98">
                  <c:v>0.004964813124388456</c:v>
                </c:pt>
                <c:pt idx="99">
                  <c:v>0.008714514784514904</c:v>
                </c:pt>
                <c:pt idx="100">
                  <c:v>0.007177737075835466</c:v>
                </c:pt>
                <c:pt idx="101">
                  <c:v>0.006121155805885792</c:v>
                </c:pt>
                <c:pt idx="102">
                  <c:v>0.001269888016395271</c:v>
                </c:pt>
                <c:pt idx="103">
                  <c:v>-7.477519829990342E-5</c:v>
                </c:pt>
                <c:pt idx="104">
                  <c:v>0.008732564747333527</c:v>
                </c:pt>
                <c:pt idx="105">
                  <c:v>0.00125903997104615</c:v>
                </c:pt>
                <c:pt idx="106">
                  <c:v>-0.0005076418747194111</c:v>
                </c:pt>
                <c:pt idx="107">
                  <c:v>-0.002226992044597864</c:v>
                </c:pt>
                <c:pt idx="108">
                  <c:v>-0.001140858046710491</c:v>
                </c:pt>
                <c:pt idx="109">
                  <c:v>0.1676137000322342</c:v>
                </c:pt>
                <c:pt idx="110">
                  <c:v>0.03187232837080956</c:v>
                </c:pt>
                <c:pt idx="111">
                  <c:v>0.01518275029957294</c:v>
                </c:pt>
                <c:pt idx="112">
                  <c:v>0.007495860103517771</c:v>
                </c:pt>
                <c:pt idx="113">
                  <c:v>0.006991717033088207</c:v>
                </c:pt>
                <c:pt idx="114">
                  <c:v>0.004597072955220938</c:v>
                </c:pt>
                <c:pt idx="115">
                  <c:v>0.00399666978046298</c:v>
                </c:pt>
                <c:pt idx="116">
                  <c:v>0.01073706988245249</c:v>
                </c:pt>
                <c:pt idx="117">
                  <c:v>0.006877838168293238</c:v>
                </c:pt>
                <c:pt idx="118">
                  <c:v>0.004700204823166132</c:v>
                </c:pt>
                <c:pt idx="119">
                  <c:v>0.027204729616642</c:v>
                </c:pt>
                <c:pt idx="120">
                  <c:v>0.006928801070898771</c:v>
                </c:pt>
                <c:pt idx="121">
                  <c:v>-0.000136041096993722</c:v>
                </c:pt>
                <c:pt idx="122">
                  <c:v>-0.002441629068925977</c:v>
                </c:pt>
                <c:pt idx="123">
                  <c:v>-0.0008275563013739884</c:v>
                </c:pt>
                <c:pt idx="124">
                  <c:v>-0.001101635047234595</c:v>
                </c:pt>
                <c:pt idx="125">
                  <c:v>0.001896528992801905</c:v>
                </c:pt>
                <c:pt idx="126">
                  <c:v>-0.0002334626042284071</c:v>
                </c:pt>
                <c:pt idx="127">
                  <c:v>-0.0006103228079155087</c:v>
                </c:pt>
                <c:pt idx="128">
                  <c:v>0.07776656001806259</c:v>
                </c:pt>
                <c:pt idx="129">
                  <c:v>0.01432835031300783</c:v>
                </c:pt>
                <c:pt idx="130">
                  <c:v>0.01787888072431087</c:v>
                </c:pt>
                <c:pt idx="131">
                  <c:v>0.005877336952835321</c:v>
                </c:pt>
                <c:pt idx="132">
                  <c:v>0.006663036067038774</c:v>
                </c:pt>
                <c:pt idx="133">
                  <c:v>0.004992689937353134</c:v>
                </c:pt>
                <c:pt idx="134">
                  <c:v>0.004579352214932442</c:v>
                </c:pt>
                <c:pt idx="135">
                  <c:v>0.007834414020180702</c:v>
                </c:pt>
                <c:pt idx="136">
                  <c:v>0.00675662700086832</c:v>
                </c:pt>
                <c:pt idx="137">
                  <c:v>0.006407833192497492</c:v>
                </c:pt>
                <c:pt idx="138">
                  <c:v>-0.000984277343377471</c:v>
                </c:pt>
                <c:pt idx="139">
                  <c:v>-0.0008064340217970312</c:v>
                </c:pt>
                <c:pt idx="140">
                  <c:v>-0.001010493026115</c:v>
                </c:pt>
                <c:pt idx="141">
                  <c:v>0.001179674989543855</c:v>
                </c:pt>
                <c:pt idx="142">
                  <c:v>-0.001302817021496594</c:v>
                </c:pt>
                <c:pt idx="143">
                  <c:v>-0.00318220304325223</c:v>
                </c:pt>
                <c:pt idx="144">
                  <c:v>-0.001512835035100579</c:v>
                </c:pt>
                <c:pt idx="145">
                  <c:v>0.1204473003745079</c:v>
                </c:pt>
                <c:pt idx="146">
                  <c:v>0.02878919988870621</c:v>
                </c:pt>
                <c:pt idx="147">
                  <c:v>0.01581845991313457</c:v>
                </c:pt>
                <c:pt idx="148">
                  <c:v>0.00603721896186471</c:v>
                </c:pt>
                <c:pt idx="149">
                  <c:v>0.006850983947515488</c:v>
                </c:pt>
                <c:pt idx="150">
                  <c:v>0.004727716092020273</c:v>
                </c:pt>
                <c:pt idx="151">
                  <c:v>0.003999847918748856</c:v>
                </c:pt>
                <c:pt idx="152">
                  <c:v>0.0114580299705267</c:v>
                </c:pt>
                <c:pt idx="153">
                  <c:v>0.006670469883829355</c:v>
                </c:pt>
                <c:pt idx="154">
                  <c:v>0.004623440094292164</c:v>
                </c:pt>
                <c:pt idx="155">
                  <c:v>0.02006204053759575</c:v>
                </c:pt>
                <c:pt idx="156">
                  <c:v>0.004955023061484098</c:v>
                </c:pt>
                <c:pt idx="157">
                  <c:v>-0.005030433181673288</c:v>
                </c:pt>
                <c:pt idx="158">
                  <c:v>-0.0005643307813443244</c:v>
                </c:pt>
                <c:pt idx="159">
                  <c:v>-0.001412219018675387</c:v>
                </c:pt>
                <c:pt idx="160">
                  <c:v>-0.0003660783986561</c:v>
                </c:pt>
                <c:pt idx="161">
                  <c:v>0.002575920894742012</c:v>
                </c:pt>
                <c:pt idx="162">
                  <c:v>-7.046289829304442E-5</c:v>
                </c:pt>
                <c:pt idx="163">
                  <c:v>-0.0004491530999075621</c:v>
                </c:pt>
                <c:pt idx="164">
                  <c:v>0.007137157022953033</c:v>
                </c:pt>
                <c:pt idx="165">
                  <c:v>0.005596565082669258</c:v>
                </c:pt>
                <c:pt idx="166">
                  <c:v>0.01974860019981861</c:v>
                </c:pt>
                <c:pt idx="167">
                  <c:v>0.006464859005063772</c:v>
                </c:pt>
                <c:pt idx="168">
                  <c:v>0.006048059090971947</c:v>
                </c:pt>
                <c:pt idx="169">
                  <c:v>0.005143274087458849</c:v>
                </c:pt>
                <c:pt idx="170">
                  <c:v>0.004771547857671976</c:v>
                </c:pt>
                <c:pt idx="171">
                  <c:v>0.006918738130480051</c:v>
                </c:pt>
                <c:pt idx="172">
                  <c:v>0.007703990209847689</c:v>
                </c:pt>
                <c:pt idx="173">
                  <c:v>0.007333443034440279</c:v>
                </c:pt>
                <c:pt idx="174">
                  <c:v>0.003018338931724429</c:v>
                </c:pt>
                <c:pt idx="175">
                  <c:v>0.03518662974238396</c:v>
                </c:pt>
                <c:pt idx="176">
                  <c:v>0.01008713990449905</c:v>
                </c:pt>
                <c:pt idx="177">
                  <c:v>-0.001186629990115762</c:v>
                </c:pt>
                <c:pt idx="178">
                  <c:v>-0.001507575041614473</c:v>
                </c:pt>
                <c:pt idx="179">
                  <c:v>-0.001061021001078188</c:v>
                </c:pt>
                <c:pt idx="180">
                  <c:v>-0.0004436025046743453</c:v>
                </c:pt>
                <c:pt idx="181">
                  <c:v>0.002636135090142488</c:v>
                </c:pt>
                <c:pt idx="182">
                  <c:v>-0.0004973114118911326</c:v>
                </c:pt>
                <c:pt idx="183">
                  <c:v>0.0002036304940702394</c:v>
                </c:pt>
                <c:pt idx="184">
                  <c:v>0.1565771996974945</c:v>
                </c:pt>
                <c:pt idx="185">
                  <c:v>0.04027941823005676</c:v>
                </c:pt>
                <c:pt idx="186">
                  <c:v>0.01210690010339022</c:v>
                </c:pt>
                <c:pt idx="187">
                  <c:v>0.004823966883122921</c:v>
                </c:pt>
                <c:pt idx="188">
                  <c:v>0.00599632877856493</c:v>
                </c:pt>
                <c:pt idx="189">
                  <c:v>0.004849123768508434</c:v>
                </c:pt>
                <c:pt idx="190">
                  <c:v>0.005177211947739124</c:v>
                </c:pt>
                <c:pt idx="191">
                  <c:v>0.009798875078558922</c:v>
                </c:pt>
                <c:pt idx="192">
                  <c:v>0.007013271097093821</c:v>
                </c:pt>
                <c:pt idx="193">
                  <c:v>0.0049819340929389</c:v>
                </c:pt>
                <c:pt idx="194">
                  <c:v>0.009414429776370525</c:v>
                </c:pt>
                <c:pt idx="195">
                  <c:v>0.004353602882474661</c:v>
                </c:pt>
                <c:pt idx="196">
                  <c:v>-0.002892984077334404</c:v>
                </c:pt>
                <c:pt idx="197">
                  <c:v>-0.0002332903968635947</c:v>
                </c:pt>
                <c:pt idx="198">
                  <c:v>-0.001120341010391712</c:v>
                </c:pt>
                <c:pt idx="199">
                  <c:v>-0.0004374682030174881</c:v>
                </c:pt>
                <c:pt idx="200">
                  <c:v>0.1780426055192947</c:v>
                </c:pt>
                <c:pt idx="201">
                  <c:v>0.01350155007094145</c:v>
                </c:pt>
                <c:pt idx="202">
                  <c:v>0.0002095706004183739</c:v>
                </c:pt>
                <c:pt idx="203">
                  <c:v>0.005747236777096987</c:v>
                </c:pt>
                <c:pt idx="204">
                  <c:v>0.01164377015084028</c:v>
                </c:pt>
                <c:pt idx="205">
                  <c:v>0.02191152051091194</c:v>
                </c:pt>
                <c:pt idx="206">
                  <c:v>0.007184409070760012</c:v>
                </c:pt>
                <c:pt idx="207">
                  <c:v>0.005392817780375481</c:v>
                </c:pt>
                <c:pt idx="208">
                  <c:v>0.005353141110390425</c:v>
                </c:pt>
                <c:pt idx="209">
                  <c:v>0.004752630833536386</c:v>
                </c:pt>
                <c:pt idx="210">
                  <c:v>0.006128176115453243</c:v>
                </c:pt>
                <c:pt idx="211">
                  <c:v>0.008098650723695755</c:v>
                </c:pt>
                <c:pt idx="212">
                  <c:v>0.00739181786775589</c:v>
                </c:pt>
                <c:pt idx="213">
                  <c:v>0.0005617972929030657</c:v>
                </c:pt>
                <c:pt idx="214">
                  <c:v>0.001433062017895281</c:v>
                </c:pt>
                <c:pt idx="215">
                  <c:v>-0.001129091018810868</c:v>
                </c:pt>
                <c:pt idx="216">
                  <c:v>0.09239470958709717</c:v>
                </c:pt>
                <c:pt idx="217">
                  <c:v>-0.0004569145094137639</c:v>
                </c:pt>
                <c:pt idx="218">
                  <c:v>-0.0007390913087874651</c:v>
                </c:pt>
                <c:pt idx="219">
                  <c:v>-0.0007367681828327477</c:v>
                </c:pt>
                <c:pt idx="220">
                  <c:v>0.008606331422924995</c:v>
                </c:pt>
                <c:pt idx="221">
                  <c:v>0.01146361045539379</c:v>
                </c:pt>
                <c:pt idx="222">
                  <c:v>0.02176068909466267</c:v>
                </c:pt>
                <c:pt idx="223">
                  <c:v>0.006209914106875658</c:v>
                </c:pt>
                <c:pt idx="224">
                  <c:v>0.007984690368175507</c:v>
                </c:pt>
                <c:pt idx="225">
                  <c:v>0.004966371227055788</c:v>
                </c:pt>
                <c:pt idx="226">
                  <c:v>0.004171756096184254</c:v>
                </c:pt>
                <c:pt idx="227">
                  <c:v>0.008159915916621685</c:v>
                </c:pt>
                <c:pt idx="228">
                  <c:v>0.006734452210366726</c:v>
                </c:pt>
                <c:pt idx="229">
                  <c:v>0.006600360851734877</c:v>
                </c:pt>
                <c:pt idx="230">
                  <c:v>0.008045160211622715</c:v>
                </c:pt>
                <c:pt idx="231">
                  <c:v>0.005142611917108297</c:v>
                </c:pt>
                <c:pt idx="232">
                  <c:v>0.001402814988978207</c:v>
                </c:pt>
                <c:pt idx="233">
                  <c:v>-0.0007638782262802124</c:v>
                </c:pt>
                <c:pt idx="234">
                  <c:v>-0.001024737954139709</c:v>
                </c:pt>
                <c:pt idx="235">
                  <c:v>-0.001568850013427436</c:v>
                </c:pt>
                <c:pt idx="236">
                  <c:v>0.1687121987342834</c:v>
                </c:pt>
                <c:pt idx="237">
                  <c:v>0.008761672303080559</c:v>
                </c:pt>
                <c:pt idx="238">
                  <c:v>-0.0007831996772438288</c:v>
                </c:pt>
                <c:pt idx="239">
                  <c:v>0.00352492299862206</c:v>
                </c:pt>
                <c:pt idx="240">
                  <c:v>0.004786224104464054</c:v>
                </c:pt>
                <c:pt idx="241">
                  <c:v>0.02859958074986935</c:v>
                </c:pt>
                <c:pt idx="242">
                  <c:v>0.008802587166428566</c:v>
                </c:pt>
                <c:pt idx="243">
                  <c:v>0.005337018985301256</c:v>
                </c:pt>
                <c:pt idx="244">
                  <c:v>0.005590408109128475</c:v>
                </c:pt>
                <c:pt idx="245">
                  <c:v>0.004705564118921757</c:v>
                </c:pt>
                <c:pt idx="246">
                  <c:v>0.005412141792476177</c:v>
                </c:pt>
                <c:pt idx="247">
                  <c:v>0.009231548756361008</c:v>
                </c:pt>
                <c:pt idx="248">
                  <c:v>0.007413044106215239</c:v>
                </c:pt>
                <c:pt idx="249">
                  <c:v>0.002751040970906615</c:v>
                </c:pt>
                <c:pt idx="250">
                  <c:v>8.262159826699644E-5</c:v>
                </c:pt>
                <c:pt idx="251">
                  <c:v>-0.0005748171824961901</c:v>
                </c:pt>
                <c:pt idx="252">
                  <c:v>0.1081361994147301</c:v>
                </c:pt>
                <c:pt idx="253">
                  <c:v>0.0002341515064472333</c:v>
                </c:pt>
                <c:pt idx="254">
                  <c:v>0.0001008293984341435</c:v>
                </c:pt>
                <c:pt idx="255">
                  <c:v>-0.0005611359956674278</c:v>
                </c:pt>
                <c:pt idx="256">
                  <c:v>0.005874382797628641</c:v>
                </c:pt>
                <c:pt idx="257">
                  <c:v>0.00965935830026865</c:v>
                </c:pt>
                <c:pt idx="258">
                  <c:v>0.02980922907590866</c:v>
                </c:pt>
                <c:pt idx="259">
                  <c:v>0.008554381318390369</c:v>
                </c:pt>
                <c:pt idx="260">
                  <c:v>0.008849835023283958</c:v>
                </c:pt>
                <c:pt idx="261">
                  <c:v>0.005243539810180664</c:v>
                </c:pt>
                <c:pt idx="262">
                  <c:v>0.004255943931639194</c:v>
                </c:pt>
                <c:pt idx="263">
                  <c:v>0.006313133053481579</c:v>
                </c:pt>
                <c:pt idx="264">
                  <c:v>0.007019429933279753</c:v>
                </c:pt>
                <c:pt idx="265">
                  <c:v>0.007482971996068954</c:v>
                </c:pt>
                <c:pt idx="266">
                  <c:v>0.006809258833527565</c:v>
                </c:pt>
                <c:pt idx="267">
                  <c:v>0.00598401203751564</c:v>
                </c:pt>
                <c:pt idx="268">
                  <c:v>0.005364345852285624</c:v>
                </c:pt>
                <c:pt idx="269">
                  <c:v>-0.003028671024367213</c:v>
                </c:pt>
                <c:pt idx="270">
                  <c:v>-0.0008747866959311068</c:v>
                </c:pt>
                <c:pt idx="271">
                  <c:v>0.001989166950806975</c:v>
                </c:pt>
                <c:pt idx="272">
                  <c:v>0.1542485952377319</c:v>
                </c:pt>
                <c:pt idx="273">
                  <c:v>0.005313451867550611</c:v>
                </c:pt>
                <c:pt idx="274">
                  <c:v>-0.0008103845175355673</c:v>
                </c:pt>
                <c:pt idx="275">
                  <c:v>-0.004135705064982176</c:v>
                </c:pt>
                <c:pt idx="276">
                  <c:v>0.01773009076714516</c:v>
                </c:pt>
                <c:pt idx="277">
                  <c:v>0.05945127084851265</c:v>
                </c:pt>
                <c:pt idx="278">
                  <c:v>0.0119519904255867</c:v>
                </c:pt>
                <c:pt idx="279">
                  <c:v>0.005333386827260256</c:v>
                </c:pt>
                <c:pt idx="280">
                  <c:v>0.005982636008411646</c:v>
                </c:pt>
                <c:pt idx="281">
                  <c:v>0.004646418150514364</c:v>
                </c:pt>
                <c:pt idx="282">
                  <c:v>0.00458488380536437</c:v>
                </c:pt>
                <c:pt idx="283">
                  <c:v>0.01126264967024326</c:v>
                </c:pt>
                <c:pt idx="284">
                  <c:v>0.007076709996908903</c:v>
                </c:pt>
                <c:pt idx="285">
                  <c:v>0.004216722212731838</c:v>
                </c:pt>
                <c:pt idx="286">
                  <c:v>-0.00117495097219944</c:v>
                </c:pt>
                <c:pt idx="287">
                  <c:v>0.0005343094235286117</c:v>
                </c:pt>
                <c:pt idx="288">
                  <c:v>0.006972138769924641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SIM2!$B$11:$B$299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1.250362277030945</c:v>
                </c:pt>
                <c:pt idx="6">
                  <c:v>1.500348329544067</c:v>
                </c:pt>
                <c:pt idx="7">
                  <c:v>1.750333905220032</c:v>
                </c:pt>
                <c:pt idx="8">
                  <c:v>2.000319480895996</c:v>
                </c:pt>
                <c:pt idx="9">
                  <c:v>2.250304937362671</c:v>
                </c:pt>
                <c:pt idx="10">
                  <c:v>2.500290632247925</c:v>
                </c:pt>
                <c:pt idx="11">
                  <c:v>2.7502760887146</c:v>
                </c:pt>
                <c:pt idx="12">
                  <c:v>3.000097274780273</c:v>
                </c:pt>
                <c:pt idx="13">
                  <c:v>3.25011944770813</c:v>
                </c:pt>
                <c:pt idx="14">
                  <c:v>3.500241756439209</c:v>
                </c:pt>
                <c:pt idx="15">
                  <c:v>3.750241756439209</c:v>
                </c:pt>
                <c:pt idx="16">
                  <c:v>4.000097274780273</c:v>
                </c:pt>
                <c:pt idx="17">
                  <c:v>4.250372409820557</c:v>
                </c:pt>
                <c:pt idx="18">
                  <c:v>4.500458240509033</c:v>
                </c:pt>
                <c:pt idx="19">
                  <c:v>4.750261306762695</c:v>
                </c:pt>
                <c:pt idx="20">
                  <c:v>5.000511169433594</c:v>
                </c:pt>
                <c:pt idx="21">
                  <c:v>5.250458240509033</c:v>
                </c:pt>
                <c:pt idx="22">
                  <c:v>5.500708103179932</c:v>
                </c:pt>
                <c:pt idx="23">
                  <c:v>5.750102996826172</c:v>
                </c:pt>
                <c:pt idx="24">
                  <c:v>6.000141620635986</c:v>
                </c:pt>
                <c:pt idx="25">
                  <c:v>6.250077724456787</c:v>
                </c:pt>
                <c:pt idx="26">
                  <c:v>6.500152587890625</c:v>
                </c:pt>
                <c:pt idx="27">
                  <c:v>6.750280380249023</c:v>
                </c:pt>
                <c:pt idx="28">
                  <c:v>7.000197410583496</c:v>
                </c:pt>
                <c:pt idx="29">
                  <c:v>7.250205516815186</c:v>
                </c:pt>
                <c:pt idx="30">
                  <c:v>7.500277996063232</c:v>
                </c:pt>
                <c:pt idx="31">
                  <c:v>7.750138759613037</c:v>
                </c:pt>
                <c:pt idx="32">
                  <c:v>8.000371932983398</c:v>
                </c:pt>
                <c:pt idx="33">
                  <c:v>8.250127792358398</c:v>
                </c:pt>
                <c:pt idx="34">
                  <c:v>8.500100135803223</c:v>
                </c:pt>
                <c:pt idx="35">
                  <c:v>8.750033378601074</c:v>
                </c:pt>
                <c:pt idx="36">
                  <c:v>9.000444412231445</c:v>
                </c:pt>
                <c:pt idx="37">
                  <c:v>9.250080108642578</c:v>
                </c:pt>
                <c:pt idx="38">
                  <c:v>9.500617027282715</c:v>
                </c:pt>
                <c:pt idx="39">
                  <c:v>9.75078010559082</c:v>
                </c:pt>
                <c:pt idx="40">
                  <c:v>10.00001907348633</c:v>
                </c:pt>
                <c:pt idx="41">
                  <c:v>10.25024700164795</c:v>
                </c:pt>
                <c:pt idx="42">
                  <c:v>10.50033092498779</c:v>
                </c:pt>
                <c:pt idx="43">
                  <c:v>10.75027179718018</c:v>
                </c:pt>
                <c:pt idx="44">
                  <c:v>11.00011920928955</c:v>
                </c:pt>
                <c:pt idx="45">
                  <c:v>11.25021934509277</c:v>
                </c:pt>
                <c:pt idx="46">
                  <c:v>11.5001859664917</c:v>
                </c:pt>
                <c:pt idx="47">
                  <c:v>11.75002765655518</c:v>
                </c:pt>
                <c:pt idx="48">
                  <c:v>12.00011348724365</c:v>
                </c:pt>
                <c:pt idx="49">
                  <c:v>12.2503719329834</c:v>
                </c:pt>
                <c:pt idx="50">
                  <c:v>12.50043869018555</c:v>
                </c:pt>
                <c:pt idx="51">
                  <c:v>12.75056648254395</c:v>
                </c:pt>
                <c:pt idx="52">
                  <c:v>13.00006675720215</c:v>
                </c:pt>
                <c:pt idx="53">
                  <c:v>13.2501916885376</c:v>
                </c:pt>
                <c:pt idx="54">
                  <c:v>13.5005054473877</c:v>
                </c:pt>
                <c:pt idx="55">
                  <c:v>13.75016117095947</c:v>
                </c:pt>
                <c:pt idx="56">
                  <c:v>14.00051689147949</c:v>
                </c:pt>
                <c:pt idx="57">
                  <c:v>14.25014972686768</c:v>
                </c:pt>
                <c:pt idx="58">
                  <c:v>14.50046920776367</c:v>
                </c:pt>
                <c:pt idx="59">
                  <c:v>14.75034713745117</c:v>
                </c:pt>
                <c:pt idx="60">
                  <c:v>15.00014400482178</c:v>
                </c:pt>
                <c:pt idx="61">
                  <c:v>15.25021076202393</c:v>
                </c:pt>
                <c:pt idx="62">
                  <c:v>15.50024700164795</c:v>
                </c:pt>
                <c:pt idx="63">
                  <c:v>15.75032234191895</c:v>
                </c:pt>
                <c:pt idx="64">
                  <c:v>16.00037574768066</c:v>
                </c:pt>
                <c:pt idx="65">
                  <c:v>16.2500057220459</c:v>
                </c:pt>
                <c:pt idx="66">
                  <c:v>16.50015258789062</c:v>
                </c:pt>
                <c:pt idx="67">
                  <c:v>16.7504997253418</c:v>
                </c:pt>
                <c:pt idx="68">
                  <c:v>17.0006275177002</c:v>
                </c:pt>
                <c:pt idx="69">
                  <c:v>17.25049209594727</c:v>
                </c:pt>
                <c:pt idx="70">
                  <c:v>17.50015640258789</c:v>
                </c:pt>
                <c:pt idx="71">
                  <c:v>17.75071716308594</c:v>
                </c:pt>
                <c:pt idx="72">
                  <c:v>18.00077247619629</c:v>
                </c:pt>
                <c:pt idx="73">
                  <c:v>18.25021743774414</c:v>
                </c:pt>
                <c:pt idx="74">
                  <c:v>18.50031471252441</c:v>
                </c:pt>
                <c:pt idx="75">
                  <c:v>18.75001907348633</c:v>
                </c:pt>
                <c:pt idx="76">
                  <c:v>19.00028610229492</c:v>
                </c:pt>
                <c:pt idx="77">
                  <c:v>19.2502326965332</c:v>
                </c:pt>
                <c:pt idx="78">
                  <c:v>19.50001907348633</c:v>
                </c:pt>
                <c:pt idx="79">
                  <c:v>19.7501049041748</c:v>
                </c:pt>
                <c:pt idx="80">
                  <c:v>20.00030517578125</c:v>
                </c:pt>
                <c:pt idx="81">
                  <c:v>20.25009536743164</c:v>
                </c:pt>
                <c:pt idx="82">
                  <c:v>20.50015068054199</c:v>
                </c:pt>
                <c:pt idx="83">
                  <c:v>20.75005912780762</c:v>
                </c:pt>
                <c:pt idx="84">
                  <c:v>21.00000762939453</c:v>
                </c:pt>
                <c:pt idx="85">
                  <c:v>21.25007247924805</c:v>
                </c:pt>
                <c:pt idx="86">
                  <c:v>21.50043678283691</c:v>
                </c:pt>
                <c:pt idx="87">
                  <c:v>21.75017738342285</c:v>
                </c:pt>
                <c:pt idx="88">
                  <c:v>22.00059700012207</c:v>
                </c:pt>
                <c:pt idx="89">
                  <c:v>22.2502384185791</c:v>
                </c:pt>
                <c:pt idx="90">
                  <c:v>22.50051307678223</c:v>
                </c:pt>
                <c:pt idx="91">
                  <c:v>22.75069999694824</c:v>
                </c:pt>
                <c:pt idx="92">
                  <c:v>23.00012969970703</c:v>
                </c:pt>
                <c:pt idx="93">
                  <c:v>23.25051689147949</c:v>
                </c:pt>
                <c:pt idx="94">
                  <c:v>23.50000190734863</c:v>
                </c:pt>
                <c:pt idx="95">
                  <c:v>23.75021934509277</c:v>
                </c:pt>
                <c:pt idx="96">
                  <c:v>24.00034523010254</c:v>
                </c:pt>
                <c:pt idx="97">
                  <c:v>24.25016403198242</c:v>
                </c:pt>
                <c:pt idx="98">
                  <c:v>24.50034523010254</c:v>
                </c:pt>
                <c:pt idx="99">
                  <c:v>24.75016403198242</c:v>
                </c:pt>
                <c:pt idx="100">
                  <c:v>25.00034523010254</c:v>
                </c:pt>
                <c:pt idx="101">
                  <c:v>25.25016403198242</c:v>
                </c:pt>
                <c:pt idx="102">
                  <c:v>25.50043869018555</c:v>
                </c:pt>
                <c:pt idx="103">
                  <c:v>25.75048828125</c:v>
                </c:pt>
                <c:pt idx="104">
                  <c:v>26.00040817260742</c:v>
                </c:pt>
                <c:pt idx="105">
                  <c:v>26.25052261352539</c:v>
                </c:pt>
                <c:pt idx="106">
                  <c:v>26.5001106262207</c:v>
                </c:pt>
                <c:pt idx="107">
                  <c:v>26.75054168701172</c:v>
                </c:pt>
                <c:pt idx="108">
                  <c:v>27.00056457519531</c:v>
                </c:pt>
                <c:pt idx="109">
                  <c:v>27.25063705444336</c:v>
                </c:pt>
                <c:pt idx="110">
                  <c:v>27.50048828125</c:v>
                </c:pt>
                <c:pt idx="111">
                  <c:v>27.75032997131348</c:v>
                </c:pt>
                <c:pt idx="112">
                  <c:v>28.0003604888916</c:v>
                </c:pt>
                <c:pt idx="113">
                  <c:v>28.25030517578125</c:v>
                </c:pt>
                <c:pt idx="114">
                  <c:v>28.50033378601074</c:v>
                </c:pt>
                <c:pt idx="115">
                  <c:v>28.75002861022949</c:v>
                </c:pt>
                <c:pt idx="116">
                  <c:v>29.0001106262207</c:v>
                </c:pt>
                <c:pt idx="117">
                  <c:v>29.25019454956055</c:v>
                </c:pt>
                <c:pt idx="118">
                  <c:v>29.50030517578125</c:v>
                </c:pt>
                <c:pt idx="119">
                  <c:v>29.75008392333984</c:v>
                </c:pt>
                <c:pt idx="120">
                  <c:v>30.00008392333984</c:v>
                </c:pt>
                <c:pt idx="121">
                  <c:v>30.2503604888916</c:v>
                </c:pt>
                <c:pt idx="122">
                  <c:v>30.50030517578125</c:v>
                </c:pt>
                <c:pt idx="123">
                  <c:v>30.75008392333984</c:v>
                </c:pt>
                <c:pt idx="124">
                  <c:v>31.00077819824219</c:v>
                </c:pt>
                <c:pt idx="125">
                  <c:v>31.2504997253418</c:v>
                </c:pt>
                <c:pt idx="126">
                  <c:v>31.50055503845215</c:v>
                </c:pt>
                <c:pt idx="127">
                  <c:v>31.75041580200195</c:v>
                </c:pt>
                <c:pt idx="128">
                  <c:v>32.00055694580078</c:v>
                </c:pt>
                <c:pt idx="129">
                  <c:v>32.25002670288086</c:v>
                </c:pt>
                <c:pt idx="130">
                  <c:v>32.50025177001953</c:v>
                </c:pt>
                <c:pt idx="131">
                  <c:v>32.75008392333984</c:v>
                </c:pt>
                <c:pt idx="132">
                  <c:v>33.0001106262207</c:v>
                </c:pt>
                <c:pt idx="133">
                  <c:v>33.25016784667969</c:v>
                </c:pt>
                <c:pt idx="134">
                  <c:v>33.50027847290039</c:v>
                </c:pt>
                <c:pt idx="135">
                  <c:v>33.75019454956055</c:v>
                </c:pt>
                <c:pt idx="136">
                  <c:v>34.00008392333984</c:v>
                </c:pt>
                <c:pt idx="137">
                  <c:v>34.25033187866211</c:v>
                </c:pt>
                <c:pt idx="138">
                  <c:v>34.50030517578125</c:v>
                </c:pt>
                <c:pt idx="139">
                  <c:v>34.7501106262207</c:v>
                </c:pt>
                <c:pt idx="140">
                  <c:v>35.00008392333984</c:v>
                </c:pt>
                <c:pt idx="141">
                  <c:v>35.25</c:v>
                </c:pt>
                <c:pt idx="142">
                  <c:v>35.5006103515625</c:v>
                </c:pt>
                <c:pt idx="143">
                  <c:v>35.7506103515625</c:v>
                </c:pt>
                <c:pt idx="144">
                  <c:v>36.00033187866211</c:v>
                </c:pt>
                <c:pt idx="145">
                  <c:v>36.25091552734375</c:v>
                </c:pt>
                <c:pt idx="146">
                  <c:v>36.50027847290039</c:v>
                </c:pt>
                <c:pt idx="147">
                  <c:v>36.75002670288086</c:v>
                </c:pt>
                <c:pt idx="148">
                  <c:v>37.00016784667969</c:v>
                </c:pt>
                <c:pt idx="149">
                  <c:v>37.25005722045898</c:v>
                </c:pt>
                <c:pt idx="150">
                  <c:v>37.50016784667969</c:v>
                </c:pt>
                <c:pt idx="151">
                  <c:v>37.75016784667969</c:v>
                </c:pt>
                <c:pt idx="152">
                  <c:v>38.00016784667969</c:v>
                </c:pt>
                <c:pt idx="153">
                  <c:v>38.25019454956055</c:v>
                </c:pt>
                <c:pt idx="154">
                  <c:v>38.50019454956055</c:v>
                </c:pt>
                <c:pt idx="155">
                  <c:v>38.75033187866211</c:v>
                </c:pt>
                <c:pt idx="156">
                  <c:v>39.00019454956055</c:v>
                </c:pt>
                <c:pt idx="157">
                  <c:v>39.25013732910156</c:v>
                </c:pt>
                <c:pt idx="158">
                  <c:v>39.50025177001953</c:v>
                </c:pt>
                <c:pt idx="159">
                  <c:v>39.75027847290039</c:v>
                </c:pt>
                <c:pt idx="160">
                  <c:v>40.00080490112305</c:v>
                </c:pt>
                <c:pt idx="161">
                  <c:v>40.25005722045898</c:v>
                </c:pt>
                <c:pt idx="162">
                  <c:v>40.50063705444336</c:v>
                </c:pt>
                <c:pt idx="163">
                  <c:v>40.75005722045898</c:v>
                </c:pt>
                <c:pt idx="164">
                  <c:v>41.00022125244141</c:v>
                </c:pt>
                <c:pt idx="165">
                  <c:v>41.25019454956055</c:v>
                </c:pt>
                <c:pt idx="166">
                  <c:v>41.50008392333984</c:v>
                </c:pt>
                <c:pt idx="167">
                  <c:v>41.75005722045898</c:v>
                </c:pt>
                <c:pt idx="168">
                  <c:v>42.00013732910156</c:v>
                </c:pt>
                <c:pt idx="169">
                  <c:v>42.2501106262207</c:v>
                </c:pt>
                <c:pt idx="170">
                  <c:v>42.50033187866211</c:v>
                </c:pt>
                <c:pt idx="171">
                  <c:v>42.75005722045898</c:v>
                </c:pt>
                <c:pt idx="172">
                  <c:v>43.0001106262207</c:v>
                </c:pt>
                <c:pt idx="173">
                  <c:v>43.25019454956055</c:v>
                </c:pt>
                <c:pt idx="174">
                  <c:v>43.50025177001953</c:v>
                </c:pt>
                <c:pt idx="175">
                  <c:v>43.75027847290039</c:v>
                </c:pt>
                <c:pt idx="176">
                  <c:v>44.00016784667969</c:v>
                </c:pt>
                <c:pt idx="177">
                  <c:v>44.25038909912109</c:v>
                </c:pt>
                <c:pt idx="178">
                  <c:v>44.50047302246094</c:v>
                </c:pt>
                <c:pt idx="179">
                  <c:v>44.75019454956055</c:v>
                </c:pt>
                <c:pt idx="180">
                  <c:v>45.00066757202148</c:v>
                </c:pt>
                <c:pt idx="181">
                  <c:v>45.25008392333984</c:v>
                </c:pt>
                <c:pt idx="182">
                  <c:v>45.50019454956055</c:v>
                </c:pt>
                <c:pt idx="183">
                  <c:v>45.75066757202148</c:v>
                </c:pt>
                <c:pt idx="184">
                  <c:v>46.00030517578125</c:v>
                </c:pt>
                <c:pt idx="185">
                  <c:v>46.25038909912109</c:v>
                </c:pt>
                <c:pt idx="186">
                  <c:v>46.50005722045898</c:v>
                </c:pt>
                <c:pt idx="187">
                  <c:v>46.75008392333984</c:v>
                </c:pt>
                <c:pt idx="188">
                  <c:v>47.00013732910156</c:v>
                </c:pt>
                <c:pt idx="189">
                  <c:v>47.25022125244141</c:v>
                </c:pt>
                <c:pt idx="190">
                  <c:v>47.50027847290039</c:v>
                </c:pt>
                <c:pt idx="191">
                  <c:v>47.75033187866211</c:v>
                </c:pt>
                <c:pt idx="192">
                  <c:v>48.00002670288086</c:v>
                </c:pt>
                <c:pt idx="193">
                  <c:v>48.2501106262207</c:v>
                </c:pt>
                <c:pt idx="194">
                  <c:v>48.50038909912109</c:v>
                </c:pt>
                <c:pt idx="195">
                  <c:v>48.75019454956055</c:v>
                </c:pt>
                <c:pt idx="196">
                  <c:v>49.00036239624023</c:v>
                </c:pt>
                <c:pt idx="197">
                  <c:v>49.2501106262207</c:v>
                </c:pt>
                <c:pt idx="198">
                  <c:v>49.50019454956055</c:v>
                </c:pt>
                <c:pt idx="199">
                  <c:v>49.75005722045898</c:v>
                </c:pt>
                <c:pt idx="200">
                  <c:v>50.00013732910156</c:v>
                </c:pt>
                <c:pt idx="201">
                  <c:v>50.25005722045898</c:v>
                </c:pt>
                <c:pt idx="202">
                  <c:v>50.50036239624023</c:v>
                </c:pt>
                <c:pt idx="203">
                  <c:v>50.75030517578125</c:v>
                </c:pt>
                <c:pt idx="204">
                  <c:v>51.00005722045898</c:v>
                </c:pt>
                <c:pt idx="205">
                  <c:v>51.25027847290039</c:v>
                </c:pt>
                <c:pt idx="206">
                  <c:v>51.50005722045898</c:v>
                </c:pt>
                <c:pt idx="207">
                  <c:v>51.75</c:v>
                </c:pt>
                <c:pt idx="208">
                  <c:v>52.00030517578125</c:v>
                </c:pt>
                <c:pt idx="209">
                  <c:v>52.2501106262207</c:v>
                </c:pt>
                <c:pt idx="210">
                  <c:v>52.50030517578125</c:v>
                </c:pt>
                <c:pt idx="211">
                  <c:v>52.7501106262207</c:v>
                </c:pt>
                <c:pt idx="212">
                  <c:v>53.00027847290039</c:v>
                </c:pt>
                <c:pt idx="213">
                  <c:v>53.25002670288086</c:v>
                </c:pt>
                <c:pt idx="214">
                  <c:v>53.5004997253418</c:v>
                </c:pt>
                <c:pt idx="215">
                  <c:v>53.75052642822266</c:v>
                </c:pt>
                <c:pt idx="216">
                  <c:v>54.00005722045898</c:v>
                </c:pt>
                <c:pt idx="217">
                  <c:v>54.25058364868164</c:v>
                </c:pt>
                <c:pt idx="218">
                  <c:v>54.50063705444336</c:v>
                </c:pt>
                <c:pt idx="219">
                  <c:v>54.7504997253418</c:v>
                </c:pt>
                <c:pt idx="220">
                  <c:v>55</c:v>
                </c:pt>
                <c:pt idx="221">
                  <c:v>55.25047302246094</c:v>
                </c:pt>
                <c:pt idx="222">
                  <c:v>55.5004997253418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</c:v>
                </c:pt>
                <c:pt idx="226">
                  <c:v>56.50022125244141</c:v>
                </c:pt>
                <c:pt idx="227">
                  <c:v>56.75022125244141</c:v>
                </c:pt>
                <c:pt idx="228">
                  <c:v>57.00022125244141</c:v>
                </c:pt>
                <c:pt idx="229">
                  <c:v>57.25019454956055</c:v>
                </c:pt>
                <c:pt idx="230">
                  <c:v>57.50005722045898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58.25047302246094</c:v>
                </c:pt>
                <c:pt idx="234">
                  <c:v>58.50036239624023</c:v>
                </c:pt>
                <c:pt idx="235">
                  <c:v>58.7504997253418</c:v>
                </c:pt>
                <c:pt idx="236">
                  <c:v>59.00041580200195</c:v>
                </c:pt>
                <c:pt idx="237">
                  <c:v>59.2506103515625</c:v>
                </c:pt>
                <c:pt idx="238">
                  <c:v>59.50030517578125</c:v>
                </c:pt>
                <c:pt idx="239">
                  <c:v>59.75041580200195</c:v>
                </c:pt>
                <c:pt idx="240">
                  <c:v>60.00027847290039</c:v>
                </c:pt>
                <c:pt idx="241">
                  <c:v>60.25027847290039</c:v>
                </c:pt>
                <c:pt idx="242">
                  <c:v>60.50041580200195</c:v>
                </c:pt>
                <c:pt idx="243">
                  <c:v>60.75019454956055</c:v>
                </c:pt>
                <c:pt idx="244">
                  <c:v>61.00027847290039</c:v>
                </c:pt>
                <c:pt idx="245">
                  <c:v>61.2501106262207</c:v>
                </c:pt>
                <c:pt idx="246">
                  <c:v>61.50019454956055</c:v>
                </c:pt>
                <c:pt idx="247">
                  <c:v>61.75027847290039</c:v>
                </c:pt>
                <c:pt idx="248">
                  <c:v>62.00033187866211</c:v>
                </c:pt>
                <c:pt idx="249">
                  <c:v>62.25013732910156</c:v>
                </c:pt>
                <c:pt idx="250">
                  <c:v>62.50005722045898</c:v>
                </c:pt>
                <c:pt idx="251">
                  <c:v>62.75002670288086</c:v>
                </c:pt>
                <c:pt idx="252">
                  <c:v>63.00022125244141</c:v>
                </c:pt>
                <c:pt idx="253">
                  <c:v>63.25022125244141</c:v>
                </c:pt>
                <c:pt idx="254">
                  <c:v>63.50013732910156</c:v>
                </c:pt>
                <c:pt idx="255">
                  <c:v>63.75030517578125</c:v>
                </c:pt>
                <c:pt idx="256">
                  <c:v>64.0006103515625</c:v>
                </c:pt>
                <c:pt idx="257">
                  <c:v>64.25003051757812</c:v>
                </c:pt>
                <c:pt idx="258">
                  <c:v>64.50016784667969</c:v>
                </c:pt>
                <c:pt idx="259">
                  <c:v>64.75025177001953</c:v>
                </c:pt>
                <c:pt idx="260">
                  <c:v>65.00011444091797</c:v>
                </c:pt>
                <c:pt idx="261">
                  <c:v>65.25011444091797</c:v>
                </c:pt>
                <c:pt idx="262">
                  <c:v>65.50025177001953</c:v>
                </c:pt>
                <c:pt idx="263">
                  <c:v>65.75025177001953</c:v>
                </c:pt>
                <c:pt idx="264">
                  <c:v>66.00025177001953</c:v>
                </c:pt>
                <c:pt idx="265">
                  <c:v>66.25025177001953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67.00013732910156</c:v>
                </c:pt>
                <c:pt idx="269">
                  <c:v>67.25038909912109</c:v>
                </c:pt>
                <c:pt idx="270">
                  <c:v>67.50019073486328</c:v>
                </c:pt>
                <c:pt idx="271">
                  <c:v>67.75038909912109</c:v>
                </c:pt>
                <c:pt idx="272">
                  <c:v>68.00016784667969</c:v>
                </c:pt>
                <c:pt idx="273">
                  <c:v>68.25013732910156</c:v>
                </c:pt>
                <c:pt idx="274">
                  <c:v>68.50050354003906</c:v>
                </c:pt>
                <c:pt idx="275">
                  <c:v>68.75072479248047</c:v>
                </c:pt>
                <c:pt idx="276">
                  <c:v>69.00019073486328</c:v>
                </c:pt>
                <c:pt idx="277">
                  <c:v>69.25027465820312</c:v>
                </c:pt>
                <c:pt idx="278">
                  <c:v>69.50005340576172</c:v>
                </c:pt>
                <c:pt idx="279">
                  <c:v>69.75030517578125</c:v>
                </c:pt>
                <c:pt idx="280">
                  <c:v>70.00027465820312</c:v>
                </c:pt>
                <c:pt idx="281">
                  <c:v>70.25016784667969</c:v>
                </c:pt>
                <c:pt idx="282">
                  <c:v>70.50022125244141</c:v>
                </c:pt>
                <c:pt idx="283">
                  <c:v>70.75019073486328</c:v>
                </c:pt>
                <c:pt idx="284">
                  <c:v>71.00016784667969</c:v>
                </c:pt>
                <c:pt idx="285">
                  <c:v>71.25013732910156</c:v>
                </c:pt>
                <c:pt idx="286">
                  <c:v>71.50016784667969</c:v>
                </c:pt>
                <c:pt idx="287">
                  <c:v>71.75038909912109</c:v>
                </c:pt>
                <c:pt idx="288">
                  <c:v>72.00019073486328</c:v>
                </c:pt>
              </c:numCache>
            </c:numRef>
          </c:xVal>
          <c:yVal>
            <c:numRef>
              <c:f>SIM2!$G$11:$G$299</c:f>
              <c:numCache>
                <c:ptCount val="289"/>
                <c:pt idx="0">
                  <c:v>6.976023197174072</c:v>
                </c:pt>
                <c:pt idx="1">
                  <c:v>6.005105018615723</c:v>
                </c:pt>
                <c:pt idx="2">
                  <c:v>4.252870082855225</c:v>
                </c:pt>
                <c:pt idx="3">
                  <c:v>4.405671119689941</c:v>
                </c:pt>
                <c:pt idx="4">
                  <c:v>3.715637922286987</c:v>
                </c:pt>
                <c:pt idx="5">
                  <c:v>2.63515305519104</c:v>
                </c:pt>
                <c:pt idx="6">
                  <c:v>4.916737079620361</c:v>
                </c:pt>
                <c:pt idx="7">
                  <c:v>3.215632915496826</c:v>
                </c:pt>
                <c:pt idx="8">
                  <c:v>2.615137100219727</c:v>
                </c:pt>
                <c:pt idx="9">
                  <c:v>3.766031980514526</c:v>
                </c:pt>
                <c:pt idx="10">
                  <c:v>3.323729991912842</c:v>
                </c:pt>
                <c:pt idx="11">
                  <c:v>5.241350173950195</c:v>
                </c:pt>
                <c:pt idx="12">
                  <c:v>3.456604957580566</c:v>
                </c:pt>
                <c:pt idx="13">
                  <c:v>1.466423988342285</c:v>
                </c:pt>
                <c:pt idx="14">
                  <c:v>7.714497089385986</c:v>
                </c:pt>
                <c:pt idx="15">
                  <c:v>3.955521106719971</c:v>
                </c:pt>
                <c:pt idx="16">
                  <c:v>-0.9890316128730774</c:v>
                </c:pt>
                <c:pt idx="17">
                  <c:v>-0.6794130206108093</c:v>
                </c:pt>
                <c:pt idx="18">
                  <c:v>-1.047322988510132</c:v>
                </c:pt>
                <c:pt idx="19">
                  <c:v>25.68881988525391</c:v>
                </c:pt>
                <c:pt idx="20">
                  <c:v>0.474639505147934</c:v>
                </c:pt>
                <c:pt idx="21">
                  <c:v>-1.005172967910767</c:v>
                </c:pt>
                <c:pt idx="22">
                  <c:v>-1.732679009437561</c:v>
                </c:pt>
                <c:pt idx="23">
                  <c:v>10.02826976776123</c:v>
                </c:pt>
                <c:pt idx="24">
                  <c:v>6.687821865081787</c:v>
                </c:pt>
                <c:pt idx="25">
                  <c:v>8.080621719360352</c:v>
                </c:pt>
                <c:pt idx="26">
                  <c:v>2.963341951370239</c:v>
                </c:pt>
                <c:pt idx="27">
                  <c:v>3.028903007507324</c:v>
                </c:pt>
                <c:pt idx="28">
                  <c:v>2.366934061050415</c:v>
                </c:pt>
                <c:pt idx="29">
                  <c:v>1.919296026229858</c:v>
                </c:pt>
                <c:pt idx="30">
                  <c:v>3.419640064239502</c:v>
                </c:pt>
                <c:pt idx="31">
                  <c:v>2.942280054092407</c:v>
                </c:pt>
                <c:pt idx="32">
                  <c:v>1.102023005485535</c:v>
                </c:pt>
                <c:pt idx="33">
                  <c:v>-1.279404997825623</c:v>
                </c:pt>
                <c:pt idx="34">
                  <c:v>-1.564044952392578</c:v>
                </c:pt>
                <c:pt idx="35">
                  <c:v>-1.311691999435425</c:v>
                </c:pt>
                <c:pt idx="36">
                  <c:v>-0.0124237397685647</c:v>
                </c:pt>
                <c:pt idx="37">
                  <c:v>-0.6259157061576843</c:v>
                </c:pt>
                <c:pt idx="38">
                  <c:v>-0.6095122098922729</c:v>
                </c:pt>
                <c:pt idx="39">
                  <c:v>-1.291968941688538</c:v>
                </c:pt>
                <c:pt idx="40">
                  <c:v>0.2750112116336823</c:v>
                </c:pt>
                <c:pt idx="41">
                  <c:v>14.56657981872559</c:v>
                </c:pt>
                <c:pt idx="42">
                  <c:v>5.940992832183838</c:v>
                </c:pt>
                <c:pt idx="43">
                  <c:v>3.06354808807373</c:v>
                </c:pt>
                <c:pt idx="44">
                  <c:v>2.683267116546631</c:v>
                </c:pt>
                <c:pt idx="45">
                  <c:v>2.223283052444458</c:v>
                </c:pt>
                <c:pt idx="46">
                  <c:v>1.602781057357788</c:v>
                </c:pt>
                <c:pt idx="47">
                  <c:v>4.075256824493408</c:v>
                </c:pt>
                <c:pt idx="48">
                  <c:v>3.184714078903198</c:v>
                </c:pt>
                <c:pt idx="49">
                  <c:v>0.1482362002134323</c:v>
                </c:pt>
                <c:pt idx="50">
                  <c:v>-0.1887764036655426</c:v>
                </c:pt>
                <c:pt idx="51">
                  <c:v>-1.302849054336548</c:v>
                </c:pt>
                <c:pt idx="52">
                  <c:v>13.5888204574585</c:v>
                </c:pt>
                <c:pt idx="53">
                  <c:v>-0.06850536912679672</c:v>
                </c:pt>
                <c:pt idx="54">
                  <c:v>-0.2331795990467072</c:v>
                </c:pt>
                <c:pt idx="55">
                  <c:v>-1.546869039535522</c:v>
                </c:pt>
                <c:pt idx="56">
                  <c:v>2.875849008560181</c:v>
                </c:pt>
                <c:pt idx="57">
                  <c:v>5.841464042663574</c:v>
                </c:pt>
                <c:pt idx="58">
                  <c:v>10.16104030609131</c:v>
                </c:pt>
                <c:pt idx="59">
                  <c:v>3.717721939086914</c:v>
                </c:pt>
                <c:pt idx="60">
                  <c:v>3.48077392578125</c:v>
                </c:pt>
                <c:pt idx="61">
                  <c:v>2.437530994415283</c:v>
                </c:pt>
                <c:pt idx="62">
                  <c:v>2.021578073501587</c:v>
                </c:pt>
                <c:pt idx="63">
                  <c:v>2.470264911651611</c:v>
                </c:pt>
                <c:pt idx="64">
                  <c:v>2.968909978866577</c:v>
                </c:pt>
                <c:pt idx="65">
                  <c:v>2.181004047393799</c:v>
                </c:pt>
                <c:pt idx="66">
                  <c:v>-0.1650398969650269</c:v>
                </c:pt>
                <c:pt idx="67">
                  <c:v>-0.2159353047609329</c:v>
                </c:pt>
                <c:pt idx="68">
                  <c:v>-0.5134465098381042</c:v>
                </c:pt>
                <c:pt idx="69">
                  <c:v>0.06375303864479065</c:v>
                </c:pt>
                <c:pt idx="70">
                  <c:v>-1.210283041000366</c:v>
                </c:pt>
                <c:pt idx="71">
                  <c:v>-0.6470109820365906</c:v>
                </c:pt>
                <c:pt idx="72">
                  <c:v>-0.2613754868507385</c:v>
                </c:pt>
                <c:pt idx="73">
                  <c:v>17.56430053710938</c:v>
                </c:pt>
                <c:pt idx="74">
                  <c:v>5.126380920410156</c:v>
                </c:pt>
                <c:pt idx="75">
                  <c:v>8.594985008239746</c:v>
                </c:pt>
                <c:pt idx="76">
                  <c:v>3.472517013549805</c:v>
                </c:pt>
                <c:pt idx="77">
                  <c:v>3.101438999176025</c:v>
                </c:pt>
                <c:pt idx="78">
                  <c:v>2.27826189994812</c:v>
                </c:pt>
                <c:pt idx="79">
                  <c:v>1.697890043258667</c:v>
                </c:pt>
                <c:pt idx="80">
                  <c:v>4.420164108276367</c:v>
                </c:pt>
                <c:pt idx="81">
                  <c:v>2.97625207901001</c:v>
                </c:pt>
                <c:pt idx="82">
                  <c:v>1.160338997840881</c:v>
                </c:pt>
                <c:pt idx="83">
                  <c:v>4.621564865112305</c:v>
                </c:pt>
                <c:pt idx="84">
                  <c:v>2.583195924758911</c:v>
                </c:pt>
                <c:pt idx="85">
                  <c:v>-2.129400968551636</c:v>
                </c:pt>
                <c:pt idx="86">
                  <c:v>-0.2943522930145264</c:v>
                </c:pt>
                <c:pt idx="87">
                  <c:v>-1.093544960021973</c:v>
                </c:pt>
                <c:pt idx="88">
                  <c:v>-0.277340292930603</c:v>
                </c:pt>
                <c:pt idx="89">
                  <c:v>0.1340916007757187</c:v>
                </c:pt>
                <c:pt idx="90">
                  <c:v>-0.3896298110485077</c:v>
                </c:pt>
                <c:pt idx="91">
                  <c:v>-0.7004932165145874</c:v>
                </c:pt>
                <c:pt idx="92">
                  <c:v>5.068665027618408</c:v>
                </c:pt>
                <c:pt idx="93">
                  <c:v>5.414732933044434</c:v>
                </c:pt>
                <c:pt idx="94">
                  <c:v>8.227165222167969</c:v>
                </c:pt>
                <c:pt idx="95">
                  <c:v>3.179426908493042</c:v>
                </c:pt>
                <c:pt idx="96">
                  <c:v>2.711822032928467</c:v>
                </c:pt>
                <c:pt idx="97">
                  <c:v>2.416189908981323</c:v>
                </c:pt>
                <c:pt idx="98">
                  <c:v>2.244239091873169</c:v>
                </c:pt>
                <c:pt idx="99">
                  <c:v>2.717350959777832</c:v>
                </c:pt>
                <c:pt idx="100">
                  <c:v>3.203474998474121</c:v>
                </c:pt>
                <c:pt idx="101">
                  <c:v>2.416120052337646</c:v>
                </c:pt>
                <c:pt idx="102">
                  <c:v>0.2063570022583008</c:v>
                </c:pt>
                <c:pt idx="103">
                  <c:v>-1.246795058250427</c:v>
                </c:pt>
                <c:pt idx="104">
                  <c:v>-0.9891483783721924</c:v>
                </c:pt>
                <c:pt idx="105">
                  <c:v>-0.1838355958461761</c:v>
                </c:pt>
                <c:pt idx="106">
                  <c:v>-0.9220246076583862</c:v>
                </c:pt>
                <c:pt idx="107">
                  <c:v>-0.09844493120908737</c:v>
                </c:pt>
                <c:pt idx="108">
                  <c:v>-1.298285961151123</c:v>
                </c:pt>
                <c:pt idx="109">
                  <c:v>11.98528957366943</c:v>
                </c:pt>
                <c:pt idx="110">
                  <c:v>4.480542182922363</c:v>
                </c:pt>
                <c:pt idx="111">
                  <c:v>9.214097023010254</c:v>
                </c:pt>
                <c:pt idx="112">
                  <c:v>4.056184768676758</c:v>
                </c:pt>
                <c:pt idx="113">
                  <c:v>3.467423915863037</c:v>
                </c:pt>
                <c:pt idx="114">
                  <c:v>2.33670711517334</c:v>
                </c:pt>
                <c:pt idx="115">
                  <c:v>1.777150988578796</c:v>
                </c:pt>
                <c:pt idx="116">
                  <c:v>3.85785698890686</c:v>
                </c:pt>
                <c:pt idx="117">
                  <c:v>2.94650411605835</c:v>
                </c:pt>
                <c:pt idx="118">
                  <c:v>1.386059045791626</c:v>
                </c:pt>
                <c:pt idx="119">
                  <c:v>7.405585765838623</c:v>
                </c:pt>
                <c:pt idx="120">
                  <c:v>2.888859987258911</c:v>
                </c:pt>
                <c:pt idx="121">
                  <c:v>-0.3039503991603851</c:v>
                </c:pt>
                <c:pt idx="122">
                  <c:v>-1.26535701751709</c:v>
                </c:pt>
                <c:pt idx="123">
                  <c:v>-1.376392960548401</c:v>
                </c:pt>
                <c:pt idx="124">
                  <c:v>-0.3267253935337067</c:v>
                </c:pt>
                <c:pt idx="125">
                  <c:v>0.0820646733045578</c:v>
                </c:pt>
                <c:pt idx="126">
                  <c:v>-0.5647140741348267</c:v>
                </c:pt>
                <c:pt idx="127">
                  <c:v>-0.6111716032028198</c:v>
                </c:pt>
                <c:pt idx="128">
                  <c:v>3.417097091674805</c:v>
                </c:pt>
                <c:pt idx="129">
                  <c:v>8.217825889587402</c:v>
                </c:pt>
                <c:pt idx="130">
                  <c:v>9.682315826416016</c:v>
                </c:pt>
                <c:pt idx="131">
                  <c:v>3.798551082611084</c:v>
                </c:pt>
                <c:pt idx="132">
                  <c:v>2.935137987136841</c:v>
                </c:pt>
                <c:pt idx="133">
                  <c:v>2.451098918914795</c:v>
                </c:pt>
                <c:pt idx="134">
                  <c:v>2.161504983901978</c:v>
                </c:pt>
                <c:pt idx="135">
                  <c:v>2.381541013717651</c:v>
                </c:pt>
                <c:pt idx="136">
                  <c:v>3.112237930297852</c:v>
                </c:pt>
                <c:pt idx="137">
                  <c:v>2.586997985839844</c:v>
                </c:pt>
                <c:pt idx="138">
                  <c:v>-0.1803065985441208</c:v>
                </c:pt>
                <c:pt idx="139">
                  <c:v>-1.302248001098633</c:v>
                </c:pt>
                <c:pt idx="140">
                  <c:v>-0.278380811214447</c:v>
                </c:pt>
                <c:pt idx="141">
                  <c:v>0.08601949363946915</c:v>
                </c:pt>
                <c:pt idx="142">
                  <c:v>-0.5330932140350342</c:v>
                </c:pt>
                <c:pt idx="143">
                  <c:v>-0.1496533006429672</c:v>
                </c:pt>
                <c:pt idx="144">
                  <c:v>-0.5497285127639771</c:v>
                </c:pt>
                <c:pt idx="145">
                  <c:v>8.08672046661377</c:v>
                </c:pt>
                <c:pt idx="146">
                  <c:v>4.948548793792725</c:v>
                </c:pt>
                <c:pt idx="147">
                  <c:v>9.171054840087891</c:v>
                </c:pt>
                <c:pt idx="148">
                  <c:v>3.539472103118896</c:v>
                </c:pt>
                <c:pt idx="149">
                  <c:v>3.312546968460083</c:v>
                </c:pt>
                <c:pt idx="150">
                  <c:v>2.378598928451538</c:v>
                </c:pt>
                <c:pt idx="151">
                  <c:v>1.795112013816833</c:v>
                </c:pt>
                <c:pt idx="152">
                  <c:v>3.770169973373413</c:v>
                </c:pt>
                <c:pt idx="153">
                  <c:v>2.933767080307007</c:v>
                </c:pt>
                <c:pt idx="154">
                  <c:v>1.378630995750427</c:v>
                </c:pt>
                <c:pt idx="155">
                  <c:v>3.577483892440796</c:v>
                </c:pt>
                <c:pt idx="156">
                  <c:v>2.436113119125366</c:v>
                </c:pt>
                <c:pt idx="157">
                  <c:v>-1.102161049842834</c:v>
                </c:pt>
                <c:pt idx="158">
                  <c:v>-0.6636210083961487</c:v>
                </c:pt>
                <c:pt idx="159">
                  <c:v>-1.485906004905701</c:v>
                </c:pt>
                <c:pt idx="160">
                  <c:v>-0.5789321064949036</c:v>
                </c:pt>
                <c:pt idx="161">
                  <c:v>0.2014182060956955</c:v>
                </c:pt>
                <c:pt idx="162">
                  <c:v>-4.592625141143799</c:v>
                </c:pt>
                <c:pt idx="163">
                  <c:v>-0.6029860973358154</c:v>
                </c:pt>
                <c:pt idx="164">
                  <c:v>0.2545813918113708</c:v>
                </c:pt>
                <c:pt idx="165">
                  <c:v>1.925376057624817</c:v>
                </c:pt>
                <c:pt idx="166">
                  <c:v>10.23052978515625</c:v>
                </c:pt>
                <c:pt idx="167">
                  <c:v>4.171826839447021</c:v>
                </c:pt>
                <c:pt idx="168">
                  <c:v>2.728982925415039</c:v>
                </c:pt>
                <c:pt idx="169">
                  <c:v>2.483148097991943</c:v>
                </c:pt>
                <c:pt idx="170">
                  <c:v>2.230365991592407</c:v>
                </c:pt>
                <c:pt idx="171">
                  <c:v>2.324894905090332</c:v>
                </c:pt>
                <c:pt idx="172">
                  <c:v>3.463798999786377</c:v>
                </c:pt>
                <c:pt idx="173">
                  <c:v>3.120954036712646</c:v>
                </c:pt>
                <c:pt idx="174">
                  <c:v>0.5547353029251099</c:v>
                </c:pt>
                <c:pt idx="175">
                  <c:v>13.81657981872559</c:v>
                </c:pt>
                <c:pt idx="176">
                  <c:v>3.685054063796997</c:v>
                </c:pt>
                <c:pt idx="177">
                  <c:v>-1.515035033226013</c:v>
                </c:pt>
                <c:pt idx="178">
                  <c:v>-1.071735024452209</c:v>
                </c:pt>
                <c:pt idx="179">
                  <c:v>-0.3704147040843964</c:v>
                </c:pt>
                <c:pt idx="180">
                  <c:v>-0.2861591875553131</c:v>
                </c:pt>
                <c:pt idx="181">
                  <c:v>0.1485815048217773</c:v>
                </c:pt>
                <c:pt idx="182">
                  <c:v>-1.873417019844055</c:v>
                </c:pt>
                <c:pt idx="183">
                  <c:v>-0.7218284010887146</c:v>
                </c:pt>
                <c:pt idx="184">
                  <c:v>11.72632026672363</c:v>
                </c:pt>
                <c:pt idx="185">
                  <c:v>8.879725456237793</c:v>
                </c:pt>
                <c:pt idx="186">
                  <c:v>7.205061912536621</c:v>
                </c:pt>
                <c:pt idx="187">
                  <c:v>2.839514970779419</c:v>
                </c:pt>
                <c:pt idx="188">
                  <c:v>2.685885906219482</c:v>
                </c:pt>
                <c:pt idx="189">
                  <c:v>2.335442066192627</c:v>
                </c:pt>
                <c:pt idx="190">
                  <c:v>2.220402002334595</c:v>
                </c:pt>
                <c:pt idx="191">
                  <c:v>3.310703992843628</c:v>
                </c:pt>
                <c:pt idx="192">
                  <c:v>3.043736934661865</c:v>
                </c:pt>
                <c:pt idx="193">
                  <c:v>1.617609024047852</c:v>
                </c:pt>
                <c:pt idx="194">
                  <c:v>1.512235045433044</c:v>
                </c:pt>
                <c:pt idx="195">
                  <c:v>2.475796937942505</c:v>
                </c:pt>
                <c:pt idx="196">
                  <c:v>-2.141371011734009</c:v>
                </c:pt>
                <c:pt idx="197">
                  <c:v>-1.317087054252625</c:v>
                </c:pt>
                <c:pt idx="198">
                  <c:v>-0.6083894968032837</c:v>
                </c:pt>
                <c:pt idx="199">
                  <c:v>-0.9154976010322571</c:v>
                </c:pt>
                <c:pt idx="200">
                  <c:v>22.74719047546387</c:v>
                </c:pt>
                <c:pt idx="201">
                  <c:v>1.562785983085632</c:v>
                </c:pt>
                <c:pt idx="202">
                  <c:v>-1.341879963874817</c:v>
                </c:pt>
                <c:pt idx="203">
                  <c:v>0.2003971934318542</c:v>
                </c:pt>
                <c:pt idx="204">
                  <c:v>0.5449013113975525</c:v>
                </c:pt>
                <c:pt idx="205">
                  <c:v>10.77003955841064</c:v>
                </c:pt>
                <c:pt idx="206">
                  <c:v>4.600056171417236</c:v>
                </c:pt>
                <c:pt idx="207">
                  <c:v>2.532433986663818</c:v>
                </c:pt>
                <c:pt idx="208">
                  <c:v>2.579823017120361</c:v>
                </c:pt>
                <c:pt idx="209">
                  <c:v>2.251239061355591</c:v>
                </c:pt>
                <c:pt idx="210">
                  <c:v>2.044847011566162</c:v>
                </c:pt>
                <c:pt idx="211">
                  <c:v>3.699503898620605</c:v>
                </c:pt>
                <c:pt idx="212">
                  <c:v>3.15166711807251</c:v>
                </c:pt>
                <c:pt idx="213">
                  <c:v>0.1039120033383369</c:v>
                </c:pt>
                <c:pt idx="214">
                  <c:v>-0.7769603729248047</c:v>
                </c:pt>
                <c:pt idx="215">
                  <c:v>-1.232913970947266</c:v>
                </c:pt>
                <c:pt idx="216">
                  <c:v>25.29874992370605</c:v>
                </c:pt>
                <c:pt idx="217">
                  <c:v>-0.08786678314208984</c:v>
                </c:pt>
                <c:pt idx="218">
                  <c:v>-0.4374411106109619</c:v>
                </c:pt>
                <c:pt idx="219">
                  <c:v>-1.252416968345642</c:v>
                </c:pt>
                <c:pt idx="220">
                  <c:v>0.2786996066570282</c:v>
                </c:pt>
                <c:pt idx="221">
                  <c:v>6.555642127990723</c:v>
                </c:pt>
                <c:pt idx="222">
                  <c:v>11.30673027038574</c:v>
                </c:pt>
                <c:pt idx="223">
                  <c:v>4.278471946716309</c:v>
                </c:pt>
                <c:pt idx="224">
                  <c:v>3.605020046234131</c:v>
                </c:pt>
                <c:pt idx="225">
                  <c:v>2.483294010162354</c:v>
                </c:pt>
                <c:pt idx="226">
                  <c:v>2.031558990478516</c:v>
                </c:pt>
                <c:pt idx="227">
                  <c:v>2.50279688835144</c:v>
                </c:pt>
                <c:pt idx="228">
                  <c:v>3.039998054504395</c:v>
                </c:pt>
                <c:pt idx="229">
                  <c:v>2.75222110748291</c:v>
                </c:pt>
                <c:pt idx="230">
                  <c:v>1.474426984786987</c:v>
                </c:pt>
                <c:pt idx="231">
                  <c:v>2.911257982254028</c:v>
                </c:pt>
                <c:pt idx="232">
                  <c:v>0.3076832890510559</c:v>
                </c:pt>
                <c:pt idx="233">
                  <c:v>-0.9841398000717163</c:v>
                </c:pt>
                <c:pt idx="234">
                  <c:v>-1.35913097858429</c:v>
                </c:pt>
                <c:pt idx="235">
                  <c:v>-1.167536020278931</c:v>
                </c:pt>
                <c:pt idx="236">
                  <c:v>21.05866050720215</c:v>
                </c:pt>
                <c:pt idx="237">
                  <c:v>1.03986394405365</c:v>
                </c:pt>
                <c:pt idx="238">
                  <c:v>-0.9224023818969727</c:v>
                </c:pt>
                <c:pt idx="239">
                  <c:v>0.1103015020489693</c:v>
                </c:pt>
                <c:pt idx="240">
                  <c:v>0.2109490036964417</c:v>
                </c:pt>
                <c:pt idx="241">
                  <c:v>12.72015953063965</c:v>
                </c:pt>
                <c:pt idx="242">
                  <c:v>5.626278877258301</c:v>
                </c:pt>
                <c:pt idx="243">
                  <c:v>2.639415979385376</c:v>
                </c:pt>
                <c:pt idx="244">
                  <c:v>2.676497936248779</c:v>
                </c:pt>
                <c:pt idx="245">
                  <c:v>2.2535560131073</c:v>
                </c:pt>
                <c:pt idx="246">
                  <c:v>1.973127007484436</c:v>
                </c:pt>
                <c:pt idx="247">
                  <c:v>3.928627967834473</c:v>
                </c:pt>
                <c:pt idx="248">
                  <c:v>3.151855945587158</c:v>
                </c:pt>
                <c:pt idx="249">
                  <c:v>0.5773118734359741</c:v>
                </c:pt>
                <c:pt idx="250">
                  <c:v>-1.145138025283813</c:v>
                </c:pt>
                <c:pt idx="251">
                  <c:v>-1.264577031135559</c:v>
                </c:pt>
                <c:pt idx="252">
                  <c:v>18.34556007385254</c:v>
                </c:pt>
                <c:pt idx="253">
                  <c:v>-1.777044057846069</c:v>
                </c:pt>
                <c:pt idx="254">
                  <c:v>-1.131811022758484</c:v>
                </c:pt>
                <c:pt idx="255">
                  <c:v>-0.4525302052497864</c:v>
                </c:pt>
                <c:pt idx="256">
                  <c:v>0.1827612072229385</c:v>
                </c:pt>
                <c:pt idx="257">
                  <c:v>0.4274691939353943</c:v>
                </c:pt>
                <c:pt idx="258">
                  <c:v>14.43912029266357</c:v>
                </c:pt>
                <c:pt idx="259">
                  <c:v>5.920144081115723</c:v>
                </c:pt>
                <c:pt idx="260">
                  <c:v>3.888734102249146</c:v>
                </c:pt>
                <c:pt idx="261">
                  <c:v>2.630527973175049</c:v>
                </c:pt>
                <c:pt idx="262">
                  <c:v>2.11006498336792</c:v>
                </c:pt>
                <c:pt idx="263">
                  <c:v>2.065953016281128</c:v>
                </c:pt>
                <c:pt idx="264">
                  <c:v>3.18985390663147</c:v>
                </c:pt>
                <c:pt idx="265">
                  <c:v>3.189645051956177</c:v>
                </c:pt>
                <c:pt idx="266">
                  <c:v>1.403879046440125</c:v>
                </c:pt>
                <c:pt idx="267">
                  <c:v>3.276360988616943</c:v>
                </c:pt>
                <c:pt idx="268">
                  <c:v>1.557543039321899</c:v>
                </c:pt>
                <c:pt idx="269">
                  <c:v>-0.7585586905479431</c:v>
                </c:pt>
                <c:pt idx="270">
                  <c:v>-0.6963732242584229</c:v>
                </c:pt>
                <c:pt idx="271">
                  <c:v>-0.733167827129364</c:v>
                </c:pt>
                <c:pt idx="272">
                  <c:v>20.37801933288574</c:v>
                </c:pt>
                <c:pt idx="273">
                  <c:v>0.6605334877967834</c:v>
                </c:pt>
                <c:pt idx="274">
                  <c:v>-1.432772994041443</c:v>
                </c:pt>
                <c:pt idx="275">
                  <c:v>-3.534863948822021</c:v>
                </c:pt>
                <c:pt idx="276">
                  <c:v>15.35200023651123</c:v>
                </c:pt>
                <c:pt idx="277">
                  <c:v>10.05305957794189</c:v>
                </c:pt>
                <c:pt idx="278">
                  <c:v>7.324081897735596</c:v>
                </c:pt>
                <c:pt idx="279">
                  <c:v>2.931015968322754</c:v>
                </c:pt>
                <c:pt idx="280">
                  <c:v>2.83447790145874</c:v>
                </c:pt>
                <c:pt idx="281">
                  <c:v>2.268960952758789</c:v>
                </c:pt>
                <c:pt idx="282">
                  <c:v>1.923769950866699</c:v>
                </c:pt>
                <c:pt idx="283">
                  <c:v>3.989612102508545</c:v>
                </c:pt>
                <c:pt idx="284">
                  <c:v>3.045613050460815</c:v>
                </c:pt>
                <c:pt idx="285">
                  <c:v>1.121472001075745</c:v>
                </c:pt>
                <c:pt idx="286">
                  <c:v>-0.1970801055431366</c:v>
                </c:pt>
                <c:pt idx="287">
                  <c:v>-0.6584184169769287</c:v>
                </c:pt>
                <c:pt idx="288">
                  <c:v>0.5692973136901855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SIM2!$C$11:$C$299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1.250362277030945</c:v>
                </c:pt>
                <c:pt idx="6">
                  <c:v>1.500348329544067</c:v>
                </c:pt>
                <c:pt idx="7">
                  <c:v>1.750333905220032</c:v>
                </c:pt>
                <c:pt idx="8">
                  <c:v>2.000319480895996</c:v>
                </c:pt>
                <c:pt idx="9">
                  <c:v>2.250304937362671</c:v>
                </c:pt>
                <c:pt idx="10">
                  <c:v>2.500290632247925</c:v>
                </c:pt>
                <c:pt idx="11">
                  <c:v>2.7502760887146</c:v>
                </c:pt>
                <c:pt idx="12">
                  <c:v>3.000097274780273</c:v>
                </c:pt>
                <c:pt idx="13">
                  <c:v>3.25011944770813</c:v>
                </c:pt>
                <c:pt idx="14">
                  <c:v>3.500241756439209</c:v>
                </c:pt>
                <c:pt idx="15">
                  <c:v>3.750241756439209</c:v>
                </c:pt>
                <c:pt idx="16">
                  <c:v>4.000097274780273</c:v>
                </c:pt>
                <c:pt idx="17">
                  <c:v>4.250372409820557</c:v>
                </c:pt>
                <c:pt idx="18">
                  <c:v>4.500458240509033</c:v>
                </c:pt>
                <c:pt idx="19">
                  <c:v>4.750261306762695</c:v>
                </c:pt>
                <c:pt idx="20">
                  <c:v>5.000511169433594</c:v>
                </c:pt>
                <c:pt idx="21">
                  <c:v>5.250458240509033</c:v>
                </c:pt>
                <c:pt idx="22">
                  <c:v>5.500708103179932</c:v>
                </c:pt>
                <c:pt idx="23">
                  <c:v>5.750102996826172</c:v>
                </c:pt>
                <c:pt idx="24">
                  <c:v>6.000141620635986</c:v>
                </c:pt>
                <c:pt idx="25">
                  <c:v>6.250077724456787</c:v>
                </c:pt>
                <c:pt idx="26">
                  <c:v>6.500152587890625</c:v>
                </c:pt>
                <c:pt idx="27">
                  <c:v>6.750280380249023</c:v>
                </c:pt>
                <c:pt idx="28">
                  <c:v>7.000197410583496</c:v>
                </c:pt>
                <c:pt idx="29">
                  <c:v>7.250205516815186</c:v>
                </c:pt>
                <c:pt idx="30">
                  <c:v>7.500277996063232</c:v>
                </c:pt>
                <c:pt idx="31">
                  <c:v>7.750138759613037</c:v>
                </c:pt>
                <c:pt idx="32">
                  <c:v>8.000371932983398</c:v>
                </c:pt>
                <c:pt idx="33">
                  <c:v>8.250127792358398</c:v>
                </c:pt>
                <c:pt idx="34">
                  <c:v>8.500100135803223</c:v>
                </c:pt>
                <c:pt idx="35">
                  <c:v>8.750033378601074</c:v>
                </c:pt>
                <c:pt idx="36">
                  <c:v>9.000444412231445</c:v>
                </c:pt>
                <c:pt idx="37">
                  <c:v>9.250080108642578</c:v>
                </c:pt>
                <c:pt idx="38">
                  <c:v>9.500617027282715</c:v>
                </c:pt>
                <c:pt idx="39">
                  <c:v>9.75078010559082</c:v>
                </c:pt>
                <c:pt idx="40">
                  <c:v>10.00001907348633</c:v>
                </c:pt>
                <c:pt idx="41">
                  <c:v>10.25024700164795</c:v>
                </c:pt>
                <c:pt idx="42">
                  <c:v>10.50033092498779</c:v>
                </c:pt>
                <c:pt idx="43">
                  <c:v>10.75027179718018</c:v>
                </c:pt>
                <c:pt idx="44">
                  <c:v>11.00011920928955</c:v>
                </c:pt>
                <c:pt idx="45">
                  <c:v>11.25021934509277</c:v>
                </c:pt>
                <c:pt idx="46">
                  <c:v>11.5001859664917</c:v>
                </c:pt>
                <c:pt idx="47">
                  <c:v>11.75002765655518</c:v>
                </c:pt>
                <c:pt idx="48">
                  <c:v>12.00011348724365</c:v>
                </c:pt>
                <c:pt idx="49">
                  <c:v>12.2503719329834</c:v>
                </c:pt>
                <c:pt idx="50">
                  <c:v>12.50043869018555</c:v>
                </c:pt>
                <c:pt idx="51">
                  <c:v>12.75056648254395</c:v>
                </c:pt>
                <c:pt idx="52">
                  <c:v>13.00006675720215</c:v>
                </c:pt>
                <c:pt idx="53">
                  <c:v>13.2501916885376</c:v>
                </c:pt>
                <c:pt idx="54">
                  <c:v>13.5005054473877</c:v>
                </c:pt>
                <c:pt idx="55">
                  <c:v>13.75016117095947</c:v>
                </c:pt>
                <c:pt idx="56">
                  <c:v>14.00051689147949</c:v>
                </c:pt>
                <c:pt idx="57">
                  <c:v>14.25014972686768</c:v>
                </c:pt>
                <c:pt idx="58">
                  <c:v>14.50046920776367</c:v>
                </c:pt>
                <c:pt idx="59">
                  <c:v>14.75034713745117</c:v>
                </c:pt>
                <c:pt idx="60">
                  <c:v>15.00014400482178</c:v>
                </c:pt>
                <c:pt idx="61">
                  <c:v>15.25021076202393</c:v>
                </c:pt>
                <c:pt idx="62">
                  <c:v>15.50024700164795</c:v>
                </c:pt>
                <c:pt idx="63">
                  <c:v>15.75032234191895</c:v>
                </c:pt>
                <c:pt idx="64">
                  <c:v>16.00037574768066</c:v>
                </c:pt>
                <c:pt idx="65">
                  <c:v>16.2500057220459</c:v>
                </c:pt>
                <c:pt idx="66">
                  <c:v>16.50015258789062</c:v>
                </c:pt>
                <c:pt idx="67">
                  <c:v>16.7504997253418</c:v>
                </c:pt>
                <c:pt idx="68">
                  <c:v>17.0006275177002</c:v>
                </c:pt>
                <c:pt idx="69">
                  <c:v>17.25049209594727</c:v>
                </c:pt>
                <c:pt idx="70">
                  <c:v>17.50015640258789</c:v>
                </c:pt>
                <c:pt idx="71">
                  <c:v>17.75071716308594</c:v>
                </c:pt>
                <c:pt idx="72">
                  <c:v>18.00077247619629</c:v>
                </c:pt>
                <c:pt idx="73">
                  <c:v>18.25021743774414</c:v>
                </c:pt>
                <c:pt idx="74">
                  <c:v>18.50031471252441</c:v>
                </c:pt>
                <c:pt idx="75">
                  <c:v>18.75001907348633</c:v>
                </c:pt>
                <c:pt idx="76">
                  <c:v>19.00028610229492</c:v>
                </c:pt>
                <c:pt idx="77">
                  <c:v>19.2502326965332</c:v>
                </c:pt>
                <c:pt idx="78">
                  <c:v>19.50001907348633</c:v>
                </c:pt>
                <c:pt idx="79">
                  <c:v>19.7501049041748</c:v>
                </c:pt>
                <c:pt idx="80">
                  <c:v>20.00030517578125</c:v>
                </c:pt>
                <c:pt idx="81">
                  <c:v>20.25009536743164</c:v>
                </c:pt>
                <c:pt idx="82">
                  <c:v>20.50015068054199</c:v>
                </c:pt>
                <c:pt idx="83">
                  <c:v>20.75005912780762</c:v>
                </c:pt>
                <c:pt idx="84">
                  <c:v>21.00000762939453</c:v>
                </c:pt>
                <c:pt idx="85">
                  <c:v>21.25007247924805</c:v>
                </c:pt>
                <c:pt idx="86">
                  <c:v>21.50043678283691</c:v>
                </c:pt>
                <c:pt idx="87">
                  <c:v>21.75017738342285</c:v>
                </c:pt>
                <c:pt idx="88">
                  <c:v>22.00059700012207</c:v>
                </c:pt>
                <c:pt idx="89">
                  <c:v>22.2502384185791</c:v>
                </c:pt>
                <c:pt idx="90">
                  <c:v>22.50051307678223</c:v>
                </c:pt>
                <c:pt idx="91">
                  <c:v>22.75069999694824</c:v>
                </c:pt>
                <c:pt idx="92">
                  <c:v>23.00012969970703</c:v>
                </c:pt>
                <c:pt idx="93">
                  <c:v>23.25051689147949</c:v>
                </c:pt>
                <c:pt idx="94">
                  <c:v>23.50000190734863</c:v>
                </c:pt>
                <c:pt idx="95">
                  <c:v>23.75021934509277</c:v>
                </c:pt>
                <c:pt idx="96">
                  <c:v>24.00034523010254</c:v>
                </c:pt>
                <c:pt idx="97">
                  <c:v>24.25016403198242</c:v>
                </c:pt>
                <c:pt idx="98">
                  <c:v>24.50034523010254</c:v>
                </c:pt>
                <c:pt idx="99">
                  <c:v>24.75016403198242</c:v>
                </c:pt>
                <c:pt idx="100">
                  <c:v>25.00034523010254</c:v>
                </c:pt>
                <c:pt idx="101">
                  <c:v>25.25016403198242</c:v>
                </c:pt>
                <c:pt idx="102">
                  <c:v>25.50043869018555</c:v>
                </c:pt>
                <c:pt idx="103">
                  <c:v>25.75048828125</c:v>
                </c:pt>
                <c:pt idx="104">
                  <c:v>26.00040817260742</c:v>
                </c:pt>
                <c:pt idx="105">
                  <c:v>26.25052261352539</c:v>
                </c:pt>
                <c:pt idx="106">
                  <c:v>26.5001106262207</c:v>
                </c:pt>
                <c:pt idx="107">
                  <c:v>26.75054168701172</c:v>
                </c:pt>
                <c:pt idx="108">
                  <c:v>27.00056457519531</c:v>
                </c:pt>
                <c:pt idx="109">
                  <c:v>27.25063705444336</c:v>
                </c:pt>
                <c:pt idx="110">
                  <c:v>27.50048828125</c:v>
                </c:pt>
                <c:pt idx="111">
                  <c:v>27.75032997131348</c:v>
                </c:pt>
                <c:pt idx="112">
                  <c:v>28.0003604888916</c:v>
                </c:pt>
                <c:pt idx="113">
                  <c:v>28.25030517578125</c:v>
                </c:pt>
                <c:pt idx="114">
                  <c:v>28.50033378601074</c:v>
                </c:pt>
                <c:pt idx="115">
                  <c:v>28.75002861022949</c:v>
                </c:pt>
                <c:pt idx="116">
                  <c:v>29.0001106262207</c:v>
                </c:pt>
                <c:pt idx="117">
                  <c:v>29.25019454956055</c:v>
                </c:pt>
                <c:pt idx="118">
                  <c:v>29.50030517578125</c:v>
                </c:pt>
                <c:pt idx="119">
                  <c:v>29.75008392333984</c:v>
                </c:pt>
                <c:pt idx="120">
                  <c:v>30.00008392333984</c:v>
                </c:pt>
                <c:pt idx="121">
                  <c:v>30.2503604888916</c:v>
                </c:pt>
                <c:pt idx="122">
                  <c:v>30.50030517578125</c:v>
                </c:pt>
                <c:pt idx="123">
                  <c:v>30.75008392333984</c:v>
                </c:pt>
                <c:pt idx="124">
                  <c:v>31.00077819824219</c:v>
                </c:pt>
                <c:pt idx="125">
                  <c:v>31.2504997253418</c:v>
                </c:pt>
                <c:pt idx="126">
                  <c:v>31.50055503845215</c:v>
                </c:pt>
                <c:pt idx="127">
                  <c:v>31.75041580200195</c:v>
                </c:pt>
                <c:pt idx="128">
                  <c:v>32.00055694580078</c:v>
                </c:pt>
                <c:pt idx="129">
                  <c:v>32.25002670288086</c:v>
                </c:pt>
                <c:pt idx="130">
                  <c:v>32.50025177001953</c:v>
                </c:pt>
                <c:pt idx="131">
                  <c:v>32.75008392333984</c:v>
                </c:pt>
                <c:pt idx="132">
                  <c:v>33.0001106262207</c:v>
                </c:pt>
                <c:pt idx="133">
                  <c:v>33.25016784667969</c:v>
                </c:pt>
                <c:pt idx="134">
                  <c:v>33.50027847290039</c:v>
                </c:pt>
                <c:pt idx="135">
                  <c:v>33.75019454956055</c:v>
                </c:pt>
                <c:pt idx="136">
                  <c:v>34.00008392333984</c:v>
                </c:pt>
                <c:pt idx="137">
                  <c:v>34.25033187866211</c:v>
                </c:pt>
                <c:pt idx="138">
                  <c:v>34.50030517578125</c:v>
                </c:pt>
                <c:pt idx="139">
                  <c:v>34.7501106262207</c:v>
                </c:pt>
                <c:pt idx="140">
                  <c:v>35.00008392333984</c:v>
                </c:pt>
                <c:pt idx="141">
                  <c:v>35.25</c:v>
                </c:pt>
                <c:pt idx="142">
                  <c:v>35.5006103515625</c:v>
                </c:pt>
                <c:pt idx="143">
                  <c:v>35.7506103515625</c:v>
                </c:pt>
                <c:pt idx="144">
                  <c:v>36.00033187866211</c:v>
                </c:pt>
                <c:pt idx="145">
                  <c:v>36.25091552734375</c:v>
                </c:pt>
                <c:pt idx="146">
                  <c:v>36.50027847290039</c:v>
                </c:pt>
                <c:pt idx="147">
                  <c:v>36.75002670288086</c:v>
                </c:pt>
                <c:pt idx="148">
                  <c:v>37.00016784667969</c:v>
                </c:pt>
                <c:pt idx="149">
                  <c:v>37.25005722045898</c:v>
                </c:pt>
                <c:pt idx="150">
                  <c:v>37.50016784667969</c:v>
                </c:pt>
                <c:pt idx="151">
                  <c:v>37.75016784667969</c:v>
                </c:pt>
                <c:pt idx="152">
                  <c:v>38.00016784667969</c:v>
                </c:pt>
                <c:pt idx="153">
                  <c:v>38.25019454956055</c:v>
                </c:pt>
                <c:pt idx="154">
                  <c:v>38.50019454956055</c:v>
                </c:pt>
                <c:pt idx="155">
                  <c:v>38.75033187866211</c:v>
                </c:pt>
                <c:pt idx="156">
                  <c:v>39.00019454956055</c:v>
                </c:pt>
                <c:pt idx="157">
                  <c:v>39.25013732910156</c:v>
                </c:pt>
                <c:pt idx="158">
                  <c:v>39.50025177001953</c:v>
                </c:pt>
                <c:pt idx="159">
                  <c:v>39.75027847290039</c:v>
                </c:pt>
                <c:pt idx="160">
                  <c:v>40.00080490112305</c:v>
                </c:pt>
                <c:pt idx="161">
                  <c:v>40.25005722045898</c:v>
                </c:pt>
                <c:pt idx="162">
                  <c:v>40.50063705444336</c:v>
                </c:pt>
                <c:pt idx="163">
                  <c:v>40.75005722045898</c:v>
                </c:pt>
                <c:pt idx="164">
                  <c:v>41.00022125244141</c:v>
                </c:pt>
                <c:pt idx="165">
                  <c:v>41.25019454956055</c:v>
                </c:pt>
                <c:pt idx="166">
                  <c:v>41.50008392333984</c:v>
                </c:pt>
                <c:pt idx="167">
                  <c:v>41.75005722045898</c:v>
                </c:pt>
                <c:pt idx="168">
                  <c:v>42.00013732910156</c:v>
                </c:pt>
                <c:pt idx="169">
                  <c:v>42.2501106262207</c:v>
                </c:pt>
                <c:pt idx="170">
                  <c:v>42.50033187866211</c:v>
                </c:pt>
                <c:pt idx="171">
                  <c:v>42.75005722045898</c:v>
                </c:pt>
                <c:pt idx="172">
                  <c:v>43.0001106262207</c:v>
                </c:pt>
                <c:pt idx="173">
                  <c:v>43.25019454956055</c:v>
                </c:pt>
                <c:pt idx="174">
                  <c:v>43.50025177001953</c:v>
                </c:pt>
                <c:pt idx="175">
                  <c:v>43.75027847290039</c:v>
                </c:pt>
                <c:pt idx="176">
                  <c:v>44.00016784667969</c:v>
                </c:pt>
                <c:pt idx="177">
                  <c:v>44.25038909912109</c:v>
                </c:pt>
                <c:pt idx="178">
                  <c:v>44.50047302246094</c:v>
                </c:pt>
                <c:pt idx="179">
                  <c:v>44.75019454956055</c:v>
                </c:pt>
                <c:pt idx="180">
                  <c:v>45.00066757202148</c:v>
                </c:pt>
                <c:pt idx="181">
                  <c:v>45.25008392333984</c:v>
                </c:pt>
                <c:pt idx="182">
                  <c:v>45.50019454956055</c:v>
                </c:pt>
                <c:pt idx="183">
                  <c:v>45.75066757202148</c:v>
                </c:pt>
                <c:pt idx="184">
                  <c:v>46.00030517578125</c:v>
                </c:pt>
                <c:pt idx="185">
                  <c:v>46.25038909912109</c:v>
                </c:pt>
                <c:pt idx="186">
                  <c:v>46.50005722045898</c:v>
                </c:pt>
                <c:pt idx="187">
                  <c:v>46.75008392333984</c:v>
                </c:pt>
                <c:pt idx="188">
                  <c:v>47.00013732910156</c:v>
                </c:pt>
                <c:pt idx="189">
                  <c:v>47.25022125244141</c:v>
                </c:pt>
                <c:pt idx="190">
                  <c:v>47.50027847290039</c:v>
                </c:pt>
                <c:pt idx="191">
                  <c:v>47.75033187866211</c:v>
                </c:pt>
                <c:pt idx="192">
                  <c:v>48.00002670288086</c:v>
                </c:pt>
                <c:pt idx="193">
                  <c:v>48.2501106262207</c:v>
                </c:pt>
                <c:pt idx="194">
                  <c:v>48.50038909912109</c:v>
                </c:pt>
                <c:pt idx="195">
                  <c:v>48.75019454956055</c:v>
                </c:pt>
                <c:pt idx="196">
                  <c:v>49.00036239624023</c:v>
                </c:pt>
                <c:pt idx="197">
                  <c:v>49.2501106262207</c:v>
                </c:pt>
                <c:pt idx="198">
                  <c:v>49.50019454956055</c:v>
                </c:pt>
                <c:pt idx="199">
                  <c:v>49.75005722045898</c:v>
                </c:pt>
                <c:pt idx="200">
                  <c:v>50.00013732910156</c:v>
                </c:pt>
                <c:pt idx="201">
                  <c:v>50.25005722045898</c:v>
                </c:pt>
                <c:pt idx="202">
                  <c:v>50.50036239624023</c:v>
                </c:pt>
                <c:pt idx="203">
                  <c:v>50.75030517578125</c:v>
                </c:pt>
                <c:pt idx="204">
                  <c:v>51.00005722045898</c:v>
                </c:pt>
                <c:pt idx="205">
                  <c:v>51.25027847290039</c:v>
                </c:pt>
                <c:pt idx="206">
                  <c:v>51.50005722045898</c:v>
                </c:pt>
                <c:pt idx="207">
                  <c:v>51.75</c:v>
                </c:pt>
                <c:pt idx="208">
                  <c:v>52.00030517578125</c:v>
                </c:pt>
                <c:pt idx="209">
                  <c:v>52.2501106262207</c:v>
                </c:pt>
                <c:pt idx="210">
                  <c:v>52.50030517578125</c:v>
                </c:pt>
                <c:pt idx="211">
                  <c:v>52.7501106262207</c:v>
                </c:pt>
                <c:pt idx="212">
                  <c:v>53.00027847290039</c:v>
                </c:pt>
                <c:pt idx="213">
                  <c:v>53.25002670288086</c:v>
                </c:pt>
                <c:pt idx="214">
                  <c:v>53.5004997253418</c:v>
                </c:pt>
                <c:pt idx="215">
                  <c:v>53.75052642822266</c:v>
                </c:pt>
                <c:pt idx="216">
                  <c:v>54.00005722045898</c:v>
                </c:pt>
                <c:pt idx="217">
                  <c:v>54.25058364868164</c:v>
                </c:pt>
                <c:pt idx="218">
                  <c:v>54.50063705444336</c:v>
                </c:pt>
                <c:pt idx="219">
                  <c:v>54.7504997253418</c:v>
                </c:pt>
                <c:pt idx="220">
                  <c:v>55</c:v>
                </c:pt>
                <c:pt idx="221">
                  <c:v>55.25047302246094</c:v>
                </c:pt>
                <c:pt idx="222">
                  <c:v>55.5004997253418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</c:v>
                </c:pt>
                <c:pt idx="226">
                  <c:v>56.50022125244141</c:v>
                </c:pt>
                <c:pt idx="227">
                  <c:v>56.75022125244141</c:v>
                </c:pt>
                <c:pt idx="228">
                  <c:v>57.00022125244141</c:v>
                </c:pt>
                <c:pt idx="229">
                  <c:v>57.25019454956055</c:v>
                </c:pt>
                <c:pt idx="230">
                  <c:v>57.50005722045898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58.25047302246094</c:v>
                </c:pt>
                <c:pt idx="234">
                  <c:v>58.50036239624023</c:v>
                </c:pt>
                <c:pt idx="235">
                  <c:v>58.7504997253418</c:v>
                </c:pt>
                <c:pt idx="236">
                  <c:v>59.00041580200195</c:v>
                </c:pt>
                <c:pt idx="237">
                  <c:v>59.2506103515625</c:v>
                </c:pt>
                <c:pt idx="238">
                  <c:v>59.50030517578125</c:v>
                </c:pt>
                <c:pt idx="239">
                  <c:v>59.75041580200195</c:v>
                </c:pt>
                <c:pt idx="240">
                  <c:v>60.00027847290039</c:v>
                </c:pt>
                <c:pt idx="241">
                  <c:v>60.25027847290039</c:v>
                </c:pt>
                <c:pt idx="242">
                  <c:v>60.50041580200195</c:v>
                </c:pt>
                <c:pt idx="243">
                  <c:v>60.75019454956055</c:v>
                </c:pt>
                <c:pt idx="244">
                  <c:v>61.00027847290039</c:v>
                </c:pt>
                <c:pt idx="245">
                  <c:v>61.2501106262207</c:v>
                </c:pt>
                <c:pt idx="246">
                  <c:v>61.50019454956055</c:v>
                </c:pt>
                <c:pt idx="247">
                  <c:v>61.75027847290039</c:v>
                </c:pt>
                <c:pt idx="248">
                  <c:v>62.00033187866211</c:v>
                </c:pt>
                <c:pt idx="249">
                  <c:v>62.25013732910156</c:v>
                </c:pt>
                <c:pt idx="250">
                  <c:v>62.50005722045898</c:v>
                </c:pt>
                <c:pt idx="251">
                  <c:v>62.75002670288086</c:v>
                </c:pt>
                <c:pt idx="252">
                  <c:v>63.00022125244141</c:v>
                </c:pt>
                <c:pt idx="253">
                  <c:v>63.25022125244141</c:v>
                </c:pt>
                <c:pt idx="254">
                  <c:v>63.50013732910156</c:v>
                </c:pt>
                <c:pt idx="255">
                  <c:v>63.75030517578125</c:v>
                </c:pt>
                <c:pt idx="256">
                  <c:v>64.0006103515625</c:v>
                </c:pt>
                <c:pt idx="257">
                  <c:v>64.25003051757812</c:v>
                </c:pt>
                <c:pt idx="258">
                  <c:v>64.50016784667969</c:v>
                </c:pt>
                <c:pt idx="259">
                  <c:v>64.75025177001953</c:v>
                </c:pt>
                <c:pt idx="260">
                  <c:v>65.00011444091797</c:v>
                </c:pt>
                <c:pt idx="261">
                  <c:v>65.25011444091797</c:v>
                </c:pt>
                <c:pt idx="262">
                  <c:v>65.50025177001953</c:v>
                </c:pt>
                <c:pt idx="263">
                  <c:v>65.75025177001953</c:v>
                </c:pt>
                <c:pt idx="264">
                  <c:v>66.00025177001953</c:v>
                </c:pt>
                <c:pt idx="265">
                  <c:v>66.25025177001953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67.00013732910156</c:v>
                </c:pt>
                <c:pt idx="269">
                  <c:v>67.25038909912109</c:v>
                </c:pt>
                <c:pt idx="270">
                  <c:v>67.50019073486328</c:v>
                </c:pt>
                <c:pt idx="271">
                  <c:v>67.75038909912109</c:v>
                </c:pt>
                <c:pt idx="272">
                  <c:v>68.00016784667969</c:v>
                </c:pt>
                <c:pt idx="273">
                  <c:v>68.25013732910156</c:v>
                </c:pt>
                <c:pt idx="274">
                  <c:v>68.50050354003906</c:v>
                </c:pt>
                <c:pt idx="275">
                  <c:v>68.75072479248047</c:v>
                </c:pt>
                <c:pt idx="276">
                  <c:v>69.00019073486328</c:v>
                </c:pt>
                <c:pt idx="277">
                  <c:v>69.25027465820312</c:v>
                </c:pt>
                <c:pt idx="278">
                  <c:v>69.50005340576172</c:v>
                </c:pt>
                <c:pt idx="279">
                  <c:v>69.75030517578125</c:v>
                </c:pt>
                <c:pt idx="280">
                  <c:v>70.00027465820312</c:v>
                </c:pt>
                <c:pt idx="281">
                  <c:v>70.25016784667969</c:v>
                </c:pt>
                <c:pt idx="282">
                  <c:v>70.50022125244141</c:v>
                </c:pt>
                <c:pt idx="283">
                  <c:v>70.75019073486328</c:v>
                </c:pt>
                <c:pt idx="284">
                  <c:v>71.00016784667969</c:v>
                </c:pt>
                <c:pt idx="285">
                  <c:v>71.25013732910156</c:v>
                </c:pt>
                <c:pt idx="286">
                  <c:v>71.50016784667969</c:v>
                </c:pt>
                <c:pt idx="287">
                  <c:v>71.75038909912109</c:v>
                </c:pt>
                <c:pt idx="288">
                  <c:v>72.00019073486328</c:v>
                </c:pt>
              </c:numCache>
            </c:numRef>
          </c:xVal>
          <c:yVal>
            <c:numRef>
              <c:f>SIM2!$H$11:$H$299</c:f>
              <c:numCache>
                <c:ptCount val="289"/>
                <c:pt idx="0">
                  <c:v>9.87746524810791</c:v>
                </c:pt>
                <c:pt idx="1">
                  <c:v>10.26500034332275</c:v>
                </c:pt>
                <c:pt idx="2">
                  <c:v>8.758434295654297</c:v>
                </c:pt>
                <c:pt idx="3">
                  <c:v>7.069362163543701</c:v>
                </c:pt>
                <c:pt idx="4">
                  <c:v>8.319994926452637</c:v>
                </c:pt>
                <c:pt idx="5">
                  <c:v>6.88732385635376</c:v>
                </c:pt>
                <c:pt idx="6">
                  <c:v>9.149863243103027</c:v>
                </c:pt>
                <c:pt idx="7">
                  <c:v>7.37236213684082</c:v>
                </c:pt>
                <c:pt idx="8">
                  <c:v>5.323991775512695</c:v>
                </c:pt>
                <c:pt idx="9">
                  <c:v>8.366021156311035</c:v>
                </c:pt>
                <c:pt idx="10">
                  <c:v>7.393245220184326</c:v>
                </c:pt>
                <c:pt idx="11">
                  <c:v>7.365799903869629</c:v>
                </c:pt>
                <c:pt idx="12">
                  <c:v>8.01375675201416</c:v>
                </c:pt>
                <c:pt idx="13">
                  <c:v>3.980041980743408</c:v>
                </c:pt>
                <c:pt idx="14">
                  <c:v>13.99660968780518</c:v>
                </c:pt>
                <c:pt idx="15">
                  <c:v>8.004570960998535</c:v>
                </c:pt>
                <c:pt idx="16">
                  <c:v>0.6646957993507385</c:v>
                </c:pt>
                <c:pt idx="17">
                  <c:v>-0.05409051850438118</c:v>
                </c:pt>
                <c:pt idx="18">
                  <c:v>0.9475120902061462</c:v>
                </c:pt>
                <c:pt idx="19">
                  <c:v>27.84515953063965</c:v>
                </c:pt>
                <c:pt idx="20">
                  <c:v>1.767848968505859</c:v>
                </c:pt>
                <c:pt idx="21">
                  <c:v>0.6231549978256226</c:v>
                </c:pt>
                <c:pt idx="22">
                  <c:v>1.102659940719604</c:v>
                </c:pt>
                <c:pt idx="23">
                  <c:v>10.36571979522705</c:v>
                </c:pt>
                <c:pt idx="24">
                  <c:v>7.165358066558838</c:v>
                </c:pt>
                <c:pt idx="25">
                  <c:v>14.33267021179199</c:v>
                </c:pt>
                <c:pt idx="26">
                  <c:v>9.477082252502441</c:v>
                </c:pt>
                <c:pt idx="27">
                  <c:v>7.74265718460083</c:v>
                </c:pt>
                <c:pt idx="28">
                  <c:v>7.745597839355469</c:v>
                </c:pt>
                <c:pt idx="29">
                  <c:v>6.772552967071533</c:v>
                </c:pt>
                <c:pt idx="30">
                  <c:v>5.851851940155029</c:v>
                </c:pt>
                <c:pt idx="31">
                  <c:v>7.705772876739502</c:v>
                </c:pt>
                <c:pt idx="32">
                  <c:v>3.876046895980835</c:v>
                </c:pt>
                <c:pt idx="33">
                  <c:v>1.375887036323547</c:v>
                </c:pt>
                <c:pt idx="34">
                  <c:v>1.425675988197327</c:v>
                </c:pt>
                <c:pt idx="35">
                  <c:v>0.8125017881393433</c:v>
                </c:pt>
                <c:pt idx="36">
                  <c:v>8.072714805603027</c:v>
                </c:pt>
                <c:pt idx="37">
                  <c:v>0.8829571008682251</c:v>
                </c:pt>
                <c:pt idx="38">
                  <c:v>0.9747636914253235</c:v>
                </c:pt>
                <c:pt idx="39">
                  <c:v>1.444102048873901</c:v>
                </c:pt>
                <c:pt idx="40">
                  <c:v>23.62397956848145</c:v>
                </c:pt>
                <c:pt idx="41">
                  <c:v>19.6618595123291</c:v>
                </c:pt>
                <c:pt idx="42">
                  <c:v>13.10616016387939</c:v>
                </c:pt>
                <c:pt idx="43">
                  <c:v>7.548855781555176</c:v>
                </c:pt>
                <c:pt idx="44">
                  <c:v>7.881991863250732</c:v>
                </c:pt>
                <c:pt idx="45">
                  <c:v>7.491014957427979</c:v>
                </c:pt>
                <c:pt idx="46">
                  <c:v>5.001891136169434</c:v>
                </c:pt>
                <c:pt idx="47">
                  <c:v>9.062353134155273</c:v>
                </c:pt>
                <c:pt idx="48">
                  <c:v>7.334950923919678</c:v>
                </c:pt>
                <c:pt idx="49">
                  <c:v>2.112140893936157</c:v>
                </c:pt>
                <c:pt idx="50">
                  <c:v>-2.181539058685303</c:v>
                </c:pt>
                <c:pt idx="51">
                  <c:v>1.310423016548157</c:v>
                </c:pt>
                <c:pt idx="52">
                  <c:v>42.47193145751953</c:v>
                </c:pt>
                <c:pt idx="53">
                  <c:v>1.919422030448914</c:v>
                </c:pt>
                <c:pt idx="54">
                  <c:v>-0.6869742870330811</c:v>
                </c:pt>
                <c:pt idx="55">
                  <c:v>0.5749549865722656</c:v>
                </c:pt>
                <c:pt idx="56">
                  <c:v>3.037049055099487</c:v>
                </c:pt>
                <c:pt idx="57">
                  <c:v>11.22406005859375</c:v>
                </c:pt>
                <c:pt idx="58">
                  <c:v>16.5955696105957</c:v>
                </c:pt>
                <c:pt idx="59">
                  <c:v>11.19254016876221</c:v>
                </c:pt>
                <c:pt idx="60">
                  <c:v>8.005851745605469</c:v>
                </c:pt>
                <c:pt idx="61">
                  <c:v>7.818875789642334</c:v>
                </c:pt>
                <c:pt idx="62">
                  <c:v>7.253254890441895</c:v>
                </c:pt>
                <c:pt idx="63">
                  <c:v>5.166894912719727</c:v>
                </c:pt>
                <c:pt idx="64">
                  <c:v>7.774093151092529</c:v>
                </c:pt>
                <c:pt idx="65">
                  <c:v>5.961288928985596</c:v>
                </c:pt>
                <c:pt idx="66">
                  <c:v>1.530814051628113</c:v>
                </c:pt>
                <c:pt idx="67">
                  <c:v>-1.132848978042603</c:v>
                </c:pt>
                <c:pt idx="68">
                  <c:v>-0.3338395953178406</c:v>
                </c:pt>
                <c:pt idx="69">
                  <c:v>11.28005981445312</c:v>
                </c:pt>
                <c:pt idx="70">
                  <c:v>0.504265308380127</c:v>
                </c:pt>
                <c:pt idx="71">
                  <c:v>1.213809967041016</c:v>
                </c:pt>
                <c:pt idx="72">
                  <c:v>-0.2522642910480499</c:v>
                </c:pt>
                <c:pt idx="73">
                  <c:v>18.18762969970703</c:v>
                </c:pt>
                <c:pt idx="74">
                  <c:v>5.446814060211182</c:v>
                </c:pt>
                <c:pt idx="75">
                  <c:v>15.11645984649658</c:v>
                </c:pt>
                <c:pt idx="76">
                  <c:v>9.162138938903809</c:v>
                </c:pt>
                <c:pt idx="77">
                  <c:v>8.199444770812988</c:v>
                </c:pt>
                <c:pt idx="78">
                  <c:v>7.696744918823242</c:v>
                </c:pt>
                <c:pt idx="79">
                  <c:v>6.268192768096924</c:v>
                </c:pt>
                <c:pt idx="80">
                  <c:v>7.687511920928955</c:v>
                </c:pt>
                <c:pt idx="81">
                  <c:v>7.365602016448975</c:v>
                </c:pt>
                <c:pt idx="82">
                  <c:v>3.854964971542358</c:v>
                </c:pt>
                <c:pt idx="83">
                  <c:v>5.522284984588623</c:v>
                </c:pt>
                <c:pt idx="84">
                  <c:v>7.409293174743652</c:v>
                </c:pt>
                <c:pt idx="85">
                  <c:v>2.59033203125</c:v>
                </c:pt>
                <c:pt idx="86">
                  <c:v>-0.9896649122238159</c:v>
                </c:pt>
                <c:pt idx="87">
                  <c:v>-0.2570140063762665</c:v>
                </c:pt>
                <c:pt idx="88">
                  <c:v>-0.311897486448288</c:v>
                </c:pt>
                <c:pt idx="89">
                  <c:v>25.78845024108887</c:v>
                </c:pt>
                <c:pt idx="90">
                  <c:v>-0.6440103054046631</c:v>
                </c:pt>
                <c:pt idx="91">
                  <c:v>0.318308413028717</c:v>
                </c:pt>
                <c:pt idx="92">
                  <c:v>5.278576850891113</c:v>
                </c:pt>
                <c:pt idx="93">
                  <c:v>9.635787010192871</c:v>
                </c:pt>
                <c:pt idx="94">
                  <c:v>14.08310031890869</c:v>
                </c:pt>
                <c:pt idx="95">
                  <c:v>9.942621231079102</c:v>
                </c:pt>
                <c:pt idx="96">
                  <c:v>7.25200080871582</c:v>
                </c:pt>
                <c:pt idx="97">
                  <c:v>7.573736190795898</c:v>
                </c:pt>
                <c:pt idx="98">
                  <c:v>7.055537223815918</c:v>
                </c:pt>
                <c:pt idx="99">
                  <c:v>5.683345794677734</c:v>
                </c:pt>
                <c:pt idx="100">
                  <c:v>7.752836227416992</c:v>
                </c:pt>
                <c:pt idx="101">
                  <c:v>6.434016227722168</c:v>
                </c:pt>
                <c:pt idx="102">
                  <c:v>1.912996053695679</c:v>
                </c:pt>
                <c:pt idx="103">
                  <c:v>1.529191017150879</c:v>
                </c:pt>
                <c:pt idx="104">
                  <c:v>1.879814982414246</c:v>
                </c:pt>
                <c:pt idx="105">
                  <c:v>5.12211799621582</c:v>
                </c:pt>
                <c:pt idx="106">
                  <c:v>0.968550980091095</c:v>
                </c:pt>
                <c:pt idx="107">
                  <c:v>-1.461987018585205</c:v>
                </c:pt>
                <c:pt idx="108">
                  <c:v>1.330042958259583</c:v>
                </c:pt>
                <c:pt idx="109">
                  <c:v>12.36448955535889</c:v>
                </c:pt>
                <c:pt idx="110">
                  <c:v>4.867338180541992</c:v>
                </c:pt>
                <c:pt idx="111">
                  <c:v>16.90980911254883</c:v>
                </c:pt>
                <c:pt idx="112">
                  <c:v>9.806571006774902</c:v>
                </c:pt>
                <c:pt idx="113">
                  <c:v>8.670331001281738</c:v>
                </c:pt>
                <c:pt idx="114">
                  <c:v>7.862123012542725</c:v>
                </c:pt>
                <c:pt idx="115">
                  <c:v>6.570082187652588</c:v>
                </c:pt>
                <c:pt idx="116">
                  <c:v>7.195343971252441</c:v>
                </c:pt>
                <c:pt idx="117">
                  <c:v>7.311224937438965</c:v>
                </c:pt>
                <c:pt idx="118">
                  <c:v>4.415830135345459</c:v>
                </c:pt>
                <c:pt idx="119">
                  <c:v>9.003500938415527</c:v>
                </c:pt>
                <c:pt idx="120">
                  <c:v>7.123377799987793</c:v>
                </c:pt>
                <c:pt idx="121">
                  <c:v>0.4742138087749481</c:v>
                </c:pt>
                <c:pt idx="122">
                  <c:v>-0.8062081933021545</c:v>
                </c:pt>
                <c:pt idx="123">
                  <c:v>1.432999968528748</c:v>
                </c:pt>
                <c:pt idx="124">
                  <c:v>-0.380022794008255</c:v>
                </c:pt>
                <c:pt idx="125">
                  <c:v>13.14148044586182</c:v>
                </c:pt>
                <c:pt idx="126">
                  <c:v>0.23835089802742</c:v>
                </c:pt>
                <c:pt idx="127">
                  <c:v>0.1190242990851402</c:v>
                </c:pt>
                <c:pt idx="128">
                  <c:v>3.584784984588623</c:v>
                </c:pt>
                <c:pt idx="129">
                  <c:v>14.77902030944824</c:v>
                </c:pt>
                <c:pt idx="130">
                  <c:v>15.63784027099609</c:v>
                </c:pt>
                <c:pt idx="131">
                  <c:v>10.98641014099121</c:v>
                </c:pt>
                <c:pt idx="132">
                  <c:v>7.491486072540283</c:v>
                </c:pt>
                <c:pt idx="133">
                  <c:v>7.727922916412354</c:v>
                </c:pt>
                <c:pt idx="134">
                  <c:v>7.244377136230469</c:v>
                </c:pt>
                <c:pt idx="135">
                  <c:v>5.322825908660889</c:v>
                </c:pt>
                <c:pt idx="136">
                  <c:v>7.860682010650635</c:v>
                </c:pt>
                <c:pt idx="137">
                  <c:v>6.68642520904541</c:v>
                </c:pt>
                <c:pt idx="138">
                  <c:v>1.593839049339294</c:v>
                </c:pt>
                <c:pt idx="139">
                  <c:v>0.6716617941856384</c:v>
                </c:pt>
                <c:pt idx="140">
                  <c:v>-0.1463524997234344</c:v>
                </c:pt>
                <c:pt idx="141">
                  <c:v>13.95722007751465</c:v>
                </c:pt>
                <c:pt idx="142">
                  <c:v>-0.3926098942756653</c:v>
                </c:pt>
                <c:pt idx="143">
                  <c:v>-1.971794009208679</c:v>
                </c:pt>
                <c:pt idx="144">
                  <c:v>-0.4287334978580475</c:v>
                </c:pt>
                <c:pt idx="145">
                  <c:v>8.363768577575684</c:v>
                </c:pt>
                <c:pt idx="146">
                  <c:v>5.701727867126465</c:v>
                </c:pt>
                <c:pt idx="147">
                  <c:v>15.97914028167725</c:v>
                </c:pt>
                <c:pt idx="148">
                  <c:v>9.951997756958008</c:v>
                </c:pt>
                <c:pt idx="149">
                  <c:v>8.362836837768555</c:v>
                </c:pt>
                <c:pt idx="150">
                  <c:v>7.839733123779297</c:v>
                </c:pt>
                <c:pt idx="151">
                  <c:v>6.649569988250732</c:v>
                </c:pt>
                <c:pt idx="152">
                  <c:v>6.74700403213501</c:v>
                </c:pt>
                <c:pt idx="153">
                  <c:v>7.44291877746582</c:v>
                </c:pt>
                <c:pt idx="154">
                  <c:v>4.443212032318115</c:v>
                </c:pt>
                <c:pt idx="155">
                  <c:v>4.707001209259033</c:v>
                </c:pt>
                <c:pt idx="156">
                  <c:v>7.675339221954346</c:v>
                </c:pt>
                <c:pt idx="157">
                  <c:v>-4.160728931427002</c:v>
                </c:pt>
                <c:pt idx="158">
                  <c:v>0.2418082058429718</c:v>
                </c:pt>
                <c:pt idx="159">
                  <c:v>0.6728867292404175</c:v>
                </c:pt>
                <c:pt idx="160">
                  <c:v>0.3445138931274414</c:v>
                </c:pt>
                <c:pt idx="161">
                  <c:v>34.14519119262695</c:v>
                </c:pt>
                <c:pt idx="162">
                  <c:v>2.008632898330688</c:v>
                </c:pt>
                <c:pt idx="163">
                  <c:v>0.1218722984194756</c:v>
                </c:pt>
                <c:pt idx="164">
                  <c:v>0.3807525038719177</c:v>
                </c:pt>
                <c:pt idx="165">
                  <c:v>11.50529956817627</c:v>
                </c:pt>
                <c:pt idx="166">
                  <c:v>15.80506038665771</c:v>
                </c:pt>
                <c:pt idx="167">
                  <c:v>11.30515003204346</c:v>
                </c:pt>
                <c:pt idx="168">
                  <c:v>7.458720207214355</c:v>
                </c:pt>
                <c:pt idx="169">
                  <c:v>7.644736766815186</c:v>
                </c:pt>
                <c:pt idx="170">
                  <c:v>7.240664958953857</c:v>
                </c:pt>
                <c:pt idx="171">
                  <c:v>5.669578075408936</c:v>
                </c:pt>
                <c:pt idx="172">
                  <c:v>8.017612457275391</c:v>
                </c:pt>
                <c:pt idx="173">
                  <c:v>7.414446830749512</c:v>
                </c:pt>
                <c:pt idx="174">
                  <c:v>2.487520933151245</c:v>
                </c:pt>
                <c:pt idx="175">
                  <c:v>16.95166969299316</c:v>
                </c:pt>
                <c:pt idx="176">
                  <c:v>7.10145902633667</c:v>
                </c:pt>
                <c:pt idx="177">
                  <c:v>0.8732035160064697</c:v>
                </c:pt>
                <c:pt idx="178">
                  <c:v>-0.544882595539093</c:v>
                </c:pt>
                <c:pt idx="179">
                  <c:v>-0.363375186920166</c:v>
                </c:pt>
                <c:pt idx="180">
                  <c:v>0.008583140559494495</c:v>
                </c:pt>
                <c:pt idx="181">
                  <c:v>27.36611938476562</c:v>
                </c:pt>
                <c:pt idx="182">
                  <c:v>2.599164962768555</c:v>
                </c:pt>
                <c:pt idx="183">
                  <c:v>0.3579599857330322</c:v>
                </c:pt>
                <c:pt idx="184">
                  <c:v>12.12623023986816</c:v>
                </c:pt>
                <c:pt idx="185">
                  <c:v>9.638326644897461</c:v>
                </c:pt>
                <c:pt idx="186">
                  <c:v>13.33382034301758</c:v>
                </c:pt>
                <c:pt idx="187">
                  <c:v>9.328569412231445</c:v>
                </c:pt>
                <c:pt idx="188">
                  <c:v>7.368453979492188</c:v>
                </c:pt>
                <c:pt idx="189">
                  <c:v>7.501893043518066</c:v>
                </c:pt>
                <c:pt idx="190">
                  <c:v>6.737947940826416</c:v>
                </c:pt>
                <c:pt idx="191">
                  <c:v>6.480961799621582</c:v>
                </c:pt>
                <c:pt idx="192">
                  <c:v>7.4616379737854</c:v>
                </c:pt>
                <c:pt idx="193">
                  <c:v>4.943479061126709</c:v>
                </c:pt>
                <c:pt idx="194">
                  <c:v>2.920823097229004</c:v>
                </c:pt>
                <c:pt idx="195">
                  <c:v>8.701483726501465</c:v>
                </c:pt>
                <c:pt idx="196">
                  <c:v>0.7028763294219971</c:v>
                </c:pt>
                <c:pt idx="197">
                  <c:v>2.010415077209473</c:v>
                </c:pt>
                <c:pt idx="198">
                  <c:v>-0.138065293431282</c:v>
                </c:pt>
                <c:pt idx="199">
                  <c:v>0.09224162995815277</c:v>
                </c:pt>
                <c:pt idx="200">
                  <c:v>23.7426700592041</c:v>
                </c:pt>
                <c:pt idx="201">
                  <c:v>2.362399101257324</c:v>
                </c:pt>
                <c:pt idx="202">
                  <c:v>0.6129351258277893</c:v>
                </c:pt>
                <c:pt idx="203">
                  <c:v>0.2864266037940979</c:v>
                </c:pt>
                <c:pt idx="204">
                  <c:v>18.73410987854004</c:v>
                </c:pt>
                <c:pt idx="205">
                  <c:v>15.87745952606201</c:v>
                </c:pt>
                <c:pt idx="206">
                  <c:v>11.6171703338623</c:v>
                </c:pt>
                <c:pt idx="207">
                  <c:v>7.52826976776123</c:v>
                </c:pt>
                <c:pt idx="208">
                  <c:v>7.712130069732666</c:v>
                </c:pt>
                <c:pt idx="209">
                  <c:v>7.335742950439453</c:v>
                </c:pt>
                <c:pt idx="210">
                  <c:v>5.4203200340271</c:v>
                </c:pt>
                <c:pt idx="211">
                  <c:v>8.310591697692871</c:v>
                </c:pt>
                <c:pt idx="212">
                  <c:v>7.452622890472412</c:v>
                </c:pt>
                <c:pt idx="213">
                  <c:v>2.044663906097412</c:v>
                </c:pt>
                <c:pt idx="214">
                  <c:v>1.476395964622498</c:v>
                </c:pt>
                <c:pt idx="215">
                  <c:v>-0.2250335961580276</c:v>
                </c:pt>
                <c:pt idx="216">
                  <c:v>27.67227935791016</c:v>
                </c:pt>
                <c:pt idx="217">
                  <c:v>1.263442993164062</c:v>
                </c:pt>
                <c:pt idx="218">
                  <c:v>-0.1041062995791435</c:v>
                </c:pt>
                <c:pt idx="219">
                  <c:v>0.4062212109565735</c:v>
                </c:pt>
                <c:pt idx="220">
                  <c:v>0.4000535905361176</c:v>
                </c:pt>
                <c:pt idx="221">
                  <c:v>13.99878025054932</c:v>
                </c:pt>
                <c:pt idx="222">
                  <c:v>17.39262962341309</c:v>
                </c:pt>
                <c:pt idx="223">
                  <c:v>12.0518798828125</c:v>
                </c:pt>
                <c:pt idx="224">
                  <c:v>8.194204330444336</c:v>
                </c:pt>
                <c:pt idx="225">
                  <c:v>7.885172843933105</c:v>
                </c:pt>
                <c:pt idx="226">
                  <c:v>7.333201885223389</c:v>
                </c:pt>
                <c:pt idx="227">
                  <c:v>5.453845024108887</c:v>
                </c:pt>
                <c:pt idx="228">
                  <c:v>7.680521011352539</c:v>
                </c:pt>
                <c:pt idx="229">
                  <c:v>6.989535808563232</c:v>
                </c:pt>
                <c:pt idx="230">
                  <c:v>3.162544012069702</c:v>
                </c:pt>
                <c:pt idx="231">
                  <c:v>9.047774314880371</c:v>
                </c:pt>
                <c:pt idx="232">
                  <c:v>2.608668088912964</c:v>
                </c:pt>
                <c:pt idx="233">
                  <c:v>1.094779014587402</c:v>
                </c:pt>
                <c:pt idx="234">
                  <c:v>1.143844962120056</c:v>
                </c:pt>
                <c:pt idx="235">
                  <c:v>0.07736170291900635</c:v>
                </c:pt>
                <c:pt idx="236">
                  <c:v>21.96824073791504</c:v>
                </c:pt>
                <c:pt idx="237">
                  <c:v>2.028357982635498</c:v>
                </c:pt>
                <c:pt idx="238">
                  <c:v>0.5153905749320984</c:v>
                </c:pt>
                <c:pt idx="239">
                  <c:v>0.4637671113014221</c:v>
                </c:pt>
                <c:pt idx="240">
                  <c:v>28.01506042480469</c:v>
                </c:pt>
                <c:pt idx="241">
                  <c:v>17.27429008483887</c:v>
                </c:pt>
                <c:pt idx="242">
                  <c:v>12.5378303527832</c:v>
                </c:pt>
                <c:pt idx="243">
                  <c:v>7.941376209259033</c:v>
                </c:pt>
                <c:pt idx="244">
                  <c:v>7.757314205169678</c:v>
                </c:pt>
                <c:pt idx="245">
                  <c:v>7.409433841705322</c:v>
                </c:pt>
                <c:pt idx="246">
                  <c:v>5.743878841400146</c:v>
                </c:pt>
                <c:pt idx="247">
                  <c:v>8.100167274475098</c:v>
                </c:pt>
                <c:pt idx="248">
                  <c:v>7.440176963806152</c:v>
                </c:pt>
                <c:pt idx="249">
                  <c:v>2.804192066192627</c:v>
                </c:pt>
                <c:pt idx="250">
                  <c:v>1.634837985038757</c:v>
                </c:pt>
                <c:pt idx="251">
                  <c:v>1.654659986495972</c:v>
                </c:pt>
                <c:pt idx="252">
                  <c:v>19.44512939453125</c:v>
                </c:pt>
                <c:pt idx="253">
                  <c:v>1.477885961532593</c:v>
                </c:pt>
                <c:pt idx="254">
                  <c:v>0.6923407912254333</c:v>
                </c:pt>
                <c:pt idx="255">
                  <c:v>0.1589563935995102</c:v>
                </c:pt>
                <c:pt idx="256">
                  <c:v>0.3262285888195038</c:v>
                </c:pt>
                <c:pt idx="257">
                  <c:v>18.47660064697266</c:v>
                </c:pt>
                <c:pt idx="258">
                  <c:v>20.76081085205078</c:v>
                </c:pt>
                <c:pt idx="259">
                  <c:v>13.70586013793945</c:v>
                </c:pt>
                <c:pt idx="260">
                  <c:v>8.281859397888184</c:v>
                </c:pt>
                <c:pt idx="261">
                  <c:v>8.031924247741699</c:v>
                </c:pt>
                <c:pt idx="262">
                  <c:v>7.515675067901611</c:v>
                </c:pt>
                <c:pt idx="263">
                  <c:v>5.363417148590088</c:v>
                </c:pt>
                <c:pt idx="264">
                  <c:v>7.847804069519043</c:v>
                </c:pt>
                <c:pt idx="265">
                  <c:v>7.481750965118408</c:v>
                </c:pt>
                <c:pt idx="266">
                  <c:v>3.382245063781738</c:v>
                </c:pt>
                <c:pt idx="267">
                  <c:v>9.126946449279785</c:v>
                </c:pt>
                <c:pt idx="268">
                  <c:v>4.46985912322998</c:v>
                </c:pt>
                <c:pt idx="269">
                  <c:v>-2.361452102661133</c:v>
                </c:pt>
                <c:pt idx="270">
                  <c:v>-0.1634791046380997</c:v>
                </c:pt>
                <c:pt idx="271">
                  <c:v>3.868951082229614</c:v>
                </c:pt>
                <c:pt idx="272">
                  <c:v>21.31040954589844</c:v>
                </c:pt>
                <c:pt idx="273">
                  <c:v>1.830679059028625</c:v>
                </c:pt>
                <c:pt idx="274">
                  <c:v>0.3495123982429504</c:v>
                </c:pt>
                <c:pt idx="275">
                  <c:v>4.07623291015625</c:v>
                </c:pt>
                <c:pt idx="276">
                  <c:v>46.45610046386719</c:v>
                </c:pt>
                <c:pt idx="277">
                  <c:v>10.70742988586426</c:v>
                </c:pt>
                <c:pt idx="278">
                  <c:v>13.8743200302124</c:v>
                </c:pt>
                <c:pt idx="279">
                  <c:v>8.90892219543457</c:v>
                </c:pt>
                <c:pt idx="280">
                  <c:v>7.828499794006348</c:v>
                </c:pt>
                <c:pt idx="281">
                  <c:v>7.54696798324585</c:v>
                </c:pt>
                <c:pt idx="282">
                  <c:v>6.384655952453613</c:v>
                </c:pt>
                <c:pt idx="283">
                  <c:v>7.241240978240967</c:v>
                </c:pt>
                <c:pt idx="284">
                  <c:v>7.417926788330078</c:v>
                </c:pt>
                <c:pt idx="285">
                  <c:v>3.865113019943237</c:v>
                </c:pt>
                <c:pt idx="286">
                  <c:v>1.349668979644775</c:v>
                </c:pt>
                <c:pt idx="287">
                  <c:v>0.8301180005073547</c:v>
                </c:pt>
                <c:pt idx="288">
                  <c:v>23.34474945068359</c:v>
                </c:pt>
              </c:numCache>
            </c:numRef>
          </c:yVal>
        </c:ser>
        <c:ser>
          <c:idx val="3"/>
          <c:order val="3"/>
          <c:tx>
            <c:strRef>
              <c:f>Legends!B5</c:f>
              <c:strCache>
                <c:ptCount val="1"/>
                <c:pt idx="0">
                  <c:v>VAR4</c:v>
                </c:pt>
              </c:strCache>
            </c:strRef>
          </c:tx>
          <c:marker>
            <c:symbol val="none"/>
          </c:marker>
          <c:xVal>
            <c:numRef>
              <c:f>SIM2!$D$11:$D$299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1.250362277030945</c:v>
                </c:pt>
                <c:pt idx="6">
                  <c:v>1.500348329544067</c:v>
                </c:pt>
                <c:pt idx="7">
                  <c:v>1.750333905220032</c:v>
                </c:pt>
                <c:pt idx="8">
                  <c:v>2.000319480895996</c:v>
                </c:pt>
                <c:pt idx="9">
                  <c:v>2.250304937362671</c:v>
                </c:pt>
                <c:pt idx="10">
                  <c:v>2.500290632247925</c:v>
                </c:pt>
                <c:pt idx="11">
                  <c:v>2.7502760887146</c:v>
                </c:pt>
                <c:pt idx="12">
                  <c:v>3.000097274780273</c:v>
                </c:pt>
                <c:pt idx="13">
                  <c:v>3.25011944770813</c:v>
                </c:pt>
                <c:pt idx="14">
                  <c:v>3.500241756439209</c:v>
                </c:pt>
                <c:pt idx="15">
                  <c:v>3.750241756439209</c:v>
                </c:pt>
                <c:pt idx="16">
                  <c:v>4.000097274780273</c:v>
                </c:pt>
                <c:pt idx="17">
                  <c:v>4.250372409820557</c:v>
                </c:pt>
                <c:pt idx="18">
                  <c:v>4.500458240509033</c:v>
                </c:pt>
                <c:pt idx="19">
                  <c:v>4.750261306762695</c:v>
                </c:pt>
                <c:pt idx="20">
                  <c:v>5.000511169433594</c:v>
                </c:pt>
                <c:pt idx="21">
                  <c:v>5.250458240509033</c:v>
                </c:pt>
                <c:pt idx="22">
                  <c:v>5.500708103179932</c:v>
                </c:pt>
                <c:pt idx="23">
                  <c:v>5.750102996826172</c:v>
                </c:pt>
                <c:pt idx="24">
                  <c:v>6.000141620635986</c:v>
                </c:pt>
                <c:pt idx="25">
                  <c:v>6.250077724456787</c:v>
                </c:pt>
                <c:pt idx="26">
                  <c:v>6.500152587890625</c:v>
                </c:pt>
                <c:pt idx="27">
                  <c:v>6.750280380249023</c:v>
                </c:pt>
                <c:pt idx="28">
                  <c:v>7.000197410583496</c:v>
                </c:pt>
                <c:pt idx="29">
                  <c:v>7.250205516815186</c:v>
                </c:pt>
                <c:pt idx="30">
                  <c:v>7.500277996063232</c:v>
                </c:pt>
                <c:pt idx="31">
                  <c:v>7.750138759613037</c:v>
                </c:pt>
                <c:pt idx="32">
                  <c:v>8.000371932983398</c:v>
                </c:pt>
                <c:pt idx="33">
                  <c:v>8.250127792358398</c:v>
                </c:pt>
                <c:pt idx="34">
                  <c:v>8.500100135803223</c:v>
                </c:pt>
                <c:pt idx="35">
                  <c:v>8.750033378601074</c:v>
                </c:pt>
                <c:pt idx="36">
                  <c:v>9.000444412231445</c:v>
                </c:pt>
                <c:pt idx="37">
                  <c:v>9.250080108642578</c:v>
                </c:pt>
                <c:pt idx="38">
                  <c:v>9.500617027282715</c:v>
                </c:pt>
                <c:pt idx="39">
                  <c:v>9.75078010559082</c:v>
                </c:pt>
                <c:pt idx="40">
                  <c:v>10.00001907348633</c:v>
                </c:pt>
                <c:pt idx="41">
                  <c:v>10.25024700164795</c:v>
                </c:pt>
                <c:pt idx="42">
                  <c:v>10.50033092498779</c:v>
                </c:pt>
                <c:pt idx="43">
                  <c:v>10.75027179718018</c:v>
                </c:pt>
                <c:pt idx="44">
                  <c:v>11.00011920928955</c:v>
                </c:pt>
                <c:pt idx="45">
                  <c:v>11.25021934509277</c:v>
                </c:pt>
                <c:pt idx="46">
                  <c:v>11.5001859664917</c:v>
                </c:pt>
                <c:pt idx="47">
                  <c:v>11.75002765655518</c:v>
                </c:pt>
                <c:pt idx="48">
                  <c:v>12.00011348724365</c:v>
                </c:pt>
                <c:pt idx="49">
                  <c:v>12.2503719329834</c:v>
                </c:pt>
                <c:pt idx="50">
                  <c:v>12.50043869018555</c:v>
                </c:pt>
                <c:pt idx="51">
                  <c:v>12.75056648254395</c:v>
                </c:pt>
                <c:pt idx="52">
                  <c:v>13.00006675720215</c:v>
                </c:pt>
                <c:pt idx="53">
                  <c:v>13.2501916885376</c:v>
                </c:pt>
                <c:pt idx="54">
                  <c:v>13.5005054473877</c:v>
                </c:pt>
                <c:pt idx="55">
                  <c:v>13.75016117095947</c:v>
                </c:pt>
                <c:pt idx="56">
                  <c:v>14.00051689147949</c:v>
                </c:pt>
                <c:pt idx="57">
                  <c:v>14.25014972686768</c:v>
                </c:pt>
                <c:pt idx="58">
                  <c:v>14.50046920776367</c:v>
                </c:pt>
                <c:pt idx="59">
                  <c:v>14.75034713745117</c:v>
                </c:pt>
                <c:pt idx="60">
                  <c:v>15.00014400482178</c:v>
                </c:pt>
                <c:pt idx="61">
                  <c:v>15.25021076202393</c:v>
                </c:pt>
                <c:pt idx="62">
                  <c:v>15.50024700164795</c:v>
                </c:pt>
                <c:pt idx="63">
                  <c:v>15.75032234191895</c:v>
                </c:pt>
                <c:pt idx="64">
                  <c:v>16.00037574768066</c:v>
                </c:pt>
                <c:pt idx="65">
                  <c:v>16.2500057220459</c:v>
                </c:pt>
                <c:pt idx="66">
                  <c:v>16.50015258789062</c:v>
                </c:pt>
                <c:pt idx="67">
                  <c:v>16.7504997253418</c:v>
                </c:pt>
                <c:pt idx="68">
                  <c:v>17.0006275177002</c:v>
                </c:pt>
                <c:pt idx="69">
                  <c:v>17.25049209594727</c:v>
                </c:pt>
                <c:pt idx="70">
                  <c:v>17.50015640258789</c:v>
                </c:pt>
                <c:pt idx="71">
                  <c:v>17.75071716308594</c:v>
                </c:pt>
                <c:pt idx="72">
                  <c:v>18.00077247619629</c:v>
                </c:pt>
                <c:pt idx="73">
                  <c:v>18.25021743774414</c:v>
                </c:pt>
                <c:pt idx="74">
                  <c:v>18.50031471252441</c:v>
                </c:pt>
                <c:pt idx="75">
                  <c:v>18.75001907348633</c:v>
                </c:pt>
                <c:pt idx="76">
                  <c:v>19.00028610229492</c:v>
                </c:pt>
                <c:pt idx="77">
                  <c:v>19.2502326965332</c:v>
                </c:pt>
                <c:pt idx="78">
                  <c:v>19.50001907348633</c:v>
                </c:pt>
                <c:pt idx="79">
                  <c:v>19.7501049041748</c:v>
                </c:pt>
                <c:pt idx="80">
                  <c:v>20.00030517578125</c:v>
                </c:pt>
                <c:pt idx="81">
                  <c:v>20.25009536743164</c:v>
                </c:pt>
                <c:pt idx="82">
                  <c:v>20.50015068054199</c:v>
                </c:pt>
                <c:pt idx="83">
                  <c:v>20.75005912780762</c:v>
                </c:pt>
                <c:pt idx="84">
                  <c:v>21.00000762939453</c:v>
                </c:pt>
                <c:pt idx="85">
                  <c:v>21.25007247924805</c:v>
                </c:pt>
                <c:pt idx="86">
                  <c:v>21.50043678283691</c:v>
                </c:pt>
                <c:pt idx="87">
                  <c:v>21.75017738342285</c:v>
                </c:pt>
                <c:pt idx="88">
                  <c:v>22.00059700012207</c:v>
                </c:pt>
                <c:pt idx="89">
                  <c:v>22.2502384185791</c:v>
                </c:pt>
                <c:pt idx="90">
                  <c:v>22.50051307678223</c:v>
                </c:pt>
                <c:pt idx="91">
                  <c:v>22.75069999694824</c:v>
                </c:pt>
                <c:pt idx="92">
                  <c:v>23.00012969970703</c:v>
                </c:pt>
                <c:pt idx="93">
                  <c:v>23.25051689147949</c:v>
                </c:pt>
                <c:pt idx="94">
                  <c:v>23.50000190734863</c:v>
                </c:pt>
                <c:pt idx="95">
                  <c:v>23.75021934509277</c:v>
                </c:pt>
                <c:pt idx="96">
                  <c:v>24.00034523010254</c:v>
                </c:pt>
                <c:pt idx="97">
                  <c:v>24.25016403198242</c:v>
                </c:pt>
                <c:pt idx="98">
                  <c:v>24.50034523010254</c:v>
                </c:pt>
                <c:pt idx="99">
                  <c:v>24.75016403198242</c:v>
                </c:pt>
                <c:pt idx="100">
                  <c:v>25.00034523010254</c:v>
                </c:pt>
                <c:pt idx="101">
                  <c:v>25.25016403198242</c:v>
                </c:pt>
                <c:pt idx="102">
                  <c:v>25.50043869018555</c:v>
                </c:pt>
                <c:pt idx="103">
                  <c:v>25.75048828125</c:v>
                </c:pt>
                <c:pt idx="104">
                  <c:v>26.00040817260742</c:v>
                </c:pt>
                <c:pt idx="105">
                  <c:v>26.25052261352539</c:v>
                </c:pt>
                <c:pt idx="106">
                  <c:v>26.5001106262207</c:v>
                </c:pt>
                <c:pt idx="107">
                  <c:v>26.75054168701172</c:v>
                </c:pt>
                <c:pt idx="108">
                  <c:v>27.00056457519531</c:v>
                </c:pt>
                <c:pt idx="109">
                  <c:v>27.25063705444336</c:v>
                </c:pt>
                <c:pt idx="110">
                  <c:v>27.50048828125</c:v>
                </c:pt>
                <c:pt idx="111">
                  <c:v>27.75032997131348</c:v>
                </c:pt>
                <c:pt idx="112">
                  <c:v>28.0003604888916</c:v>
                </c:pt>
                <c:pt idx="113">
                  <c:v>28.25030517578125</c:v>
                </c:pt>
                <c:pt idx="114">
                  <c:v>28.50033378601074</c:v>
                </c:pt>
                <c:pt idx="115">
                  <c:v>28.75002861022949</c:v>
                </c:pt>
                <c:pt idx="116">
                  <c:v>29.0001106262207</c:v>
                </c:pt>
                <c:pt idx="117">
                  <c:v>29.25019454956055</c:v>
                </c:pt>
                <c:pt idx="118">
                  <c:v>29.50030517578125</c:v>
                </c:pt>
                <c:pt idx="119">
                  <c:v>29.75008392333984</c:v>
                </c:pt>
                <c:pt idx="120">
                  <c:v>30.00008392333984</c:v>
                </c:pt>
                <c:pt idx="121">
                  <c:v>30.2503604888916</c:v>
                </c:pt>
                <c:pt idx="122">
                  <c:v>30.50030517578125</c:v>
                </c:pt>
                <c:pt idx="123">
                  <c:v>30.75008392333984</c:v>
                </c:pt>
                <c:pt idx="124">
                  <c:v>31.00077819824219</c:v>
                </c:pt>
                <c:pt idx="125">
                  <c:v>31.2504997253418</c:v>
                </c:pt>
                <c:pt idx="126">
                  <c:v>31.50055503845215</c:v>
                </c:pt>
                <c:pt idx="127">
                  <c:v>31.75041580200195</c:v>
                </c:pt>
                <c:pt idx="128">
                  <c:v>32.00055694580078</c:v>
                </c:pt>
                <c:pt idx="129">
                  <c:v>32.25002670288086</c:v>
                </c:pt>
                <c:pt idx="130">
                  <c:v>32.50025177001953</c:v>
                </c:pt>
                <c:pt idx="131">
                  <c:v>32.75008392333984</c:v>
                </c:pt>
                <c:pt idx="132">
                  <c:v>33.0001106262207</c:v>
                </c:pt>
                <c:pt idx="133">
                  <c:v>33.25016784667969</c:v>
                </c:pt>
                <c:pt idx="134">
                  <c:v>33.50027847290039</c:v>
                </c:pt>
                <c:pt idx="135">
                  <c:v>33.75019454956055</c:v>
                </c:pt>
                <c:pt idx="136">
                  <c:v>34.00008392333984</c:v>
                </c:pt>
                <c:pt idx="137">
                  <c:v>34.25033187866211</c:v>
                </c:pt>
                <c:pt idx="138">
                  <c:v>34.50030517578125</c:v>
                </c:pt>
                <c:pt idx="139">
                  <c:v>34.7501106262207</c:v>
                </c:pt>
                <c:pt idx="140">
                  <c:v>35.00008392333984</c:v>
                </c:pt>
                <c:pt idx="141">
                  <c:v>35.25</c:v>
                </c:pt>
                <c:pt idx="142">
                  <c:v>35.5006103515625</c:v>
                </c:pt>
                <c:pt idx="143">
                  <c:v>35.7506103515625</c:v>
                </c:pt>
                <c:pt idx="144">
                  <c:v>36.00033187866211</c:v>
                </c:pt>
                <c:pt idx="145">
                  <c:v>36.25091552734375</c:v>
                </c:pt>
                <c:pt idx="146">
                  <c:v>36.50027847290039</c:v>
                </c:pt>
                <c:pt idx="147">
                  <c:v>36.75002670288086</c:v>
                </c:pt>
                <c:pt idx="148">
                  <c:v>37.00016784667969</c:v>
                </c:pt>
                <c:pt idx="149">
                  <c:v>37.25005722045898</c:v>
                </c:pt>
                <c:pt idx="150">
                  <c:v>37.50016784667969</c:v>
                </c:pt>
                <c:pt idx="151">
                  <c:v>37.75016784667969</c:v>
                </c:pt>
                <c:pt idx="152">
                  <c:v>38.00016784667969</c:v>
                </c:pt>
                <c:pt idx="153">
                  <c:v>38.25019454956055</c:v>
                </c:pt>
                <c:pt idx="154">
                  <c:v>38.50019454956055</c:v>
                </c:pt>
                <c:pt idx="155">
                  <c:v>38.75033187866211</c:v>
                </c:pt>
                <c:pt idx="156">
                  <c:v>39.00019454956055</c:v>
                </c:pt>
                <c:pt idx="157">
                  <c:v>39.25013732910156</c:v>
                </c:pt>
                <c:pt idx="158">
                  <c:v>39.50025177001953</c:v>
                </c:pt>
                <c:pt idx="159">
                  <c:v>39.75027847290039</c:v>
                </c:pt>
                <c:pt idx="160">
                  <c:v>40.00080490112305</c:v>
                </c:pt>
                <c:pt idx="161">
                  <c:v>40.25005722045898</c:v>
                </c:pt>
                <c:pt idx="162">
                  <c:v>40.50063705444336</c:v>
                </c:pt>
                <c:pt idx="163">
                  <c:v>40.75005722045898</c:v>
                </c:pt>
                <c:pt idx="164">
                  <c:v>41.00022125244141</c:v>
                </c:pt>
                <c:pt idx="165">
                  <c:v>41.25019454956055</c:v>
                </c:pt>
                <c:pt idx="166">
                  <c:v>41.50008392333984</c:v>
                </c:pt>
                <c:pt idx="167">
                  <c:v>41.75005722045898</c:v>
                </c:pt>
                <c:pt idx="168">
                  <c:v>42.00013732910156</c:v>
                </c:pt>
                <c:pt idx="169">
                  <c:v>42.2501106262207</c:v>
                </c:pt>
                <c:pt idx="170">
                  <c:v>42.50033187866211</c:v>
                </c:pt>
                <c:pt idx="171">
                  <c:v>42.75005722045898</c:v>
                </c:pt>
                <c:pt idx="172">
                  <c:v>43.0001106262207</c:v>
                </c:pt>
                <c:pt idx="173">
                  <c:v>43.25019454956055</c:v>
                </c:pt>
                <c:pt idx="174">
                  <c:v>43.50025177001953</c:v>
                </c:pt>
                <c:pt idx="175">
                  <c:v>43.75027847290039</c:v>
                </c:pt>
                <c:pt idx="176">
                  <c:v>44.00016784667969</c:v>
                </c:pt>
                <c:pt idx="177">
                  <c:v>44.25038909912109</c:v>
                </c:pt>
                <c:pt idx="178">
                  <c:v>44.50047302246094</c:v>
                </c:pt>
                <c:pt idx="179">
                  <c:v>44.75019454956055</c:v>
                </c:pt>
                <c:pt idx="180">
                  <c:v>45.00066757202148</c:v>
                </c:pt>
                <c:pt idx="181">
                  <c:v>45.25008392333984</c:v>
                </c:pt>
                <c:pt idx="182">
                  <c:v>45.50019454956055</c:v>
                </c:pt>
                <c:pt idx="183">
                  <c:v>45.75066757202148</c:v>
                </c:pt>
                <c:pt idx="184">
                  <c:v>46.00030517578125</c:v>
                </c:pt>
                <c:pt idx="185">
                  <c:v>46.25038909912109</c:v>
                </c:pt>
                <c:pt idx="186">
                  <c:v>46.50005722045898</c:v>
                </c:pt>
                <c:pt idx="187">
                  <c:v>46.75008392333984</c:v>
                </c:pt>
                <c:pt idx="188">
                  <c:v>47.00013732910156</c:v>
                </c:pt>
                <c:pt idx="189">
                  <c:v>47.25022125244141</c:v>
                </c:pt>
                <c:pt idx="190">
                  <c:v>47.50027847290039</c:v>
                </c:pt>
                <c:pt idx="191">
                  <c:v>47.75033187866211</c:v>
                </c:pt>
                <c:pt idx="192">
                  <c:v>48.00002670288086</c:v>
                </c:pt>
                <c:pt idx="193">
                  <c:v>48.2501106262207</c:v>
                </c:pt>
                <c:pt idx="194">
                  <c:v>48.50038909912109</c:v>
                </c:pt>
                <c:pt idx="195">
                  <c:v>48.75019454956055</c:v>
                </c:pt>
                <c:pt idx="196">
                  <c:v>49.00036239624023</c:v>
                </c:pt>
                <c:pt idx="197">
                  <c:v>49.2501106262207</c:v>
                </c:pt>
                <c:pt idx="198">
                  <c:v>49.50019454956055</c:v>
                </c:pt>
                <c:pt idx="199">
                  <c:v>49.75005722045898</c:v>
                </c:pt>
                <c:pt idx="200">
                  <c:v>50.00013732910156</c:v>
                </c:pt>
                <c:pt idx="201">
                  <c:v>50.25005722045898</c:v>
                </c:pt>
                <c:pt idx="202">
                  <c:v>50.50036239624023</c:v>
                </c:pt>
                <c:pt idx="203">
                  <c:v>50.75030517578125</c:v>
                </c:pt>
                <c:pt idx="204">
                  <c:v>51.00005722045898</c:v>
                </c:pt>
                <c:pt idx="205">
                  <c:v>51.25027847290039</c:v>
                </c:pt>
                <c:pt idx="206">
                  <c:v>51.50005722045898</c:v>
                </c:pt>
                <c:pt idx="207">
                  <c:v>51.75</c:v>
                </c:pt>
                <c:pt idx="208">
                  <c:v>52.00030517578125</c:v>
                </c:pt>
                <c:pt idx="209">
                  <c:v>52.2501106262207</c:v>
                </c:pt>
                <c:pt idx="210">
                  <c:v>52.50030517578125</c:v>
                </c:pt>
                <c:pt idx="211">
                  <c:v>52.7501106262207</c:v>
                </c:pt>
                <c:pt idx="212">
                  <c:v>53.00027847290039</c:v>
                </c:pt>
                <c:pt idx="213">
                  <c:v>53.25002670288086</c:v>
                </c:pt>
                <c:pt idx="214">
                  <c:v>53.5004997253418</c:v>
                </c:pt>
                <c:pt idx="215">
                  <c:v>53.75052642822266</c:v>
                </c:pt>
                <c:pt idx="216">
                  <c:v>54.00005722045898</c:v>
                </c:pt>
                <c:pt idx="217">
                  <c:v>54.25058364868164</c:v>
                </c:pt>
                <c:pt idx="218">
                  <c:v>54.50063705444336</c:v>
                </c:pt>
                <c:pt idx="219">
                  <c:v>54.7504997253418</c:v>
                </c:pt>
                <c:pt idx="220">
                  <c:v>55</c:v>
                </c:pt>
                <c:pt idx="221">
                  <c:v>55.25047302246094</c:v>
                </c:pt>
                <c:pt idx="222">
                  <c:v>55.5004997253418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</c:v>
                </c:pt>
                <c:pt idx="226">
                  <c:v>56.50022125244141</c:v>
                </c:pt>
                <c:pt idx="227">
                  <c:v>56.75022125244141</c:v>
                </c:pt>
                <c:pt idx="228">
                  <c:v>57.00022125244141</c:v>
                </c:pt>
                <c:pt idx="229">
                  <c:v>57.25019454956055</c:v>
                </c:pt>
                <c:pt idx="230">
                  <c:v>57.50005722045898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58.25047302246094</c:v>
                </c:pt>
                <c:pt idx="234">
                  <c:v>58.50036239624023</c:v>
                </c:pt>
                <c:pt idx="235">
                  <c:v>58.7504997253418</c:v>
                </c:pt>
                <c:pt idx="236">
                  <c:v>59.00041580200195</c:v>
                </c:pt>
                <c:pt idx="237">
                  <c:v>59.2506103515625</c:v>
                </c:pt>
                <c:pt idx="238">
                  <c:v>59.50030517578125</c:v>
                </c:pt>
                <c:pt idx="239">
                  <c:v>59.75041580200195</c:v>
                </c:pt>
                <c:pt idx="240">
                  <c:v>60.00027847290039</c:v>
                </c:pt>
                <c:pt idx="241">
                  <c:v>60.25027847290039</c:v>
                </c:pt>
                <c:pt idx="242">
                  <c:v>60.50041580200195</c:v>
                </c:pt>
                <c:pt idx="243">
                  <c:v>60.75019454956055</c:v>
                </c:pt>
                <c:pt idx="244">
                  <c:v>61.00027847290039</c:v>
                </c:pt>
                <c:pt idx="245">
                  <c:v>61.2501106262207</c:v>
                </c:pt>
                <c:pt idx="246">
                  <c:v>61.50019454956055</c:v>
                </c:pt>
                <c:pt idx="247">
                  <c:v>61.75027847290039</c:v>
                </c:pt>
                <c:pt idx="248">
                  <c:v>62.00033187866211</c:v>
                </c:pt>
                <c:pt idx="249">
                  <c:v>62.25013732910156</c:v>
                </c:pt>
                <c:pt idx="250">
                  <c:v>62.50005722045898</c:v>
                </c:pt>
                <c:pt idx="251">
                  <c:v>62.75002670288086</c:v>
                </c:pt>
                <c:pt idx="252">
                  <c:v>63.00022125244141</c:v>
                </c:pt>
                <c:pt idx="253">
                  <c:v>63.25022125244141</c:v>
                </c:pt>
                <c:pt idx="254">
                  <c:v>63.50013732910156</c:v>
                </c:pt>
                <c:pt idx="255">
                  <c:v>63.75030517578125</c:v>
                </c:pt>
                <c:pt idx="256">
                  <c:v>64.0006103515625</c:v>
                </c:pt>
                <c:pt idx="257">
                  <c:v>64.25003051757812</c:v>
                </c:pt>
                <c:pt idx="258">
                  <c:v>64.50016784667969</c:v>
                </c:pt>
                <c:pt idx="259">
                  <c:v>64.75025177001953</c:v>
                </c:pt>
                <c:pt idx="260">
                  <c:v>65.00011444091797</c:v>
                </c:pt>
                <c:pt idx="261">
                  <c:v>65.25011444091797</c:v>
                </c:pt>
                <c:pt idx="262">
                  <c:v>65.50025177001953</c:v>
                </c:pt>
                <c:pt idx="263">
                  <c:v>65.75025177001953</c:v>
                </c:pt>
                <c:pt idx="264">
                  <c:v>66.00025177001953</c:v>
                </c:pt>
                <c:pt idx="265">
                  <c:v>66.25025177001953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67.00013732910156</c:v>
                </c:pt>
                <c:pt idx="269">
                  <c:v>67.25038909912109</c:v>
                </c:pt>
                <c:pt idx="270">
                  <c:v>67.50019073486328</c:v>
                </c:pt>
                <c:pt idx="271">
                  <c:v>67.75038909912109</c:v>
                </c:pt>
                <c:pt idx="272">
                  <c:v>68.00016784667969</c:v>
                </c:pt>
                <c:pt idx="273">
                  <c:v>68.25013732910156</c:v>
                </c:pt>
                <c:pt idx="274">
                  <c:v>68.50050354003906</c:v>
                </c:pt>
                <c:pt idx="275">
                  <c:v>68.75072479248047</c:v>
                </c:pt>
                <c:pt idx="276">
                  <c:v>69.00019073486328</c:v>
                </c:pt>
                <c:pt idx="277">
                  <c:v>69.25027465820312</c:v>
                </c:pt>
                <c:pt idx="278">
                  <c:v>69.50005340576172</c:v>
                </c:pt>
                <c:pt idx="279">
                  <c:v>69.75030517578125</c:v>
                </c:pt>
                <c:pt idx="280">
                  <c:v>70.00027465820312</c:v>
                </c:pt>
                <c:pt idx="281">
                  <c:v>70.25016784667969</c:v>
                </c:pt>
                <c:pt idx="282">
                  <c:v>70.50022125244141</c:v>
                </c:pt>
                <c:pt idx="283">
                  <c:v>70.75019073486328</c:v>
                </c:pt>
                <c:pt idx="284">
                  <c:v>71.00016784667969</c:v>
                </c:pt>
                <c:pt idx="285">
                  <c:v>71.25013732910156</c:v>
                </c:pt>
                <c:pt idx="286">
                  <c:v>71.50016784667969</c:v>
                </c:pt>
                <c:pt idx="287">
                  <c:v>71.75038909912109</c:v>
                </c:pt>
                <c:pt idx="288">
                  <c:v>72.00019073486328</c:v>
                </c:pt>
              </c:numCache>
            </c:numRef>
          </c:xVal>
          <c:yVal>
            <c:numRef>
              <c:f>SIM2!$I$11:$I$299</c:f>
              <c:numCache>
                <c:ptCount val="289"/>
                <c:pt idx="0">
                  <c:v>0.04023474827408791</c:v>
                </c:pt>
                <c:pt idx="1">
                  <c:v>0.03208952024579048</c:v>
                </c:pt>
                <c:pt idx="2">
                  <c:v>0.02026757970452309</c:v>
                </c:pt>
                <c:pt idx="3">
                  <c:v>0.02031189016997814</c:v>
                </c:pt>
                <c:pt idx="4">
                  <c:v>0.01728381961584091</c:v>
                </c:pt>
                <c:pt idx="5">
                  <c:v>0.0112347798421979</c:v>
                </c:pt>
                <c:pt idx="6">
                  <c:v>0.02428581938147545</c:v>
                </c:pt>
                <c:pt idx="7">
                  <c:v>0.0140394801273942</c:v>
                </c:pt>
                <c:pt idx="8">
                  <c:v>0.009964051656424999</c:v>
                </c:pt>
                <c:pt idx="9">
                  <c:v>0.0175566803663969</c:v>
                </c:pt>
                <c:pt idx="10">
                  <c:v>0.01456431020051241</c:v>
                </c:pt>
                <c:pt idx="11">
                  <c:v>0.02680592983961105</c:v>
                </c:pt>
                <c:pt idx="12">
                  <c:v>0.0158767607063055</c:v>
                </c:pt>
                <c:pt idx="13">
                  <c:v>2.264000045215653E-7</c:v>
                </c:pt>
                <c:pt idx="14">
                  <c:v>0.05035063996911049</c:v>
                </c:pt>
                <c:pt idx="15">
                  <c:v>0.0184132494032383</c:v>
                </c:pt>
                <c:pt idx="16">
                  <c:v>1.314000002139437E-7</c:v>
                </c:pt>
                <c:pt idx="17">
                  <c:v>0.002414763905107975</c:v>
                </c:pt>
                <c:pt idx="18">
                  <c:v>0.0002378169010626152</c:v>
                </c:pt>
                <c:pt idx="19">
                  <c:v>0.7688395977020264</c:v>
                </c:pt>
                <c:pt idx="20">
                  <c:v>1.720000000204891E-7</c:v>
                </c:pt>
                <c:pt idx="21">
                  <c:v>4.929999875002977E-8</c:v>
                </c:pt>
                <c:pt idx="22">
                  <c:v>1.96000002006258E-7</c:v>
                </c:pt>
                <c:pt idx="23">
                  <c:v>0.2527644038200378</c:v>
                </c:pt>
                <c:pt idx="24">
                  <c:v>0.05159810930490494</c:v>
                </c:pt>
                <c:pt idx="25">
                  <c:v>0.05436401814222336</c:v>
                </c:pt>
                <c:pt idx="26">
                  <c:v>0.01652489043772221</c:v>
                </c:pt>
                <c:pt idx="27">
                  <c:v>0.01404414046555758</c:v>
                </c:pt>
                <c:pt idx="28">
                  <c:v>0.01167813967913389</c:v>
                </c:pt>
                <c:pt idx="29">
                  <c:v>3.965000132666319E-7</c:v>
                </c:pt>
                <c:pt idx="30">
                  <c:v>0.01450322009623051</c:v>
                </c:pt>
                <c:pt idx="31">
                  <c:v>0.01359030045568943</c:v>
                </c:pt>
                <c:pt idx="32">
                  <c:v>6.250999717849481E-7</c:v>
                </c:pt>
                <c:pt idx="33">
                  <c:v>3.568000011000549E-7</c:v>
                </c:pt>
                <c:pt idx="34">
                  <c:v>6.028000143487589E-7</c:v>
                </c:pt>
                <c:pt idx="35">
                  <c:v>1.91599994536773E-7</c:v>
                </c:pt>
                <c:pt idx="36">
                  <c:v>0.008159971795976162</c:v>
                </c:pt>
                <c:pt idx="37">
                  <c:v>2.049999991982077E-8</c:v>
                </c:pt>
                <c:pt idx="38">
                  <c:v>2.109999996946499E-8</c:v>
                </c:pt>
                <c:pt idx="39">
                  <c:v>2.1760000379345E-7</c:v>
                </c:pt>
                <c:pt idx="40">
                  <c:v>0.09030947089195251</c:v>
                </c:pt>
                <c:pt idx="41">
                  <c:v>0.1566223055124283</c:v>
                </c:pt>
                <c:pt idx="42">
                  <c:v>0.03720472007989883</c:v>
                </c:pt>
                <c:pt idx="43">
                  <c:v>0.01402010954916477</c:v>
                </c:pt>
                <c:pt idx="44">
                  <c:v>0.01298447977751493</c:v>
                </c:pt>
                <c:pt idx="45">
                  <c:v>0.01088808011263609</c:v>
                </c:pt>
                <c:pt idx="46">
                  <c:v>2.705999975205486E-7</c:v>
                </c:pt>
                <c:pt idx="47">
                  <c:v>0.0203064102679491</c:v>
                </c:pt>
                <c:pt idx="48">
                  <c:v>0.01415146980434656</c:v>
                </c:pt>
                <c:pt idx="49">
                  <c:v>4.349999827013562E-8</c:v>
                </c:pt>
                <c:pt idx="50">
                  <c:v>5.549999926302007E-8</c:v>
                </c:pt>
                <c:pt idx="51">
                  <c:v>4.448999959549838E-7</c:v>
                </c:pt>
                <c:pt idx="52">
                  <c:v>0.3829891979694366</c:v>
                </c:pt>
                <c:pt idx="53">
                  <c:v>5.849999951124119E-8</c:v>
                </c:pt>
                <c:pt idx="54">
                  <c:v>4.960000055120872E-8</c:v>
                </c:pt>
                <c:pt idx="55">
                  <c:v>2.095000013468962E-7</c:v>
                </c:pt>
                <c:pt idx="56">
                  <c:v>0.0316915400326252</c:v>
                </c:pt>
                <c:pt idx="57">
                  <c:v>0.0343623086810112</c:v>
                </c:pt>
                <c:pt idx="58">
                  <c:v>0.08144740015268326</c:v>
                </c:pt>
                <c:pt idx="59">
                  <c:v>0.02284315973520279</c:v>
                </c:pt>
                <c:pt idx="60">
                  <c:v>0.01631695032119751</c:v>
                </c:pt>
                <c:pt idx="61">
                  <c:v>0.01206894032657146</c:v>
                </c:pt>
                <c:pt idx="62">
                  <c:v>0.009926409460604191</c:v>
                </c:pt>
                <c:pt idx="63">
                  <c:v>0.009460576809942722</c:v>
                </c:pt>
                <c:pt idx="64">
                  <c:v>0.01381462998688221</c:v>
                </c:pt>
                <c:pt idx="65">
                  <c:v>4.338999985975533E-7</c:v>
                </c:pt>
                <c:pt idx="66">
                  <c:v>3.290000094580137E-8</c:v>
                </c:pt>
                <c:pt idx="67">
                  <c:v>3.459999931010316E-8</c:v>
                </c:pt>
                <c:pt idx="68">
                  <c:v>2.67607993009733E-5</c:v>
                </c:pt>
                <c:pt idx="69">
                  <c:v>0.01542945019900799</c:v>
                </c:pt>
                <c:pt idx="70">
                  <c:v>1.442000012730205E-7</c:v>
                </c:pt>
                <c:pt idx="71">
                  <c:v>0.001930400962010026</c:v>
                </c:pt>
                <c:pt idx="72">
                  <c:v>9.099999864758956E-9</c:v>
                </c:pt>
                <c:pt idx="73">
                  <c:v>0.7060095071792603</c:v>
                </c:pt>
                <c:pt idx="74">
                  <c:v>0.03707572817802429</c:v>
                </c:pt>
                <c:pt idx="75">
                  <c:v>0.06147842109203339</c:v>
                </c:pt>
                <c:pt idx="76">
                  <c:v>0.01799939945340157</c:v>
                </c:pt>
                <c:pt idx="77">
                  <c:v>0.01501260977238417</c:v>
                </c:pt>
                <c:pt idx="78">
                  <c:v>0.01137628965079784</c:v>
                </c:pt>
                <c:pt idx="79">
                  <c:v>3.293999952802551E-7</c:v>
                </c:pt>
                <c:pt idx="80">
                  <c:v>0.02084694057703018</c:v>
                </c:pt>
                <c:pt idx="81">
                  <c:v>0.01333232037723064</c:v>
                </c:pt>
                <c:pt idx="82">
                  <c:v>6.710000093335111E-7</c:v>
                </c:pt>
                <c:pt idx="83">
                  <c:v>0.02567994967103004</c:v>
                </c:pt>
                <c:pt idx="84">
                  <c:v>0.01188922021538019</c:v>
                </c:pt>
                <c:pt idx="85">
                  <c:v>0.0001659494009800255</c:v>
                </c:pt>
                <c:pt idx="86">
                  <c:v>0.0004015534941572696</c:v>
                </c:pt>
                <c:pt idx="87">
                  <c:v>7.450000083508712E-8</c:v>
                </c:pt>
                <c:pt idx="88">
                  <c:v>1.250000014607622E-8</c:v>
                </c:pt>
                <c:pt idx="89">
                  <c:v>0.08709908276796341</c:v>
                </c:pt>
                <c:pt idx="90">
                  <c:v>2.029999990327269E-7</c:v>
                </c:pt>
                <c:pt idx="91">
                  <c:v>2.380000019286399E-8</c:v>
                </c:pt>
                <c:pt idx="92">
                  <c:v>0.07058650255203247</c:v>
                </c:pt>
                <c:pt idx="93">
                  <c:v>0.02918924950063229</c:v>
                </c:pt>
                <c:pt idx="94">
                  <c:v>0.0548449382185936</c:v>
                </c:pt>
                <c:pt idx="95">
                  <c:v>0.01821745000779629</c:v>
                </c:pt>
                <c:pt idx="96">
                  <c:v>0.01226611994206905</c:v>
                </c:pt>
                <c:pt idx="97">
                  <c:v>0.01162523031234741</c:v>
                </c:pt>
                <c:pt idx="98">
                  <c:v>0.01036306004971266</c:v>
                </c:pt>
                <c:pt idx="99">
                  <c:v>0.01081935968250036</c:v>
                </c:pt>
                <c:pt idx="100">
                  <c:v>0.01472936011850834</c:v>
                </c:pt>
                <c:pt idx="101">
                  <c:v>0.01018813997507095</c:v>
                </c:pt>
                <c:pt idx="102">
                  <c:v>5.129999891551051E-8</c:v>
                </c:pt>
                <c:pt idx="103">
                  <c:v>3.41600014053256E-7</c:v>
                </c:pt>
                <c:pt idx="104">
                  <c:v>3.371000047991402E-7</c:v>
                </c:pt>
                <c:pt idx="105">
                  <c:v>2.21199996985888E-7</c:v>
                </c:pt>
                <c:pt idx="106">
                  <c:v>2.186999950026802E-7</c:v>
                </c:pt>
                <c:pt idx="107">
                  <c:v>3.679999949213197E-8</c:v>
                </c:pt>
                <c:pt idx="108">
                  <c:v>9.596040035830811E-5</c:v>
                </c:pt>
                <c:pt idx="109">
                  <c:v>0.3786104917526245</c:v>
                </c:pt>
                <c:pt idx="110">
                  <c:v>0.02842226065695286</c:v>
                </c:pt>
                <c:pt idx="111">
                  <c:v>0.07393431663513184</c:v>
                </c:pt>
                <c:pt idx="112">
                  <c:v>0.02156266011297703</c:v>
                </c:pt>
                <c:pt idx="113">
                  <c:v>0.01721400022506714</c:v>
                </c:pt>
                <c:pt idx="114">
                  <c:v>0.01179714035242796</c:v>
                </c:pt>
                <c:pt idx="115">
                  <c:v>3.581000100894016E-7</c:v>
                </c:pt>
                <c:pt idx="116">
                  <c:v>0.01731877028942108</c:v>
                </c:pt>
                <c:pt idx="117">
                  <c:v>0.01315645035356283</c:v>
                </c:pt>
                <c:pt idx="118">
                  <c:v>2.133999998932268E-7</c:v>
                </c:pt>
                <c:pt idx="119">
                  <c:v>0.04826465994119644</c:v>
                </c:pt>
                <c:pt idx="120">
                  <c:v>0.01270231045782566</c:v>
                </c:pt>
                <c:pt idx="121">
                  <c:v>2.720000047418125E-8</c:v>
                </c:pt>
                <c:pt idx="122">
                  <c:v>2.503639916540124E-5</c:v>
                </c:pt>
                <c:pt idx="123">
                  <c:v>1.965999985031885E-7</c:v>
                </c:pt>
                <c:pt idx="124">
                  <c:v>2.420000022596014E-8</c:v>
                </c:pt>
                <c:pt idx="125">
                  <c:v>0.02281761914491653</c:v>
                </c:pt>
                <c:pt idx="126">
                  <c:v>2.370000018458995E-8</c:v>
                </c:pt>
                <c:pt idx="127">
                  <c:v>3.590000119402248E-8</c:v>
                </c:pt>
                <c:pt idx="128">
                  <c:v>0.04166524112224579</c:v>
                </c:pt>
                <c:pt idx="129">
                  <c:v>0.05588030070066452</c:v>
                </c:pt>
                <c:pt idx="130">
                  <c:v>0.07307916879653931</c:v>
                </c:pt>
                <c:pt idx="131">
                  <c:v>0.02267603017389774</c:v>
                </c:pt>
                <c:pt idx="132">
                  <c:v>0.01342692039906979</c:v>
                </c:pt>
                <c:pt idx="133">
                  <c:v>0.01196974981576204</c:v>
                </c:pt>
                <c:pt idx="134">
                  <c:v>0.01034993026405573</c:v>
                </c:pt>
                <c:pt idx="135">
                  <c:v>4.917000069326605E-7</c:v>
                </c:pt>
                <c:pt idx="136">
                  <c:v>0.01450079027563334</c:v>
                </c:pt>
                <c:pt idx="137">
                  <c:v>0.01108631957322359</c:v>
                </c:pt>
                <c:pt idx="138">
                  <c:v>3.699999950868005E-8</c:v>
                </c:pt>
                <c:pt idx="139">
                  <c:v>2.114999944069496E-7</c:v>
                </c:pt>
                <c:pt idx="140">
                  <c:v>1.739999966332562E-8</c:v>
                </c:pt>
                <c:pt idx="141">
                  <c:v>0.02376865036785603</c:v>
                </c:pt>
                <c:pt idx="142">
                  <c:v>0.002712534973397851</c:v>
                </c:pt>
                <c:pt idx="143">
                  <c:v>9.349999885444049E-8</c:v>
                </c:pt>
                <c:pt idx="144">
                  <c:v>3.199999909497819E-8</c:v>
                </c:pt>
                <c:pt idx="145">
                  <c:v>0.1755156964063644</c:v>
                </c:pt>
                <c:pt idx="146">
                  <c:v>0.03035775013267994</c:v>
                </c:pt>
                <c:pt idx="147">
                  <c:v>0.06965786218643188</c:v>
                </c:pt>
                <c:pt idx="148">
                  <c:v>0.01965734921395779</c:v>
                </c:pt>
                <c:pt idx="149">
                  <c:v>0.0160924606025219</c:v>
                </c:pt>
                <c:pt idx="150">
                  <c:v>0.01191749982535839</c:v>
                </c:pt>
                <c:pt idx="151">
                  <c:v>3.657999911865772E-7</c:v>
                </c:pt>
                <c:pt idx="152">
                  <c:v>0.01666802912950516</c:v>
                </c:pt>
                <c:pt idx="153">
                  <c:v>0.01325873006135225</c:v>
                </c:pt>
                <c:pt idx="154">
                  <c:v>2.121000051147348E-7</c:v>
                </c:pt>
                <c:pt idx="155">
                  <c:v>0.01688130013644695</c:v>
                </c:pt>
                <c:pt idx="156">
                  <c:v>0.0117688300088048</c:v>
                </c:pt>
                <c:pt idx="157">
                  <c:v>0.001306080957874656</c:v>
                </c:pt>
                <c:pt idx="158">
                  <c:v>1.779000058377278E-7</c:v>
                </c:pt>
                <c:pt idx="159">
                  <c:v>2.879000078337413E-7</c:v>
                </c:pt>
                <c:pt idx="160">
                  <c:v>4.74999986010971E-8</c:v>
                </c:pt>
                <c:pt idx="161">
                  <c:v>0.1581602990627289</c:v>
                </c:pt>
                <c:pt idx="162">
                  <c:v>3.424999874823698E-7</c:v>
                </c:pt>
                <c:pt idx="163">
                  <c:v>1.659999959713332E-8</c:v>
                </c:pt>
                <c:pt idx="164">
                  <c:v>2.790000053209951E-8</c:v>
                </c:pt>
                <c:pt idx="165">
                  <c:v>0.02453845925629139</c:v>
                </c:pt>
                <c:pt idx="166">
                  <c:v>0.07943365722894669</c:v>
                </c:pt>
                <c:pt idx="167">
                  <c:v>0.02484018914401531</c:v>
                </c:pt>
                <c:pt idx="168">
                  <c:v>0.0125967999920249</c:v>
                </c:pt>
                <c:pt idx="169">
                  <c:v>0.01194908004254103</c:v>
                </c:pt>
                <c:pt idx="170">
                  <c:v>0.01056015957146883</c:v>
                </c:pt>
                <c:pt idx="171">
                  <c:v>4.716999910669983E-7</c:v>
                </c:pt>
                <c:pt idx="172">
                  <c:v>0.01617730036377907</c:v>
                </c:pt>
                <c:pt idx="173">
                  <c:v>0.01398287992924452</c:v>
                </c:pt>
                <c:pt idx="174">
                  <c:v>2.082000065684042E-7</c:v>
                </c:pt>
                <c:pt idx="175">
                  <c:v>0.1345369070768356</c:v>
                </c:pt>
                <c:pt idx="176">
                  <c:v>0.01635250076651573</c:v>
                </c:pt>
                <c:pt idx="177">
                  <c:v>3.36200002948317E-7</c:v>
                </c:pt>
                <c:pt idx="178">
                  <c:v>6.14000015275451E-8</c:v>
                </c:pt>
                <c:pt idx="179">
                  <c:v>1.210000011298007E-8</c:v>
                </c:pt>
                <c:pt idx="180">
                  <c:v>5.199999986160719E-9</c:v>
                </c:pt>
                <c:pt idx="181">
                  <c:v>0.10018490254879</c:v>
                </c:pt>
                <c:pt idx="182">
                  <c:v>4.265000086434156E-7</c:v>
                </c:pt>
                <c:pt idx="183">
                  <c:v>2.730000048245529E-8</c:v>
                </c:pt>
                <c:pt idx="184">
                  <c:v>0.3543930053710938</c:v>
                </c:pt>
                <c:pt idx="185">
                  <c:v>0.07576581090688705</c:v>
                </c:pt>
                <c:pt idx="186">
                  <c:v>0.04517297819256783</c:v>
                </c:pt>
                <c:pt idx="187">
                  <c:v>0.01586858928203583</c:v>
                </c:pt>
                <c:pt idx="188">
                  <c:v>0.01229459978640079</c:v>
                </c:pt>
                <c:pt idx="189">
                  <c:v>0.0112468097358942</c:v>
                </c:pt>
                <c:pt idx="190">
                  <c:v>0.009880074299871922</c:v>
                </c:pt>
                <c:pt idx="191">
                  <c:v>0.01408412028104067</c:v>
                </c:pt>
                <c:pt idx="192">
                  <c:v>0.01372576970607042</c:v>
                </c:pt>
                <c:pt idx="193">
                  <c:v>2.726999923652329E-7</c:v>
                </c:pt>
                <c:pt idx="194">
                  <c:v>2.75500013913188E-7</c:v>
                </c:pt>
                <c:pt idx="195">
                  <c:v>0.01351684983819723</c:v>
                </c:pt>
                <c:pt idx="196">
                  <c:v>3.611000067849091E-7</c:v>
                </c:pt>
                <c:pt idx="197">
                  <c:v>1.992000022710272E-7</c:v>
                </c:pt>
                <c:pt idx="198">
                  <c:v>0.001359452959150076</c:v>
                </c:pt>
                <c:pt idx="199">
                  <c:v>5.340000086562213E-8</c:v>
                </c:pt>
                <c:pt idx="200">
                  <c:v>0.9955989718437195</c:v>
                </c:pt>
                <c:pt idx="201">
                  <c:v>3.741999989870237E-7</c:v>
                </c:pt>
                <c:pt idx="202">
                  <c:v>1.32200000280136E-7</c:v>
                </c:pt>
                <c:pt idx="203">
                  <c:v>3.210000087960907E-8</c:v>
                </c:pt>
                <c:pt idx="204">
                  <c:v>0.07543329894542694</c:v>
                </c:pt>
                <c:pt idx="205">
                  <c:v>0.0860619992017746</c:v>
                </c:pt>
                <c:pt idx="206">
                  <c:v>0.02732809074223042</c:v>
                </c:pt>
                <c:pt idx="207">
                  <c:v>0.01198168005794287</c:v>
                </c:pt>
                <c:pt idx="208">
                  <c:v>0.01237259991466999</c:v>
                </c:pt>
                <c:pt idx="209">
                  <c:v>0.01075221970677376</c:v>
                </c:pt>
                <c:pt idx="210">
                  <c:v>3.879000018969236E-7</c:v>
                </c:pt>
                <c:pt idx="211">
                  <c:v>0.01759360916912556</c:v>
                </c:pt>
                <c:pt idx="212">
                  <c:v>0.0141527196392417</c:v>
                </c:pt>
                <c:pt idx="213">
                  <c:v>3.219999911152627E-8</c:v>
                </c:pt>
                <c:pt idx="214">
                  <c:v>2.970000068103218E-8</c:v>
                </c:pt>
                <c:pt idx="215">
                  <c:v>9.309999882134434E-8</c:v>
                </c:pt>
                <c:pt idx="216">
                  <c:v>0.6315336227416992</c:v>
                </c:pt>
                <c:pt idx="217">
                  <c:v>1.420000028673485E-8</c:v>
                </c:pt>
                <c:pt idx="218">
                  <c:v>1.650540070841089E-5</c:v>
                </c:pt>
                <c:pt idx="219">
                  <c:v>1.16300000740921E-7</c:v>
                </c:pt>
                <c:pt idx="220">
                  <c:v>5.129999891551051E-8</c:v>
                </c:pt>
                <c:pt idx="221">
                  <c:v>0.0371437706053257</c:v>
                </c:pt>
                <c:pt idx="222">
                  <c:v>0.09738975018262863</c:v>
                </c:pt>
                <c:pt idx="223">
                  <c:v>0.02705758064985275</c:v>
                </c:pt>
                <c:pt idx="224">
                  <c:v>0.01712130010128021</c:v>
                </c:pt>
                <c:pt idx="225">
                  <c:v>0.01233075000345707</c:v>
                </c:pt>
                <c:pt idx="226">
                  <c:v>0.01007398031651974</c:v>
                </c:pt>
                <c:pt idx="227">
                  <c:v>0.009748847223818302</c:v>
                </c:pt>
                <c:pt idx="228">
                  <c:v>0.0139740202575922</c:v>
                </c:pt>
                <c:pt idx="229">
                  <c:v>0.01203604973852634</c:v>
                </c:pt>
                <c:pt idx="230">
                  <c:v>2.484999868102022E-7</c:v>
                </c:pt>
                <c:pt idx="231">
                  <c:v>0.01553990971297026</c:v>
                </c:pt>
                <c:pt idx="232">
                  <c:v>1.108000020622057E-7</c:v>
                </c:pt>
                <c:pt idx="233">
                  <c:v>0.0007879419135861099</c:v>
                </c:pt>
                <c:pt idx="234">
                  <c:v>5.211999791754351E-7</c:v>
                </c:pt>
                <c:pt idx="235">
                  <c:v>0.0001878264010883868</c:v>
                </c:pt>
                <c:pt idx="236">
                  <c:v>0.8413503170013428</c:v>
                </c:pt>
                <c:pt idx="237">
                  <c:v>6.761000008737028E-7</c:v>
                </c:pt>
                <c:pt idx="238">
                  <c:v>1.04728997030179E-5</c:v>
                </c:pt>
                <c:pt idx="239">
                  <c:v>2.850000058174373E-8</c:v>
                </c:pt>
                <c:pt idx="240">
                  <c:v>0.1152307018637657</c:v>
                </c:pt>
                <c:pt idx="241">
                  <c:v>0.118128702044487</c:v>
                </c:pt>
                <c:pt idx="242">
                  <c:v>0.03425657004117966</c:v>
                </c:pt>
                <c:pt idx="243">
                  <c:v>0.01294525992125273</c:v>
                </c:pt>
                <c:pt idx="244">
                  <c:v>0.01278712041676044</c:v>
                </c:pt>
                <c:pt idx="245">
                  <c:v>0.01086916960775852</c:v>
                </c:pt>
                <c:pt idx="246">
                  <c:v>3.74800009694809E-7</c:v>
                </c:pt>
                <c:pt idx="247">
                  <c:v>0.01843545027077198</c:v>
                </c:pt>
                <c:pt idx="248">
                  <c:v>0.0141407698392868</c:v>
                </c:pt>
                <c:pt idx="249">
                  <c:v>2.316999996310187E-7</c:v>
                </c:pt>
                <c:pt idx="250">
                  <c:v>3.268999932970473E-7</c:v>
                </c:pt>
                <c:pt idx="251">
                  <c:v>2.130999945393341E-7</c:v>
                </c:pt>
                <c:pt idx="252">
                  <c:v>0.4441086947917938</c:v>
                </c:pt>
                <c:pt idx="253">
                  <c:v>6.335999955808802E-7</c:v>
                </c:pt>
                <c:pt idx="254">
                  <c:v>4.549999843561636E-8</c:v>
                </c:pt>
                <c:pt idx="255">
                  <c:v>1.56324003910413E-5</c:v>
                </c:pt>
                <c:pt idx="256">
                  <c:v>8.899999848210882E-9</c:v>
                </c:pt>
                <c:pt idx="257">
                  <c:v>0.06785199791193008</c:v>
                </c:pt>
                <c:pt idx="258">
                  <c:v>0.1572753041982651</c:v>
                </c:pt>
                <c:pt idx="259">
                  <c:v>0.03884546086192131</c:v>
                </c:pt>
                <c:pt idx="260">
                  <c:v>0.01856972090899944</c:v>
                </c:pt>
                <c:pt idx="261">
                  <c:v>0.01305478997528553</c:v>
                </c:pt>
                <c:pt idx="262">
                  <c:v>0.01057939976453781</c:v>
                </c:pt>
                <c:pt idx="263">
                  <c:v>3.934000005756388E-7</c:v>
                </c:pt>
                <c:pt idx="264">
                  <c:v>0.01480225007981062</c:v>
                </c:pt>
                <c:pt idx="265">
                  <c:v>0.0143390903249383</c:v>
                </c:pt>
                <c:pt idx="266">
                  <c:v>2.198000004227652E-7</c:v>
                </c:pt>
                <c:pt idx="267">
                  <c:v>0.01699841022491455</c:v>
                </c:pt>
                <c:pt idx="268">
                  <c:v>2.534000032028416E-7</c:v>
                </c:pt>
                <c:pt idx="269">
                  <c:v>0.0009364875149913132</c:v>
                </c:pt>
                <c:pt idx="270">
                  <c:v>2.129999998601306E-8</c:v>
                </c:pt>
                <c:pt idx="271">
                  <c:v>6.51800007744896E-7</c:v>
                </c:pt>
                <c:pt idx="272">
                  <c:v>0.7334902286529541</c:v>
                </c:pt>
                <c:pt idx="273">
                  <c:v>2.948000030755793E-7</c:v>
                </c:pt>
                <c:pt idx="274">
                  <c:v>4.74999986010971E-8</c:v>
                </c:pt>
                <c:pt idx="275">
                  <c:v>8.233000130530854E-7</c:v>
                </c:pt>
                <c:pt idx="276">
                  <c:v>0.4943425059318542</c:v>
                </c:pt>
                <c:pt idx="277">
                  <c:v>0.1214087009429932</c:v>
                </c:pt>
                <c:pt idx="278">
                  <c:v>0.04755000025033951</c:v>
                </c:pt>
                <c:pt idx="279">
                  <c:v>0.01549813989549875</c:v>
                </c:pt>
                <c:pt idx="280">
                  <c:v>0.01347144041210413</c:v>
                </c:pt>
                <c:pt idx="281">
                  <c:v>0.01111907046288252</c:v>
                </c:pt>
                <c:pt idx="282">
                  <c:v>3.828999979305081E-7</c:v>
                </c:pt>
                <c:pt idx="283">
                  <c:v>0.0181081797927618</c:v>
                </c:pt>
                <c:pt idx="284">
                  <c:v>0.0136759402230382</c:v>
                </c:pt>
                <c:pt idx="285">
                  <c:v>6.407000228136894E-7</c:v>
                </c:pt>
                <c:pt idx="286">
                  <c:v>3.590000119402248E-8</c:v>
                </c:pt>
                <c:pt idx="287">
                  <c:v>1.461000067592977E-7</c:v>
                </c:pt>
                <c:pt idx="288">
                  <c:v>0.08932019770145416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Report-2031_Oil_4500bopd_Liquid_4789blpd_5MMSCFD_GL_TD_Only_OP1_TCV_10pc.genkey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SIM3!$A$11:$A$299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1.250348329544067</c:v>
                </c:pt>
                <c:pt idx="6">
                  <c:v>1.50030505657196</c:v>
                </c:pt>
                <c:pt idx="7">
                  <c:v>1.750392556190491</c:v>
                </c:pt>
                <c:pt idx="8">
                  <c:v>2.000049829483032</c:v>
                </c:pt>
                <c:pt idx="9">
                  <c:v>2.250324249267578</c:v>
                </c:pt>
                <c:pt idx="10">
                  <c:v>2.500113248825073</c:v>
                </c:pt>
                <c:pt idx="11">
                  <c:v>2.750228643417358</c:v>
                </c:pt>
                <c:pt idx="12">
                  <c:v>3.000202894210815</c:v>
                </c:pt>
                <c:pt idx="13">
                  <c:v>3.25017786026001</c:v>
                </c:pt>
                <c:pt idx="14">
                  <c:v>3.500149965286255</c:v>
                </c:pt>
                <c:pt idx="15">
                  <c:v>3.750124931335449</c:v>
                </c:pt>
                <c:pt idx="16">
                  <c:v>4.000100135803223</c:v>
                </c:pt>
                <c:pt idx="17">
                  <c:v>4.250072002410889</c:v>
                </c:pt>
                <c:pt idx="18">
                  <c:v>4.500047206878662</c:v>
                </c:pt>
                <c:pt idx="19">
                  <c:v>4.750022411346436</c:v>
                </c:pt>
                <c:pt idx="20">
                  <c:v>5.000447273254395</c:v>
                </c:pt>
                <c:pt idx="21">
                  <c:v>5.25042200088501</c:v>
                </c:pt>
                <c:pt idx="22">
                  <c:v>5.500394344329834</c:v>
                </c:pt>
                <c:pt idx="23">
                  <c:v>5.750369548797607</c:v>
                </c:pt>
                <c:pt idx="24">
                  <c:v>6.000344276428223</c:v>
                </c:pt>
                <c:pt idx="25">
                  <c:v>6.250316619873047</c:v>
                </c:pt>
                <c:pt idx="26">
                  <c:v>6.50029182434082</c:v>
                </c:pt>
                <c:pt idx="27">
                  <c:v>6.750258445739746</c:v>
                </c:pt>
                <c:pt idx="28">
                  <c:v>7.000214099884033</c:v>
                </c:pt>
                <c:pt idx="29">
                  <c:v>7.250169277191162</c:v>
                </c:pt>
                <c:pt idx="30">
                  <c:v>7.5001220703125</c:v>
                </c:pt>
                <c:pt idx="31">
                  <c:v>7.750119209289551</c:v>
                </c:pt>
                <c:pt idx="32">
                  <c:v>8.000389099121094</c:v>
                </c:pt>
                <c:pt idx="33">
                  <c:v>8.250052452087402</c:v>
                </c:pt>
                <c:pt idx="34">
                  <c:v>8.500241279602051</c:v>
                </c:pt>
                <c:pt idx="35">
                  <c:v>8.750203132629395</c:v>
                </c:pt>
                <c:pt idx="36">
                  <c:v>9.000310897827148</c:v>
                </c:pt>
                <c:pt idx="37">
                  <c:v>9.250052452087402</c:v>
                </c:pt>
                <c:pt idx="38">
                  <c:v>9.50018310546875</c:v>
                </c:pt>
                <c:pt idx="39">
                  <c:v>9.750008583068848</c:v>
                </c:pt>
                <c:pt idx="40">
                  <c:v>10.00001907348633</c:v>
                </c:pt>
                <c:pt idx="41">
                  <c:v>10.25015258789062</c:v>
                </c:pt>
                <c:pt idx="42">
                  <c:v>10.5002498626709</c:v>
                </c:pt>
                <c:pt idx="43">
                  <c:v>10.75041675567627</c:v>
                </c:pt>
                <c:pt idx="44">
                  <c:v>11.0001392364502</c:v>
                </c:pt>
                <c:pt idx="45">
                  <c:v>11.25006103515625</c:v>
                </c:pt>
                <c:pt idx="46">
                  <c:v>11.5003137588501</c:v>
                </c:pt>
                <c:pt idx="47">
                  <c:v>11.75023365020752</c:v>
                </c:pt>
                <c:pt idx="48">
                  <c:v>12.00009727478027</c:v>
                </c:pt>
                <c:pt idx="49">
                  <c:v>12.25032520294189</c:v>
                </c:pt>
                <c:pt idx="50">
                  <c:v>12.50018882751465</c:v>
                </c:pt>
                <c:pt idx="51">
                  <c:v>12.75035285949707</c:v>
                </c:pt>
                <c:pt idx="52">
                  <c:v>13.00004768371582</c:v>
                </c:pt>
                <c:pt idx="53">
                  <c:v>13.25002765655518</c:v>
                </c:pt>
                <c:pt idx="54">
                  <c:v>13.50016403198242</c:v>
                </c:pt>
                <c:pt idx="55">
                  <c:v>13.75041675567627</c:v>
                </c:pt>
                <c:pt idx="56">
                  <c:v>14.0001802444458</c:v>
                </c:pt>
                <c:pt idx="57">
                  <c:v>14.25008010864258</c:v>
                </c:pt>
                <c:pt idx="58">
                  <c:v>14.50016403198242</c:v>
                </c:pt>
                <c:pt idx="59">
                  <c:v>14.75033092498779</c:v>
                </c:pt>
                <c:pt idx="60">
                  <c:v>15.00017547607422</c:v>
                </c:pt>
                <c:pt idx="61">
                  <c:v>15.25016689300537</c:v>
                </c:pt>
                <c:pt idx="62">
                  <c:v>15.50016403198242</c:v>
                </c:pt>
                <c:pt idx="63">
                  <c:v>15.75026416778564</c:v>
                </c:pt>
                <c:pt idx="64">
                  <c:v>16.00035858154297</c:v>
                </c:pt>
                <c:pt idx="65">
                  <c:v>16.2503833770752</c:v>
                </c:pt>
                <c:pt idx="66">
                  <c:v>16.50010299682617</c:v>
                </c:pt>
                <c:pt idx="67">
                  <c:v>16.75003814697266</c:v>
                </c:pt>
                <c:pt idx="68">
                  <c:v>17.00011444091797</c:v>
                </c:pt>
                <c:pt idx="69">
                  <c:v>17.25019073486328</c:v>
                </c:pt>
                <c:pt idx="70">
                  <c:v>17.5001163482666</c:v>
                </c:pt>
                <c:pt idx="71">
                  <c:v>17.75002288818359</c:v>
                </c:pt>
                <c:pt idx="72">
                  <c:v>18.00034523010254</c:v>
                </c:pt>
                <c:pt idx="73">
                  <c:v>18.25021743774414</c:v>
                </c:pt>
                <c:pt idx="74">
                  <c:v>18.50043678283691</c:v>
                </c:pt>
                <c:pt idx="75">
                  <c:v>18.75015068054199</c:v>
                </c:pt>
                <c:pt idx="76">
                  <c:v>19.00040817260742</c:v>
                </c:pt>
                <c:pt idx="77">
                  <c:v>19.25025749206543</c:v>
                </c:pt>
                <c:pt idx="78">
                  <c:v>19.50044441223145</c:v>
                </c:pt>
                <c:pt idx="79">
                  <c:v>19.7502498626709</c:v>
                </c:pt>
                <c:pt idx="80">
                  <c:v>20.00047302246094</c:v>
                </c:pt>
                <c:pt idx="81">
                  <c:v>20.25036430358887</c:v>
                </c:pt>
                <c:pt idx="82">
                  <c:v>20.50029754638672</c:v>
                </c:pt>
                <c:pt idx="83">
                  <c:v>20.75026893615723</c:v>
                </c:pt>
                <c:pt idx="84">
                  <c:v>21.00044250488281</c:v>
                </c:pt>
                <c:pt idx="85">
                  <c:v>21.25006103515625</c:v>
                </c:pt>
                <c:pt idx="86">
                  <c:v>21.50034141540527</c:v>
                </c:pt>
                <c:pt idx="87">
                  <c:v>21.75033569335938</c:v>
                </c:pt>
                <c:pt idx="88">
                  <c:v>22.00017547607422</c:v>
                </c:pt>
                <c:pt idx="89">
                  <c:v>22.25029754638672</c:v>
                </c:pt>
                <c:pt idx="90">
                  <c:v>22.50043296813965</c:v>
                </c:pt>
                <c:pt idx="91">
                  <c:v>22.75029754638672</c:v>
                </c:pt>
                <c:pt idx="92">
                  <c:v>23.00015640258789</c:v>
                </c:pt>
                <c:pt idx="93">
                  <c:v>23.25046920776367</c:v>
                </c:pt>
                <c:pt idx="94">
                  <c:v>23.50008964538574</c:v>
                </c:pt>
                <c:pt idx="95">
                  <c:v>23.7503604888916</c:v>
                </c:pt>
                <c:pt idx="96">
                  <c:v>24.00012016296387</c:v>
                </c:pt>
                <c:pt idx="97">
                  <c:v>24.25001907348633</c:v>
                </c:pt>
                <c:pt idx="98">
                  <c:v>24.50034713745117</c:v>
                </c:pt>
                <c:pt idx="99">
                  <c:v>24.7503833770752</c:v>
                </c:pt>
                <c:pt idx="100">
                  <c:v>25.00030326843262</c:v>
                </c:pt>
                <c:pt idx="101">
                  <c:v>25.2501392364502</c:v>
                </c:pt>
                <c:pt idx="102">
                  <c:v>25.50010299682617</c:v>
                </c:pt>
                <c:pt idx="103">
                  <c:v>25.75044250488281</c:v>
                </c:pt>
                <c:pt idx="104">
                  <c:v>26.00040817260742</c:v>
                </c:pt>
                <c:pt idx="105">
                  <c:v>26.25045776367188</c:v>
                </c:pt>
                <c:pt idx="106">
                  <c:v>26.50009536743164</c:v>
                </c:pt>
                <c:pt idx="107">
                  <c:v>26.75022315979004</c:v>
                </c:pt>
                <c:pt idx="108">
                  <c:v>27.00009155273438</c:v>
                </c:pt>
                <c:pt idx="109">
                  <c:v>27.25018119812012</c:v>
                </c:pt>
                <c:pt idx="110">
                  <c:v>27.50007247924805</c:v>
                </c:pt>
                <c:pt idx="111">
                  <c:v>27.75041961669922</c:v>
                </c:pt>
                <c:pt idx="112">
                  <c:v>28.00002861022949</c:v>
                </c:pt>
                <c:pt idx="113">
                  <c:v>28.25041580200195</c:v>
                </c:pt>
                <c:pt idx="114">
                  <c:v>28.50019454956055</c:v>
                </c:pt>
                <c:pt idx="115">
                  <c:v>28.75016593933105</c:v>
                </c:pt>
                <c:pt idx="116">
                  <c:v>29.00033378601074</c:v>
                </c:pt>
                <c:pt idx="117">
                  <c:v>29.25005531311035</c:v>
                </c:pt>
                <c:pt idx="118">
                  <c:v>29.50030517578125</c:v>
                </c:pt>
                <c:pt idx="119">
                  <c:v>29.75019454956055</c:v>
                </c:pt>
                <c:pt idx="120">
                  <c:v>30.00008392333984</c:v>
                </c:pt>
                <c:pt idx="121">
                  <c:v>30.25005531311035</c:v>
                </c:pt>
                <c:pt idx="122">
                  <c:v>30.50041580200195</c:v>
                </c:pt>
                <c:pt idx="123">
                  <c:v>30.75027847290039</c:v>
                </c:pt>
                <c:pt idx="124">
                  <c:v>31.0002498626709</c:v>
                </c:pt>
                <c:pt idx="125">
                  <c:v>31.25016593933105</c:v>
                </c:pt>
                <c:pt idx="126">
                  <c:v>31.5003604888916</c:v>
                </c:pt>
                <c:pt idx="127">
                  <c:v>31.7502498626709</c:v>
                </c:pt>
                <c:pt idx="128">
                  <c:v>32.0001106262207</c:v>
                </c:pt>
                <c:pt idx="129">
                  <c:v>32.25041580200195</c:v>
                </c:pt>
                <c:pt idx="130">
                  <c:v>32.50027847290039</c:v>
                </c:pt>
                <c:pt idx="131">
                  <c:v>32.75038909912109</c:v>
                </c:pt>
                <c:pt idx="132">
                  <c:v>33.00022125244141</c:v>
                </c:pt>
                <c:pt idx="133">
                  <c:v>33.25033187866211</c:v>
                </c:pt>
                <c:pt idx="134">
                  <c:v>33.50044631958008</c:v>
                </c:pt>
                <c:pt idx="135">
                  <c:v>33.75041580200195</c:v>
                </c:pt>
                <c:pt idx="136">
                  <c:v>34.00025177001953</c:v>
                </c:pt>
                <c:pt idx="137">
                  <c:v>34.25036239624023</c:v>
                </c:pt>
                <c:pt idx="138">
                  <c:v>34.50019454956055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35.25030517578125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36.00016784667969</c:v>
                </c:pt>
                <c:pt idx="145">
                  <c:v>36.25002670288086</c:v>
                </c:pt>
                <c:pt idx="146">
                  <c:v>36.50036239624023</c:v>
                </c:pt>
                <c:pt idx="147">
                  <c:v>36.75036239624023</c:v>
                </c:pt>
                <c:pt idx="148">
                  <c:v>37.00038909912109</c:v>
                </c:pt>
                <c:pt idx="149">
                  <c:v>37.25016784667969</c:v>
                </c:pt>
                <c:pt idx="150">
                  <c:v>37.50016784667969</c:v>
                </c:pt>
                <c:pt idx="151">
                  <c:v>37.75047302246094</c:v>
                </c:pt>
                <c:pt idx="152">
                  <c:v>38.00008392333984</c:v>
                </c:pt>
                <c:pt idx="153">
                  <c:v>38.25008392333984</c:v>
                </c:pt>
                <c:pt idx="154">
                  <c:v>38.50002670288086</c:v>
                </c:pt>
                <c:pt idx="155">
                  <c:v>38.75022125244141</c:v>
                </c:pt>
                <c:pt idx="156">
                  <c:v>39.00025177001953</c:v>
                </c:pt>
                <c:pt idx="157">
                  <c:v>39.25005722045898</c:v>
                </c:pt>
                <c:pt idx="158">
                  <c:v>39.50019454956055</c:v>
                </c:pt>
                <c:pt idx="159">
                  <c:v>39.75041580200195</c:v>
                </c:pt>
                <c:pt idx="160">
                  <c:v>40.00047302246094</c:v>
                </c:pt>
                <c:pt idx="161">
                  <c:v>40.25027847290039</c:v>
                </c:pt>
                <c:pt idx="162">
                  <c:v>40.50002670288086</c:v>
                </c:pt>
                <c:pt idx="163">
                  <c:v>40.75044631958008</c:v>
                </c:pt>
                <c:pt idx="164">
                  <c:v>41.00041580200195</c:v>
                </c:pt>
                <c:pt idx="165">
                  <c:v>41.25030517578125</c:v>
                </c:pt>
                <c:pt idx="166">
                  <c:v>41.5001106262207</c:v>
                </c:pt>
                <c:pt idx="167">
                  <c:v>41.75019454956055</c:v>
                </c:pt>
                <c:pt idx="168">
                  <c:v>42.00038909912109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42.75005722045898</c:v>
                </c:pt>
                <c:pt idx="172">
                  <c:v>43.00013732910156</c:v>
                </c:pt>
                <c:pt idx="173">
                  <c:v>43.25036239624023</c:v>
                </c:pt>
                <c:pt idx="174">
                  <c:v>43.50036239624023</c:v>
                </c:pt>
                <c:pt idx="175">
                  <c:v>43.75041580200195</c:v>
                </c:pt>
                <c:pt idx="176">
                  <c:v>44.00030517578125</c:v>
                </c:pt>
                <c:pt idx="177">
                  <c:v>44.25016784667969</c:v>
                </c:pt>
                <c:pt idx="178">
                  <c:v>44.50002670288086</c:v>
                </c:pt>
                <c:pt idx="179">
                  <c:v>44.75016784667969</c:v>
                </c:pt>
                <c:pt idx="180">
                  <c:v>45.00008392333984</c:v>
                </c:pt>
                <c:pt idx="181">
                  <c:v>45.25002670288086</c:v>
                </c:pt>
                <c:pt idx="182">
                  <c:v>45.50041580200195</c:v>
                </c:pt>
                <c:pt idx="183">
                  <c:v>45.75016784667969</c:v>
                </c:pt>
                <c:pt idx="184">
                  <c:v>46</c:v>
                </c:pt>
                <c:pt idx="185">
                  <c:v>46.25013732910156</c:v>
                </c:pt>
                <c:pt idx="186">
                  <c:v>46.50044631958008</c:v>
                </c:pt>
                <c:pt idx="187">
                  <c:v>46.75022125244141</c:v>
                </c:pt>
                <c:pt idx="188">
                  <c:v>47.00041580200195</c:v>
                </c:pt>
                <c:pt idx="189">
                  <c:v>47.25036239624023</c:v>
                </c:pt>
                <c:pt idx="190">
                  <c:v>47.50038909912109</c:v>
                </c:pt>
                <c:pt idx="191">
                  <c:v>47.75025177001953</c:v>
                </c:pt>
                <c:pt idx="192">
                  <c:v>48.00038909912109</c:v>
                </c:pt>
                <c:pt idx="193">
                  <c:v>48.25030517578125</c:v>
                </c:pt>
                <c:pt idx="194">
                  <c:v>48.50002670288086</c:v>
                </c:pt>
                <c:pt idx="195">
                  <c:v>48.75038909912109</c:v>
                </c:pt>
                <c:pt idx="196">
                  <c:v>49.00033187866211</c:v>
                </c:pt>
                <c:pt idx="197">
                  <c:v>49.25038909912109</c:v>
                </c:pt>
                <c:pt idx="198">
                  <c:v>49.50036239624023</c:v>
                </c:pt>
                <c:pt idx="199">
                  <c:v>49.75038909912109</c:v>
                </c:pt>
                <c:pt idx="200">
                  <c:v>50.00002670288086</c:v>
                </c:pt>
                <c:pt idx="201">
                  <c:v>50.25038909912109</c:v>
                </c:pt>
                <c:pt idx="202">
                  <c:v>50.50008392333984</c:v>
                </c:pt>
                <c:pt idx="203">
                  <c:v>50.75016784667969</c:v>
                </c:pt>
                <c:pt idx="204">
                  <c:v>51.00038909912109</c:v>
                </c:pt>
                <c:pt idx="205">
                  <c:v>51.25027847290039</c:v>
                </c:pt>
                <c:pt idx="206">
                  <c:v>51.50041580200195</c:v>
                </c:pt>
                <c:pt idx="207">
                  <c:v>51.75005722045898</c:v>
                </c:pt>
                <c:pt idx="208">
                  <c:v>52.00044631958008</c:v>
                </c:pt>
                <c:pt idx="209">
                  <c:v>52.25002670288086</c:v>
                </c:pt>
                <c:pt idx="210">
                  <c:v>52.50016784667969</c:v>
                </c:pt>
                <c:pt idx="211">
                  <c:v>52.75002670288086</c:v>
                </c:pt>
                <c:pt idx="212">
                  <c:v>53.00041580200195</c:v>
                </c:pt>
                <c:pt idx="213">
                  <c:v>53.25033187866211</c:v>
                </c:pt>
                <c:pt idx="214">
                  <c:v>53.50038909912109</c:v>
                </c:pt>
                <c:pt idx="215">
                  <c:v>53.7501106262207</c:v>
                </c:pt>
                <c:pt idx="216">
                  <c:v>54.00013732910156</c:v>
                </c:pt>
                <c:pt idx="217">
                  <c:v>54.25019454956055</c:v>
                </c:pt>
                <c:pt idx="218">
                  <c:v>54.50030517578125</c:v>
                </c:pt>
                <c:pt idx="219">
                  <c:v>54.75027847290039</c:v>
                </c:pt>
                <c:pt idx="220">
                  <c:v>55.00038909912109</c:v>
                </c:pt>
                <c:pt idx="221">
                  <c:v>55.2504997253418</c:v>
                </c:pt>
                <c:pt idx="222">
                  <c:v>55.50038909912109</c:v>
                </c:pt>
                <c:pt idx="223">
                  <c:v>55.75038909912109</c:v>
                </c:pt>
                <c:pt idx="224">
                  <c:v>56.00033187866211</c:v>
                </c:pt>
                <c:pt idx="225">
                  <c:v>56.25002670288086</c:v>
                </c:pt>
                <c:pt idx="226">
                  <c:v>56.50038909912109</c:v>
                </c:pt>
                <c:pt idx="227">
                  <c:v>56.75008392333984</c:v>
                </c:pt>
                <c:pt idx="228">
                  <c:v>57.00025177001953</c:v>
                </c:pt>
                <c:pt idx="229">
                  <c:v>57.25</c:v>
                </c:pt>
                <c:pt idx="230">
                  <c:v>57.50022125244141</c:v>
                </c:pt>
                <c:pt idx="231">
                  <c:v>57.7501106262207</c:v>
                </c:pt>
                <c:pt idx="232">
                  <c:v>58.00036239624023</c:v>
                </c:pt>
                <c:pt idx="233">
                  <c:v>58.25016784667969</c:v>
                </c:pt>
                <c:pt idx="234">
                  <c:v>58.5001106262207</c:v>
                </c:pt>
                <c:pt idx="235">
                  <c:v>58.75027847290039</c:v>
                </c:pt>
                <c:pt idx="236">
                  <c:v>59.00030517578125</c:v>
                </c:pt>
                <c:pt idx="237">
                  <c:v>59.25044631958008</c:v>
                </c:pt>
                <c:pt idx="238">
                  <c:v>59.50002670288086</c:v>
                </c:pt>
                <c:pt idx="239">
                  <c:v>59.7501106262207</c:v>
                </c:pt>
                <c:pt idx="240">
                  <c:v>60.00033187866211</c:v>
                </c:pt>
                <c:pt idx="241">
                  <c:v>60.25041580200195</c:v>
                </c:pt>
                <c:pt idx="242">
                  <c:v>60.50005722045898</c:v>
                </c:pt>
                <c:pt idx="243">
                  <c:v>60.75005722045898</c:v>
                </c:pt>
                <c:pt idx="244">
                  <c:v>61.00033187866211</c:v>
                </c:pt>
                <c:pt idx="245">
                  <c:v>61.25008392333984</c:v>
                </c:pt>
                <c:pt idx="246">
                  <c:v>61.5001106262207</c:v>
                </c:pt>
                <c:pt idx="247">
                  <c:v>61.75041580200195</c:v>
                </c:pt>
                <c:pt idx="248">
                  <c:v>62.00008392333984</c:v>
                </c:pt>
                <c:pt idx="249">
                  <c:v>62.25016784667969</c:v>
                </c:pt>
                <c:pt idx="250">
                  <c:v>62.50036239624023</c:v>
                </c:pt>
                <c:pt idx="251">
                  <c:v>62.75036239624023</c:v>
                </c:pt>
                <c:pt idx="252">
                  <c:v>63.00019454956055</c:v>
                </c:pt>
                <c:pt idx="253">
                  <c:v>63.25027847290039</c:v>
                </c:pt>
                <c:pt idx="254">
                  <c:v>63.50022125244141</c:v>
                </c:pt>
                <c:pt idx="255">
                  <c:v>63.75005722045898</c:v>
                </c:pt>
                <c:pt idx="256">
                  <c:v>64.00041961669922</c:v>
                </c:pt>
                <c:pt idx="257">
                  <c:v>64.25038909912109</c:v>
                </c:pt>
                <c:pt idx="258">
                  <c:v>64.50041961669922</c:v>
                </c:pt>
                <c:pt idx="259">
                  <c:v>64.75033569335938</c:v>
                </c:pt>
                <c:pt idx="260">
                  <c:v>65.00013732910156</c:v>
                </c:pt>
                <c:pt idx="261">
                  <c:v>65.25033569335938</c:v>
                </c:pt>
                <c:pt idx="262">
                  <c:v>65.50044250488281</c:v>
                </c:pt>
                <c:pt idx="263">
                  <c:v>65.75038909912109</c:v>
                </c:pt>
                <c:pt idx="264">
                  <c:v>66.00016784667969</c:v>
                </c:pt>
                <c:pt idx="265">
                  <c:v>66.25008392333984</c:v>
                </c:pt>
                <c:pt idx="266">
                  <c:v>66.50025177001953</c:v>
                </c:pt>
                <c:pt idx="267">
                  <c:v>66.75033569335938</c:v>
                </c:pt>
                <c:pt idx="268">
                  <c:v>67.00005340576172</c:v>
                </c:pt>
                <c:pt idx="269">
                  <c:v>67.25005340576172</c:v>
                </c:pt>
                <c:pt idx="270">
                  <c:v>67.50008392333984</c:v>
                </c:pt>
                <c:pt idx="271">
                  <c:v>67.75033569335938</c:v>
                </c:pt>
                <c:pt idx="272">
                  <c:v>68.00003051757812</c:v>
                </c:pt>
                <c:pt idx="273">
                  <c:v>68.25041961669922</c:v>
                </c:pt>
                <c:pt idx="274">
                  <c:v>68.50008392333984</c:v>
                </c:pt>
                <c:pt idx="275">
                  <c:v>68.75</c:v>
                </c:pt>
                <c:pt idx="276">
                  <c:v>69.00019073486328</c:v>
                </c:pt>
                <c:pt idx="277">
                  <c:v>69.25033569335938</c:v>
                </c:pt>
                <c:pt idx="278">
                  <c:v>69.50030517578125</c:v>
                </c:pt>
                <c:pt idx="279">
                  <c:v>69.75013732910156</c:v>
                </c:pt>
                <c:pt idx="280">
                  <c:v>70.00013732910156</c:v>
                </c:pt>
                <c:pt idx="281">
                  <c:v>70.25019073486328</c:v>
                </c:pt>
                <c:pt idx="282">
                  <c:v>70.50030517578125</c:v>
                </c:pt>
                <c:pt idx="283">
                  <c:v>70.75022125244141</c:v>
                </c:pt>
                <c:pt idx="284">
                  <c:v>71.00041961669922</c:v>
                </c:pt>
                <c:pt idx="285">
                  <c:v>71.25033569335938</c:v>
                </c:pt>
                <c:pt idx="286">
                  <c:v>71.50008392333984</c:v>
                </c:pt>
                <c:pt idx="287">
                  <c:v>71.75025177001953</c:v>
                </c:pt>
                <c:pt idx="288">
                  <c:v>72.00019073486328</c:v>
                </c:pt>
              </c:numCache>
            </c:numRef>
          </c:xVal>
          <c:yVal>
            <c:numRef>
              <c:f>SIM3!$F$11:$F$299</c:f>
              <c:numCache>
                <c:ptCount val="289"/>
                <c:pt idx="0">
                  <c:v>0.01899014040827751</c:v>
                </c:pt>
                <c:pt idx="1">
                  <c:v>0.0130656398832798</c:v>
                </c:pt>
                <c:pt idx="2">
                  <c:v>0.009224898181855679</c:v>
                </c:pt>
                <c:pt idx="3">
                  <c:v>0.01388760004192591</c:v>
                </c:pt>
                <c:pt idx="4">
                  <c:v>0.0005696294829249382</c:v>
                </c:pt>
                <c:pt idx="5">
                  <c:v>0.007256591226905584</c:v>
                </c:pt>
                <c:pt idx="6">
                  <c:v>0.00816324632614851</c:v>
                </c:pt>
                <c:pt idx="7">
                  <c:v>0.006871405988931656</c:v>
                </c:pt>
                <c:pt idx="8">
                  <c:v>0.008460048586130142</c:v>
                </c:pt>
                <c:pt idx="9">
                  <c:v>0.01086783967912197</c:v>
                </c:pt>
                <c:pt idx="10">
                  <c:v>0.008708593435585499</c:v>
                </c:pt>
                <c:pt idx="11">
                  <c:v>0.008451846428215504</c:v>
                </c:pt>
                <c:pt idx="12">
                  <c:v>0.01171903964132071</c:v>
                </c:pt>
                <c:pt idx="13">
                  <c:v>0.008600321598351002</c:v>
                </c:pt>
                <c:pt idx="14">
                  <c:v>0.008473405614495277</c:v>
                </c:pt>
                <c:pt idx="15">
                  <c:v>0.01202922035008669</c:v>
                </c:pt>
                <c:pt idx="16">
                  <c:v>0.009240892715752125</c:v>
                </c:pt>
                <c:pt idx="17">
                  <c:v>0.007963317446410656</c:v>
                </c:pt>
                <c:pt idx="18">
                  <c:v>0.01188206020742655</c:v>
                </c:pt>
                <c:pt idx="19">
                  <c:v>0.009431002661585808</c:v>
                </c:pt>
                <c:pt idx="20">
                  <c:v>0.007931373082101345</c:v>
                </c:pt>
                <c:pt idx="21">
                  <c:v>0.01156772021204233</c:v>
                </c:pt>
                <c:pt idx="22">
                  <c:v>0.009954288601875305</c:v>
                </c:pt>
                <c:pt idx="23">
                  <c:v>0.008077426813542843</c:v>
                </c:pt>
                <c:pt idx="24">
                  <c:v>0.01107819005846977</c:v>
                </c:pt>
                <c:pt idx="25">
                  <c:v>0.0106697203591466</c:v>
                </c:pt>
                <c:pt idx="26">
                  <c:v>0.008055947721004486</c:v>
                </c:pt>
                <c:pt idx="27">
                  <c:v>0.01034715957939625</c:v>
                </c:pt>
                <c:pt idx="28">
                  <c:v>0.01157317962497473</c:v>
                </c:pt>
                <c:pt idx="29">
                  <c:v>0.008010442368686199</c:v>
                </c:pt>
                <c:pt idx="30">
                  <c:v>0.009789355099201202</c:v>
                </c:pt>
                <c:pt idx="31">
                  <c:v>0.01252605020999908</c:v>
                </c:pt>
                <c:pt idx="32">
                  <c:v>0.007820555008947849</c:v>
                </c:pt>
                <c:pt idx="33">
                  <c:v>0.009283204562962055</c:v>
                </c:pt>
                <c:pt idx="34">
                  <c:v>0.01323315035551786</c:v>
                </c:pt>
                <c:pt idx="35">
                  <c:v>0.007609177846461535</c:v>
                </c:pt>
                <c:pt idx="36">
                  <c:v>0.008816718123853207</c:v>
                </c:pt>
                <c:pt idx="37">
                  <c:v>0.0137633103877306</c:v>
                </c:pt>
                <c:pt idx="38">
                  <c:v>0.007468149997293949</c:v>
                </c:pt>
                <c:pt idx="39">
                  <c:v>0.008409461937844753</c:v>
                </c:pt>
                <c:pt idx="40">
                  <c:v>0.01412882003933191</c:v>
                </c:pt>
                <c:pt idx="41">
                  <c:v>0.007387109100818634</c:v>
                </c:pt>
                <c:pt idx="42">
                  <c:v>0.008050698786973953</c:v>
                </c:pt>
                <c:pt idx="43">
                  <c:v>0.01437282003462315</c:v>
                </c:pt>
                <c:pt idx="44">
                  <c:v>0.007387836929410696</c:v>
                </c:pt>
                <c:pt idx="45">
                  <c:v>0.007731528952717781</c:v>
                </c:pt>
                <c:pt idx="46">
                  <c:v>0.01442429982125759</c:v>
                </c:pt>
                <c:pt idx="47">
                  <c:v>0.007444200105965137</c:v>
                </c:pt>
                <c:pt idx="48">
                  <c:v>0.007490138988941908</c:v>
                </c:pt>
                <c:pt idx="49">
                  <c:v>0.01418618019670248</c:v>
                </c:pt>
                <c:pt idx="50">
                  <c:v>0.007635660003870726</c:v>
                </c:pt>
                <c:pt idx="51">
                  <c:v>0.007311223074793816</c:v>
                </c:pt>
                <c:pt idx="52">
                  <c:v>0.01391443982720375</c:v>
                </c:pt>
                <c:pt idx="53">
                  <c:v>0.007820760831236839</c:v>
                </c:pt>
                <c:pt idx="54">
                  <c:v>0.007451309822499752</c:v>
                </c:pt>
                <c:pt idx="55">
                  <c:v>0.01334981992840767</c:v>
                </c:pt>
                <c:pt idx="56">
                  <c:v>0.008256510831415653</c:v>
                </c:pt>
                <c:pt idx="57">
                  <c:v>0.007355149835348129</c:v>
                </c:pt>
                <c:pt idx="58">
                  <c:v>0.01285392977297306</c:v>
                </c:pt>
                <c:pt idx="59">
                  <c:v>0.008547145873308182</c:v>
                </c:pt>
                <c:pt idx="60">
                  <c:v>0.007604727987200022</c:v>
                </c:pt>
                <c:pt idx="61">
                  <c:v>0.01219145022332668</c:v>
                </c:pt>
                <c:pt idx="62">
                  <c:v>0.00920375157147646</c:v>
                </c:pt>
                <c:pt idx="63">
                  <c:v>0.007524569053202868</c:v>
                </c:pt>
                <c:pt idx="64">
                  <c:v>0.01165289990603924</c:v>
                </c:pt>
                <c:pt idx="65">
                  <c:v>0.009671712294220924</c:v>
                </c:pt>
                <c:pt idx="66">
                  <c:v>0.007727854885160923</c:v>
                </c:pt>
                <c:pt idx="67">
                  <c:v>0.01105064991861582</c:v>
                </c:pt>
                <c:pt idx="68">
                  <c:v>0.01056367997080088</c:v>
                </c:pt>
                <c:pt idx="69">
                  <c:v>0.007627969142049551</c:v>
                </c:pt>
                <c:pt idx="70">
                  <c:v>0.01050812005996704</c:v>
                </c:pt>
                <c:pt idx="71">
                  <c:v>0.01118126977235079</c:v>
                </c:pt>
                <c:pt idx="72">
                  <c:v>0.007745848037302494</c:v>
                </c:pt>
                <c:pt idx="73">
                  <c:v>0.01013136003166437</c:v>
                </c:pt>
                <c:pt idx="74">
                  <c:v>0.01197964046150446</c:v>
                </c:pt>
                <c:pt idx="75">
                  <c:v>0.00754930917173624</c:v>
                </c:pt>
                <c:pt idx="76">
                  <c:v>0.009688052348792553</c:v>
                </c:pt>
                <c:pt idx="77">
                  <c:v>0.01261559035629034</c:v>
                </c:pt>
                <c:pt idx="78">
                  <c:v>0.007565073203295469</c:v>
                </c:pt>
                <c:pt idx="79">
                  <c:v>0.009385325945913792</c:v>
                </c:pt>
                <c:pt idx="80">
                  <c:v>0.01330943964421749</c:v>
                </c:pt>
                <c:pt idx="81">
                  <c:v>0.007361745927482843</c:v>
                </c:pt>
                <c:pt idx="82">
                  <c:v>0.008987396024167538</c:v>
                </c:pt>
                <c:pt idx="83">
                  <c:v>0.01376652996987104</c:v>
                </c:pt>
                <c:pt idx="84">
                  <c:v>0.007302374113351107</c:v>
                </c:pt>
                <c:pt idx="85">
                  <c:v>0.008671779185533524</c:v>
                </c:pt>
                <c:pt idx="86">
                  <c:v>0.01427462045103312</c:v>
                </c:pt>
                <c:pt idx="87">
                  <c:v>0.007196031976491213</c:v>
                </c:pt>
                <c:pt idx="88">
                  <c:v>0.008310757577419281</c:v>
                </c:pt>
                <c:pt idx="89">
                  <c:v>0.01450155023485422</c:v>
                </c:pt>
                <c:pt idx="90">
                  <c:v>0.007200488820672035</c:v>
                </c:pt>
                <c:pt idx="91">
                  <c:v>0.008064338937401772</c:v>
                </c:pt>
                <c:pt idx="92">
                  <c:v>0.01464287005364895</c:v>
                </c:pt>
                <c:pt idx="93">
                  <c:v>0.00722689600661397</c:v>
                </c:pt>
                <c:pt idx="94">
                  <c:v>0.007701199967414141</c:v>
                </c:pt>
                <c:pt idx="95">
                  <c:v>0.01466806977987289</c:v>
                </c:pt>
                <c:pt idx="96">
                  <c:v>0.007305354811251163</c:v>
                </c:pt>
                <c:pt idx="97">
                  <c:v>0.007555127143859863</c:v>
                </c:pt>
                <c:pt idx="98">
                  <c:v>0.01433137990534306</c:v>
                </c:pt>
                <c:pt idx="99">
                  <c:v>0.007537827827036381</c:v>
                </c:pt>
                <c:pt idx="100">
                  <c:v>0.007276115007698536</c:v>
                </c:pt>
                <c:pt idx="101">
                  <c:v>0.01400723960250616</c:v>
                </c:pt>
                <c:pt idx="102">
                  <c:v>0.007707894779741764</c:v>
                </c:pt>
                <c:pt idx="103">
                  <c:v>0.007405486889183521</c:v>
                </c:pt>
                <c:pt idx="104">
                  <c:v>0.0134299099445343</c:v>
                </c:pt>
                <c:pt idx="105">
                  <c:v>0.00813961960375309</c:v>
                </c:pt>
                <c:pt idx="106">
                  <c:v>0.007327803876250982</c:v>
                </c:pt>
                <c:pt idx="107">
                  <c:v>0.01294266991317272</c:v>
                </c:pt>
                <c:pt idx="108">
                  <c:v>0.008458970114588737</c:v>
                </c:pt>
                <c:pt idx="109">
                  <c:v>0.007616724818944931</c:v>
                </c:pt>
                <c:pt idx="110">
                  <c:v>0.01235364004969597</c:v>
                </c:pt>
                <c:pt idx="111">
                  <c:v>0.009072941727936268</c:v>
                </c:pt>
                <c:pt idx="112">
                  <c:v>0.007506905123591423</c:v>
                </c:pt>
                <c:pt idx="113">
                  <c:v>0.01180515997111797</c:v>
                </c:pt>
                <c:pt idx="114">
                  <c:v>0.009514540433883667</c:v>
                </c:pt>
                <c:pt idx="115">
                  <c:v>0.007763476110994816</c:v>
                </c:pt>
                <c:pt idx="116">
                  <c:v>0.01123582012951374</c:v>
                </c:pt>
                <c:pt idx="117">
                  <c:v>0.01036794018000364</c:v>
                </c:pt>
                <c:pt idx="118">
                  <c:v>0.007609331980347633</c:v>
                </c:pt>
                <c:pt idx="119">
                  <c:v>0.01066275965422392</c:v>
                </c:pt>
                <c:pt idx="120">
                  <c:v>0.010975600220263</c:v>
                </c:pt>
                <c:pt idx="121">
                  <c:v>0.007756318897008896</c:v>
                </c:pt>
                <c:pt idx="122">
                  <c:v>0.01023260969668627</c:v>
                </c:pt>
                <c:pt idx="123">
                  <c:v>0.01183500979095697</c:v>
                </c:pt>
                <c:pt idx="124">
                  <c:v>0.007572677917778492</c:v>
                </c:pt>
                <c:pt idx="125">
                  <c:v>0.00978668499737978</c:v>
                </c:pt>
                <c:pt idx="126">
                  <c:v>0.0124242901802063</c:v>
                </c:pt>
                <c:pt idx="127">
                  <c:v>0.007597154006361961</c:v>
                </c:pt>
                <c:pt idx="128">
                  <c:v>0.009453581646084785</c:v>
                </c:pt>
                <c:pt idx="129">
                  <c:v>0.01321716979146004</c:v>
                </c:pt>
                <c:pt idx="130">
                  <c:v>0.007360292132943869</c:v>
                </c:pt>
                <c:pt idx="131">
                  <c:v>0.009069627150893211</c:v>
                </c:pt>
                <c:pt idx="132">
                  <c:v>0.01367047987878323</c:v>
                </c:pt>
                <c:pt idx="133">
                  <c:v>0.007340095937252045</c:v>
                </c:pt>
                <c:pt idx="134">
                  <c:v>0.008803675882518291</c:v>
                </c:pt>
                <c:pt idx="135">
                  <c:v>0.01412217039614916</c:v>
                </c:pt>
                <c:pt idx="136">
                  <c:v>0.007196750957518816</c:v>
                </c:pt>
                <c:pt idx="137">
                  <c:v>0.008387701585888863</c:v>
                </c:pt>
                <c:pt idx="138">
                  <c:v>0.01441016979515553</c:v>
                </c:pt>
                <c:pt idx="139">
                  <c:v>0.007204418070614338</c:v>
                </c:pt>
                <c:pt idx="140">
                  <c:v>0.008152798749506474</c:v>
                </c:pt>
                <c:pt idx="141">
                  <c:v>0.01460401993244886</c:v>
                </c:pt>
                <c:pt idx="142">
                  <c:v>0.007222640793770552</c:v>
                </c:pt>
                <c:pt idx="143">
                  <c:v>0.007773844059556723</c:v>
                </c:pt>
                <c:pt idx="144">
                  <c:v>0.01467788033187389</c:v>
                </c:pt>
                <c:pt idx="145">
                  <c:v>0.007286932785063982</c:v>
                </c:pt>
                <c:pt idx="146">
                  <c:v>0.007611479144543409</c:v>
                </c:pt>
                <c:pt idx="147">
                  <c:v>0.01437246985733509</c:v>
                </c:pt>
                <c:pt idx="148">
                  <c:v>0.007513808086514473</c:v>
                </c:pt>
                <c:pt idx="149">
                  <c:v>0.007306190207600594</c:v>
                </c:pt>
                <c:pt idx="150">
                  <c:v>0.0140657601878047</c:v>
                </c:pt>
                <c:pt idx="151">
                  <c:v>0.007665164768695831</c:v>
                </c:pt>
                <c:pt idx="152">
                  <c:v>0.00739124184474349</c:v>
                </c:pt>
                <c:pt idx="153">
                  <c:v>0.01348824985325336</c:v>
                </c:pt>
                <c:pt idx="154">
                  <c:v>0.008088978007435799</c:v>
                </c:pt>
                <c:pt idx="155">
                  <c:v>0.007301256991922855</c:v>
                </c:pt>
                <c:pt idx="156">
                  <c:v>0.01302857976406813</c:v>
                </c:pt>
                <c:pt idx="157">
                  <c:v>0.008391589857637882</c:v>
                </c:pt>
                <c:pt idx="158">
                  <c:v>0.007587509229779243</c:v>
                </c:pt>
                <c:pt idx="159">
                  <c:v>0.0124403303489089</c:v>
                </c:pt>
                <c:pt idx="160">
                  <c:v>0.009025014936923981</c:v>
                </c:pt>
                <c:pt idx="161">
                  <c:v>0.007500453852117062</c:v>
                </c:pt>
                <c:pt idx="162">
                  <c:v>0.01172138005495071</c:v>
                </c:pt>
                <c:pt idx="163">
                  <c:v>0.009559003636240959</c:v>
                </c:pt>
                <c:pt idx="164">
                  <c:v>0.007745270151644945</c:v>
                </c:pt>
                <c:pt idx="165">
                  <c:v>0.01139362994581461</c:v>
                </c:pt>
                <c:pt idx="166">
                  <c:v>0.01019048038870096</c:v>
                </c:pt>
                <c:pt idx="167">
                  <c:v>0.007671354804188013</c:v>
                </c:pt>
                <c:pt idx="168">
                  <c:v>0.01067712996155024</c:v>
                </c:pt>
                <c:pt idx="169">
                  <c:v>0.0109892301261425</c:v>
                </c:pt>
                <c:pt idx="170">
                  <c:v>0.007717770058661699</c:v>
                </c:pt>
                <c:pt idx="171">
                  <c:v>0.01021899003535509</c:v>
                </c:pt>
                <c:pt idx="172">
                  <c:v>0.01174987014383078</c:v>
                </c:pt>
                <c:pt idx="173">
                  <c:v>0.007660763803869486</c:v>
                </c:pt>
                <c:pt idx="174">
                  <c:v>0.009828580543398857</c:v>
                </c:pt>
                <c:pt idx="175">
                  <c:v>0.01243223994970322</c:v>
                </c:pt>
                <c:pt idx="176">
                  <c:v>0.007576397154480219</c:v>
                </c:pt>
                <c:pt idx="177">
                  <c:v>0.009368063881993294</c:v>
                </c:pt>
                <c:pt idx="178">
                  <c:v>0.01338431984186172</c:v>
                </c:pt>
                <c:pt idx="179">
                  <c:v>0.007353464141488075</c:v>
                </c:pt>
                <c:pt idx="180">
                  <c:v>0.009018778800964355</c:v>
                </c:pt>
                <c:pt idx="181">
                  <c:v>0.01373957004398108</c:v>
                </c:pt>
                <c:pt idx="182">
                  <c:v>0.00730728916823864</c:v>
                </c:pt>
                <c:pt idx="183">
                  <c:v>0.008724917657673359</c:v>
                </c:pt>
                <c:pt idx="184">
                  <c:v>0.01425296999514103</c:v>
                </c:pt>
                <c:pt idx="185">
                  <c:v>0.007145764771848917</c:v>
                </c:pt>
                <c:pt idx="186">
                  <c:v>0.008327540010213852</c:v>
                </c:pt>
                <c:pt idx="187">
                  <c:v>0.01453674025833607</c:v>
                </c:pt>
                <c:pt idx="188">
                  <c:v>0.00716075487434864</c:v>
                </c:pt>
                <c:pt idx="189">
                  <c:v>0.008115692064166069</c:v>
                </c:pt>
                <c:pt idx="190">
                  <c:v>0.01465092971920967</c:v>
                </c:pt>
                <c:pt idx="191">
                  <c:v>0.00720489677041769</c:v>
                </c:pt>
                <c:pt idx="192">
                  <c:v>0.007737455889582634</c:v>
                </c:pt>
                <c:pt idx="193">
                  <c:v>0.0146799897775054</c:v>
                </c:pt>
                <c:pt idx="194">
                  <c:v>0.007280483841896057</c:v>
                </c:pt>
                <c:pt idx="195">
                  <c:v>0.007578987162560225</c:v>
                </c:pt>
                <c:pt idx="196">
                  <c:v>0.01436902955174446</c:v>
                </c:pt>
                <c:pt idx="197">
                  <c:v>0.007499301806092262</c:v>
                </c:pt>
                <c:pt idx="198">
                  <c:v>0.007300821132957935</c:v>
                </c:pt>
                <c:pt idx="199">
                  <c:v>0.01407647039741278</c:v>
                </c:pt>
                <c:pt idx="200">
                  <c:v>0.007674968801438808</c:v>
                </c:pt>
                <c:pt idx="201">
                  <c:v>0.007411932107061148</c:v>
                </c:pt>
                <c:pt idx="202">
                  <c:v>0.0134868398308754</c:v>
                </c:pt>
                <c:pt idx="203">
                  <c:v>0.008113854564726353</c:v>
                </c:pt>
                <c:pt idx="204">
                  <c:v>0.007296094205230474</c:v>
                </c:pt>
                <c:pt idx="205">
                  <c:v>0.01293134037405252</c:v>
                </c:pt>
                <c:pt idx="206">
                  <c:v>0.008461630903184414</c:v>
                </c:pt>
                <c:pt idx="207">
                  <c:v>0.007576905190944672</c:v>
                </c:pt>
                <c:pt idx="208">
                  <c:v>0.01243444997817278</c:v>
                </c:pt>
                <c:pt idx="209">
                  <c:v>0.009027148596942425</c:v>
                </c:pt>
                <c:pt idx="210">
                  <c:v>0.00759629113599658</c:v>
                </c:pt>
                <c:pt idx="211">
                  <c:v>0.01176937017589808</c:v>
                </c:pt>
                <c:pt idx="212">
                  <c:v>0.009621881879866123</c:v>
                </c:pt>
                <c:pt idx="213">
                  <c:v>0.007694755215197802</c:v>
                </c:pt>
                <c:pt idx="214">
                  <c:v>0.01099762972444296</c:v>
                </c:pt>
                <c:pt idx="215">
                  <c:v>0.01060855016112328</c:v>
                </c:pt>
                <c:pt idx="216">
                  <c:v>0.00766035495325923</c:v>
                </c:pt>
                <c:pt idx="217">
                  <c:v>0.01060623954981565</c:v>
                </c:pt>
                <c:pt idx="218">
                  <c:v>0.01112870033830404</c:v>
                </c:pt>
                <c:pt idx="219">
                  <c:v>0.007763781119138002</c:v>
                </c:pt>
                <c:pt idx="220">
                  <c:v>0.01016093045473099</c:v>
                </c:pt>
                <c:pt idx="221">
                  <c:v>0.01198150962591171</c:v>
                </c:pt>
                <c:pt idx="222">
                  <c:v>0.007519451901316643</c:v>
                </c:pt>
                <c:pt idx="223">
                  <c:v>0.009720649570226669</c:v>
                </c:pt>
                <c:pt idx="224">
                  <c:v>0.01255446020513773</c:v>
                </c:pt>
                <c:pt idx="225">
                  <c:v>0.007540646940469742</c:v>
                </c:pt>
                <c:pt idx="226">
                  <c:v>0.009393609128892422</c:v>
                </c:pt>
                <c:pt idx="227">
                  <c:v>0.01336393970996141</c:v>
                </c:pt>
                <c:pt idx="228">
                  <c:v>0.007297287229448557</c:v>
                </c:pt>
                <c:pt idx="229">
                  <c:v>0.009002145379781723</c:v>
                </c:pt>
                <c:pt idx="230">
                  <c:v>0.01376369036734104</c:v>
                </c:pt>
                <c:pt idx="231">
                  <c:v>0.007286656182259321</c:v>
                </c:pt>
                <c:pt idx="232">
                  <c:v>0.008771746419370174</c:v>
                </c:pt>
                <c:pt idx="233">
                  <c:v>0.01417567022144794</c:v>
                </c:pt>
                <c:pt idx="234">
                  <c:v>0.007172975223511457</c:v>
                </c:pt>
                <c:pt idx="235">
                  <c:v>0.008368276990950108</c:v>
                </c:pt>
                <c:pt idx="236">
                  <c:v>0.01451139990240335</c:v>
                </c:pt>
                <c:pt idx="237">
                  <c:v>0.007194290868937969</c:v>
                </c:pt>
                <c:pt idx="238">
                  <c:v>0.008140940219163895</c:v>
                </c:pt>
                <c:pt idx="239">
                  <c:v>0.01440106984227896</c:v>
                </c:pt>
                <c:pt idx="240">
                  <c:v>0.007297694217413664</c:v>
                </c:pt>
                <c:pt idx="241">
                  <c:v>0.00772905396297574</c:v>
                </c:pt>
                <c:pt idx="242">
                  <c:v>0.01447047013789415</c:v>
                </c:pt>
                <c:pt idx="243">
                  <c:v>0.007350789848715067</c:v>
                </c:pt>
                <c:pt idx="244">
                  <c:v>0.007484361063688993</c:v>
                </c:pt>
                <c:pt idx="245">
                  <c:v>0.01425790973007679</c:v>
                </c:pt>
                <c:pt idx="246">
                  <c:v>0.007562834769487381</c:v>
                </c:pt>
                <c:pt idx="247">
                  <c:v>0.007322297897189856</c:v>
                </c:pt>
                <c:pt idx="248">
                  <c:v>0.01391497999429703</c:v>
                </c:pt>
                <c:pt idx="249">
                  <c:v>0.007798261940479279</c:v>
                </c:pt>
                <c:pt idx="250">
                  <c:v>0.007389152888208628</c:v>
                </c:pt>
                <c:pt idx="251">
                  <c:v>0.01343587040901184</c:v>
                </c:pt>
                <c:pt idx="252">
                  <c:v>0.008171918801963329</c:v>
                </c:pt>
                <c:pt idx="253">
                  <c:v>0.007443883921951056</c:v>
                </c:pt>
                <c:pt idx="254">
                  <c:v>0.01265512034296989</c:v>
                </c:pt>
                <c:pt idx="255">
                  <c:v>0.008723307400941849</c:v>
                </c:pt>
                <c:pt idx="256">
                  <c:v>0.007473330944776535</c:v>
                </c:pt>
                <c:pt idx="257">
                  <c:v>0.01222623977810144</c:v>
                </c:pt>
                <c:pt idx="258">
                  <c:v>0.009126373566687107</c:v>
                </c:pt>
                <c:pt idx="259">
                  <c:v>0.007733456790447235</c:v>
                </c:pt>
                <c:pt idx="260">
                  <c:v>0.01159546989947557</c:v>
                </c:pt>
                <c:pt idx="261">
                  <c:v>0.00991057138890028</c:v>
                </c:pt>
                <c:pt idx="262">
                  <c:v>0.007591776084154844</c:v>
                </c:pt>
                <c:pt idx="263">
                  <c:v>0.01109145022928715</c:v>
                </c:pt>
                <c:pt idx="264">
                  <c:v>0.01040938030928373</c:v>
                </c:pt>
                <c:pt idx="265">
                  <c:v>0.007764978799968958</c:v>
                </c:pt>
                <c:pt idx="266">
                  <c:v>0.01053455006331205</c:v>
                </c:pt>
                <c:pt idx="267">
                  <c:v>0.01134822983294725</c:v>
                </c:pt>
                <c:pt idx="268">
                  <c:v>0.007593546062707901</c:v>
                </c:pt>
                <c:pt idx="269">
                  <c:v>0.01003632042557001</c:v>
                </c:pt>
                <c:pt idx="270">
                  <c:v>0.01196430996060371</c:v>
                </c:pt>
                <c:pt idx="271">
                  <c:v>0.007658509071916342</c:v>
                </c:pt>
                <c:pt idx="272">
                  <c:v>0.009777150116860867</c:v>
                </c:pt>
                <c:pt idx="273">
                  <c:v>0.01255204994231462</c:v>
                </c:pt>
                <c:pt idx="274">
                  <c:v>0.007535624783486128</c:v>
                </c:pt>
                <c:pt idx="275">
                  <c:v>0.009328259155154228</c:v>
                </c:pt>
                <c:pt idx="276">
                  <c:v>0.01320531032979488</c:v>
                </c:pt>
                <c:pt idx="277">
                  <c:v>0.00739759486168623</c:v>
                </c:pt>
                <c:pt idx="278">
                  <c:v>0.008881947956979275</c:v>
                </c:pt>
                <c:pt idx="279">
                  <c:v>0.01404829043895006</c:v>
                </c:pt>
                <c:pt idx="280">
                  <c:v>0.007199461106210947</c:v>
                </c:pt>
                <c:pt idx="281">
                  <c:v>0.00855299923568964</c:v>
                </c:pt>
                <c:pt idx="282">
                  <c:v>0.0143689401447773</c:v>
                </c:pt>
                <c:pt idx="283">
                  <c:v>0.007197733037173748</c:v>
                </c:pt>
                <c:pt idx="284">
                  <c:v>0.008387698791921139</c:v>
                </c:pt>
                <c:pt idx="285">
                  <c:v>0.0144641101360321</c:v>
                </c:pt>
                <c:pt idx="286">
                  <c:v>0.007230653893202543</c:v>
                </c:pt>
                <c:pt idx="287">
                  <c:v>0.007870321162045002</c:v>
                </c:pt>
                <c:pt idx="288">
                  <c:v>0.01466907002031803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SIM3!$B$11:$B$299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1.250348329544067</c:v>
                </c:pt>
                <c:pt idx="6">
                  <c:v>1.50030505657196</c:v>
                </c:pt>
                <c:pt idx="7">
                  <c:v>1.750392556190491</c:v>
                </c:pt>
                <c:pt idx="8">
                  <c:v>2.000049829483032</c:v>
                </c:pt>
                <c:pt idx="9">
                  <c:v>2.250324249267578</c:v>
                </c:pt>
                <c:pt idx="10">
                  <c:v>2.500113248825073</c:v>
                </c:pt>
                <c:pt idx="11">
                  <c:v>2.750228643417358</c:v>
                </c:pt>
                <c:pt idx="12">
                  <c:v>3.000202894210815</c:v>
                </c:pt>
                <c:pt idx="13">
                  <c:v>3.25017786026001</c:v>
                </c:pt>
                <c:pt idx="14">
                  <c:v>3.500149965286255</c:v>
                </c:pt>
                <c:pt idx="15">
                  <c:v>3.750124931335449</c:v>
                </c:pt>
                <c:pt idx="16">
                  <c:v>4.000100135803223</c:v>
                </c:pt>
                <c:pt idx="17">
                  <c:v>4.250072002410889</c:v>
                </c:pt>
                <c:pt idx="18">
                  <c:v>4.500047206878662</c:v>
                </c:pt>
                <c:pt idx="19">
                  <c:v>4.750022411346436</c:v>
                </c:pt>
                <c:pt idx="20">
                  <c:v>5.000447273254395</c:v>
                </c:pt>
                <c:pt idx="21">
                  <c:v>5.25042200088501</c:v>
                </c:pt>
                <c:pt idx="22">
                  <c:v>5.500394344329834</c:v>
                </c:pt>
                <c:pt idx="23">
                  <c:v>5.750369548797607</c:v>
                </c:pt>
                <c:pt idx="24">
                  <c:v>6.000344276428223</c:v>
                </c:pt>
                <c:pt idx="25">
                  <c:v>6.250316619873047</c:v>
                </c:pt>
                <c:pt idx="26">
                  <c:v>6.50029182434082</c:v>
                </c:pt>
                <c:pt idx="27">
                  <c:v>6.750258445739746</c:v>
                </c:pt>
                <c:pt idx="28">
                  <c:v>7.000214099884033</c:v>
                </c:pt>
                <c:pt idx="29">
                  <c:v>7.250169277191162</c:v>
                </c:pt>
                <c:pt idx="30">
                  <c:v>7.5001220703125</c:v>
                </c:pt>
                <c:pt idx="31">
                  <c:v>7.750119209289551</c:v>
                </c:pt>
                <c:pt idx="32">
                  <c:v>8.000389099121094</c:v>
                </c:pt>
                <c:pt idx="33">
                  <c:v>8.250052452087402</c:v>
                </c:pt>
                <c:pt idx="34">
                  <c:v>8.500241279602051</c:v>
                </c:pt>
                <c:pt idx="35">
                  <c:v>8.750203132629395</c:v>
                </c:pt>
                <c:pt idx="36">
                  <c:v>9.000310897827148</c:v>
                </c:pt>
                <c:pt idx="37">
                  <c:v>9.250052452087402</c:v>
                </c:pt>
                <c:pt idx="38">
                  <c:v>9.50018310546875</c:v>
                </c:pt>
                <c:pt idx="39">
                  <c:v>9.750008583068848</c:v>
                </c:pt>
                <c:pt idx="40">
                  <c:v>10.00001907348633</c:v>
                </c:pt>
                <c:pt idx="41">
                  <c:v>10.25015258789062</c:v>
                </c:pt>
                <c:pt idx="42">
                  <c:v>10.5002498626709</c:v>
                </c:pt>
                <c:pt idx="43">
                  <c:v>10.75041675567627</c:v>
                </c:pt>
                <c:pt idx="44">
                  <c:v>11.0001392364502</c:v>
                </c:pt>
                <c:pt idx="45">
                  <c:v>11.25006103515625</c:v>
                </c:pt>
                <c:pt idx="46">
                  <c:v>11.5003137588501</c:v>
                </c:pt>
                <c:pt idx="47">
                  <c:v>11.75023365020752</c:v>
                </c:pt>
                <c:pt idx="48">
                  <c:v>12.00009727478027</c:v>
                </c:pt>
                <c:pt idx="49">
                  <c:v>12.25032520294189</c:v>
                </c:pt>
                <c:pt idx="50">
                  <c:v>12.50018882751465</c:v>
                </c:pt>
                <c:pt idx="51">
                  <c:v>12.75035285949707</c:v>
                </c:pt>
                <c:pt idx="52">
                  <c:v>13.00004768371582</c:v>
                </c:pt>
                <c:pt idx="53">
                  <c:v>13.25002765655518</c:v>
                </c:pt>
                <c:pt idx="54">
                  <c:v>13.50016403198242</c:v>
                </c:pt>
                <c:pt idx="55">
                  <c:v>13.75041675567627</c:v>
                </c:pt>
                <c:pt idx="56">
                  <c:v>14.0001802444458</c:v>
                </c:pt>
                <c:pt idx="57">
                  <c:v>14.25008010864258</c:v>
                </c:pt>
                <c:pt idx="58">
                  <c:v>14.50016403198242</c:v>
                </c:pt>
                <c:pt idx="59">
                  <c:v>14.75033092498779</c:v>
                </c:pt>
                <c:pt idx="60">
                  <c:v>15.00017547607422</c:v>
                </c:pt>
                <c:pt idx="61">
                  <c:v>15.25016689300537</c:v>
                </c:pt>
                <c:pt idx="62">
                  <c:v>15.50016403198242</c:v>
                </c:pt>
                <c:pt idx="63">
                  <c:v>15.75026416778564</c:v>
                </c:pt>
                <c:pt idx="64">
                  <c:v>16.00035858154297</c:v>
                </c:pt>
                <c:pt idx="65">
                  <c:v>16.2503833770752</c:v>
                </c:pt>
                <c:pt idx="66">
                  <c:v>16.50010299682617</c:v>
                </c:pt>
                <c:pt idx="67">
                  <c:v>16.75003814697266</c:v>
                </c:pt>
                <c:pt idx="68">
                  <c:v>17.00011444091797</c:v>
                </c:pt>
                <c:pt idx="69">
                  <c:v>17.25019073486328</c:v>
                </c:pt>
                <c:pt idx="70">
                  <c:v>17.5001163482666</c:v>
                </c:pt>
                <c:pt idx="71">
                  <c:v>17.75002288818359</c:v>
                </c:pt>
                <c:pt idx="72">
                  <c:v>18.00034523010254</c:v>
                </c:pt>
                <c:pt idx="73">
                  <c:v>18.25021743774414</c:v>
                </c:pt>
                <c:pt idx="74">
                  <c:v>18.50043678283691</c:v>
                </c:pt>
                <c:pt idx="75">
                  <c:v>18.75015068054199</c:v>
                </c:pt>
                <c:pt idx="76">
                  <c:v>19.00040817260742</c:v>
                </c:pt>
                <c:pt idx="77">
                  <c:v>19.25025749206543</c:v>
                </c:pt>
                <c:pt idx="78">
                  <c:v>19.50044441223145</c:v>
                </c:pt>
                <c:pt idx="79">
                  <c:v>19.7502498626709</c:v>
                </c:pt>
                <c:pt idx="80">
                  <c:v>20.00047302246094</c:v>
                </c:pt>
                <c:pt idx="81">
                  <c:v>20.25036430358887</c:v>
                </c:pt>
                <c:pt idx="82">
                  <c:v>20.50029754638672</c:v>
                </c:pt>
                <c:pt idx="83">
                  <c:v>20.75026893615723</c:v>
                </c:pt>
                <c:pt idx="84">
                  <c:v>21.00044250488281</c:v>
                </c:pt>
                <c:pt idx="85">
                  <c:v>21.25006103515625</c:v>
                </c:pt>
                <c:pt idx="86">
                  <c:v>21.50034141540527</c:v>
                </c:pt>
                <c:pt idx="87">
                  <c:v>21.75033569335938</c:v>
                </c:pt>
                <c:pt idx="88">
                  <c:v>22.00017547607422</c:v>
                </c:pt>
                <c:pt idx="89">
                  <c:v>22.25029754638672</c:v>
                </c:pt>
                <c:pt idx="90">
                  <c:v>22.50043296813965</c:v>
                </c:pt>
                <c:pt idx="91">
                  <c:v>22.75029754638672</c:v>
                </c:pt>
                <c:pt idx="92">
                  <c:v>23.00015640258789</c:v>
                </c:pt>
                <c:pt idx="93">
                  <c:v>23.25046920776367</c:v>
                </c:pt>
                <c:pt idx="94">
                  <c:v>23.50008964538574</c:v>
                </c:pt>
                <c:pt idx="95">
                  <c:v>23.7503604888916</c:v>
                </c:pt>
                <c:pt idx="96">
                  <c:v>24.00012016296387</c:v>
                </c:pt>
                <c:pt idx="97">
                  <c:v>24.25001907348633</c:v>
                </c:pt>
                <c:pt idx="98">
                  <c:v>24.50034713745117</c:v>
                </c:pt>
                <c:pt idx="99">
                  <c:v>24.7503833770752</c:v>
                </c:pt>
                <c:pt idx="100">
                  <c:v>25.00030326843262</c:v>
                </c:pt>
                <c:pt idx="101">
                  <c:v>25.2501392364502</c:v>
                </c:pt>
                <c:pt idx="102">
                  <c:v>25.50010299682617</c:v>
                </c:pt>
                <c:pt idx="103">
                  <c:v>25.75044250488281</c:v>
                </c:pt>
                <c:pt idx="104">
                  <c:v>26.00040817260742</c:v>
                </c:pt>
                <c:pt idx="105">
                  <c:v>26.25045776367188</c:v>
                </c:pt>
                <c:pt idx="106">
                  <c:v>26.50009536743164</c:v>
                </c:pt>
                <c:pt idx="107">
                  <c:v>26.75022315979004</c:v>
                </c:pt>
                <c:pt idx="108">
                  <c:v>27.00009155273438</c:v>
                </c:pt>
                <c:pt idx="109">
                  <c:v>27.25018119812012</c:v>
                </c:pt>
                <c:pt idx="110">
                  <c:v>27.50007247924805</c:v>
                </c:pt>
                <c:pt idx="111">
                  <c:v>27.75041961669922</c:v>
                </c:pt>
                <c:pt idx="112">
                  <c:v>28.00002861022949</c:v>
                </c:pt>
                <c:pt idx="113">
                  <c:v>28.25041580200195</c:v>
                </c:pt>
                <c:pt idx="114">
                  <c:v>28.50019454956055</c:v>
                </c:pt>
                <c:pt idx="115">
                  <c:v>28.75016593933105</c:v>
                </c:pt>
                <c:pt idx="116">
                  <c:v>29.00033378601074</c:v>
                </c:pt>
                <c:pt idx="117">
                  <c:v>29.25005531311035</c:v>
                </c:pt>
                <c:pt idx="118">
                  <c:v>29.50030517578125</c:v>
                </c:pt>
                <c:pt idx="119">
                  <c:v>29.75019454956055</c:v>
                </c:pt>
                <c:pt idx="120">
                  <c:v>30.00008392333984</c:v>
                </c:pt>
                <c:pt idx="121">
                  <c:v>30.25005531311035</c:v>
                </c:pt>
                <c:pt idx="122">
                  <c:v>30.50041580200195</c:v>
                </c:pt>
                <c:pt idx="123">
                  <c:v>30.75027847290039</c:v>
                </c:pt>
                <c:pt idx="124">
                  <c:v>31.0002498626709</c:v>
                </c:pt>
                <c:pt idx="125">
                  <c:v>31.25016593933105</c:v>
                </c:pt>
                <c:pt idx="126">
                  <c:v>31.5003604888916</c:v>
                </c:pt>
                <c:pt idx="127">
                  <c:v>31.7502498626709</c:v>
                </c:pt>
                <c:pt idx="128">
                  <c:v>32.0001106262207</c:v>
                </c:pt>
                <c:pt idx="129">
                  <c:v>32.25041580200195</c:v>
                </c:pt>
                <c:pt idx="130">
                  <c:v>32.50027847290039</c:v>
                </c:pt>
                <c:pt idx="131">
                  <c:v>32.75038909912109</c:v>
                </c:pt>
                <c:pt idx="132">
                  <c:v>33.00022125244141</c:v>
                </c:pt>
                <c:pt idx="133">
                  <c:v>33.25033187866211</c:v>
                </c:pt>
                <c:pt idx="134">
                  <c:v>33.50044631958008</c:v>
                </c:pt>
                <c:pt idx="135">
                  <c:v>33.75041580200195</c:v>
                </c:pt>
                <c:pt idx="136">
                  <c:v>34.00025177001953</c:v>
                </c:pt>
                <c:pt idx="137">
                  <c:v>34.25036239624023</c:v>
                </c:pt>
                <c:pt idx="138">
                  <c:v>34.50019454956055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35.25030517578125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36.00016784667969</c:v>
                </c:pt>
                <c:pt idx="145">
                  <c:v>36.25002670288086</c:v>
                </c:pt>
                <c:pt idx="146">
                  <c:v>36.50036239624023</c:v>
                </c:pt>
                <c:pt idx="147">
                  <c:v>36.75036239624023</c:v>
                </c:pt>
                <c:pt idx="148">
                  <c:v>37.00038909912109</c:v>
                </c:pt>
                <c:pt idx="149">
                  <c:v>37.25016784667969</c:v>
                </c:pt>
                <c:pt idx="150">
                  <c:v>37.50016784667969</c:v>
                </c:pt>
                <c:pt idx="151">
                  <c:v>37.75047302246094</c:v>
                </c:pt>
                <c:pt idx="152">
                  <c:v>38.00008392333984</c:v>
                </c:pt>
                <c:pt idx="153">
                  <c:v>38.25008392333984</c:v>
                </c:pt>
                <c:pt idx="154">
                  <c:v>38.50002670288086</c:v>
                </c:pt>
                <c:pt idx="155">
                  <c:v>38.75022125244141</c:v>
                </c:pt>
                <c:pt idx="156">
                  <c:v>39.00025177001953</c:v>
                </c:pt>
                <c:pt idx="157">
                  <c:v>39.25005722045898</c:v>
                </c:pt>
                <c:pt idx="158">
                  <c:v>39.50019454956055</c:v>
                </c:pt>
                <c:pt idx="159">
                  <c:v>39.75041580200195</c:v>
                </c:pt>
                <c:pt idx="160">
                  <c:v>40.00047302246094</c:v>
                </c:pt>
                <c:pt idx="161">
                  <c:v>40.25027847290039</c:v>
                </c:pt>
                <c:pt idx="162">
                  <c:v>40.50002670288086</c:v>
                </c:pt>
                <c:pt idx="163">
                  <c:v>40.75044631958008</c:v>
                </c:pt>
                <c:pt idx="164">
                  <c:v>41.00041580200195</c:v>
                </c:pt>
                <c:pt idx="165">
                  <c:v>41.25030517578125</c:v>
                </c:pt>
                <c:pt idx="166">
                  <c:v>41.5001106262207</c:v>
                </c:pt>
                <c:pt idx="167">
                  <c:v>41.75019454956055</c:v>
                </c:pt>
                <c:pt idx="168">
                  <c:v>42.00038909912109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42.75005722045898</c:v>
                </c:pt>
                <c:pt idx="172">
                  <c:v>43.00013732910156</c:v>
                </c:pt>
                <c:pt idx="173">
                  <c:v>43.25036239624023</c:v>
                </c:pt>
                <c:pt idx="174">
                  <c:v>43.50036239624023</c:v>
                </c:pt>
                <c:pt idx="175">
                  <c:v>43.75041580200195</c:v>
                </c:pt>
                <c:pt idx="176">
                  <c:v>44.00030517578125</c:v>
                </c:pt>
                <c:pt idx="177">
                  <c:v>44.25016784667969</c:v>
                </c:pt>
                <c:pt idx="178">
                  <c:v>44.50002670288086</c:v>
                </c:pt>
                <c:pt idx="179">
                  <c:v>44.75016784667969</c:v>
                </c:pt>
                <c:pt idx="180">
                  <c:v>45.00008392333984</c:v>
                </c:pt>
                <c:pt idx="181">
                  <c:v>45.25002670288086</c:v>
                </c:pt>
                <c:pt idx="182">
                  <c:v>45.50041580200195</c:v>
                </c:pt>
                <c:pt idx="183">
                  <c:v>45.75016784667969</c:v>
                </c:pt>
                <c:pt idx="184">
                  <c:v>46</c:v>
                </c:pt>
                <c:pt idx="185">
                  <c:v>46.25013732910156</c:v>
                </c:pt>
                <c:pt idx="186">
                  <c:v>46.50044631958008</c:v>
                </c:pt>
                <c:pt idx="187">
                  <c:v>46.75022125244141</c:v>
                </c:pt>
                <c:pt idx="188">
                  <c:v>47.00041580200195</c:v>
                </c:pt>
                <c:pt idx="189">
                  <c:v>47.25036239624023</c:v>
                </c:pt>
                <c:pt idx="190">
                  <c:v>47.50038909912109</c:v>
                </c:pt>
                <c:pt idx="191">
                  <c:v>47.75025177001953</c:v>
                </c:pt>
                <c:pt idx="192">
                  <c:v>48.00038909912109</c:v>
                </c:pt>
                <c:pt idx="193">
                  <c:v>48.25030517578125</c:v>
                </c:pt>
                <c:pt idx="194">
                  <c:v>48.50002670288086</c:v>
                </c:pt>
                <c:pt idx="195">
                  <c:v>48.75038909912109</c:v>
                </c:pt>
                <c:pt idx="196">
                  <c:v>49.00033187866211</c:v>
                </c:pt>
                <c:pt idx="197">
                  <c:v>49.25038909912109</c:v>
                </c:pt>
                <c:pt idx="198">
                  <c:v>49.50036239624023</c:v>
                </c:pt>
                <c:pt idx="199">
                  <c:v>49.75038909912109</c:v>
                </c:pt>
                <c:pt idx="200">
                  <c:v>50.00002670288086</c:v>
                </c:pt>
                <c:pt idx="201">
                  <c:v>50.25038909912109</c:v>
                </c:pt>
                <c:pt idx="202">
                  <c:v>50.50008392333984</c:v>
                </c:pt>
                <c:pt idx="203">
                  <c:v>50.75016784667969</c:v>
                </c:pt>
                <c:pt idx="204">
                  <c:v>51.00038909912109</c:v>
                </c:pt>
                <c:pt idx="205">
                  <c:v>51.25027847290039</c:v>
                </c:pt>
                <c:pt idx="206">
                  <c:v>51.50041580200195</c:v>
                </c:pt>
                <c:pt idx="207">
                  <c:v>51.75005722045898</c:v>
                </c:pt>
                <c:pt idx="208">
                  <c:v>52.00044631958008</c:v>
                </c:pt>
                <c:pt idx="209">
                  <c:v>52.25002670288086</c:v>
                </c:pt>
                <c:pt idx="210">
                  <c:v>52.50016784667969</c:v>
                </c:pt>
                <c:pt idx="211">
                  <c:v>52.75002670288086</c:v>
                </c:pt>
                <c:pt idx="212">
                  <c:v>53.00041580200195</c:v>
                </c:pt>
                <c:pt idx="213">
                  <c:v>53.25033187866211</c:v>
                </c:pt>
                <c:pt idx="214">
                  <c:v>53.50038909912109</c:v>
                </c:pt>
                <c:pt idx="215">
                  <c:v>53.7501106262207</c:v>
                </c:pt>
                <c:pt idx="216">
                  <c:v>54.00013732910156</c:v>
                </c:pt>
                <c:pt idx="217">
                  <c:v>54.25019454956055</c:v>
                </c:pt>
                <c:pt idx="218">
                  <c:v>54.50030517578125</c:v>
                </c:pt>
                <c:pt idx="219">
                  <c:v>54.75027847290039</c:v>
                </c:pt>
                <c:pt idx="220">
                  <c:v>55.00038909912109</c:v>
                </c:pt>
                <c:pt idx="221">
                  <c:v>55.2504997253418</c:v>
                </c:pt>
                <c:pt idx="222">
                  <c:v>55.50038909912109</c:v>
                </c:pt>
                <c:pt idx="223">
                  <c:v>55.75038909912109</c:v>
                </c:pt>
                <c:pt idx="224">
                  <c:v>56.00033187866211</c:v>
                </c:pt>
                <c:pt idx="225">
                  <c:v>56.25002670288086</c:v>
                </c:pt>
                <c:pt idx="226">
                  <c:v>56.50038909912109</c:v>
                </c:pt>
                <c:pt idx="227">
                  <c:v>56.75008392333984</c:v>
                </c:pt>
                <c:pt idx="228">
                  <c:v>57.00025177001953</c:v>
                </c:pt>
                <c:pt idx="229">
                  <c:v>57.25</c:v>
                </c:pt>
                <c:pt idx="230">
                  <c:v>57.50022125244141</c:v>
                </c:pt>
                <c:pt idx="231">
                  <c:v>57.7501106262207</c:v>
                </c:pt>
                <c:pt idx="232">
                  <c:v>58.00036239624023</c:v>
                </c:pt>
                <c:pt idx="233">
                  <c:v>58.25016784667969</c:v>
                </c:pt>
                <c:pt idx="234">
                  <c:v>58.5001106262207</c:v>
                </c:pt>
                <c:pt idx="235">
                  <c:v>58.75027847290039</c:v>
                </c:pt>
                <c:pt idx="236">
                  <c:v>59.00030517578125</c:v>
                </c:pt>
                <c:pt idx="237">
                  <c:v>59.25044631958008</c:v>
                </c:pt>
                <c:pt idx="238">
                  <c:v>59.50002670288086</c:v>
                </c:pt>
                <c:pt idx="239">
                  <c:v>59.7501106262207</c:v>
                </c:pt>
                <c:pt idx="240">
                  <c:v>60.00033187866211</c:v>
                </c:pt>
                <c:pt idx="241">
                  <c:v>60.25041580200195</c:v>
                </c:pt>
                <c:pt idx="242">
                  <c:v>60.50005722045898</c:v>
                </c:pt>
                <c:pt idx="243">
                  <c:v>60.75005722045898</c:v>
                </c:pt>
                <c:pt idx="244">
                  <c:v>61.00033187866211</c:v>
                </c:pt>
                <c:pt idx="245">
                  <c:v>61.25008392333984</c:v>
                </c:pt>
                <c:pt idx="246">
                  <c:v>61.5001106262207</c:v>
                </c:pt>
                <c:pt idx="247">
                  <c:v>61.75041580200195</c:v>
                </c:pt>
                <c:pt idx="248">
                  <c:v>62.00008392333984</c:v>
                </c:pt>
                <c:pt idx="249">
                  <c:v>62.25016784667969</c:v>
                </c:pt>
                <c:pt idx="250">
                  <c:v>62.50036239624023</c:v>
                </c:pt>
                <c:pt idx="251">
                  <c:v>62.75036239624023</c:v>
                </c:pt>
                <c:pt idx="252">
                  <c:v>63.00019454956055</c:v>
                </c:pt>
                <c:pt idx="253">
                  <c:v>63.25027847290039</c:v>
                </c:pt>
                <c:pt idx="254">
                  <c:v>63.50022125244141</c:v>
                </c:pt>
                <c:pt idx="255">
                  <c:v>63.75005722045898</c:v>
                </c:pt>
                <c:pt idx="256">
                  <c:v>64.00041961669922</c:v>
                </c:pt>
                <c:pt idx="257">
                  <c:v>64.25038909912109</c:v>
                </c:pt>
                <c:pt idx="258">
                  <c:v>64.50041961669922</c:v>
                </c:pt>
                <c:pt idx="259">
                  <c:v>64.75033569335938</c:v>
                </c:pt>
                <c:pt idx="260">
                  <c:v>65.00013732910156</c:v>
                </c:pt>
                <c:pt idx="261">
                  <c:v>65.25033569335938</c:v>
                </c:pt>
                <c:pt idx="262">
                  <c:v>65.50044250488281</c:v>
                </c:pt>
                <c:pt idx="263">
                  <c:v>65.75038909912109</c:v>
                </c:pt>
                <c:pt idx="264">
                  <c:v>66.00016784667969</c:v>
                </c:pt>
                <c:pt idx="265">
                  <c:v>66.25008392333984</c:v>
                </c:pt>
                <c:pt idx="266">
                  <c:v>66.50025177001953</c:v>
                </c:pt>
                <c:pt idx="267">
                  <c:v>66.75033569335938</c:v>
                </c:pt>
                <c:pt idx="268">
                  <c:v>67.00005340576172</c:v>
                </c:pt>
                <c:pt idx="269">
                  <c:v>67.25005340576172</c:v>
                </c:pt>
                <c:pt idx="270">
                  <c:v>67.50008392333984</c:v>
                </c:pt>
                <c:pt idx="271">
                  <c:v>67.75033569335938</c:v>
                </c:pt>
                <c:pt idx="272">
                  <c:v>68.00003051757812</c:v>
                </c:pt>
                <c:pt idx="273">
                  <c:v>68.25041961669922</c:v>
                </c:pt>
                <c:pt idx="274">
                  <c:v>68.50008392333984</c:v>
                </c:pt>
                <c:pt idx="275">
                  <c:v>68.75</c:v>
                </c:pt>
                <c:pt idx="276">
                  <c:v>69.00019073486328</c:v>
                </c:pt>
                <c:pt idx="277">
                  <c:v>69.25033569335938</c:v>
                </c:pt>
                <c:pt idx="278">
                  <c:v>69.50030517578125</c:v>
                </c:pt>
                <c:pt idx="279">
                  <c:v>69.75013732910156</c:v>
                </c:pt>
                <c:pt idx="280">
                  <c:v>70.00013732910156</c:v>
                </c:pt>
                <c:pt idx="281">
                  <c:v>70.25019073486328</c:v>
                </c:pt>
                <c:pt idx="282">
                  <c:v>70.50030517578125</c:v>
                </c:pt>
                <c:pt idx="283">
                  <c:v>70.75022125244141</c:v>
                </c:pt>
                <c:pt idx="284">
                  <c:v>71.00041961669922</c:v>
                </c:pt>
                <c:pt idx="285">
                  <c:v>71.25033569335938</c:v>
                </c:pt>
                <c:pt idx="286">
                  <c:v>71.50008392333984</c:v>
                </c:pt>
                <c:pt idx="287">
                  <c:v>71.75025177001953</c:v>
                </c:pt>
                <c:pt idx="288">
                  <c:v>72.00019073486328</c:v>
                </c:pt>
              </c:numCache>
            </c:numRef>
          </c:xVal>
          <c:yVal>
            <c:numRef>
              <c:f>SIM3!$G$11:$G$299</c:f>
              <c:numCache>
                <c:ptCount val="289"/>
                <c:pt idx="0">
                  <c:v>6.976023197174072</c:v>
                </c:pt>
                <c:pt idx="1">
                  <c:v>6.005105018615723</c:v>
                </c:pt>
                <c:pt idx="2">
                  <c:v>4.252870082855225</c:v>
                </c:pt>
                <c:pt idx="3">
                  <c:v>4.405671119689941</c:v>
                </c:pt>
                <c:pt idx="4">
                  <c:v>0.2561661005020142</c:v>
                </c:pt>
                <c:pt idx="5">
                  <c:v>2.369231939315796</c:v>
                </c:pt>
                <c:pt idx="6">
                  <c:v>2.651293992996216</c:v>
                </c:pt>
                <c:pt idx="7">
                  <c:v>2.744770050048828</c:v>
                </c:pt>
                <c:pt idx="8">
                  <c:v>2.363219022750854</c:v>
                </c:pt>
                <c:pt idx="9">
                  <c:v>3.11926007270813</c:v>
                </c:pt>
                <c:pt idx="10">
                  <c:v>3.018985033035278</c:v>
                </c:pt>
                <c:pt idx="11">
                  <c:v>2.745414018630981</c:v>
                </c:pt>
                <c:pt idx="12">
                  <c:v>3.035969972610474</c:v>
                </c:pt>
                <c:pt idx="13">
                  <c:v>3.099831104278564</c:v>
                </c:pt>
                <c:pt idx="14">
                  <c:v>2.83299708366394</c:v>
                </c:pt>
                <c:pt idx="15">
                  <c:v>2.94678807258606</c:v>
                </c:pt>
                <c:pt idx="16">
                  <c:v>3.230609893798828</c:v>
                </c:pt>
                <c:pt idx="17">
                  <c:v>2.854552984237671</c:v>
                </c:pt>
                <c:pt idx="18">
                  <c:v>2.75789999961853</c:v>
                </c:pt>
                <c:pt idx="19">
                  <c:v>3.270625114440918</c:v>
                </c:pt>
                <c:pt idx="20">
                  <c:v>2.901314973831177</c:v>
                </c:pt>
                <c:pt idx="21">
                  <c:v>2.57667088508606</c:v>
                </c:pt>
                <c:pt idx="22">
                  <c:v>3.355199098587036</c:v>
                </c:pt>
                <c:pt idx="23">
                  <c:v>2.932913064956665</c:v>
                </c:pt>
                <c:pt idx="24">
                  <c:v>2.435096979141235</c:v>
                </c:pt>
                <c:pt idx="25">
                  <c:v>3.413289070129395</c:v>
                </c:pt>
                <c:pt idx="26">
                  <c:v>2.941173076629639</c:v>
                </c:pt>
                <c:pt idx="27">
                  <c:v>2.275924921035767</c:v>
                </c:pt>
                <c:pt idx="28">
                  <c:v>3.447168111801147</c:v>
                </c:pt>
                <c:pt idx="29">
                  <c:v>2.945575952529907</c:v>
                </c:pt>
                <c:pt idx="30">
                  <c:v>2.207755088806152</c:v>
                </c:pt>
                <c:pt idx="31">
                  <c:v>3.446727991104126</c:v>
                </c:pt>
                <c:pt idx="32">
                  <c:v>2.940246105194092</c:v>
                </c:pt>
                <c:pt idx="33">
                  <c:v>2.194788932800293</c:v>
                </c:pt>
                <c:pt idx="34">
                  <c:v>3.39488697052002</c:v>
                </c:pt>
                <c:pt idx="35">
                  <c:v>2.939513921737671</c:v>
                </c:pt>
                <c:pt idx="36">
                  <c:v>2.211965084075928</c:v>
                </c:pt>
                <c:pt idx="37">
                  <c:v>3.312849044799805</c:v>
                </c:pt>
                <c:pt idx="38">
                  <c:v>2.950263977050781</c:v>
                </c:pt>
                <c:pt idx="39">
                  <c:v>2.276329040527344</c:v>
                </c:pt>
                <c:pt idx="40">
                  <c:v>3.206218004226685</c:v>
                </c:pt>
                <c:pt idx="41">
                  <c:v>2.974106073379517</c:v>
                </c:pt>
                <c:pt idx="42">
                  <c:v>2.357959985733032</c:v>
                </c:pt>
                <c:pt idx="43">
                  <c:v>3.086116075515747</c:v>
                </c:pt>
                <c:pt idx="44">
                  <c:v>3.011647939682007</c:v>
                </c:pt>
                <c:pt idx="45">
                  <c:v>2.459372997283936</c:v>
                </c:pt>
                <c:pt idx="46">
                  <c:v>2.9565110206604</c:v>
                </c:pt>
                <c:pt idx="47">
                  <c:v>3.057102918624878</c:v>
                </c:pt>
                <c:pt idx="48">
                  <c:v>2.569618940353394</c:v>
                </c:pt>
                <c:pt idx="49">
                  <c:v>2.739309072494507</c:v>
                </c:pt>
                <c:pt idx="50">
                  <c:v>3.14145302772522</c:v>
                </c:pt>
                <c:pt idx="51">
                  <c:v>2.636190891265869</c:v>
                </c:pt>
                <c:pt idx="52">
                  <c:v>2.625977039337158</c:v>
                </c:pt>
                <c:pt idx="53">
                  <c:v>3.205945014953613</c:v>
                </c:pt>
                <c:pt idx="54">
                  <c:v>2.752614974975586</c:v>
                </c:pt>
                <c:pt idx="55">
                  <c:v>2.515481948852539</c:v>
                </c:pt>
                <c:pt idx="56">
                  <c:v>3.288495063781738</c:v>
                </c:pt>
                <c:pt idx="57">
                  <c:v>2.777745008468628</c:v>
                </c:pt>
                <c:pt idx="58">
                  <c:v>2.422949075698853</c:v>
                </c:pt>
                <c:pt idx="59">
                  <c:v>3.335938930511475</c:v>
                </c:pt>
                <c:pt idx="60">
                  <c:v>2.84456205368042</c:v>
                </c:pt>
                <c:pt idx="61">
                  <c:v>2.31190299987793</c:v>
                </c:pt>
                <c:pt idx="62">
                  <c:v>3.423635959625244</c:v>
                </c:pt>
                <c:pt idx="63">
                  <c:v>2.842331886291504</c:v>
                </c:pt>
                <c:pt idx="64">
                  <c:v>2.216398954391479</c:v>
                </c:pt>
                <c:pt idx="65">
                  <c:v>3.477824926376343</c:v>
                </c:pt>
                <c:pt idx="66">
                  <c:v>2.881942987442017</c:v>
                </c:pt>
                <c:pt idx="67">
                  <c:v>2.146282911300659</c:v>
                </c:pt>
                <c:pt idx="68">
                  <c:v>3.540184020996094</c:v>
                </c:pt>
                <c:pt idx="69">
                  <c:v>2.875236034393311</c:v>
                </c:pt>
                <c:pt idx="70">
                  <c:v>2.0780029296875</c:v>
                </c:pt>
                <c:pt idx="71">
                  <c:v>3.570611000061035</c:v>
                </c:pt>
                <c:pt idx="72">
                  <c:v>2.90068507194519</c:v>
                </c:pt>
                <c:pt idx="73">
                  <c:v>2.079071044921875</c:v>
                </c:pt>
                <c:pt idx="74">
                  <c:v>3.558531045913696</c:v>
                </c:pt>
                <c:pt idx="75">
                  <c:v>2.88665509223938</c:v>
                </c:pt>
                <c:pt idx="76">
                  <c:v>2.050693035125732</c:v>
                </c:pt>
                <c:pt idx="77">
                  <c:v>3.542728900909424</c:v>
                </c:pt>
                <c:pt idx="78">
                  <c:v>2.898077964782715</c:v>
                </c:pt>
                <c:pt idx="79">
                  <c:v>2.093437910079956</c:v>
                </c:pt>
                <c:pt idx="80">
                  <c:v>3.473433971405029</c:v>
                </c:pt>
                <c:pt idx="81">
                  <c:v>2.892571926116943</c:v>
                </c:pt>
                <c:pt idx="82">
                  <c:v>2.099410057067871</c:v>
                </c:pt>
                <c:pt idx="83">
                  <c:v>3.406069993972778</c:v>
                </c:pt>
                <c:pt idx="84">
                  <c:v>2.90147590637207</c:v>
                </c:pt>
                <c:pt idx="85">
                  <c:v>2.183717012405396</c:v>
                </c:pt>
                <c:pt idx="86">
                  <c:v>3.291085958480835</c:v>
                </c:pt>
                <c:pt idx="87">
                  <c:v>2.92608904838562</c:v>
                </c:pt>
                <c:pt idx="88">
                  <c:v>2.233911991119385</c:v>
                </c:pt>
                <c:pt idx="89">
                  <c:v>3.21251392364502</c:v>
                </c:pt>
                <c:pt idx="90">
                  <c:v>2.952847957611084</c:v>
                </c:pt>
                <c:pt idx="91">
                  <c:v>2.3490149974823</c:v>
                </c:pt>
                <c:pt idx="92">
                  <c:v>3.070449113845825</c:v>
                </c:pt>
                <c:pt idx="93">
                  <c:v>2.996855974197388</c:v>
                </c:pt>
                <c:pt idx="94">
                  <c:v>2.414546966552734</c:v>
                </c:pt>
                <c:pt idx="95">
                  <c:v>2.96399998664856</c:v>
                </c:pt>
                <c:pt idx="96">
                  <c:v>3.041214942932129</c:v>
                </c:pt>
                <c:pt idx="97">
                  <c:v>2.550622940063477</c:v>
                </c:pt>
                <c:pt idx="98">
                  <c:v>2.804718017578125</c:v>
                </c:pt>
                <c:pt idx="99">
                  <c:v>3.115745067596436</c:v>
                </c:pt>
                <c:pt idx="100">
                  <c:v>2.60487699508667</c:v>
                </c:pt>
                <c:pt idx="101">
                  <c:v>2.674210071563721</c:v>
                </c:pt>
                <c:pt idx="102">
                  <c:v>3.173155069351196</c:v>
                </c:pt>
                <c:pt idx="103">
                  <c:v>2.724823951721191</c:v>
                </c:pt>
                <c:pt idx="104">
                  <c:v>2.53691291809082</c:v>
                </c:pt>
                <c:pt idx="105">
                  <c:v>3.26309609413147</c:v>
                </c:pt>
                <c:pt idx="106">
                  <c:v>2.764703989028931</c:v>
                </c:pt>
                <c:pt idx="107">
                  <c:v>2.423063993453979</c:v>
                </c:pt>
                <c:pt idx="108">
                  <c:v>3.327285051345825</c:v>
                </c:pt>
                <c:pt idx="109">
                  <c:v>2.847373962402344</c:v>
                </c:pt>
                <c:pt idx="110">
                  <c:v>2.33697509765625</c:v>
                </c:pt>
                <c:pt idx="111">
                  <c:v>3.407530069351196</c:v>
                </c:pt>
                <c:pt idx="112">
                  <c:v>2.842732906341553</c:v>
                </c:pt>
                <c:pt idx="113">
                  <c:v>2.243839979171753</c:v>
                </c:pt>
                <c:pt idx="114">
                  <c:v>3.461584091186523</c:v>
                </c:pt>
                <c:pt idx="115">
                  <c:v>2.887862920761108</c:v>
                </c:pt>
                <c:pt idx="116">
                  <c:v>2.181977033615112</c:v>
                </c:pt>
                <c:pt idx="117">
                  <c:v>3.522663116455078</c:v>
                </c:pt>
                <c:pt idx="118">
                  <c:v>2.873271942138672</c:v>
                </c:pt>
                <c:pt idx="119">
                  <c:v>2.100682973861694</c:v>
                </c:pt>
                <c:pt idx="120">
                  <c:v>3.558420896530151</c:v>
                </c:pt>
                <c:pt idx="121">
                  <c:v>2.900963068008423</c:v>
                </c:pt>
                <c:pt idx="122">
                  <c:v>2.090482950210571</c:v>
                </c:pt>
                <c:pt idx="123">
                  <c:v>3.55781888961792</c:v>
                </c:pt>
                <c:pt idx="124">
                  <c:v>2.887876033782959</c:v>
                </c:pt>
                <c:pt idx="125">
                  <c:v>2.063877105712891</c:v>
                </c:pt>
                <c:pt idx="126">
                  <c:v>3.542155027389526</c:v>
                </c:pt>
                <c:pt idx="127">
                  <c:v>2.898452043533325</c:v>
                </c:pt>
                <c:pt idx="128">
                  <c:v>2.095951080322266</c:v>
                </c:pt>
                <c:pt idx="129">
                  <c:v>3.479640007019043</c:v>
                </c:pt>
                <c:pt idx="130">
                  <c:v>2.888874053955078</c:v>
                </c:pt>
                <c:pt idx="131">
                  <c:v>2.097069025039673</c:v>
                </c:pt>
                <c:pt idx="132">
                  <c:v>3.426515102386475</c:v>
                </c:pt>
                <c:pt idx="133">
                  <c:v>2.902434110641479</c:v>
                </c:pt>
                <c:pt idx="134">
                  <c:v>2.180047035217285</c:v>
                </c:pt>
                <c:pt idx="135">
                  <c:v>3.314316987991333</c:v>
                </c:pt>
                <c:pt idx="136">
                  <c:v>2.917191982269287</c:v>
                </c:pt>
                <c:pt idx="137">
                  <c:v>2.214348077774048</c:v>
                </c:pt>
                <c:pt idx="138">
                  <c:v>3.238375902175903</c:v>
                </c:pt>
                <c:pt idx="139">
                  <c:v>2.945044040679932</c:v>
                </c:pt>
                <c:pt idx="140">
                  <c:v>2.337065935134888</c:v>
                </c:pt>
                <c:pt idx="141">
                  <c:v>3.100306987762451</c:v>
                </c:pt>
                <c:pt idx="142">
                  <c:v>2.989054918289185</c:v>
                </c:pt>
                <c:pt idx="143">
                  <c:v>2.400605916976929</c:v>
                </c:pt>
                <c:pt idx="144">
                  <c:v>2.991997003555298</c:v>
                </c:pt>
                <c:pt idx="145">
                  <c:v>3.031407117843628</c:v>
                </c:pt>
                <c:pt idx="146">
                  <c:v>2.537409067153931</c:v>
                </c:pt>
                <c:pt idx="147">
                  <c:v>2.835607051849365</c:v>
                </c:pt>
                <c:pt idx="148">
                  <c:v>3.105654954910278</c:v>
                </c:pt>
                <c:pt idx="149">
                  <c:v>2.595583915710449</c:v>
                </c:pt>
                <c:pt idx="150">
                  <c:v>2.711559057235718</c:v>
                </c:pt>
                <c:pt idx="151">
                  <c:v>3.157167911529541</c:v>
                </c:pt>
                <c:pt idx="152">
                  <c:v>2.713840961456299</c:v>
                </c:pt>
                <c:pt idx="153">
                  <c:v>2.564152002334595</c:v>
                </c:pt>
                <c:pt idx="154">
                  <c:v>3.24968695640564</c:v>
                </c:pt>
                <c:pt idx="155">
                  <c:v>2.750543117523193</c:v>
                </c:pt>
                <c:pt idx="156">
                  <c:v>2.449069023132324</c:v>
                </c:pt>
                <c:pt idx="157">
                  <c:v>3.312035083770752</c:v>
                </c:pt>
                <c:pt idx="158">
                  <c:v>2.837546110153198</c:v>
                </c:pt>
                <c:pt idx="159">
                  <c:v>2.349958896636963</c:v>
                </c:pt>
                <c:pt idx="160">
                  <c:v>3.398590087890625</c:v>
                </c:pt>
                <c:pt idx="161">
                  <c:v>2.839677095413208</c:v>
                </c:pt>
                <c:pt idx="162">
                  <c:v>2.209765911102295</c:v>
                </c:pt>
                <c:pt idx="163">
                  <c:v>3.476319074630737</c:v>
                </c:pt>
                <c:pt idx="164">
                  <c:v>2.888107061386108</c:v>
                </c:pt>
                <c:pt idx="165">
                  <c:v>2.212049007415771</c:v>
                </c:pt>
                <c:pt idx="166">
                  <c:v>3.502717018127441</c:v>
                </c:pt>
                <c:pt idx="167">
                  <c:v>2.883321046829224</c:v>
                </c:pt>
                <c:pt idx="168">
                  <c:v>2.117595911026001</c:v>
                </c:pt>
                <c:pt idx="169">
                  <c:v>3.54616904258728</c:v>
                </c:pt>
                <c:pt idx="170">
                  <c:v>2.893168926239014</c:v>
                </c:pt>
                <c:pt idx="171">
                  <c:v>2.093985080718994</c:v>
                </c:pt>
                <c:pt idx="172">
                  <c:v>3.550196886062622</c:v>
                </c:pt>
                <c:pt idx="173">
                  <c:v>2.898469924926758</c:v>
                </c:pt>
                <c:pt idx="174">
                  <c:v>2.086788892745972</c:v>
                </c:pt>
                <c:pt idx="175">
                  <c:v>3.528004884719849</c:v>
                </c:pt>
                <c:pt idx="176">
                  <c:v>2.897937059402466</c:v>
                </c:pt>
                <c:pt idx="177">
                  <c:v>2.085786104202271</c:v>
                </c:pt>
                <c:pt idx="178">
                  <c:v>3.470005035400391</c:v>
                </c:pt>
                <c:pt idx="179">
                  <c:v>2.89057993888855</c:v>
                </c:pt>
                <c:pt idx="180">
                  <c:v>2.102943897247314</c:v>
                </c:pt>
                <c:pt idx="181">
                  <c:v>3.411572933197021</c:v>
                </c:pt>
                <c:pt idx="182">
                  <c:v>2.903558969497681</c:v>
                </c:pt>
                <c:pt idx="183">
                  <c:v>2.177488088607788</c:v>
                </c:pt>
                <c:pt idx="184">
                  <c:v>3.296284914016724</c:v>
                </c:pt>
                <c:pt idx="185">
                  <c:v>2.915066957473755</c:v>
                </c:pt>
                <c:pt idx="186">
                  <c:v>2.21268892288208</c:v>
                </c:pt>
                <c:pt idx="187">
                  <c:v>3.222590923309326</c:v>
                </c:pt>
                <c:pt idx="188">
                  <c:v>2.944432973861694</c:v>
                </c:pt>
                <c:pt idx="189">
                  <c:v>2.342251062393188</c:v>
                </c:pt>
                <c:pt idx="190">
                  <c:v>3.083262920379639</c:v>
                </c:pt>
                <c:pt idx="191">
                  <c:v>2.991806983947754</c:v>
                </c:pt>
                <c:pt idx="192">
                  <c:v>2.405102968215942</c:v>
                </c:pt>
                <c:pt idx="193">
                  <c:v>2.977686882019043</c:v>
                </c:pt>
                <c:pt idx="194">
                  <c:v>3.034106016159058</c:v>
                </c:pt>
                <c:pt idx="195">
                  <c:v>2.540873050689697</c:v>
                </c:pt>
                <c:pt idx="196">
                  <c:v>2.816361904144287</c:v>
                </c:pt>
                <c:pt idx="197">
                  <c:v>3.10643196105957</c:v>
                </c:pt>
                <c:pt idx="198">
                  <c:v>2.59998607635498</c:v>
                </c:pt>
                <c:pt idx="199">
                  <c:v>2.697180032730103</c:v>
                </c:pt>
                <c:pt idx="200">
                  <c:v>3.16397500038147</c:v>
                </c:pt>
                <c:pt idx="201">
                  <c:v>2.723120927810669</c:v>
                </c:pt>
                <c:pt idx="202">
                  <c:v>2.566283941268921</c:v>
                </c:pt>
                <c:pt idx="203">
                  <c:v>3.252207040786743</c:v>
                </c:pt>
                <c:pt idx="204">
                  <c:v>2.756367921829224</c:v>
                </c:pt>
                <c:pt idx="205">
                  <c:v>2.426181077957153</c:v>
                </c:pt>
                <c:pt idx="206">
                  <c:v>3.324151039123535</c:v>
                </c:pt>
                <c:pt idx="207">
                  <c:v>2.841521024703979</c:v>
                </c:pt>
                <c:pt idx="208">
                  <c:v>2.36919093132019</c:v>
                </c:pt>
                <c:pt idx="209">
                  <c:v>3.392487049102783</c:v>
                </c:pt>
                <c:pt idx="210">
                  <c:v>2.858586072921753</c:v>
                </c:pt>
                <c:pt idx="211">
                  <c:v>2.264319896697998</c:v>
                </c:pt>
                <c:pt idx="212">
                  <c:v>3.455404996871948</c:v>
                </c:pt>
                <c:pt idx="213">
                  <c:v>2.876005887985229</c:v>
                </c:pt>
                <c:pt idx="214">
                  <c:v>2.135152101516724</c:v>
                </c:pt>
                <c:pt idx="215">
                  <c:v>3.545063972473145</c:v>
                </c:pt>
                <c:pt idx="216">
                  <c:v>2.882134914398193</c:v>
                </c:pt>
                <c:pt idx="217">
                  <c:v>2.098931074142456</c:v>
                </c:pt>
                <c:pt idx="218">
                  <c:v>3.563368082046509</c:v>
                </c:pt>
                <c:pt idx="219">
                  <c:v>2.905654907226562</c:v>
                </c:pt>
                <c:pt idx="220">
                  <c:v>2.083254098892212</c:v>
                </c:pt>
                <c:pt idx="221">
                  <c:v>3.555669069290161</c:v>
                </c:pt>
                <c:pt idx="222">
                  <c:v>2.882153034210205</c:v>
                </c:pt>
                <c:pt idx="223">
                  <c:v>2.051058053970337</c:v>
                </c:pt>
                <c:pt idx="224">
                  <c:v>3.539230108261108</c:v>
                </c:pt>
                <c:pt idx="225">
                  <c:v>2.893441915512085</c:v>
                </c:pt>
                <c:pt idx="226">
                  <c:v>2.084834098815918</c:v>
                </c:pt>
                <c:pt idx="227">
                  <c:v>3.470108985900879</c:v>
                </c:pt>
                <c:pt idx="228">
                  <c:v>2.882551908493042</c:v>
                </c:pt>
                <c:pt idx="229">
                  <c:v>2.090630054473877</c:v>
                </c:pt>
                <c:pt idx="230">
                  <c:v>3.416707992553711</c:v>
                </c:pt>
                <c:pt idx="231">
                  <c:v>2.898998022079468</c:v>
                </c:pt>
                <c:pt idx="232">
                  <c:v>2.180913925170898</c:v>
                </c:pt>
                <c:pt idx="233">
                  <c:v>3.303519010543823</c:v>
                </c:pt>
                <c:pt idx="234">
                  <c:v>2.91794490814209</c:v>
                </c:pt>
                <c:pt idx="235">
                  <c:v>2.22148609161377</c:v>
                </c:pt>
                <c:pt idx="236">
                  <c:v>3.218096017837524</c:v>
                </c:pt>
                <c:pt idx="237">
                  <c:v>2.952049016952515</c:v>
                </c:pt>
                <c:pt idx="238">
                  <c:v>2.350200891494751</c:v>
                </c:pt>
                <c:pt idx="239">
                  <c:v>3.113358020782471</c:v>
                </c:pt>
                <c:pt idx="240">
                  <c:v>2.994996070861816</c:v>
                </c:pt>
                <c:pt idx="241">
                  <c:v>2.426315069198608</c:v>
                </c:pt>
                <c:pt idx="242">
                  <c:v>2.962693929672241</c:v>
                </c:pt>
                <c:pt idx="243">
                  <c:v>3.040066003799438</c:v>
                </c:pt>
                <c:pt idx="244">
                  <c:v>2.545028924942017</c:v>
                </c:pt>
                <c:pt idx="245">
                  <c:v>2.767000913619995</c:v>
                </c:pt>
                <c:pt idx="246">
                  <c:v>3.126867055892944</c:v>
                </c:pt>
                <c:pt idx="247">
                  <c:v>2.631724119186401</c:v>
                </c:pt>
                <c:pt idx="248">
                  <c:v>2.644148111343384</c:v>
                </c:pt>
                <c:pt idx="249">
                  <c:v>3.193819999694824</c:v>
                </c:pt>
                <c:pt idx="250">
                  <c:v>2.737838983535767</c:v>
                </c:pt>
                <c:pt idx="251">
                  <c:v>2.574770927429199</c:v>
                </c:pt>
                <c:pt idx="252">
                  <c:v>3.256726980209351</c:v>
                </c:pt>
                <c:pt idx="253">
                  <c:v>2.795078039169312</c:v>
                </c:pt>
                <c:pt idx="254">
                  <c:v>2.382340908050537</c:v>
                </c:pt>
                <c:pt idx="255">
                  <c:v>3.359639883041382</c:v>
                </c:pt>
                <c:pt idx="256">
                  <c:v>2.824007034301758</c:v>
                </c:pt>
                <c:pt idx="257">
                  <c:v>2.297624111175537</c:v>
                </c:pt>
                <c:pt idx="258">
                  <c:v>3.420893907546997</c:v>
                </c:pt>
                <c:pt idx="259">
                  <c:v>2.88285493850708</c:v>
                </c:pt>
                <c:pt idx="260">
                  <c:v>2.2184898853302</c:v>
                </c:pt>
                <c:pt idx="261">
                  <c:v>3.497858047485352</c:v>
                </c:pt>
                <c:pt idx="262">
                  <c:v>2.867136001586914</c:v>
                </c:pt>
                <c:pt idx="263">
                  <c:v>2.150203943252563</c:v>
                </c:pt>
                <c:pt idx="264">
                  <c:v>3.52872896194458</c:v>
                </c:pt>
                <c:pt idx="265">
                  <c:v>2.896488904953003</c:v>
                </c:pt>
                <c:pt idx="266">
                  <c:v>2.102935075759888</c:v>
                </c:pt>
                <c:pt idx="267">
                  <c:v>3.561697959899902</c:v>
                </c:pt>
                <c:pt idx="268">
                  <c:v>2.883148908615112</c:v>
                </c:pt>
                <c:pt idx="269">
                  <c:v>2.057533025741577</c:v>
                </c:pt>
                <c:pt idx="270">
                  <c:v>3.558593988418579</c:v>
                </c:pt>
                <c:pt idx="271">
                  <c:v>2.903007030487061</c:v>
                </c:pt>
                <c:pt idx="272">
                  <c:v>2.101152896881104</c:v>
                </c:pt>
                <c:pt idx="273">
                  <c:v>3.513015985488892</c:v>
                </c:pt>
                <c:pt idx="274">
                  <c:v>2.899708986282349</c:v>
                </c:pt>
                <c:pt idx="275">
                  <c:v>2.105874061584473</c:v>
                </c:pt>
                <c:pt idx="276">
                  <c:v>3.449009895324707</c:v>
                </c:pt>
                <c:pt idx="277">
                  <c:v>2.894145965576172</c:v>
                </c:pt>
                <c:pt idx="278">
                  <c:v>2.129511117935181</c:v>
                </c:pt>
                <c:pt idx="279">
                  <c:v>3.350882053375244</c:v>
                </c:pt>
                <c:pt idx="280">
                  <c:v>2.903002977371216</c:v>
                </c:pt>
                <c:pt idx="281">
                  <c:v>2.176704883575439</c:v>
                </c:pt>
                <c:pt idx="282">
                  <c:v>3.287394046783447</c:v>
                </c:pt>
                <c:pt idx="283">
                  <c:v>2.93151593208313</c:v>
                </c:pt>
                <c:pt idx="284">
                  <c:v>2.310441970825195</c:v>
                </c:pt>
                <c:pt idx="285">
                  <c:v>3.141829013824463</c:v>
                </c:pt>
                <c:pt idx="286">
                  <c:v>2.978333950042725</c:v>
                </c:pt>
                <c:pt idx="287">
                  <c:v>2.363074064254761</c:v>
                </c:pt>
                <c:pt idx="288">
                  <c:v>3.040718078613281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SIM3!$C$11:$C$299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1.250348329544067</c:v>
                </c:pt>
                <c:pt idx="6">
                  <c:v>1.50030505657196</c:v>
                </c:pt>
                <c:pt idx="7">
                  <c:v>1.750392556190491</c:v>
                </c:pt>
                <c:pt idx="8">
                  <c:v>2.000049829483032</c:v>
                </c:pt>
                <c:pt idx="9">
                  <c:v>2.250324249267578</c:v>
                </c:pt>
                <c:pt idx="10">
                  <c:v>2.500113248825073</c:v>
                </c:pt>
                <c:pt idx="11">
                  <c:v>2.750228643417358</c:v>
                </c:pt>
                <c:pt idx="12">
                  <c:v>3.000202894210815</c:v>
                </c:pt>
                <c:pt idx="13">
                  <c:v>3.25017786026001</c:v>
                </c:pt>
                <c:pt idx="14">
                  <c:v>3.500149965286255</c:v>
                </c:pt>
                <c:pt idx="15">
                  <c:v>3.750124931335449</c:v>
                </c:pt>
                <c:pt idx="16">
                  <c:v>4.000100135803223</c:v>
                </c:pt>
                <c:pt idx="17">
                  <c:v>4.250072002410889</c:v>
                </c:pt>
                <c:pt idx="18">
                  <c:v>4.500047206878662</c:v>
                </c:pt>
                <c:pt idx="19">
                  <c:v>4.750022411346436</c:v>
                </c:pt>
                <c:pt idx="20">
                  <c:v>5.000447273254395</c:v>
                </c:pt>
                <c:pt idx="21">
                  <c:v>5.25042200088501</c:v>
                </c:pt>
                <c:pt idx="22">
                  <c:v>5.500394344329834</c:v>
                </c:pt>
                <c:pt idx="23">
                  <c:v>5.750369548797607</c:v>
                </c:pt>
                <c:pt idx="24">
                  <c:v>6.000344276428223</c:v>
                </c:pt>
                <c:pt idx="25">
                  <c:v>6.250316619873047</c:v>
                </c:pt>
                <c:pt idx="26">
                  <c:v>6.50029182434082</c:v>
                </c:pt>
                <c:pt idx="27">
                  <c:v>6.750258445739746</c:v>
                </c:pt>
                <c:pt idx="28">
                  <c:v>7.000214099884033</c:v>
                </c:pt>
                <c:pt idx="29">
                  <c:v>7.250169277191162</c:v>
                </c:pt>
                <c:pt idx="30">
                  <c:v>7.5001220703125</c:v>
                </c:pt>
                <c:pt idx="31">
                  <c:v>7.750119209289551</c:v>
                </c:pt>
                <c:pt idx="32">
                  <c:v>8.000389099121094</c:v>
                </c:pt>
                <c:pt idx="33">
                  <c:v>8.250052452087402</c:v>
                </c:pt>
                <c:pt idx="34">
                  <c:v>8.500241279602051</c:v>
                </c:pt>
                <c:pt idx="35">
                  <c:v>8.750203132629395</c:v>
                </c:pt>
                <c:pt idx="36">
                  <c:v>9.000310897827148</c:v>
                </c:pt>
                <c:pt idx="37">
                  <c:v>9.250052452087402</c:v>
                </c:pt>
                <c:pt idx="38">
                  <c:v>9.50018310546875</c:v>
                </c:pt>
                <c:pt idx="39">
                  <c:v>9.750008583068848</c:v>
                </c:pt>
                <c:pt idx="40">
                  <c:v>10.00001907348633</c:v>
                </c:pt>
                <c:pt idx="41">
                  <c:v>10.25015258789062</c:v>
                </c:pt>
                <c:pt idx="42">
                  <c:v>10.5002498626709</c:v>
                </c:pt>
                <c:pt idx="43">
                  <c:v>10.75041675567627</c:v>
                </c:pt>
                <c:pt idx="44">
                  <c:v>11.0001392364502</c:v>
                </c:pt>
                <c:pt idx="45">
                  <c:v>11.25006103515625</c:v>
                </c:pt>
                <c:pt idx="46">
                  <c:v>11.5003137588501</c:v>
                </c:pt>
                <c:pt idx="47">
                  <c:v>11.75023365020752</c:v>
                </c:pt>
                <c:pt idx="48">
                  <c:v>12.00009727478027</c:v>
                </c:pt>
                <c:pt idx="49">
                  <c:v>12.25032520294189</c:v>
                </c:pt>
                <c:pt idx="50">
                  <c:v>12.50018882751465</c:v>
                </c:pt>
                <c:pt idx="51">
                  <c:v>12.75035285949707</c:v>
                </c:pt>
                <c:pt idx="52">
                  <c:v>13.00004768371582</c:v>
                </c:pt>
                <c:pt idx="53">
                  <c:v>13.25002765655518</c:v>
                </c:pt>
                <c:pt idx="54">
                  <c:v>13.50016403198242</c:v>
                </c:pt>
                <c:pt idx="55">
                  <c:v>13.75041675567627</c:v>
                </c:pt>
                <c:pt idx="56">
                  <c:v>14.0001802444458</c:v>
                </c:pt>
                <c:pt idx="57">
                  <c:v>14.25008010864258</c:v>
                </c:pt>
                <c:pt idx="58">
                  <c:v>14.50016403198242</c:v>
                </c:pt>
                <c:pt idx="59">
                  <c:v>14.75033092498779</c:v>
                </c:pt>
                <c:pt idx="60">
                  <c:v>15.00017547607422</c:v>
                </c:pt>
                <c:pt idx="61">
                  <c:v>15.25016689300537</c:v>
                </c:pt>
                <c:pt idx="62">
                  <c:v>15.50016403198242</c:v>
                </c:pt>
                <c:pt idx="63">
                  <c:v>15.75026416778564</c:v>
                </c:pt>
                <c:pt idx="64">
                  <c:v>16.00035858154297</c:v>
                </c:pt>
                <c:pt idx="65">
                  <c:v>16.2503833770752</c:v>
                </c:pt>
                <c:pt idx="66">
                  <c:v>16.50010299682617</c:v>
                </c:pt>
                <c:pt idx="67">
                  <c:v>16.75003814697266</c:v>
                </c:pt>
                <c:pt idx="68">
                  <c:v>17.00011444091797</c:v>
                </c:pt>
                <c:pt idx="69">
                  <c:v>17.25019073486328</c:v>
                </c:pt>
                <c:pt idx="70">
                  <c:v>17.5001163482666</c:v>
                </c:pt>
                <c:pt idx="71">
                  <c:v>17.75002288818359</c:v>
                </c:pt>
                <c:pt idx="72">
                  <c:v>18.00034523010254</c:v>
                </c:pt>
                <c:pt idx="73">
                  <c:v>18.25021743774414</c:v>
                </c:pt>
                <c:pt idx="74">
                  <c:v>18.50043678283691</c:v>
                </c:pt>
                <c:pt idx="75">
                  <c:v>18.75015068054199</c:v>
                </c:pt>
                <c:pt idx="76">
                  <c:v>19.00040817260742</c:v>
                </c:pt>
                <c:pt idx="77">
                  <c:v>19.25025749206543</c:v>
                </c:pt>
                <c:pt idx="78">
                  <c:v>19.50044441223145</c:v>
                </c:pt>
                <c:pt idx="79">
                  <c:v>19.7502498626709</c:v>
                </c:pt>
                <c:pt idx="80">
                  <c:v>20.00047302246094</c:v>
                </c:pt>
                <c:pt idx="81">
                  <c:v>20.25036430358887</c:v>
                </c:pt>
                <c:pt idx="82">
                  <c:v>20.50029754638672</c:v>
                </c:pt>
                <c:pt idx="83">
                  <c:v>20.75026893615723</c:v>
                </c:pt>
                <c:pt idx="84">
                  <c:v>21.00044250488281</c:v>
                </c:pt>
                <c:pt idx="85">
                  <c:v>21.25006103515625</c:v>
                </c:pt>
                <c:pt idx="86">
                  <c:v>21.50034141540527</c:v>
                </c:pt>
                <c:pt idx="87">
                  <c:v>21.75033569335938</c:v>
                </c:pt>
                <c:pt idx="88">
                  <c:v>22.00017547607422</c:v>
                </c:pt>
                <c:pt idx="89">
                  <c:v>22.25029754638672</c:v>
                </c:pt>
                <c:pt idx="90">
                  <c:v>22.50043296813965</c:v>
                </c:pt>
                <c:pt idx="91">
                  <c:v>22.75029754638672</c:v>
                </c:pt>
                <c:pt idx="92">
                  <c:v>23.00015640258789</c:v>
                </c:pt>
                <c:pt idx="93">
                  <c:v>23.25046920776367</c:v>
                </c:pt>
                <c:pt idx="94">
                  <c:v>23.50008964538574</c:v>
                </c:pt>
                <c:pt idx="95">
                  <c:v>23.7503604888916</c:v>
                </c:pt>
                <c:pt idx="96">
                  <c:v>24.00012016296387</c:v>
                </c:pt>
                <c:pt idx="97">
                  <c:v>24.25001907348633</c:v>
                </c:pt>
                <c:pt idx="98">
                  <c:v>24.50034713745117</c:v>
                </c:pt>
                <c:pt idx="99">
                  <c:v>24.7503833770752</c:v>
                </c:pt>
                <c:pt idx="100">
                  <c:v>25.00030326843262</c:v>
                </c:pt>
                <c:pt idx="101">
                  <c:v>25.2501392364502</c:v>
                </c:pt>
                <c:pt idx="102">
                  <c:v>25.50010299682617</c:v>
                </c:pt>
                <c:pt idx="103">
                  <c:v>25.75044250488281</c:v>
                </c:pt>
                <c:pt idx="104">
                  <c:v>26.00040817260742</c:v>
                </c:pt>
                <c:pt idx="105">
                  <c:v>26.25045776367188</c:v>
                </c:pt>
                <c:pt idx="106">
                  <c:v>26.50009536743164</c:v>
                </c:pt>
                <c:pt idx="107">
                  <c:v>26.75022315979004</c:v>
                </c:pt>
                <c:pt idx="108">
                  <c:v>27.00009155273438</c:v>
                </c:pt>
                <c:pt idx="109">
                  <c:v>27.25018119812012</c:v>
                </c:pt>
                <c:pt idx="110">
                  <c:v>27.50007247924805</c:v>
                </c:pt>
                <c:pt idx="111">
                  <c:v>27.75041961669922</c:v>
                </c:pt>
                <c:pt idx="112">
                  <c:v>28.00002861022949</c:v>
                </c:pt>
                <c:pt idx="113">
                  <c:v>28.25041580200195</c:v>
                </c:pt>
                <c:pt idx="114">
                  <c:v>28.50019454956055</c:v>
                </c:pt>
                <c:pt idx="115">
                  <c:v>28.75016593933105</c:v>
                </c:pt>
                <c:pt idx="116">
                  <c:v>29.00033378601074</c:v>
                </c:pt>
                <c:pt idx="117">
                  <c:v>29.25005531311035</c:v>
                </c:pt>
                <c:pt idx="118">
                  <c:v>29.50030517578125</c:v>
                </c:pt>
                <c:pt idx="119">
                  <c:v>29.75019454956055</c:v>
                </c:pt>
                <c:pt idx="120">
                  <c:v>30.00008392333984</c:v>
                </c:pt>
                <c:pt idx="121">
                  <c:v>30.25005531311035</c:v>
                </c:pt>
                <c:pt idx="122">
                  <c:v>30.50041580200195</c:v>
                </c:pt>
                <c:pt idx="123">
                  <c:v>30.75027847290039</c:v>
                </c:pt>
                <c:pt idx="124">
                  <c:v>31.0002498626709</c:v>
                </c:pt>
                <c:pt idx="125">
                  <c:v>31.25016593933105</c:v>
                </c:pt>
                <c:pt idx="126">
                  <c:v>31.5003604888916</c:v>
                </c:pt>
                <c:pt idx="127">
                  <c:v>31.7502498626709</c:v>
                </c:pt>
                <c:pt idx="128">
                  <c:v>32.0001106262207</c:v>
                </c:pt>
                <c:pt idx="129">
                  <c:v>32.25041580200195</c:v>
                </c:pt>
                <c:pt idx="130">
                  <c:v>32.50027847290039</c:v>
                </c:pt>
                <c:pt idx="131">
                  <c:v>32.75038909912109</c:v>
                </c:pt>
                <c:pt idx="132">
                  <c:v>33.00022125244141</c:v>
                </c:pt>
                <c:pt idx="133">
                  <c:v>33.25033187866211</c:v>
                </c:pt>
                <c:pt idx="134">
                  <c:v>33.50044631958008</c:v>
                </c:pt>
                <c:pt idx="135">
                  <c:v>33.75041580200195</c:v>
                </c:pt>
                <c:pt idx="136">
                  <c:v>34.00025177001953</c:v>
                </c:pt>
                <c:pt idx="137">
                  <c:v>34.25036239624023</c:v>
                </c:pt>
                <c:pt idx="138">
                  <c:v>34.50019454956055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35.25030517578125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36.00016784667969</c:v>
                </c:pt>
                <c:pt idx="145">
                  <c:v>36.25002670288086</c:v>
                </c:pt>
                <c:pt idx="146">
                  <c:v>36.50036239624023</c:v>
                </c:pt>
                <c:pt idx="147">
                  <c:v>36.75036239624023</c:v>
                </c:pt>
                <c:pt idx="148">
                  <c:v>37.00038909912109</c:v>
                </c:pt>
                <c:pt idx="149">
                  <c:v>37.25016784667969</c:v>
                </c:pt>
                <c:pt idx="150">
                  <c:v>37.50016784667969</c:v>
                </c:pt>
                <c:pt idx="151">
                  <c:v>37.75047302246094</c:v>
                </c:pt>
                <c:pt idx="152">
                  <c:v>38.00008392333984</c:v>
                </c:pt>
                <c:pt idx="153">
                  <c:v>38.25008392333984</c:v>
                </c:pt>
                <c:pt idx="154">
                  <c:v>38.50002670288086</c:v>
                </c:pt>
                <c:pt idx="155">
                  <c:v>38.75022125244141</c:v>
                </c:pt>
                <c:pt idx="156">
                  <c:v>39.00025177001953</c:v>
                </c:pt>
                <c:pt idx="157">
                  <c:v>39.25005722045898</c:v>
                </c:pt>
                <c:pt idx="158">
                  <c:v>39.50019454956055</c:v>
                </c:pt>
                <c:pt idx="159">
                  <c:v>39.75041580200195</c:v>
                </c:pt>
                <c:pt idx="160">
                  <c:v>40.00047302246094</c:v>
                </c:pt>
                <c:pt idx="161">
                  <c:v>40.25027847290039</c:v>
                </c:pt>
                <c:pt idx="162">
                  <c:v>40.50002670288086</c:v>
                </c:pt>
                <c:pt idx="163">
                  <c:v>40.75044631958008</c:v>
                </c:pt>
                <c:pt idx="164">
                  <c:v>41.00041580200195</c:v>
                </c:pt>
                <c:pt idx="165">
                  <c:v>41.25030517578125</c:v>
                </c:pt>
                <c:pt idx="166">
                  <c:v>41.5001106262207</c:v>
                </c:pt>
                <c:pt idx="167">
                  <c:v>41.75019454956055</c:v>
                </c:pt>
                <c:pt idx="168">
                  <c:v>42.00038909912109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42.75005722045898</c:v>
                </c:pt>
                <c:pt idx="172">
                  <c:v>43.00013732910156</c:v>
                </c:pt>
                <c:pt idx="173">
                  <c:v>43.25036239624023</c:v>
                </c:pt>
                <c:pt idx="174">
                  <c:v>43.50036239624023</c:v>
                </c:pt>
                <c:pt idx="175">
                  <c:v>43.75041580200195</c:v>
                </c:pt>
                <c:pt idx="176">
                  <c:v>44.00030517578125</c:v>
                </c:pt>
                <c:pt idx="177">
                  <c:v>44.25016784667969</c:v>
                </c:pt>
                <c:pt idx="178">
                  <c:v>44.50002670288086</c:v>
                </c:pt>
                <c:pt idx="179">
                  <c:v>44.75016784667969</c:v>
                </c:pt>
                <c:pt idx="180">
                  <c:v>45.00008392333984</c:v>
                </c:pt>
                <c:pt idx="181">
                  <c:v>45.25002670288086</c:v>
                </c:pt>
                <c:pt idx="182">
                  <c:v>45.50041580200195</c:v>
                </c:pt>
                <c:pt idx="183">
                  <c:v>45.75016784667969</c:v>
                </c:pt>
                <c:pt idx="184">
                  <c:v>46</c:v>
                </c:pt>
                <c:pt idx="185">
                  <c:v>46.25013732910156</c:v>
                </c:pt>
                <c:pt idx="186">
                  <c:v>46.50044631958008</c:v>
                </c:pt>
                <c:pt idx="187">
                  <c:v>46.75022125244141</c:v>
                </c:pt>
                <c:pt idx="188">
                  <c:v>47.00041580200195</c:v>
                </c:pt>
                <c:pt idx="189">
                  <c:v>47.25036239624023</c:v>
                </c:pt>
                <c:pt idx="190">
                  <c:v>47.50038909912109</c:v>
                </c:pt>
                <c:pt idx="191">
                  <c:v>47.75025177001953</c:v>
                </c:pt>
                <c:pt idx="192">
                  <c:v>48.00038909912109</c:v>
                </c:pt>
                <c:pt idx="193">
                  <c:v>48.25030517578125</c:v>
                </c:pt>
                <c:pt idx="194">
                  <c:v>48.50002670288086</c:v>
                </c:pt>
                <c:pt idx="195">
                  <c:v>48.75038909912109</c:v>
                </c:pt>
                <c:pt idx="196">
                  <c:v>49.00033187866211</c:v>
                </c:pt>
                <c:pt idx="197">
                  <c:v>49.25038909912109</c:v>
                </c:pt>
                <c:pt idx="198">
                  <c:v>49.50036239624023</c:v>
                </c:pt>
                <c:pt idx="199">
                  <c:v>49.75038909912109</c:v>
                </c:pt>
                <c:pt idx="200">
                  <c:v>50.00002670288086</c:v>
                </c:pt>
                <c:pt idx="201">
                  <c:v>50.25038909912109</c:v>
                </c:pt>
                <c:pt idx="202">
                  <c:v>50.50008392333984</c:v>
                </c:pt>
                <c:pt idx="203">
                  <c:v>50.75016784667969</c:v>
                </c:pt>
                <c:pt idx="204">
                  <c:v>51.00038909912109</c:v>
                </c:pt>
                <c:pt idx="205">
                  <c:v>51.25027847290039</c:v>
                </c:pt>
                <c:pt idx="206">
                  <c:v>51.50041580200195</c:v>
                </c:pt>
                <c:pt idx="207">
                  <c:v>51.75005722045898</c:v>
                </c:pt>
                <c:pt idx="208">
                  <c:v>52.00044631958008</c:v>
                </c:pt>
                <c:pt idx="209">
                  <c:v>52.25002670288086</c:v>
                </c:pt>
                <c:pt idx="210">
                  <c:v>52.50016784667969</c:v>
                </c:pt>
                <c:pt idx="211">
                  <c:v>52.75002670288086</c:v>
                </c:pt>
                <c:pt idx="212">
                  <c:v>53.00041580200195</c:v>
                </c:pt>
                <c:pt idx="213">
                  <c:v>53.25033187866211</c:v>
                </c:pt>
                <c:pt idx="214">
                  <c:v>53.50038909912109</c:v>
                </c:pt>
                <c:pt idx="215">
                  <c:v>53.7501106262207</c:v>
                </c:pt>
                <c:pt idx="216">
                  <c:v>54.00013732910156</c:v>
                </c:pt>
                <c:pt idx="217">
                  <c:v>54.25019454956055</c:v>
                </c:pt>
                <c:pt idx="218">
                  <c:v>54.50030517578125</c:v>
                </c:pt>
                <c:pt idx="219">
                  <c:v>54.75027847290039</c:v>
                </c:pt>
                <c:pt idx="220">
                  <c:v>55.00038909912109</c:v>
                </c:pt>
                <c:pt idx="221">
                  <c:v>55.2504997253418</c:v>
                </c:pt>
                <c:pt idx="222">
                  <c:v>55.50038909912109</c:v>
                </c:pt>
                <c:pt idx="223">
                  <c:v>55.75038909912109</c:v>
                </c:pt>
                <c:pt idx="224">
                  <c:v>56.00033187866211</c:v>
                </c:pt>
                <c:pt idx="225">
                  <c:v>56.25002670288086</c:v>
                </c:pt>
                <c:pt idx="226">
                  <c:v>56.50038909912109</c:v>
                </c:pt>
                <c:pt idx="227">
                  <c:v>56.75008392333984</c:v>
                </c:pt>
                <c:pt idx="228">
                  <c:v>57.00025177001953</c:v>
                </c:pt>
                <c:pt idx="229">
                  <c:v>57.25</c:v>
                </c:pt>
                <c:pt idx="230">
                  <c:v>57.50022125244141</c:v>
                </c:pt>
                <c:pt idx="231">
                  <c:v>57.7501106262207</c:v>
                </c:pt>
                <c:pt idx="232">
                  <c:v>58.00036239624023</c:v>
                </c:pt>
                <c:pt idx="233">
                  <c:v>58.25016784667969</c:v>
                </c:pt>
                <c:pt idx="234">
                  <c:v>58.5001106262207</c:v>
                </c:pt>
                <c:pt idx="235">
                  <c:v>58.75027847290039</c:v>
                </c:pt>
                <c:pt idx="236">
                  <c:v>59.00030517578125</c:v>
                </c:pt>
                <c:pt idx="237">
                  <c:v>59.25044631958008</c:v>
                </c:pt>
                <c:pt idx="238">
                  <c:v>59.50002670288086</c:v>
                </c:pt>
                <c:pt idx="239">
                  <c:v>59.7501106262207</c:v>
                </c:pt>
                <c:pt idx="240">
                  <c:v>60.00033187866211</c:v>
                </c:pt>
                <c:pt idx="241">
                  <c:v>60.25041580200195</c:v>
                </c:pt>
                <c:pt idx="242">
                  <c:v>60.50005722045898</c:v>
                </c:pt>
                <c:pt idx="243">
                  <c:v>60.75005722045898</c:v>
                </c:pt>
                <c:pt idx="244">
                  <c:v>61.00033187866211</c:v>
                </c:pt>
                <c:pt idx="245">
                  <c:v>61.25008392333984</c:v>
                </c:pt>
                <c:pt idx="246">
                  <c:v>61.5001106262207</c:v>
                </c:pt>
                <c:pt idx="247">
                  <c:v>61.75041580200195</c:v>
                </c:pt>
                <c:pt idx="248">
                  <c:v>62.00008392333984</c:v>
                </c:pt>
                <c:pt idx="249">
                  <c:v>62.25016784667969</c:v>
                </c:pt>
                <c:pt idx="250">
                  <c:v>62.50036239624023</c:v>
                </c:pt>
                <c:pt idx="251">
                  <c:v>62.75036239624023</c:v>
                </c:pt>
                <c:pt idx="252">
                  <c:v>63.00019454956055</c:v>
                </c:pt>
                <c:pt idx="253">
                  <c:v>63.25027847290039</c:v>
                </c:pt>
                <c:pt idx="254">
                  <c:v>63.50022125244141</c:v>
                </c:pt>
                <c:pt idx="255">
                  <c:v>63.75005722045898</c:v>
                </c:pt>
                <c:pt idx="256">
                  <c:v>64.00041961669922</c:v>
                </c:pt>
                <c:pt idx="257">
                  <c:v>64.25038909912109</c:v>
                </c:pt>
                <c:pt idx="258">
                  <c:v>64.50041961669922</c:v>
                </c:pt>
                <c:pt idx="259">
                  <c:v>64.75033569335938</c:v>
                </c:pt>
                <c:pt idx="260">
                  <c:v>65.00013732910156</c:v>
                </c:pt>
                <c:pt idx="261">
                  <c:v>65.25033569335938</c:v>
                </c:pt>
                <c:pt idx="262">
                  <c:v>65.50044250488281</c:v>
                </c:pt>
                <c:pt idx="263">
                  <c:v>65.75038909912109</c:v>
                </c:pt>
                <c:pt idx="264">
                  <c:v>66.00016784667969</c:v>
                </c:pt>
                <c:pt idx="265">
                  <c:v>66.25008392333984</c:v>
                </c:pt>
                <c:pt idx="266">
                  <c:v>66.50025177001953</c:v>
                </c:pt>
                <c:pt idx="267">
                  <c:v>66.75033569335938</c:v>
                </c:pt>
                <c:pt idx="268">
                  <c:v>67.00005340576172</c:v>
                </c:pt>
                <c:pt idx="269">
                  <c:v>67.25005340576172</c:v>
                </c:pt>
                <c:pt idx="270">
                  <c:v>67.50008392333984</c:v>
                </c:pt>
                <c:pt idx="271">
                  <c:v>67.75033569335938</c:v>
                </c:pt>
                <c:pt idx="272">
                  <c:v>68.00003051757812</c:v>
                </c:pt>
                <c:pt idx="273">
                  <c:v>68.25041961669922</c:v>
                </c:pt>
                <c:pt idx="274">
                  <c:v>68.50008392333984</c:v>
                </c:pt>
                <c:pt idx="275">
                  <c:v>68.75</c:v>
                </c:pt>
                <c:pt idx="276">
                  <c:v>69.00019073486328</c:v>
                </c:pt>
                <c:pt idx="277">
                  <c:v>69.25033569335938</c:v>
                </c:pt>
                <c:pt idx="278">
                  <c:v>69.50030517578125</c:v>
                </c:pt>
                <c:pt idx="279">
                  <c:v>69.75013732910156</c:v>
                </c:pt>
                <c:pt idx="280">
                  <c:v>70.00013732910156</c:v>
                </c:pt>
                <c:pt idx="281">
                  <c:v>70.25019073486328</c:v>
                </c:pt>
                <c:pt idx="282">
                  <c:v>70.50030517578125</c:v>
                </c:pt>
                <c:pt idx="283">
                  <c:v>70.75022125244141</c:v>
                </c:pt>
                <c:pt idx="284">
                  <c:v>71.00041961669922</c:v>
                </c:pt>
                <c:pt idx="285">
                  <c:v>71.25033569335938</c:v>
                </c:pt>
                <c:pt idx="286">
                  <c:v>71.50008392333984</c:v>
                </c:pt>
                <c:pt idx="287">
                  <c:v>71.75025177001953</c:v>
                </c:pt>
                <c:pt idx="288">
                  <c:v>72.00019073486328</c:v>
                </c:pt>
              </c:numCache>
            </c:numRef>
          </c:xVal>
          <c:yVal>
            <c:numRef>
              <c:f>SIM3!$H$11:$H$299</c:f>
              <c:numCache>
                <c:ptCount val="289"/>
                <c:pt idx="0">
                  <c:v>9.87746524810791</c:v>
                </c:pt>
                <c:pt idx="1">
                  <c:v>10.26500034332275</c:v>
                </c:pt>
                <c:pt idx="2">
                  <c:v>8.758434295654297</c:v>
                </c:pt>
                <c:pt idx="3">
                  <c:v>7.069362163543701</c:v>
                </c:pt>
                <c:pt idx="4">
                  <c:v>2.083694934844971</c:v>
                </c:pt>
                <c:pt idx="5">
                  <c:v>5.474161148071289</c:v>
                </c:pt>
                <c:pt idx="6">
                  <c:v>5.677178859710693</c:v>
                </c:pt>
                <c:pt idx="7">
                  <c:v>6.644062042236328</c:v>
                </c:pt>
                <c:pt idx="8">
                  <c:v>4.914949893951416</c:v>
                </c:pt>
                <c:pt idx="9">
                  <c:v>5.597668170928955</c:v>
                </c:pt>
                <c:pt idx="10">
                  <c:v>6.234920024871826</c:v>
                </c:pt>
                <c:pt idx="11">
                  <c:v>5.756985187530518</c:v>
                </c:pt>
                <c:pt idx="12">
                  <c:v>5.20297384262085</c:v>
                </c:pt>
                <c:pt idx="13">
                  <c:v>6.470314979553223</c:v>
                </c:pt>
                <c:pt idx="14">
                  <c:v>5.944900989532471</c:v>
                </c:pt>
                <c:pt idx="15">
                  <c:v>4.968132972717285</c:v>
                </c:pt>
                <c:pt idx="16">
                  <c:v>6.4491868019104</c:v>
                </c:pt>
                <c:pt idx="17">
                  <c:v>6.266407012939453</c:v>
                </c:pt>
                <c:pt idx="18">
                  <c:v>4.684443950653076</c:v>
                </c:pt>
                <c:pt idx="19">
                  <c:v>6.47621488571167</c:v>
                </c:pt>
                <c:pt idx="20">
                  <c:v>6.417575836181641</c:v>
                </c:pt>
                <c:pt idx="21">
                  <c:v>4.439963817596436</c:v>
                </c:pt>
                <c:pt idx="22">
                  <c:v>6.429596900939941</c:v>
                </c:pt>
                <c:pt idx="23">
                  <c:v>6.414557933807373</c:v>
                </c:pt>
                <c:pt idx="24">
                  <c:v>4.298439025878906</c:v>
                </c:pt>
                <c:pt idx="25">
                  <c:v>6.267036914825439</c:v>
                </c:pt>
                <c:pt idx="26">
                  <c:v>6.448339939117432</c:v>
                </c:pt>
                <c:pt idx="27">
                  <c:v>4.181074142456055</c:v>
                </c:pt>
                <c:pt idx="28">
                  <c:v>6.025957107543945</c:v>
                </c:pt>
                <c:pt idx="29">
                  <c:v>6.488649845123291</c:v>
                </c:pt>
                <c:pt idx="30">
                  <c:v>4.19556188583374</c:v>
                </c:pt>
                <c:pt idx="31">
                  <c:v>5.748920917510986</c:v>
                </c:pt>
                <c:pt idx="32">
                  <c:v>6.593609809875488</c:v>
                </c:pt>
                <c:pt idx="33">
                  <c:v>4.318774223327637</c:v>
                </c:pt>
                <c:pt idx="34">
                  <c:v>5.482732772827148</c:v>
                </c:pt>
                <c:pt idx="35">
                  <c:v>6.722438812255859</c:v>
                </c:pt>
                <c:pt idx="36">
                  <c:v>4.504092216491699</c:v>
                </c:pt>
                <c:pt idx="37">
                  <c:v>5.225290775299072</c:v>
                </c:pt>
                <c:pt idx="38">
                  <c:v>6.838529109954834</c:v>
                </c:pt>
                <c:pt idx="39">
                  <c:v>4.78928804397583</c:v>
                </c:pt>
                <c:pt idx="40">
                  <c:v>4.974734783172607</c:v>
                </c:pt>
                <c:pt idx="41">
                  <c:v>6.9510498046875</c:v>
                </c:pt>
                <c:pt idx="42">
                  <c:v>5.117391109466553</c:v>
                </c:pt>
                <c:pt idx="43">
                  <c:v>4.73344087600708</c:v>
                </c:pt>
                <c:pt idx="44">
                  <c:v>7.0414137840271</c:v>
                </c:pt>
                <c:pt idx="45">
                  <c:v>5.498478889465332</c:v>
                </c:pt>
                <c:pt idx="46">
                  <c:v>4.515810966491699</c:v>
                </c:pt>
                <c:pt idx="47">
                  <c:v>7.11347484588623</c:v>
                </c:pt>
                <c:pt idx="48">
                  <c:v>5.886250019073486</c:v>
                </c:pt>
                <c:pt idx="49">
                  <c:v>4.207640171051025</c:v>
                </c:pt>
                <c:pt idx="50">
                  <c:v>7.200940132141113</c:v>
                </c:pt>
                <c:pt idx="51">
                  <c:v>6.158953189849854</c:v>
                </c:pt>
                <c:pt idx="52">
                  <c:v>4.070283889770508</c:v>
                </c:pt>
                <c:pt idx="53">
                  <c:v>7.217864990234375</c:v>
                </c:pt>
                <c:pt idx="54">
                  <c:v>6.345982074737549</c:v>
                </c:pt>
                <c:pt idx="55">
                  <c:v>3.98115611076355</c:v>
                </c:pt>
                <c:pt idx="56">
                  <c:v>7.143729209899902</c:v>
                </c:pt>
                <c:pt idx="57">
                  <c:v>6.476802825927734</c:v>
                </c:pt>
                <c:pt idx="58">
                  <c:v>3.914062976837158</c:v>
                </c:pt>
                <c:pt idx="59">
                  <c:v>7.075405120849609</c:v>
                </c:pt>
                <c:pt idx="60">
                  <c:v>6.476556777954102</c:v>
                </c:pt>
                <c:pt idx="61">
                  <c:v>3.842350006103516</c:v>
                </c:pt>
                <c:pt idx="62">
                  <c:v>6.922591209411621</c:v>
                </c:pt>
                <c:pt idx="63">
                  <c:v>6.53457498550415</c:v>
                </c:pt>
                <c:pt idx="64">
                  <c:v>3.780426025390625</c:v>
                </c:pt>
                <c:pt idx="65">
                  <c:v>6.808485984802246</c:v>
                </c:pt>
                <c:pt idx="66">
                  <c:v>6.497490882873535</c:v>
                </c:pt>
                <c:pt idx="67">
                  <c:v>3.773732900619507</c:v>
                </c:pt>
                <c:pt idx="68">
                  <c:v>6.55848217010498</c:v>
                </c:pt>
                <c:pt idx="69">
                  <c:v>6.552975177764893</c:v>
                </c:pt>
                <c:pt idx="70">
                  <c:v>3.768449068069458</c:v>
                </c:pt>
                <c:pt idx="71">
                  <c:v>6.388855934143066</c:v>
                </c:pt>
                <c:pt idx="72">
                  <c:v>6.536732196807861</c:v>
                </c:pt>
                <c:pt idx="73">
                  <c:v>3.855464935302734</c:v>
                </c:pt>
                <c:pt idx="74">
                  <c:v>6.106301784515381</c:v>
                </c:pt>
                <c:pt idx="75">
                  <c:v>6.631184101104736</c:v>
                </c:pt>
                <c:pt idx="76">
                  <c:v>3.914861917495728</c:v>
                </c:pt>
                <c:pt idx="77">
                  <c:v>5.896060943603516</c:v>
                </c:pt>
                <c:pt idx="78">
                  <c:v>6.643556118011475</c:v>
                </c:pt>
                <c:pt idx="79">
                  <c:v>4.078904151916504</c:v>
                </c:pt>
                <c:pt idx="80">
                  <c:v>5.598518848419189</c:v>
                </c:pt>
                <c:pt idx="81">
                  <c:v>6.76789379119873</c:v>
                </c:pt>
                <c:pt idx="82">
                  <c:v>4.213465213775635</c:v>
                </c:pt>
                <c:pt idx="83">
                  <c:v>5.381614208221436</c:v>
                </c:pt>
                <c:pt idx="84">
                  <c:v>6.823639869689941</c:v>
                </c:pt>
                <c:pt idx="85">
                  <c:v>4.489808082580566</c:v>
                </c:pt>
                <c:pt idx="86">
                  <c:v>5.085155010223389</c:v>
                </c:pt>
                <c:pt idx="87">
                  <c:v>6.965236186981201</c:v>
                </c:pt>
                <c:pt idx="88">
                  <c:v>4.735610961914062</c:v>
                </c:pt>
                <c:pt idx="89">
                  <c:v>4.915832996368408</c:v>
                </c:pt>
                <c:pt idx="90">
                  <c:v>7.022603034973145</c:v>
                </c:pt>
                <c:pt idx="91">
                  <c:v>5.087063789367676</c:v>
                </c:pt>
                <c:pt idx="92">
                  <c:v>4.66093921661377</c:v>
                </c:pt>
                <c:pt idx="93">
                  <c:v>7.122244834899902</c:v>
                </c:pt>
                <c:pt idx="94">
                  <c:v>5.410583972930908</c:v>
                </c:pt>
                <c:pt idx="95">
                  <c:v>4.487710952758789</c:v>
                </c:pt>
                <c:pt idx="96">
                  <c:v>7.166317939758301</c:v>
                </c:pt>
                <c:pt idx="97">
                  <c:v>5.799044132232666</c:v>
                </c:pt>
                <c:pt idx="98">
                  <c:v>4.287799835205078</c:v>
                </c:pt>
                <c:pt idx="99">
                  <c:v>7.195896148681641</c:v>
                </c:pt>
                <c:pt idx="100">
                  <c:v>6.096757888793945</c:v>
                </c:pt>
                <c:pt idx="101">
                  <c:v>4.132256031036377</c:v>
                </c:pt>
                <c:pt idx="102">
                  <c:v>7.211972236633301</c:v>
                </c:pt>
                <c:pt idx="103">
                  <c:v>6.304900169372559</c:v>
                </c:pt>
                <c:pt idx="104">
                  <c:v>4.00279712677002</c:v>
                </c:pt>
                <c:pt idx="105">
                  <c:v>7.154743194580078</c:v>
                </c:pt>
                <c:pt idx="106">
                  <c:v>6.460781097412109</c:v>
                </c:pt>
                <c:pt idx="107">
                  <c:v>3.898993015289307</c:v>
                </c:pt>
                <c:pt idx="108">
                  <c:v>7.107921123504639</c:v>
                </c:pt>
                <c:pt idx="109">
                  <c:v>6.476335048675537</c:v>
                </c:pt>
                <c:pt idx="110">
                  <c:v>3.855705976486206</c:v>
                </c:pt>
                <c:pt idx="111">
                  <c:v>6.95561408996582</c:v>
                </c:pt>
                <c:pt idx="112">
                  <c:v>6.545669078826904</c:v>
                </c:pt>
                <c:pt idx="113">
                  <c:v>3.799271106719971</c:v>
                </c:pt>
                <c:pt idx="114">
                  <c:v>6.84878396987915</c:v>
                </c:pt>
                <c:pt idx="115">
                  <c:v>6.490303993225098</c:v>
                </c:pt>
                <c:pt idx="116">
                  <c:v>3.800124883651733</c:v>
                </c:pt>
                <c:pt idx="117">
                  <c:v>6.603178024291992</c:v>
                </c:pt>
                <c:pt idx="118">
                  <c:v>6.560726165771484</c:v>
                </c:pt>
                <c:pt idx="119">
                  <c:v>3.776248931884766</c:v>
                </c:pt>
                <c:pt idx="120">
                  <c:v>6.438689231872559</c:v>
                </c:pt>
                <c:pt idx="121">
                  <c:v>6.530604839324951</c:v>
                </c:pt>
                <c:pt idx="122">
                  <c:v>3.852745056152344</c:v>
                </c:pt>
                <c:pt idx="123">
                  <c:v>6.149472236633301</c:v>
                </c:pt>
                <c:pt idx="124">
                  <c:v>6.619577884674072</c:v>
                </c:pt>
                <c:pt idx="125">
                  <c:v>3.915221929550171</c:v>
                </c:pt>
                <c:pt idx="126">
                  <c:v>5.947787761688232</c:v>
                </c:pt>
                <c:pt idx="127">
                  <c:v>6.624319076538086</c:v>
                </c:pt>
                <c:pt idx="128">
                  <c:v>4.064813137054443</c:v>
                </c:pt>
                <c:pt idx="129">
                  <c:v>5.631933212280273</c:v>
                </c:pt>
                <c:pt idx="130">
                  <c:v>6.761991024017334</c:v>
                </c:pt>
                <c:pt idx="131">
                  <c:v>4.183524131774902</c:v>
                </c:pt>
                <c:pt idx="132">
                  <c:v>5.436677932739258</c:v>
                </c:pt>
                <c:pt idx="133">
                  <c:v>6.799755096435547</c:v>
                </c:pt>
                <c:pt idx="134">
                  <c:v>4.436789035797119</c:v>
                </c:pt>
                <c:pt idx="135">
                  <c:v>5.154303073883057</c:v>
                </c:pt>
                <c:pt idx="136">
                  <c:v>6.944352149963379</c:v>
                </c:pt>
                <c:pt idx="137">
                  <c:v>4.663570880889893</c:v>
                </c:pt>
                <c:pt idx="138">
                  <c:v>4.974408149719238</c:v>
                </c:pt>
                <c:pt idx="139">
                  <c:v>6.998898029327393</c:v>
                </c:pt>
                <c:pt idx="140">
                  <c:v>5.022091865539551</c:v>
                </c:pt>
                <c:pt idx="141">
                  <c:v>4.715432167053223</c:v>
                </c:pt>
                <c:pt idx="142">
                  <c:v>7.105713844299316</c:v>
                </c:pt>
                <c:pt idx="143">
                  <c:v>5.343163013458252</c:v>
                </c:pt>
                <c:pt idx="144">
                  <c:v>4.530832767486572</c:v>
                </c:pt>
                <c:pt idx="145">
                  <c:v>7.155788898468018</c:v>
                </c:pt>
                <c:pt idx="146">
                  <c:v>5.738008975982666</c:v>
                </c:pt>
                <c:pt idx="147">
                  <c:v>4.33061408996582</c:v>
                </c:pt>
                <c:pt idx="148">
                  <c:v>7.187423229217529</c:v>
                </c:pt>
                <c:pt idx="149">
                  <c:v>6.05593204498291</c:v>
                </c:pt>
                <c:pt idx="150">
                  <c:v>4.183204174041748</c:v>
                </c:pt>
                <c:pt idx="151">
                  <c:v>7.201803207397461</c:v>
                </c:pt>
                <c:pt idx="152">
                  <c:v>6.286606788635254</c:v>
                </c:pt>
                <c:pt idx="153">
                  <c:v>4.037837982177734</c:v>
                </c:pt>
                <c:pt idx="154">
                  <c:v>7.154993057250977</c:v>
                </c:pt>
                <c:pt idx="155">
                  <c:v>6.443179130554199</c:v>
                </c:pt>
                <c:pt idx="156">
                  <c:v>3.927589893341064</c:v>
                </c:pt>
                <c:pt idx="157">
                  <c:v>7.111620903015137</c:v>
                </c:pt>
                <c:pt idx="158">
                  <c:v>6.470232009887695</c:v>
                </c:pt>
                <c:pt idx="159">
                  <c:v>3.862214088439941</c:v>
                </c:pt>
                <c:pt idx="160">
                  <c:v>6.960109233856201</c:v>
                </c:pt>
                <c:pt idx="161">
                  <c:v>6.542375087738037</c:v>
                </c:pt>
                <c:pt idx="162">
                  <c:v>3.755398035049438</c:v>
                </c:pt>
                <c:pt idx="163">
                  <c:v>6.858706951141357</c:v>
                </c:pt>
                <c:pt idx="164">
                  <c:v>6.502394199371338</c:v>
                </c:pt>
                <c:pt idx="165">
                  <c:v>3.82240104675293</c:v>
                </c:pt>
                <c:pt idx="166">
                  <c:v>6.633776187896729</c:v>
                </c:pt>
                <c:pt idx="167">
                  <c:v>6.53879976272583</c:v>
                </c:pt>
                <c:pt idx="168">
                  <c:v>3.803086042404175</c:v>
                </c:pt>
                <c:pt idx="169">
                  <c:v>6.410617828369141</c:v>
                </c:pt>
                <c:pt idx="170">
                  <c:v>6.539575099945068</c:v>
                </c:pt>
                <c:pt idx="171">
                  <c:v>3.864810943603516</c:v>
                </c:pt>
                <c:pt idx="172">
                  <c:v>6.162007808685303</c:v>
                </c:pt>
                <c:pt idx="173">
                  <c:v>6.5870361328125</c:v>
                </c:pt>
                <c:pt idx="174">
                  <c:v>3.948085069656372</c:v>
                </c:pt>
                <c:pt idx="175">
                  <c:v>5.920084953308105</c:v>
                </c:pt>
                <c:pt idx="176">
                  <c:v>6.639135837554932</c:v>
                </c:pt>
                <c:pt idx="177">
                  <c:v>4.070652008056641</c:v>
                </c:pt>
                <c:pt idx="178">
                  <c:v>5.575901985168457</c:v>
                </c:pt>
                <c:pt idx="179">
                  <c:v>6.770930767059326</c:v>
                </c:pt>
                <c:pt idx="180">
                  <c:v>4.21200704574585</c:v>
                </c:pt>
                <c:pt idx="181">
                  <c:v>5.397088050842285</c:v>
                </c:pt>
                <c:pt idx="182">
                  <c:v>6.82501220703125</c:v>
                </c:pt>
                <c:pt idx="183">
                  <c:v>4.458590984344482</c:v>
                </c:pt>
                <c:pt idx="184">
                  <c:v>5.099141120910645</c:v>
                </c:pt>
                <c:pt idx="185">
                  <c:v>6.975841999053955</c:v>
                </c:pt>
                <c:pt idx="186">
                  <c:v>4.682896137237549</c:v>
                </c:pt>
                <c:pt idx="187">
                  <c:v>4.925406932830811</c:v>
                </c:pt>
                <c:pt idx="188">
                  <c:v>7.028164863586426</c:v>
                </c:pt>
                <c:pt idx="189">
                  <c:v>5.048895835876465</c:v>
                </c:pt>
                <c:pt idx="190">
                  <c:v>4.680179119110107</c:v>
                </c:pt>
                <c:pt idx="191">
                  <c:v>7.125347137451172</c:v>
                </c:pt>
                <c:pt idx="192">
                  <c:v>5.370346069335938</c:v>
                </c:pt>
                <c:pt idx="193">
                  <c:v>4.507615089416504</c:v>
                </c:pt>
                <c:pt idx="194">
                  <c:v>7.166357040405273</c:v>
                </c:pt>
                <c:pt idx="195">
                  <c:v>5.762549877166748</c:v>
                </c:pt>
                <c:pt idx="196">
                  <c:v>4.300260066986084</c:v>
                </c:pt>
                <c:pt idx="197">
                  <c:v>7.19988489151001</c:v>
                </c:pt>
                <c:pt idx="198">
                  <c:v>6.069766998291016</c:v>
                </c:pt>
                <c:pt idx="199">
                  <c:v>4.158113956451416</c:v>
                </c:pt>
                <c:pt idx="200">
                  <c:v>7.212168216705322</c:v>
                </c:pt>
                <c:pt idx="201">
                  <c:v>6.296497821807861</c:v>
                </c:pt>
                <c:pt idx="202">
                  <c:v>4.041484832763672</c:v>
                </c:pt>
                <c:pt idx="203">
                  <c:v>7.146184921264648</c:v>
                </c:pt>
                <c:pt idx="204">
                  <c:v>6.460537910461426</c:v>
                </c:pt>
                <c:pt idx="205">
                  <c:v>3.90587306022644</c:v>
                </c:pt>
                <c:pt idx="206">
                  <c:v>7.098740100860596</c:v>
                </c:pt>
                <c:pt idx="207">
                  <c:v>6.486661911010742</c:v>
                </c:pt>
                <c:pt idx="208">
                  <c:v>3.896177053451538</c:v>
                </c:pt>
                <c:pt idx="209">
                  <c:v>6.941963195800781</c:v>
                </c:pt>
                <c:pt idx="210">
                  <c:v>6.520726203918457</c:v>
                </c:pt>
                <c:pt idx="211">
                  <c:v>3.84125804901123</c:v>
                </c:pt>
                <c:pt idx="212">
                  <c:v>6.786829948425293</c:v>
                </c:pt>
                <c:pt idx="213">
                  <c:v>6.508265018463135</c:v>
                </c:pt>
                <c:pt idx="214">
                  <c:v>3.76617693901062</c:v>
                </c:pt>
                <c:pt idx="215">
                  <c:v>6.552419185638428</c:v>
                </c:pt>
                <c:pt idx="216">
                  <c:v>6.552462100982666</c:v>
                </c:pt>
                <c:pt idx="217">
                  <c:v>3.786041975021362</c:v>
                </c:pt>
                <c:pt idx="218">
                  <c:v>6.394453048706055</c:v>
                </c:pt>
                <c:pt idx="219">
                  <c:v>6.538072109222412</c:v>
                </c:pt>
                <c:pt idx="220">
                  <c:v>3.856488943099976</c:v>
                </c:pt>
                <c:pt idx="221">
                  <c:v>6.102621078491211</c:v>
                </c:pt>
                <c:pt idx="222">
                  <c:v>6.642223834991455</c:v>
                </c:pt>
                <c:pt idx="223">
                  <c:v>3.90700888633728</c:v>
                </c:pt>
                <c:pt idx="224">
                  <c:v>5.905809879302979</c:v>
                </c:pt>
                <c:pt idx="225">
                  <c:v>6.645639896392822</c:v>
                </c:pt>
                <c:pt idx="226">
                  <c:v>4.058796882629395</c:v>
                </c:pt>
                <c:pt idx="227">
                  <c:v>5.580936908721924</c:v>
                </c:pt>
                <c:pt idx="228">
                  <c:v>6.788027763366699</c:v>
                </c:pt>
                <c:pt idx="229">
                  <c:v>4.190818786621094</c:v>
                </c:pt>
                <c:pt idx="230">
                  <c:v>5.400105953216553</c:v>
                </c:pt>
                <c:pt idx="231">
                  <c:v>6.826591014862061</c:v>
                </c:pt>
                <c:pt idx="232">
                  <c:v>4.448690891265869</c:v>
                </c:pt>
                <c:pt idx="233">
                  <c:v>5.125968933105469</c:v>
                </c:pt>
                <c:pt idx="234">
                  <c:v>6.963249206542969</c:v>
                </c:pt>
                <c:pt idx="235">
                  <c:v>4.686252117156982</c:v>
                </c:pt>
                <c:pt idx="236">
                  <c:v>4.922595977783203</c:v>
                </c:pt>
                <c:pt idx="237">
                  <c:v>7.023534774780273</c:v>
                </c:pt>
                <c:pt idx="238">
                  <c:v>5.056305885314941</c:v>
                </c:pt>
                <c:pt idx="239">
                  <c:v>4.772546768188477</c:v>
                </c:pt>
                <c:pt idx="240">
                  <c:v>7.058976173400879</c:v>
                </c:pt>
                <c:pt idx="241">
                  <c:v>5.419768810272217</c:v>
                </c:pt>
                <c:pt idx="242">
                  <c:v>4.518293857574463</c:v>
                </c:pt>
                <c:pt idx="243">
                  <c:v>7.135069847106934</c:v>
                </c:pt>
                <c:pt idx="244">
                  <c:v>5.82887077331543</c:v>
                </c:pt>
                <c:pt idx="245">
                  <c:v>4.239988803863525</c:v>
                </c:pt>
                <c:pt idx="246">
                  <c:v>7.205591201782227</c:v>
                </c:pt>
                <c:pt idx="247">
                  <c:v>6.135772228240967</c:v>
                </c:pt>
                <c:pt idx="248">
                  <c:v>4.099374771118164</c:v>
                </c:pt>
                <c:pt idx="249">
                  <c:v>7.20416784286499</c:v>
                </c:pt>
                <c:pt idx="250">
                  <c:v>6.347830772399902</c:v>
                </c:pt>
                <c:pt idx="251">
                  <c:v>4.064669132232666</c:v>
                </c:pt>
                <c:pt idx="252">
                  <c:v>7.116489887237549</c:v>
                </c:pt>
                <c:pt idx="253">
                  <c:v>6.456955909729004</c:v>
                </c:pt>
                <c:pt idx="254">
                  <c:v>3.879815101623535</c:v>
                </c:pt>
                <c:pt idx="255">
                  <c:v>7.038296222686768</c:v>
                </c:pt>
                <c:pt idx="256">
                  <c:v>6.52156400680542</c:v>
                </c:pt>
                <c:pt idx="257">
                  <c:v>3.813497066497803</c:v>
                </c:pt>
                <c:pt idx="258">
                  <c:v>6.952524185180664</c:v>
                </c:pt>
                <c:pt idx="259">
                  <c:v>6.494247913360596</c:v>
                </c:pt>
                <c:pt idx="260">
                  <c:v>3.792924880981445</c:v>
                </c:pt>
                <c:pt idx="261">
                  <c:v>6.747334957122803</c:v>
                </c:pt>
                <c:pt idx="262">
                  <c:v>6.556840896606445</c:v>
                </c:pt>
                <c:pt idx="263">
                  <c:v>3.775369882583618</c:v>
                </c:pt>
                <c:pt idx="264">
                  <c:v>6.596586227416992</c:v>
                </c:pt>
                <c:pt idx="265">
                  <c:v>6.512275218963623</c:v>
                </c:pt>
                <c:pt idx="266">
                  <c:v>3.805906057357788</c:v>
                </c:pt>
                <c:pt idx="267">
                  <c:v>6.316212177276611</c:v>
                </c:pt>
                <c:pt idx="268">
                  <c:v>6.597070217132568</c:v>
                </c:pt>
                <c:pt idx="269">
                  <c:v>3.840014934539795</c:v>
                </c:pt>
                <c:pt idx="270">
                  <c:v>6.110992908477783</c:v>
                </c:pt>
                <c:pt idx="271">
                  <c:v>6.595284938812256</c:v>
                </c:pt>
                <c:pt idx="272">
                  <c:v>3.987099885940552</c:v>
                </c:pt>
                <c:pt idx="273">
                  <c:v>5.859766960144043</c:v>
                </c:pt>
                <c:pt idx="274">
                  <c:v>6.667280197143555</c:v>
                </c:pt>
                <c:pt idx="275">
                  <c:v>4.122146129608154</c:v>
                </c:pt>
                <c:pt idx="276">
                  <c:v>5.582119941711426</c:v>
                </c:pt>
                <c:pt idx="277">
                  <c:v>6.74502420425415</c:v>
                </c:pt>
                <c:pt idx="278">
                  <c:v>4.307486057281494</c:v>
                </c:pt>
                <c:pt idx="279">
                  <c:v>5.229804039001465</c:v>
                </c:pt>
                <c:pt idx="280">
                  <c:v>6.907113075256348</c:v>
                </c:pt>
                <c:pt idx="281">
                  <c:v>4.521963119506836</c:v>
                </c:pt>
                <c:pt idx="282">
                  <c:v>5.062520027160645</c:v>
                </c:pt>
                <c:pt idx="283">
                  <c:v>6.971278190612793</c:v>
                </c:pt>
                <c:pt idx="284">
                  <c:v>4.868800163269043</c:v>
                </c:pt>
                <c:pt idx="285">
                  <c:v>4.80764102935791</c:v>
                </c:pt>
                <c:pt idx="286">
                  <c:v>7.074029922485352</c:v>
                </c:pt>
                <c:pt idx="287">
                  <c:v>5.212789058685303</c:v>
                </c:pt>
                <c:pt idx="288">
                  <c:v>4.609993934631348</c:v>
                </c:pt>
              </c:numCache>
            </c:numRef>
          </c:yVal>
        </c:ser>
        <c:ser>
          <c:idx val="3"/>
          <c:order val="3"/>
          <c:tx>
            <c:strRef>
              <c:f>Legends!B5</c:f>
              <c:strCache>
                <c:ptCount val="1"/>
                <c:pt idx="0">
                  <c:v>VAR4</c:v>
                </c:pt>
              </c:strCache>
            </c:strRef>
          </c:tx>
          <c:marker>
            <c:symbol val="none"/>
          </c:marker>
          <c:xVal>
            <c:numRef>
              <c:f>SIM3!$D$11:$D$299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1.250348329544067</c:v>
                </c:pt>
                <c:pt idx="6">
                  <c:v>1.50030505657196</c:v>
                </c:pt>
                <c:pt idx="7">
                  <c:v>1.750392556190491</c:v>
                </c:pt>
                <c:pt idx="8">
                  <c:v>2.000049829483032</c:v>
                </c:pt>
                <c:pt idx="9">
                  <c:v>2.250324249267578</c:v>
                </c:pt>
                <c:pt idx="10">
                  <c:v>2.500113248825073</c:v>
                </c:pt>
                <c:pt idx="11">
                  <c:v>2.750228643417358</c:v>
                </c:pt>
                <c:pt idx="12">
                  <c:v>3.000202894210815</c:v>
                </c:pt>
                <c:pt idx="13">
                  <c:v>3.25017786026001</c:v>
                </c:pt>
                <c:pt idx="14">
                  <c:v>3.500149965286255</c:v>
                </c:pt>
                <c:pt idx="15">
                  <c:v>3.750124931335449</c:v>
                </c:pt>
                <c:pt idx="16">
                  <c:v>4.000100135803223</c:v>
                </c:pt>
                <c:pt idx="17">
                  <c:v>4.250072002410889</c:v>
                </c:pt>
                <c:pt idx="18">
                  <c:v>4.500047206878662</c:v>
                </c:pt>
                <c:pt idx="19">
                  <c:v>4.750022411346436</c:v>
                </c:pt>
                <c:pt idx="20">
                  <c:v>5.000447273254395</c:v>
                </c:pt>
                <c:pt idx="21">
                  <c:v>5.25042200088501</c:v>
                </c:pt>
                <c:pt idx="22">
                  <c:v>5.500394344329834</c:v>
                </c:pt>
                <c:pt idx="23">
                  <c:v>5.750369548797607</c:v>
                </c:pt>
                <c:pt idx="24">
                  <c:v>6.000344276428223</c:v>
                </c:pt>
                <c:pt idx="25">
                  <c:v>6.250316619873047</c:v>
                </c:pt>
                <c:pt idx="26">
                  <c:v>6.50029182434082</c:v>
                </c:pt>
                <c:pt idx="27">
                  <c:v>6.750258445739746</c:v>
                </c:pt>
                <c:pt idx="28">
                  <c:v>7.000214099884033</c:v>
                </c:pt>
                <c:pt idx="29">
                  <c:v>7.250169277191162</c:v>
                </c:pt>
                <c:pt idx="30">
                  <c:v>7.5001220703125</c:v>
                </c:pt>
                <c:pt idx="31">
                  <c:v>7.750119209289551</c:v>
                </c:pt>
                <c:pt idx="32">
                  <c:v>8.000389099121094</c:v>
                </c:pt>
                <c:pt idx="33">
                  <c:v>8.250052452087402</c:v>
                </c:pt>
                <c:pt idx="34">
                  <c:v>8.500241279602051</c:v>
                </c:pt>
                <c:pt idx="35">
                  <c:v>8.750203132629395</c:v>
                </c:pt>
                <c:pt idx="36">
                  <c:v>9.000310897827148</c:v>
                </c:pt>
                <c:pt idx="37">
                  <c:v>9.250052452087402</c:v>
                </c:pt>
                <c:pt idx="38">
                  <c:v>9.50018310546875</c:v>
                </c:pt>
                <c:pt idx="39">
                  <c:v>9.750008583068848</c:v>
                </c:pt>
                <c:pt idx="40">
                  <c:v>10.00001907348633</c:v>
                </c:pt>
                <c:pt idx="41">
                  <c:v>10.25015258789062</c:v>
                </c:pt>
                <c:pt idx="42">
                  <c:v>10.5002498626709</c:v>
                </c:pt>
                <c:pt idx="43">
                  <c:v>10.75041675567627</c:v>
                </c:pt>
                <c:pt idx="44">
                  <c:v>11.0001392364502</c:v>
                </c:pt>
                <c:pt idx="45">
                  <c:v>11.25006103515625</c:v>
                </c:pt>
                <c:pt idx="46">
                  <c:v>11.5003137588501</c:v>
                </c:pt>
                <c:pt idx="47">
                  <c:v>11.75023365020752</c:v>
                </c:pt>
                <c:pt idx="48">
                  <c:v>12.00009727478027</c:v>
                </c:pt>
                <c:pt idx="49">
                  <c:v>12.25032520294189</c:v>
                </c:pt>
                <c:pt idx="50">
                  <c:v>12.50018882751465</c:v>
                </c:pt>
                <c:pt idx="51">
                  <c:v>12.75035285949707</c:v>
                </c:pt>
                <c:pt idx="52">
                  <c:v>13.00004768371582</c:v>
                </c:pt>
                <c:pt idx="53">
                  <c:v>13.25002765655518</c:v>
                </c:pt>
                <c:pt idx="54">
                  <c:v>13.50016403198242</c:v>
                </c:pt>
                <c:pt idx="55">
                  <c:v>13.75041675567627</c:v>
                </c:pt>
                <c:pt idx="56">
                  <c:v>14.0001802444458</c:v>
                </c:pt>
                <c:pt idx="57">
                  <c:v>14.25008010864258</c:v>
                </c:pt>
                <c:pt idx="58">
                  <c:v>14.50016403198242</c:v>
                </c:pt>
                <c:pt idx="59">
                  <c:v>14.75033092498779</c:v>
                </c:pt>
                <c:pt idx="60">
                  <c:v>15.00017547607422</c:v>
                </c:pt>
                <c:pt idx="61">
                  <c:v>15.25016689300537</c:v>
                </c:pt>
                <c:pt idx="62">
                  <c:v>15.50016403198242</c:v>
                </c:pt>
                <c:pt idx="63">
                  <c:v>15.75026416778564</c:v>
                </c:pt>
                <c:pt idx="64">
                  <c:v>16.00035858154297</c:v>
                </c:pt>
                <c:pt idx="65">
                  <c:v>16.2503833770752</c:v>
                </c:pt>
                <c:pt idx="66">
                  <c:v>16.50010299682617</c:v>
                </c:pt>
                <c:pt idx="67">
                  <c:v>16.75003814697266</c:v>
                </c:pt>
                <c:pt idx="68">
                  <c:v>17.00011444091797</c:v>
                </c:pt>
                <c:pt idx="69">
                  <c:v>17.25019073486328</c:v>
                </c:pt>
                <c:pt idx="70">
                  <c:v>17.5001163482666</c:v>
                </c:pt>
                <c:pt idx="71">
                  <c:v>17.75002288818359</c:v>
                </c:pt>
                <c:pt idx="72">
                  <c:v>18.00034523010254</c:v>
                </c:pt>
                <c:pt idx="73">
                  <c:v>18.25021743774414</c:v>
                </c:pt>
                <c:pt idx="74">
                  <c:v>18.50043678283691</c:v>
                </c:pt>
                <c:pt idx="75">
                  <c:v>18.75015068054199</c:v>
                </c:pt>
                <c:pt idx="76">
                  <c:v>19.00040817260742</c:v>
                </c:pt>
                <c:pt idx="77">
                  <c:v>19.25025749206543</c:v>
                </c:pt>
                <c:pt idx="78">
                  <c:v>19.50044441223145</c:v>
                </c:pt>
                <c:pt idx="79">
                  <c:v>19.7502498626709</c:v>
                </c:pt>
                <c:pt idx="80">
                  <c:v>20.00047302246094</c:v>
                </c:pt>
                <c:pt idx="81">
                  <c:v>20.25036430358887</c:v>
                </c:pt>
                <c:pt idx="82">
                  <c:v>20.50029754638672</c:v>
                </c:pt>
                <c:pt idx="83">
                  <c:v>20.75026893615723</c:v>
                </c:pt>
                <c:pt idx="84">
                  <c:v>21.00044250488281</c:v>
                </c:pt>
                <c:pt idx="85">
                  <c:v>21.25006103515625</c:v>
                </c:pt>
                <c:pt idx="86">
                  <c:v>21.50034141540527</c:v>
                </c:pt>
                <c:pt idx="87">
                  <c:v>21.75033569335938</c:v>
                </c:pt>
                <c:pt idx="88">
                  <c:v>22.00017547607422</c:v>
                </c:pt>
                <c:pt idx="89">
                  <c:v>22.25029754638672</c:v>
                </c:pt>
                <c:pt idx="90">
                  <c:v>22.50043296813965</c:v>
                </c:pt>
                <c:pt idx="91">
                  <c:v>22.75029754638672</c:v>
                </c:pt>
                <c:pt idx="92">
                  <c:v>23.00015640258789</c:v>
                </c:pt>
                <c:pt idx="93">
                  <c:v>23.25046920776367</c:v>
                </c:pt>
                <c:pt idx="94">
                  <c:v>23.50008964538574</c:v>
                </c:pt>
                <c:pt idx="95">
                  <c:v>23.7503604888916</c:v>
                </c:pt>
                <c:pt idx="96">
                  <c:v>24.00012016296387</c:v>
                </c:pt>
                <c:pt idx="97">
                  <c:v>24.25001907348633</c:v>
                </c:pt>
                <c:pt idx="98">
                  <c:v>24.50034713745117</c:v>
                </c:pt>
                <c:pt idx="99">
                  <c:v>24.7503833770752</c:v>
                </c:pt>
                <c:pt idx="100">
                  <c:v>25.00030326843262</c:v>
                </c:pt>
                <c:pt idx="101">
                  <c:v>25.2501392364502</c:v>
                </c:pt>
                <c:pt idx="102">
                  <c:v>25.50010299682617</c:v>
                </c:pt>
                <c:pt idx="103">
                  <c:v>25.75044250488281</c:v>
                </c:pt>
                <c:pt idx="104">
                  <c:v>26.00040817260742</c:v>
                </c:pt>
                <c:pt idx="105">
                  <c:v>26.25045776367188</c:v>
                </c:pt>
                <c:pt idx="106">
                  <c:v>26.50009536743164</c:v>
                </c:pt>
                <c:pt idx="107">
                  <c:v>26.75022315979004</c:v>
                </c:pt>
                <c:pt idx="108">
                  <c:v>27.00009155273438</c:v>
                </c:pt>
                <c:pt idx="109">
                  <c:v>27.25018119812012</c:v>
                </c:pt>
                <c:pt idx="110">
                  <c:v>27.50007247924805</c:v>
                </c:pt>
                <c:pt idx="111">
                  <c:v>27.75041961669922</c:v>
                </c:pt>
                <c:pt idx="112">
                  <c:v>28.00002861022949</c:v>
                </c:pt>
                <c:pt idx="113">
                  <c:v>28.25041580200195</c:v>
                </c:pt>
                <c:pt idx="114">
                  <c:v>28.50019454956055</c:v>
                </c:pt>
                <c:pt idx="115">
                  <c:v>28.75016593933105</c:v>
                </c:pt>
                <c:pt idx="116">
                  <c:v>29.00033378601074</c:v>
                </c:pt>
                <c:pt idx="117">
                  <c:v>29.25005531311035</c:v>
                </c:pt>
                <c:pt idx="118">
                  <c:v>29.50030517578125</c:v>
                </c:pt>
                <c:pt idx="119">
                  <c:v>29.75019454956055</c:v>
                </c:pt>
                <c:pt idx="120">
                  <c:v>30.00008392333984</c:v>
                </c:pt>
                <c:pt idx="121">
                  <c:v>30.25005531311035</c:v>
                </c:pt>
                <c:pt idx="122">
                  <c:v>30.50041580200195</c:v>
                </c:pt>
                <c:pt idx="123">
                  <c:v>30.75027847290039</c:v>
                </c:pt>
                <c:pt idx="124">
                  <c:v>31.0002498626709</c:v>
                </c:pt>
                <c:pt idx="125">
                  <c:v>31.25016593933105</c:v>
                </c:pt>
                <c:pt idx="126">
                  <c:v>31.5003604888916</c:v>
                </c:pt>
                <c:pt idx="127">
                  <c:v>31.7502498626709</c:v>
                </c:pt>
                <c:pt idx="128">
                  <c:v>32.0001106262207</c:v>
                </c:pt>
                <c:pt idx="129">
                  <c:v>32.25041580200195</c:v>
                </c:pt>
                <c:pt idx="130">
                  <c:v>32.50027847290039</c:v>
                </c:pt>
                <c:pt idx="131">
                  <c:v>32.75038909912109</c:v>
                </c:pt>
                <c:pt idx="132">
                  <c:v>33.00022125244141</c:v>
                </c:pt>
                <c:pt idx="133">
                  <c:v>33.25033187866211</c:v>
                </c:pt>
                <c:pt idx="134">
                  <c:v>33.50044631958008</c:v>
                </c:pt>
                <c:pt idx="135">
                  <c:v>33.75041580200195</c:v>
                </c:pt>
                <c:pt idx="136">
                  <c:v>34.00025177001953</c:v>
                </c:pt>
                <c:pt idx="137">
                  <c:v>34.25036239624023</c:v>
                </c:pt>
                <c:pt idx="138">
                  <c:v>34.50019454956055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35.25030517578125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36.00016784667969</c:v>
                </c:pt>
                <c:pt idx="145">
                  <c:v>36.25002670288086</c:v>
                </c:pt>
                <c:pt idx="146">
                  <c:v>36.50036239624023</c:v>
                </c:pt>
                <c:pt idx="147">
                  <c:v>36.75036239624023</c:v>
                </c:pt>
                <c:pt idx="148">
                  <c:v>37.00038909912109</c:v>
                </c:pt>
                <c:pt idx="149">
                  <c:v>37.25016784667969</c:v>
                </c:pt>
                <c:pt idx="150">
                  <c:v>37.50016784667969</c:v>
                </c:pt>
                <c:pt idx="151">
                  <c:v>37.75047302246094</c:v>
                </c:pt>
                <c:pt idx="152">
                  <c:v>38.00008392333984</c:v>
                </c:pt>
                <c:pt idx="153">
                  <c:v>38.25008392333984</c:v>
                </c:pt>
                <c:pt idx="154">
                  <c:v>38.50002670288086</c:v>
                </c:pt>
                <c:pt idx="155">
                  <c:v>38.75022125244141</c:v>
                </c:pt>
                <c:pt idx="156">
                  <c:v>39.00025177001953</c:v>
                </c:pt>
                <c:pt idx="157">
                  <c:v>39.25005722045898</c:v>
                </c:pt>
                <c:pt idx="158">
                  <c:v>39.50019454956055</c:v>
                </c:pt>
                <c:pt idx="159">
                  <c:v>39.75041580200195</c:v>
                </c:pt>
                <c:pt idx="160">
                  <c:v>40.00047302246094</c:v>
                </c:pt>
                <c:pt idx="161">
                  <c:v>40.25027847290039</c:v>
                </c:pt>
                <c:pt idx="162">
                  <c:v>40.50002670288086</c:v>
                </c:pt>
                <c:pt idx="163">
                  <c:v>40.75044631958008</c:v>
                </c:pt>
                <c:pt idx="164">
                  <c:v>41.00041580200195</c:v>
                </c:pt>
                <c:pt idx="165">
                  <c:v>41.25030517578125</c:v>
                </c:pt>
                <c:pt idx="166">
                  <c:v>41.5001106262207</c:v>
                </c:pt>
                <c:pt idx="167">
                  <c:v>41.75019454956055</c:v>
                </c:pt>
                <c:pt idx="168">
                  <c:v>42.00038909912109</c:v>
                </c:pt>
                <c:pt idx="169">
                  <c:v>42.25030517578125</c:v>
                </c:pt>
                <c:pt idx="170">
                  <c:v>42.50013732910156</c:v>
                </c:pt>
                <c:pt idx="171">
                  <c:v>42.75005722045898</c:v>
                </c:pt>
                <c:pt idx="172">
                  <c:v>43.00013732910156</c:v>
                </c:pt>
                <c:pt idx="173">
                  <c:v>43.25036239624023</c:v>
                </c:pt>
                <c:pt idx="174">
                  <c:v>43.50036239624023</c:v>
                </c:pt>
                <c:pt idx="175">
                  <c:v>43.75041580200195</c:v>
                </c:pt>
                <c:pt idx="176">
                  <c:v>44.00030517578125</c:v>
                </c:pt>
                <c:pt idx="177">
                  <c:v>44.25016784667969</c:v>
                </c:pt>
                <c:pt idx="178">
                  <c:v>44.50002670288086</c:v>
                </c:pt>
                <c:pt idx="179">
                  <c:v>44.75016784667969</c:v>
                </c:pt>
                <c:pt idx="180">
                  <c:v>45.00008392333984</c:v>
                </c:pt>
                <c:pt idx="181">
                  <c:v>45.25002670288086</c:v>
                </c:pt>
                <c:pt idx="182">
                  <c:v>45.50041580200195</c:v>
                </c:pt>
                <c:pt idx="183">
                  <c:v>45.75016784667969</c:v>
                </c:pt>
                <c:pt idx="184">
                  <c:v>46</c:v>
                </c:pt>
                <c:pt idx="185">
                  <c:v>46.25013732910156</c:v>
                </c:pt>
                <c:pt idx="186">
                  <c:v>46.50044631958008</c:v>
                </c:pt>
                <c:pt idx="187">
                  <c:v>46.75022125244141</c:v>
                </c:pt>
                <c:pt idx="188">
                  <c:v>47.00041580200195</c:v>
                </c:pt>
                <c:pt idx="189">
                  <c:v>47.25036239624023</c:v>
                </c:pt>
                <c:pt idx="190">
                  <c:v>47.50038909912109</c:v>
                </c:pt>
                <c:pt idx="191">
                  <c:v>47.75025177001953</c:v>
                </c:pt>
                <c:pt idx="192">
                  <c:v>48.00038909912109</c:v>
                </c:pt>
                <c:pt idx="193">
                  <c:v>48.25030517578125</c:v>
                </c:pt>
                <c:pt idx="194">
                  <c:v>48.50002670288086</c:v>
                </c:pt>
                <c:pt idx="195">
                  <c:v>48.75038909912109</c:v>
                </c:pt>
                <c:pt idx="196">
                  <c:v>49.00033187866211</c:v>
                </c:pt>
                <c:pt idx="197">
                  <c:v>49.25038909912109</c:v>
                </c:pt>
                <c:pt idx="198">
                  <c:v>49.50036239624023</c:v>
                </c:pt>
                <c:pt idx="199">
                  <c:v>49.75038909912109</c:v>
                </c:pt>
                <c:pt idx="200">
                  <c:v>50.00002670288086</c:v>
                </c:pt>
                <c:pt idx="201">
                  <c:v>50.25038909912109</c:v>
                </c:pt>
                <c:pt idx="202">
                  <c:v>50.50008392333984</c:v>
                </c:pt>
                <c:pt idx="203">
                  <c:v>50.75016784667969</c:v>
                </c:pt>
                <c:pt idx="204">
                  <c:v>51.00038909912109</c:v>
                </c:pt>
                <c:pt idx="205">
                  <c:v>51.25027847290039</c:v>
                </c:pt>
                <c:pt idx="206">
                  <c:v>51.50041580200195</c:v>
                </c:pt>
                <c:pt idx="207">
                  <c:v>51.75005722045898</c:v>
                </c:pt>
                <c:pt idx="208">
                  <c:v>52.00044631958008</c:v>
                </c:pt>
                <c:pt idx="209">
                  <c:v>52.25002670288086</c:v>
                </c:pt>
                <c:pt idx="210">
                  <c:v>52.50016784667969</c:v>
                </c:pt>
                <c:pt idx="211">
                  <c:v>52.75002670288086</c:v>
                </c:pt>
                <c:pt idx="212">
                  <c:v>53.00041580200195</c:v>
                </c:pt>
                <c:pt idx="213">
                  <c:v>53.25033187866211</c:v>
                </c:pt>
                <c:pt idx="214">
                  <c:v>53.50038909912109</c:v>
                </c:pt>
                <c:pt idx="215">
                  <c:v>53.7501106262207</c:v>
                </c:pt>
                <c:pt idx="216">
                  <c:v>54.00013732910156</c:v>
                </c:pt>
                <c:pt idx="217">
                  <c:v>54.25019454956055</c:v>
                </c:pt>
                <c:pt idx="218">
                  <c:v>54.50030517578125</c:v>
                </c:pt>
                <c:pt idx="219">
                  <c:v>54.75027847290039</c:v>
                </c:pt>
                <c:pt idx="220">
                  <c:v>55.00038909912109</c:v>
                </c:pt>
                <c:pt idx="221">
                  <c:v>55.2504997253418</c:v>
                </c:pt>
                <c:pt idx="222">
                  <c:v>55.50038909912109</c:v>
                </c:pt>
                <c:pt idx="223">
                  <c:v>55.75038909912109</c:v>
                </c:pt>
                <c:pt idx="224">
                  <c:v>56.00033187866211</c:v>
                </c:pt>
                <c:pt idx="225">
                  <c:v>56.25002670288086</c:v>
                </c:pt>
                <c:pt idx="226">
                  <c:v>56.50038909912109</c:v>
                </c:pt>
                <c:pt idx="227">
                  <c:v>56.75008392333984</c:v>
                </c:pt>
                <c:pt idx="228">
                  <c:v>57.00025177001953</c:v>
                </c:pt>
                <c:pt idx="229">
                  <c:v>57.25</c:v>
                </c:pt>
                <c:pt idx="230">
                  <c:v>57.50022125244141</c:v>
                </c:pt>
                <c:pt idx="231">
                  <c:v>57.7501106262207</c:v>
                </c:pt>
                <c:pt idx="232">
                  <c:v>58.00036239624023</c:v>
                </c:pt>
                <c:pt idx="233">
                  <c:v>58.25016784667969</c:v>
                </c:pt>
                <c:pt idx="234">
                  <c:v>58.5001106262207</c:v>
                </c:pt>
                <c:pt idx="235">
                  <c:v>58.75027847290039</c:v>
                </c:pt>
                <c:pt idx="236">
                  <c:v>59.00030517578125</c:v>
                </c:pt>
                <c:pt idx="237">
                  <c:v>59.25044631958008</c:v>
                </c:pt>
                <c:pt idx="238">
                  <c:v>59.50002670288086</c:v>
                </c:pt>
                <c:pt idx="239">
                  <c:v>59.7501106262207</c:v>
                </c:pt>
                <c:pt idx="240">
                  <c:v>60.00033187866211</c:v>
                </c:pt>
                <c:pt idx="241">
                  <c:v>60.25041580200195</c:v>
                </c:pt>
                <c:pt idx="242">
                  <c:v>60.50005722045898</c:v>
                </c:pt>
                <c:pt idx="243">
                  <c:v>60.75005722045898</c:v>
                </c:pt>
                <c:pt idx="244">
                  <c:v>61.00033187866211</c:v>
                </c:pt>
                <c:pt idx="245">
                  <c:v>61.25008392333984</c:v>
                </c:pt>
                <c:pt idx="246">
                  <c:v>61.5001106262207</c:v>
                </c:pt>
                <c:pt idx="247">
                  <c:v>61.75041580200195</c:v>
                </c:pt>
                <c:pt idx="248">
                  <c:v>62.00008392333984</c:v>
                </c:pt>
                <c:pt idx="249">
                  <c:v>62.25016784667969</c:v>
                </c:pt>
                <c:pt idx="250">
                  <c:v>62.50036239624023</c:v>
                </c:pt>
                <c:pt idx="251">
                  <c:v>62.75036239624023</c:v>
                </c:pt>
                <c:pt idx="252">
                  <c:v>63.00019454956055</c:v>
                </c:pt>
                <c:pt idx="253">
                  <c:v>63.25027847290039</c:v>
                </c:pt>
                <c:pt idx="254">
                  <c:v>63.50022125244141</c:v>
                </c:pt>
                <c:pt idx="255">
                  <c:v>63.75005722045898</c:v>
                </c:pt>
                <c:pt idx="256">
                  <c:v>64.00041961669922</c:v>
                </c:pt>
                <c:pt idx="257">
                  <c:v>64.25038909912109</c:v>
                </c:pt>
                <c:pt idx="258">
                  <c:v>64.50041961669922</c:v>
                </c:pt>
                <c:pt idx="259">
                  <c:v>64.75033569335938</c:v>
                </c:pt>
                <c:pt idx="260">
                  <c:v>65.00013732910156</c:v>
                </c:pt>
                <c:pt idx="261">
                  <c:v>65.25033569335938</c:v>
                </c:pt>
                <c:pt idx="262">
                  <c:v>65.50044250488281</c:v>
                </c:pt>
                <c:pt idx="263">
                  <c:v>65.75038909912109</c:v>
                </c:pt>
                <c:pt idx="264">
                  <c:v>66.00016784667969</c:v>
                </c:pt>
                <c:pt idx="265">
                  <c:v>66.25008392333984</c:v>
                </c:pt>
                <c:pt idx="266">
                  <c:v>66.50025177001953</c:v>
                </c:pt>
                <c:pt idx="267">
                  <c:v>66.75033569335938</c:v>
                </c:pt>
                <c:pt idx="268">
                  <c:v>67.00005340576172</c:v>
                </c:pt>
                <c:pt idx="269">
                  <c:v>67.25005340576172</c:v>
                </c:pt>
                <c:pt idx="270">
                  <c:v>67.50008392333984</c:v>
                </c:pt>
                <c:pt idx="271">
                  <c:v>67.75033569335938</c:v>
                </c:pt>
                <c:pt idx="272">
                  <c:v>68.00003051757812</c:v>
                </c:pt>
                <c:pt idx="273">
                  <c:v>68.25041961669922</c:v>
                </c:pt>
                <c:pt idx="274">
                  <c:v>68.50008392333984</c:v>
                </c:pt>
                <c:pt idx="275">
                  <c:v>68.75</c:v>
                </c:pt>
                <c:pt idx="276">
                  <c:v>69.00019073486328</c:v>
                </c:pt>
                <c:pt idx="277">
                  <c:v>69.25033569335938</c:v>
                </c:pt>
                <c:pt idx="278">
                  <c:v>69.50030517578125</c:v>
                </c:pt>
                <c:pt idx="279">
                  <c:v>69.75013732910156</c:v>
                </c:pt>
                <c:pt idx="280">
                  <c:v>70.00013732910156</c:v>
                </c:pt>
                <c:pt idx="281">
                  <c:v>70.25019073486328</c:v>
                </c:pt>
                <c:pt idx="282">
                  <c:v>70.50030517578125</c:v>
                </c:pt>
                <c:pt idx="283">
                  <c:v>70.75022125244141</c:v>
                </c:pt>
                <c:pt idx="284">
                  <c:v>71.00041961669922</c:v>
                </c:pt>
                <c:pt idx="285">
                  <c:v>71.25033569335938</c:v>
                </c:pt>
                <c:pt idx="286">
                  <c:v>71.50008392333984</c:v>
                </c:pt>
                <c:pt idx="287">
                  <c:v>71.75025177001953</c:v>
                </c:pt>
                <c:pt idx="288">
                  <c:v>72.00019073486328</c:v>
                </c:pt>
              </c:numCache>
            </c:numRef>
          </c:xVal>
          <c:yVal>
            <c:numRef>
              <c:f>SIM3!$I$11:$I$299</c:f>
              <c:numCache>
                <c:ptCount val="289"/>
                <c:pt idx="0">
                  <c:v>0.04023474827408791</c:v>
                </c:pt>
                <c:pt idx="1">
                  <c:v>0.03208952024579048</c:v>
                </c:pt>
                <c:pt idx="2">
                  <c:v>0.02026757970452309</c:v>
                </c:pt>
                <c:pt idx="3">
                  <c:v>0.02031189016997814</c:v>
                </c:pt>
                <c:pt idx="4">
                  <c:v>2.971236944198608</c:v>
                </c:pt>
                <c:pt idx="5">
                  <c:v>3.75844407081604</c:v>
                </c:pt>
                <c:pt idx="6">
                  <c:v>4.475828170776367</c:v>
                </c:pt>
                <c:pt idx="7">
                  <c:v>5.350574016571045</c:v>
                </c:pt>
                <c:pt idx="8">
                  <c:v>3.542853116989136</c:v>
                </c:pt>
                <c:pt idx="9">
                  <c:v>5.754210948944092</c:v>
                </c:pt>
                <c:pt idx="10">
                  <c:v>5.779624938964844</c:v>
                </c:pt>
                <c:pt idx="11">
                  <c:v>4.763092994689941</c:v>
                </c:pt>
                <c:pt idx="12">
                  <c:v>5.401939868927002</c:v>
                </c:pt>
                <c:pt idx="13">
                  <c:v>6.212468147277832</c:v>
                </c:pt>
                <c:pt idx="14">
                  <c:v>5.101128101348877</c:v>
                </c:pt>
                <c:pt idx="15">
                  <c:v>5.099202156066895</c:v>
                </c:pt>
                <c:pt idx="16">
                  <c:v>6.631763935089111</c:v>
                </c:pt>
                <c:pt idx="17">
                  <c:v>5.404962062835693</c:v>
                </c:pt>
                <c:pt idx="18">
                  <c:v>4.563906192779541</c:v>
                </c:pt>
                <c:pt idx="19">
                  <c:v>6.899328231811523</c:v>
                </c:pt>
                <c:pt idx="20">
                  <c:v>5.70858097076416</c:v>
                </c:pt>
                <c:pt idx="21">
                  <c:v>4.061801910400391</c:v>
                </c:pt>
                <c:pt idx="22">
                  <c:v>7.186076164245605</c:v>
                </c:pt>
                <c:pt idx="23">
                  <c:v>5.805255889892578</c:v>
                </c:pt>
                <c:pt idx="24">
                  <c:v>3.687556028366089</c:v>
                </c:pt>
                <c:pt idx="25">
                  <c:v>7.291137218475342</c:v>
                </c:pt>
                <c:pt idx="26">
                  <c:v>5.863420963287354</c:v>
                </c:pt>
                <c:pt idx="27">
                  <c:v>3.299815893173218</c:v>
                </c:pt>
                <c:pt idx="28">
                  <c:v>7.290769100189209</c:v>
                </c:pt>
                <c:pt idx="29">
                  <c:v>5.922506809234619</c:v>
                </c:pt>
                <c:pt idx="30">
                  <c:v>3.147546052932739</c:v>
                </c:pt>
                <c:pt idx="31">
                  <c:v>7.182339191436768</c:v>
                </c:pt>
                <c:pt idx="32">
                  <c:v>6.021735191345215</c:v>
                </c:pt>
                <c:pt idx="33">
                  <c:v>3.143795967102051</c:v>
                </c:pt>
                <c:pt idx="34">
                  <c:v>6.919402122497559</c:v>
                </c:pt>
                <c:pt idx="35">
                  <c:v>6.148241996765137</c:v>
                </c:pt>
                <c:pt idx="36">
                  <c:v>3.21518611907959</c:v>
                </c:pt>
                <c:pt idx="37">
                  <c:v>6.562488079071045</c:v>
                </c:pt>
                <c:pt idx="38">
                  <c:v>6.298275947570801</c:v>
                </c:pt>
                <c:pt idx="39">
                  <c:v>3.421118974685669</c:v>
                </c:pt>
                <c:pt idx="40">
                  <c:v>6.145290851593018</c:v>
                </c:pt>
                <c:pt idx="41">
                  <c:v>6.493014812469482</c:v>
                </c:pt>
                <c:pt idx="42">
                  <c:v>3.700889110565186</c:v>
                </c:pt>
                <c:pt idx="43">
                  <c:v>5.713109016418457</c:v>
                </c:pt>
                <c:pt idx="44">
                  <c:v>6.707573890686035</c:v>
                </c:pt>
                <c:pt idx="45">
                  <c:v>4.080160140991211</c:v>
                </c:pt>
                <c:pt idx="46">
                  <c:v>5.274147033691406</c:v>
                </c:pt>
                <c:pt idx="47">
                  <c:v>6.931561946868896</c:v>
                </c:pt>
                <c:pt idx="48">
                  <c:v>4.535556793212891</c:v>
                </c:pt>
                <c:pt idx="49">
                  <c:v>4.596210956573486</c:v>
                </c:pt>
                <c:pt idx="50">
                  <c:v>7.350001811981201</c:v>
                </c:pt>
                <c:pt idx="51">
                  <c:v>4.88337516784668</c:v>
                </c:pt>
                <c:pt idx="52">
                  <c:v>4.267212867736816</c:v>
                </c:pt>
                <c:pt idx="53">
                  <c:v>7.541889190673828</c:v>
                </c:pt>
                <c:pt idx="54">
                  <c:v>5.274814128875732</c:v>
                </c:pt>
                <c:pt idx="55">
                  <c:v>3.936111927032471</c:v>
                </c:pt>
                <c:pt idx="56">
                  <c:v>7.749311923980713</c:v>
                </c:pt>
                <c:pt idx="57">
                  <c:v>5.464120864868164</c:v>
                </c:pt>
                <c:pt idx="58">
                  <c:v>3.686511993408203</c:v>
                </c:pt>
                <c:pt idx="59">
                  <c:v>7.806610107421875</c:v>
                </c:pt>
                <c:pt idx="60">
                  <c:v>5.613172054290771</c:v>
                </c:pt>
                <c:pt idx="61">
                  <c:v>3.388851881027222</c:v>
                </c:pt>
                <c:pt idx="62">
                  <c:v>7.967835903167725</c:v>
                </c:pt>
                <c:pt idx="63">
                  <c:v>5.690620899200439</c:v>
                </c:pt>
                <c:pt idx="64">
                  <c:v>3.161972045898438</c:v>
                </c:pt>
                <c:pt idx="65">
                  <c:v>8.034663200378418</c:v>
                </c:pt>
                <c:pt idx="66">
                  <c:v>5.740585803985596</c:v>
                </c:pt>
                <c:pt idx="67">
                  <c:v>2.988368034362793</c:v>
                </c:pt>
                <c:pt idx="68">
                  <c:v>8.052043914794922</c:v>
                </c:pt>
                <c:pt idx="69">
                  <c:v>5.800180912017822</c:v>
                </c:pt>
                <c:pt idx="70">
                  <c:v>2.84420108795166</c:v>
                </c:pt>
                <c:pt idx="71">
                  <c:v>8.045304298400879</c:v>
                </c:pt>
                <c:pt idx="72">
                  <c:v>5.839632034301758</c:v>
                </c:pt>
                <c:pt idx="73">
                  <c:v>2.841937065124512</c:v>
                </c:pt>
                <c:pt idx="74">
                  <c:v>7.815546989440918</c:v>
                </c:pt>
                <c:pt idx="75">
                  <c:v>5.908393859863281</c:v>
                </c:pt>
                <c:pt idx="76">
                  <c:v>2.794586896896362</c:v>
                </c:pt>
                <c:pt idx="77">
                  <c:v>7.6595778465271</c:v>
                </c:pt>
                <c:pt idx="78">
                  <c:v>5.937921047210693</c:v>
                </c:pt>
                <c:pt idx="79">
                  <c:v>2.890973091125488</c:v>
                </c:pt>
                <c:pt idx="80">
                  <c:v>7.273989200592041</c:v>
                </c:pt>
                <c:pt idx="81">
                  <c:v>6.063358783721924</c:v>
                </c:pt>
                <c:pt idx="82">
                  <c:v>2.93174409866333</c:v>
                </c:pt>
                <c:pt idx="83">
                  <c:v>6.968842029571533</c:v>
                </c:pt>
                <c:pt idx="84">
                  <c:v>6.131969928741455</c:v>
                </c:pt>
                <c:pt idx="85">
                  <c:v>3.146858930587769</c:v>
                </c:pt>
                <c:pt idx="86">
                  <c:v>6.484899044036865</c:v>
                </c:pt>
                <c:pt idx="87">
                  <c:v>6.374879837036133</c:v>
                </c:pt>
                <c:pt idx="88">
                  <c:v>3.322293996810913</c:v>
                </c:pt>
                <c:pt idx="89">
                  <c:v>6.194033145904541</c:v>
                </c:pt>
                <c:pt idx="90">
                  <c:v>6.502613067626953</c:v>
                </c:pt>
                <c:pt idx="91">
                  <c:v>3.662770986557007</c:v>
                </c:pt>
                <c:pt idx="92">
                  <c:v>5.674410820007324</c:v>
                </c:pt>
                <c:pt idx="93">
                  <c:v>6.7760329246521</c:v>
                </c:pt>
                <c:pt idx="94">
                  <c:v>3.946865081787109</c:v>
                </c:pt>
                <c:pt idx="95">
                  <c:v>5.318697929382324</c:v>
                </c:pt>
                <c:pt idx="96">
                  <c:v>6.937088966369629</c:v>
                </c:pt>
                <c:pt idx="97">
                  <c:v>4.429269790649414</c:v>
                </c:pt>
                <c:pt idx="98">
                  <c:v>4.791842937469482</c:v>
                </c:pt>
                <c:pt idx="99">
                  <c:v>7.232412815093994</c:v>
                </c:pt>
                <c:pt idx="100">
                  <c:v>4.754746913909912</c:v>
                </c:pt>
                <c:pt idx="101">
                  <c:v>4.400889873504639</c:v>
                </c:pt>
                <c:pt idx="102">
                  <c:v>7.417223930358887</c:v>
                </c:pt>
                <c:pt idx="103">
                  <c:v>5.172371864318848</c:v>
                </c:pt>
                <c:pt idx="104">
                  <c:v>3.994375944137573</c:v>
                </c:pt>
                <c:pt idx="105">
                  <c:v>7.669040203094482</c:v>
                </c:pt>
                <c:pt idx="106">
                  <c:v>5.415668964385986</c:v>
                </c:pt>
                <c:pt idx="107">
                  <c:v>3.690973997116089</c:v>
                </c:pt>
                <c:pt idx="108">
                  <c:v>7.823532104492188</c:v>
                </c:pt>
                <c:pt idx="109">
                  <c:v>5.62169885635376</c:v>
                </c:pt>
                <c:pt idx="110">
                  <c:v>3.453459978103638</c:v>
                </c:pt>
                <c:pt idx="111">
                  <c:v>7.950482845306396</c:v>
                </c:pt>
                <c:pt idx="112">
                  <c:v>5.699881076812744</c:v>
                </c:pt>
                <c:pt idx="113">
                  <c:v>3.227802038192749</c:v>
                </c:pt>
                <c:pt idx="114">
                  <c:v>8.018271446228027</c:v>
                </c:pt>
                <c:pt idx="115">
                  <c:v>5.749894142150879</c:v>
                </c:pt>
                <c:pt idx="116">
                  <c:v>3.070530891418457</c:v>
                </c:pt>
                <c:pt idx="117">
                  <c:v>8.02643871307373</c:v>
                </c:pt>
                <c:pt idx="118">
                  <c:v>5.804491996765137</c:v>
                </c:pt>
                <c:pt idx="119">
                  <c:v>2.893296003341675</c:v>
                </c:pt>
                <c:pt idx="120">
                  <c:v>8.028128623962402</c:v>
                </c:pt>
                <c:pt idx="121">
                  <c:v>5.833459854125977</c:v>
                </c:pt>
                <c:pt idx="122">
                  <c:v>2.865317106246948</c:v>
                </c:pt>
                <c:pt idx="123">
                  <c:v>7.834939002990723</c:v>
                </c:pt>
                <c:pt idx="124">
                  <c:v>5.900960922241211</c:v>
                </c:pt>
                <c:pt idx="125">
                  <c:v>2.821393013000488</c:v>
                </c:pt>
                <c:pt idx="126">
                  <c:v>7.674590110778809</c:v>
                </c:pt>
                <c:pt idx="127">
                  <c:v>5.920173168182373</c:v>
                </c:pt>
                <c:pt idx="128">
                  <c:v>2.894454002380371</c:v>
                </c:pt>
                <c:pt idx="129">
                  <c:v>7.310154914855957</c:v>
                </c:pt>
                <c:pt idx="130">
                  <c:v>6.05254077911377</c:v>
                </c:pt>
                <c:pt idx="131">
                  <c:v>2.922516107559204</c:v>
                </c:pt>
                <c:pt idx="132">
                  <c:v>7.057353019714355</c:v>
                </c:pt>
                <c:pt idx="133">
                  <c:v>6.107057094573975</c:v>
                </c:pt>
                <c:pt idx="134">
                  <c:v>3.127177000045776</c:v>
                </c:pt>
                <c:pt idx="135">
                  <c:v>6.579448223114014</c:v>
                </c:pt>
                <c:pt idx="136">
                  <c:v>6.33045482635498</c:v>
                </c:pt>
                <c:pt idx="137">
                  <c:v>3.262785911560059</c:v>
                </c:pt>
                <c:pt idx="138">
                  <c:v>6.287505149841309</c:v>
                </c:pt>
                <c:pt idx="139">
                  <c:v>6.448472023010254</c:v>
                </c:pt>
                <c:pt idx="140">
                  <c:v>3.613322019577026</c:v>
                </c:pt>
                <c:pt idx="141">
                  <c:v>5.777215003967285</c:v>
                </c:pt>
                <c:pt idx="142">
                  <c:v>6.732113838195801</c:v>
                </c:pt>
                <c:pt idx="143">
                  <c:v>3.887190103530884</c:v>
                </c:pt>
                <c:pt idx="144">
                  <c:v>5.412991046905518</c:v>
                </c:pt>
                <c:pt idx="145">
                  <c:v>6.895904064178467</c:v>
                </c:pt>
                <c:pt idx="146">
                  <c:v>4.366106986999512</c:v>
                </c:pt>
                <c:pt idx="147">
                  <c:v>4.888097763061523</c:v>
                </c:pt>
                <c:pt idx="148">
                  <c:v>7.187819957733154</c:v>
                </c:pt>
                <c:pt idx="149">
                  <c:v>4.705680847167969</c:v>
                </c:pt>
                <c:pt idx="150">
                  <c:v>4.510526180267334</c:v>
                </c:pt>
                <c:pt idx="151">
                  <c:v>7.349733829498291</c:v>
                </c:pt>
                <c:pt idx="152">
                  <c:v>5.131444931030273</c:v>
                </c:pt>
                <c:pt idx="153">
                  <c:v>4.068709850311279</c:v>
                </c:pt>
                <c:pt idx="154">
                  <c:v>7.622943878173828</c:v>
                </c:pt>
                <c:pt idx="155">
                  <c:v>5.367111206054688</c:v>
                </c:pt>
                <c:pt idx="156">
                  <c:v>3.758970022201538</c:v>
                </c:pt>
                <c:pt idx="157">
                  <c:v>7.7693772315979</c:v>
                </c:pt>
                <c:pt idx="158">
                  <c:v>5.590756893157959</c:v>
                </c:pt>
                <c:pt idx="159">
                  <c:v>3.487478971481323</c:v>
                </c:pt>
                <c:pt idx="160">
                  <c:v>7.917684078216553</c:v>
                </c:pt>
                <c:pt idx="161">
                  <c:v>5.689188003540039</c:v>
                </c:pt>
                <c:pt idx="162">
                  <c:v>3.148298978805542</c:v>
                </c:pt>
                <c:pt idx="163">
                  <c:v>8.089441299438477</c:v>
                </c:pt>
                <c:pt idx="164">
                  <c:v>5.763122081756592</c:v>
                </c:pt>
                <c:pt idx="165">
                  <c:v>3.141815900802612</c:v>
                </c:pt>
                <c:pt idx="166">
                  <c:v>7.960316181182861</c:v>
                </c:pt>
                <c:pt idx="167">
                  <c:v>5.791355133056641</c:v>
                </c:pt>
                <c:pt idx="168">
                  <c:v>2.926549911499023</c:v>
                </c:pt>
                <c:pt idx="169">
                  <c:v>7.954292774200439</c:v>
                </c:pt>
                <c:pt idx="170">
                  <c:v>5.8317551612854</c:v>
                </c:pt>
                <c:pt idx="171">
                  <c:v>2.878194093704224</c:v>
                </c:pt>
                <c:pt idx="172">
                  <c:v>7.80686092376709</c:v>
                </c:pt>
                <c:pt idx="173">
                  <c:v>5.890172004699707</c:v>
                </c:pt>
                <c:pt idx="174">
                  <c:v>2.868483066558838</c:v>
                </c:pt>
                <c:pt idx="175">
                  <c:v>7.598124027252197</c:v>
                </c:pt>
                <c:pt idx="176">
                  <c:v>5.940971851348877</c:v>
                </c:pt>
                <c:pt idx="177">
                  <c:v>2.879471063613892</c:v>
                </c:pt>
                <c:pt idx="178">
                  <c:v>7.261919975280762</c:v>
                </c:pt>
                <c:pt idx="179">
                  <c:v>6.067016124725342</c:v>
                </c:pt>
                <c:pt idx="180">
                  <c:v>2.940484046936035</c:v>
                </c:pt>
                <c:pt idx="181">
                  <c:v>6.995449066162109</c:v>
                </c:pt>
                <c:pt idx="182">
                  <c:v>6.13798999786377</c:v>
                </c:pt>
                <c:pt idx="183">
                  <c:v>3.128098964691162</c:v>
                </c:pt>
                <c:pt idx="184">
                  <c:v>6.513269901275635</c:v>
                </c:pt>
                <c:pt idx="185">
                  <c:v>6.362536907196045</c:v>
                </c:pt>
                <c:pt idx="186">
                  <c:v>3.265480995178223</c:v>
                </c:pt>
                <c:pt idx="187">
                  <c:v>6.233599185943604</c:v>
                </c:pt>
                <c:pt idx="188">
                  <c:v>6.480965137481689</c:v>
                </c:pt>
                <c:pt idx="189">
                  <c:v>3.632930040359497</c:v>
                </c:pt>
                <c:pt idx="190">
                  <c:v>5.720915794372559</c:v>
                </c:pt>
                <c:pt idx="191">
                  <c:v>6.76483678817749</c:v>
                </c:pt>
                <c:pt idx="192">
                  <c:v>3.907546043395996</c:v>
                </c:pt>
                <c:pt idx="193">
                  <c:v>5.365118026733398</c:v>
                </c:pt>
                <c:pt idx="194">
                  <c:v>6.915619850158691</c:v>
                </c:pt>
                <c:pt idx="195">
                  <c:v>4.385890007019043</c:v>
                </c:pt>
                <c:pt idx="196">
                  <c:v>4.829037189483643</c:v>
                </c:pt>
                <c:pt idx="197">
                  <c:v>7.208725929260254</c:v>
                </c:pt>
                <c:pt idx="198">
                  <c:v>4.724885940551758</c:v>
                </c:pt>
                <c:pt idx="199">
                  <c:v>4.469821929931641</c:v>
                </c:pt>
                <c:pt idx="200">
                  <c:v>7.387997150421143</c:v>
                </c:pt>
                <c:pt idx="201">
                  <c:v>5.160880088806152</c:v>
                </c:pt>
                <c:pt idx="202">
                  <c:v>4.074227809906006</c:v>
                </c:pt>
                <c:pt idx="203">
                  <c:v>7.622204780578613</c:v>
                </c:pt>
                <c:pt idx="204">
                  <c:v>5.395356178283691</c:v>
                </c:pt>
                <c:pt idx="205">
                  <c:v>3.697041988372803</c:v>
                </c:pt>
                <c:pt idx="206">
                  <c:v>7.797679901123047</c:v>
                </c:pt>
                <c:pt idx="207">
                  <c:v>5.615977764129639</c:v>
                </c:pt>
                <c:pt idx="208">
                  <c:v>3.533170938491821</c:v>
                </c:pt>
                <c:pt idx="209">
                  <c:v>7.856252193450928</c:v>
                </c:pt>
                <c:pt idx="210">
                  <c:v>5.699862003326416</c:v>
                </c:pt>
                <c:pt idx="211">
                  <c:v>3.271106958389282</c:v>
                </c:pt>
                <c:pt idx="212">
                  <c:v>7.929275035858154</c:v>
                </c:pt>
                <c:pt idx="213">
                  <c:v>5.747057914733887</c:v>
                </c:pt>
                <c:pt idx="214">
                  <c:v>2.967380046844482</c:v>
                </c:pt>
                <c:pt idx="215">
                  <c:v>8.076704025268555</c:v>
                </c:pt>
                <c:pt idx="216">
                  <c:v>5.824912071228027</c:v>
                </c:pt>
                <c:pt idx="217">
                  <c:v>2.891026973724365</c:v>
                </c:pt>
                <c:pt idx="218">
                  <c:v>8.021777153015137</c:v>
                </c:pt>
                <c:pt idx="219">
                  <c:v>5.854876041412354</c:v>
                </c:pt>
                <c:pt idx="220">
                  <c:v>2.851238965988159</c:v>
                </c:pt>
                <c:pt idx="221">
                  <c:v>7.813097953796387</c:v>
                </c:pt>
                <c:pt idx="222">
                  <c:v>5.914239883422852</c:v>
                </c:pt>
                <c:pt idx="223">
                  <c:v>2.79436206817627</c:v>
                </c:pt>
                <c:pt idx="224">
                  <c:v>7.641905784606934</c:v>
                </c:pt>
                <c:pt idx="225">
                  <c:v>5.922047138214111</c:v>
                </c:pt>
                <c:pt idx="226">
                  <c:v>2.870313882827759</c:v>
                </c:pt>
                <c:pt idx="227">
                  <c:v>7.263559818267822</c:v>
                </c:pt>
                <c:pt idx="228">
                  <c:v>6.061196804046631</c:v>
                </c:pt>
                <c:pt idx="229">
                  <c:v>2.910908937454224</c:v>
                </c:pt>
                <c:pt idx="230">
                  <c:v>7.01652717590332</c:v>
                </c:pt>
                <c:pt idx="231">
                  <c:v>6.124423027038574</c:v>
                </c:pt>
                <c:pt idx="232">
                  <c:v>3.130263090133667</c:v>
                </c:pt>
                <c:pt idx="233">
                  <c:v>6.537824153900146</c:v>
                </c:pt>
                <c:pt idx="234">
                  <c:v>6.354791164398193</c:v>
                </c:pt>
                <c:pt idx="235">
                  <c:v>3.282994985580444</c:v>
                </c:pt>
                <c:pt idx="236">
                  <c:v>6.213179111480713</c:v>
                </c:pt>
                <c:pt idx="237">
                  <c:v>6.497645854949951</c:v>
                </c:pt>
                <c:pt idx="238">
                  <c:v>3.652405023574829</c:v>
                </c:pt>
                <c:pt idx="239">
                  <c:v>5.811759948730469</c:v>
                </c:pt>
                <c:pt idx="240">
                  <c:v>6.669397830963135</c:v>
                </c:pt>
                <c:pt idx="241">
                  <c:v>3.966839075088501</c:v>
                </c:pt>
                <c:pt idx="242">
                  <c:v>5.298420906066895</c:v>
                </c:pt>
                <c:pt idx="243">
                  <c:v>6.903546810150146</c:v>
                </c:pt>
                <c:pt idx="244">
                  <c:v>4.4429612159729</c:v>
                </c:pt>
                <c:pt idx="245">
                  <c:v>4.678343772888184</c:v>
                </c:pt>
                <c:pt idx="246">
                  <c:v>7.280663013458252</c:v>
                </c:pt>
                <c:pt idx="247">
                  <c:v>4.845559120178223</c:v>
                </c:pt>
                <c:pt idx="248">
                  <c:v>4.315279960632324</c:v>
                </c:pt>
                <c:pt idx="249">
                  <c:v>7.483457088470459</c:v>
                </c:pt>
                <c:pt idx="250">
                  <c:v>5.240100860595703</c:v>
                </c:pt>
                <c:pt idx="251">
                  <c:v>4.096313953399658</c:v>
                </c:pt>
                <c:pt idx="252">
                  <c:v>7.581774234771729</c:v>
                </c:pt>
                <c:pt idx="253">
                  <c:v>5.475801944732666</c:v>
                </c:pt>
                <c:pt idx="254">
                  <c:v>3.576598882675171</c:v>
                </c:pt>
                <c:pt idx="255">
                  <c:v>7.879076957702637</c:v>
                </c:pt>
                <c:pt idx="256">
                  <c:v>5.631742000579834</c:v>
                </c:pt>
                <c:pt idx="257">
                  <c:v>3.363261938095093</c:v>
                </c:pt>
                <c:pt idx="258">
                  <c:v>7.978912830352783</c:v>
                </c:pt>
                <c:pt idx="259">
                  <c:v>5.735674858093262</c:v>
                </c:pt>
                <c:pt idx="260">
                  <c:v>3.158857107162476</c:v>
                </c:pt>
                <c:pt idx="261">
                  <c:v>8.073857307434082</c:v>
                </c:pt>
                <c:pt idx="262">
                  <c:v>5.784961223602295</c:v>
                </c:pt>
                <c:pt idx="263">
                  <c:v>3.00553297996521</c:v>
                </c:pt>
                <c:pt idx="264">
                  <c:v>8.035584449768066</c:v>
                </c:pt>
                <c:pt idx="265">
                  <c:v>5.798319816589355</c:v>
                </c:pt>
                <c:pt idx="266">
                  <c:v>2.890324115753174</c:v>
                </c:pt>
                <c:pt idx="267">
                  <c:v>7.963304042816162</c:v>
                </c:pt>
                <c:pt idx="268">
                  <c:v>5.871366024017334</c:v>
                </c:pt>
                <c:pt idx="269">
                  <c:v>2.802776098251343</c:v>
                </c:pt>
                <c:pt idx="270">
                  <c:v>7.817253112792969</c:v>
                </c:pt>
                <c:pt idx="271">
                  <c:v>5.899669170379639</c:v>
                </c:pt>
                <c:pt idx="272">
                  <c:v>2.895915985107422</c:v>
                </c:pt>
                <c:pt idx="273">
                  <c:v>7.505496978759766</c:v>
                </c:pt>
                <c:pt idx="274">
                  <c:v>5.968496799468994</c:v>
                </c:pt>
                <c:pt idx="275">
                  <c:v>2.925187110900879</c:v>
                </c:pt>
                <c:pt idx="276">
                  <c:v>7.163893222808838</c:v>
                </c:pt>
                <c:pt idx="277">
                  <c:v>6.036893844604492</c:v>
                </c:pt>
                <c:pt idx="278">
                  <c:v>3.004544973373413</c:v>
                </c:pt>
                <c:pt idx="279">
                  <c:v>6.731113910675049</c:v>
                </c:pt>
                <c:pt idx="280">
                  <c:v>6.249177932739258</c:v>
                </c:pt>
                <c:pt idx="281">
                  <c:v>3.151527881622314</c:v>
                </c:pt>
                <c:pt idx="282">
                  <c:v>6.485333919525146</c:v>
                </c:pt>
                <c:pt idx="283">
                  <c:v>6.381387233734131</c:v>
                </c:pt>
                <c:pt idx="284">
                  <c:v>3.508722066879272</c:v>
                </c:pt>
                <c:pt idx="285">
                  <c:v>5.921757221221924</c:v>
                </c:pt>
                <c:pt idx="286">
                  <c:v>6.663112163543701</c:v>
                </c:pt>
                <c:pt idx="287">
                  <c:v>3.755445957183838</c:v>
                </c:pt>
                <c:pt idx="288">
                  <c:v>5.578053951263428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Report-2031_Oil_4500bopd_Liquid_4789blpd_5MMSCFD_GL_TD_Only_OP1_TCV_5pc.genkey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SIM4!$A$11:$A$299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1.250212550163269</c:v>
                </c:pt>
                <c:pt idx="6">
                  <c:v>1.50015115737915</c:v>
                </c:pt>
                <c:pt idx="7">
                  <c:v>1.750082492828369</c:v>
                </c:pt>
                <c:pt idx="8">
                  <c:v>2.000370740890503</c:v>
                </c:pt>
                <c:pt idx="9">
                  <c:v>2.250343084335327</c:v>
                </c:pt>
                <c:pt idx="10">
                  <c:v>2.500083684921265</c:v>
                </c:pt>
                <c:pt idx="11">
                  <c:v>2.750252246856689</c:v>
                </c:pt>
                <c:pt idx="12">
                  <c:v>3.000216722488403</c:v>
                </c:pt>
                <c:pt idx="13">
                  <c:v>3.250436067581177</c:v>
                </c:pt>
                <c:pt idx="14">
                  <c:v>3.50005841255188</c:v>
                </c:pt>
                <c:pt idx="15">
                  <c:v>3.750363826751709</c:v>
                </c:pt>
                <c:pt idx="16">
                  <c:v>4.000669479370117</c:v>
                </c:pt>
                <c:pt idx="17">
                  <c:v>4.250608444213867</c:v>
                </c:pt>
                <c:pt idx="18">
                  <c:v>4.500080585479736</c:v>
                </c:pt>
                <c:pt idx="19">
                  <c:v>4.750102996826172</c:v>
                </c:pt>
                <c:pt idx="20">
                  <c:v>5.000124931335449</c:v>
                </c:pt>
                <c:pt idx="21">
                  <c:v>5.250147342681885</c:v>
                </c:pt>
                <c:pt idx="22">
                  <c:v>5.500169277191162</c:v>
                </c:pt>
                <c:pt idx="23">
                  <c:v>5.750191688537598</c:v>
                </c:pt>
                <c:pt idx="24">
                  <c:v>6.000214099884033</c:v>
                </c:pt>
                <c:pt idx="25">
                  <c:v>6.250236034393311</c:v>
                </c:pt>
                <c:pt idx="26">
                  <c:v>6.500255584716797</c:v>
                </c:pt>
                <c:pt idx="27">
                  <c:v>6.750277996063232</c:v>
                </c:pt>
                <c:pt idx="28">
                  <c:v>7.00029993057251</c:v>
                </c:pt>
                <c:pt idx="29">
                  <c:v>7.250322341918945</c:v>
                </c:pt>
                <c:pt idx="30">
                  <c:v>7.500344276428223</c:v>
                </c:pt>
                <c:pt idx="31">
                  <c:v>7.750366687774658</c:v>
                </c:pt>
                <c:pt idx="32">
                  <c:v>8.000389099121094</c:v>
                </c:pt>
                <c:pt idx="33">
                  <c:v>8.250411033630371</c:v>
                </c:pt>
                <c:pt idx="34">
                  <c:v>8.500432968139648</c:v>
                </c:pt>
                <c:pt idx="35">
                  <c:v>8.750455856323242</c:v>
                </c:pt>
                <c:pt idx="36">
                  <c:v>9.00047779083252</c:v>
                </c:pt>
                <c:pt idx="37">
                  <c:v>9.250499725341797</c:v>
                </c:pt>
                <c:pt idx="38">
                  <c:v>9.500522613525391</c:v>
                </c:pt>
                <c:pt idx="39">
                  <c:v>9.750544548034668</c:v>
                </c:pt>
                <c:pt idx="40">
                  <c:v>10.00056648254395</c:v>
                </c:pt>
                <c:pt idx="41">
                  <c:v>10.25058841705322</c:v>
                </c:pt>
                <c:pt idx="42">
                  <c:v>10.50060844421387</c:v>
                </c:pt>
                <c:pt idx="43">
                  <c:v>10.75063037872314</c:v>
                </c:pt>
                <c:pt idx="44">
                  <c:v>11.00065231323242</c:v>
                </c:pt>
                <c:pt idx="45">
                  <c:v>11.25001621246338</c:v>
                </c:pt>
                <c:pt idx="46">
                  <c:v>11.50003910064697</c:v>
                </c:pt>
                <c:pt idx="47">
                  <c:v>11.75006103515625</c:v>
                </c:pt>
                <c:pt idx="48">
                  <c:v>12.00008296966553</c:v>
                </c:pt>
                <c:pt idx="49">
                  <c:v>12.25010585784912</c:v>
                </c:pt>
                <c:pt idx="50">
                  <c:v>12.50012493133545</c:v>
                </c:pt>
                <c:pt idx="51">
                  <c:v>12.75014686584473</c:v>
                </c:pt>
                <c:pt idx="52">
                  <c:v>13.00016975402832</c:v>
                </c:pt>
                <c:pt idx="53">
                  <c:v>13.2501916885376</c:v>
                </c:pt>
                <c:pt idx="54">
                  <c:v>13.50021362304688</c:v>
                </c:pt>
                <c:pt idx="55">
                  <c:v>13.75023651123047</c:v>
                </c:pt>
                <c:pt idx="56">
                  <c:v>14.00025844573975</c:v>
                </c:pt>
                <c:pt idx="57">
                  <c:v>14.25028038024902</c:v>
                </c:pt>
                <c:pt idx="58">
                  <c:v>14.5003023147583</c:v>
                </c:pt>
                <c:pt idx="59">
                  <c:v>14.75032520294189</c:v>
                </c:pt>
                <c:pt idx="60">
                  <c:v>15.00034713745117</c:v>
                </c:pt>
                <c:pt idx="61">
                  <c:v>15.25036907196045</c:v>
                </c:pt>
                <c:pt idx="62">
                  <c:v>15.50039196014404</c:v>
                </c:pt>
                <c:pt idx="63">
                  <c:v>15.75041389465332</c:v>
                </c:pt>
                <c:pt idx="64">
                  <c:v>16.00043678283691</c:v>
                </c:pt>
                <c:pt idx="65">
                  <c:v>16.25045585632324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17.00052261352539</c:v>
                </c:pt>
                <c:pt idx="69">
                  <c:v>17.25054359436035</c:v>
                </c:pt>
                <c:pt idx="70">
                  <c:v>17.50056648254395</c:v>
                </c:pt>
                <c:pt idx="71">
                  <c:v>17.75058937072754</c:v>
                </c:pt>
                <c:pt idx="72">
                  <c:v>18.0006103515625</c:v>
                </c:pt>
                <c:pt idx="73">
                  <c:v>18.25063323974609</c:v>
                </c:pt>
                <c:pt idx="74">
                  <c:v>18.50065612792969</c:v>
                </c:pt>
                <c:pt idx="75">
                  <c:v>18.7500171661377</c:v>
                </c:pt>
                <c:pt idx="76">
                  <c:v>19.00003814697266</c:v>
                </c:pt>
                <c:pt idx="77">
                  <c:v>19.25006103515625</c:v>
                </c:pt>
                <c:pt idx="78">
                  <c:v>19.50008392333984</c:v>
                </c:pt>
                <c:pt idx="79">
                  <c:v>19.7501049041748</c:v>
                </c:pt>
                <c:pt idx="80">
                  <c:v>20.0001277923584</c:v>
                </c:pt>
                <c:pt idx="81">
                  <c:v>20.25015068054199</c:v>
                </c:pt>
                <c:pt idx="82">
                  <c:v>20.50017166137695</c:v>
                </c:pt>
                <c:pt idx="83">
                  <c:v>20.75019454956055</c:v>
                </c:pt>
                <c:pt idx="84">
                  <c:v>21.00021743774414</c:v>
                </c:pt>
                <c:pt idx="85">
                  <c:v>21.2502384185791</c:v>
                </c:pt>
                <c:pt idx="86">
                  <c:v>21.5002613067627</c:v>
                </c:pt>
                <c:pt idx="87">
                  <c:v>21.75028419494629</c:v>
                </c:pt>
                <c:pt idx="88">
                  <c:v>22.00030326843262</c:v>
                </c:pt>
                <c:pt idx="89">
                  <c:v>22.25032424926758</c:v>
                </c:pt>
                <c:pt idx="90">
                  <c:v>22.50034713745117</c:v>
                </c:pt>
                <c:pt idx="91">
                  <c:v>22.75037002563477</c:v>
                </c:pt>
                <c:pt idx="92">
                  <c:v>23.00039100646973</c:v>
                </c:pt>
                <c:pt idx="93">
                  <c:v>23.25041389465332</c:v>
                </c:pt>
                <c:pt idx="94">
                  <c:v>23.50043678283691</c:v>
                </c:pt>
                <c:pt idx="95">
                  <c:v>23.75045776367188</c:v>
                </c:pt>
                <c:pt idx="96">
                  <c:v>24.00048065185547</c:v>
                </c:pt>
                <c:pt idx="97">
                  <c:v>24.25050354003906</c:v>
                </c:pt>
                <c:pt idx="98">
                  <c:v>24.50052452087402</c:v>
                </c:pt>
                <c:pt idx="99">
                  <c:v>24.75054740905762</c:v>
                </c:pt>
                <c:pt idx="100">
                  <c:v>25.00057029724121</c:v>
                </c:pt>
                <c:pt idx="101">
                  <c:v>25.25059127807617</c:v>
                </c:pt>
                <c:pt idx="102">
                  <c:v>25.50061416625977</c:v>
                </c:pt>
                <c:pt idx="103">
                  <c:v>25.75063705444336</c:v>
                </c:pt>
                <c:pt idx="104">
                  <c:v>26.00065612792969</c:v>
                </c:pt>
                <c:pt idx="105">
                  <c:v>26.25001907348633</c:v>
                </c:pt>
                <c:pt idx="106">
                  <c:v>26.50004196166992</c:v>
                </c:pt>
                <c:pt idx="107">
                  <c:v>26.75006294250488</c:v>
                </c:pt>
                <c:pt idx="108">
                  <c:v>27.00008583068848</c:v>
                </c:pt>
                <c:pt idx="109">
                  <c:v>27.25010871887207</c:v>
                </c:pt>
                <c:pt idx="110">
                  <c:v>27.50012969970703</c:v>
                </c:pt>
                <c:pt idx="111">
                  <c:v>27.75015258789062</c:v>
                </c:pt>
                <c:pt idx="112">
                  <c:v>28.00016593933105</c:v>
                </c:pt>
                <c:pt idx="113">
                  <c:v>28.25019454956055</c:v>
                </c:pt>
                <c:pt idx="114">
                  <c:v>28.50022315979004</c:v>
                </c:pt>
                <c:pt idx="115">
                  <c:v>28.7502498626709</c:v>
                </c:pt>
                <c:pt idx="116">
                  <c:v>29.0002498626709</c:v>
                </c:pt>
                <c:pt idx="117">
                  <c:v>29.25027847290039</c:v>
                </c:pt>
                <c:pt idx="118">
                  <c:v>29.50030517578125</c:v>
                </c:pt>
                <c:pt idx="119">
                  <c:v>29.75033378601074</c:v>
                </c:pt>
                <c:pt idx="120">
                  <c:v>30.0003604888916</c:v>
                </c:pt>
                <c:pt idx="121">
                  <c:v>30.2503604888916</c:v>
                </c:pt>
                <c:pt idx="122">
                  <c:v>30.50038909912109</c:v>
                </c:pt>
                <c:pt idx="123">
                  <c:v>30.75041580200195</c:v>
                </c:pt>
                <c:pt idx="124">
                  <c:v>31.00044441223145</c:v>
                </c:pt>
                <c:pt idx="125">
                  <c:v>31.25047302246094</c:v>
                </c:pt>
                <c:pt idx="126">
                  <c:v>31.50047302246094</c:v>
                </c:pt>
                <c:pt idx="127">
                  <c:v>31.7504997253418</c:v>
                </c:pt>
                <c:pt idx="128">
                  <c:v>32.00052642822266</c:v>
                </c:pt>
                <c:pt idx="129">
                  <c:v>32.25055694580078</c:v>
                </c:pt>
                <c:pt idx="130">
                  <c:v>32.50058364868164</c:v>
                </c:pt>
                <c:pt idx="131">
                  <c:v>32.75058364868164</c:v>
                </c:pt>
                <c:pt idx="132">
                  <c:v>33.0006103515625</c:v>
                </c:pt>
                <c:pt idx="133">
                  <c:v>33.25063705444336</c:v>
                </c:pt>
                <c:pt idx="134">
                  <c:v>33.50066757202148</c:v>
                </c:pt>
                <c:pt idx="135">
                  <c:v>33.75002670288086</c:v>
                </c:pt>
                <c:pt idx="136">
                  <c:v>34.00005722045898</c:v>
                </c:pt>
                <c:pt idx="137">
                  <c:v>34.25005722045898</c:v>
                </c:pt>
                <c:pt idx="138">
                  <c:v>34.50008392333984</c:v>
                </c:pt>
                <c:pt idx="139">
                  <c:v>34.7501106262207</c:v>
                </c:pt>
                <c:pt idx="140">
                  <c:v>35.00013732910156</c:v>
                </c:pt>
                <c:pt idx="141">
                  <c:v>35.25016784667969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36.00022125244141</c:v>
                </c:pt>
                <c:pt idx="145">
                  <c:v>36.25025177001953</c:v>
                </c:pt>
                <c:pt idx="146">
                  <c:v>36.50025177001953</c:v>
                </c:pt>
                <c:pt idx="147">
                  <c:v>36.75027847290039</c:v>
                </c:pt>
                <c:pt idx="148">
                  <c:v>37.00030517578125</c:v>
                </c:pt>
                <c:pt idx="149">
                  <c:v>37.25033187866211</c:v>
                </c:pt>
                <c:pt idx="150">
                  <c:v>37.50036239624023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38.75047302246094</c:v>
                </c:pt>
                <c:pt idx="156">
                  <c:v>39.00047302246094</c:v>
                </c:pt>
                <c:pt idx="157">
                  <c:v>39.2504997253418</c:v>
                </c:pt>
                <c:pt idx="158">
                  <c:v>39.50052642822266</c:v>
                </c:pt>
                <c:pt idx="159">
                  <c:v>39.75055694580078</c:v>
                </c:pt>
                <c:pt idx="160">
                  <c:v>40.00058364868164</c:v>
                </c:pt>
                <c:pt idx="161">
                  <c:v>40.25058364868164</c:v>
                </c:pt>
                <c:pt idx="162">
                  <c:v>40.5006103515625</c:v>
                </c:pt>
                <c:pt idx="163">
                  <c:v>40.75063705444336</c:v>
                </c:pt>
                <c:pt idx="164">
                  <c:v>41</c:v>
                </c:pt>
                <c:pt idx="165">
                  <c:v>41.25002670288086</c:v>
                </c:pt>
                <c:pt idx="166">
                  <c:v>41.50005722045898</c:v>
                </c:pt>
                <c:pt idx="167">
                  <c:v>41.75005722045898</c:v>
                </c:pt>
                <c:pt idx="168">
                  <c:v>42.00008392333984</c:v>
                </c:pt>
                <c:pt idx="169">
                  <c:v>42.2501106262207</c:v>
                </c:pt>
                <c:pt idx="170">
                  <c:v>42.50013732910156</c:v>
                </c:pt>
                <c:pt idx="171">
                  <c:v>42.75016784667969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44.25027847290039</c:v>
                </c:pt>
                <c:pt idx="178">
                  <c:v>44.50030517578125</c:v>
                </c:pt>
                <c:pt idx="179">
                  <c:v>44.75033187866211</c:v>
                </c:pt>
                <c:pt idx="180">
                  <c:v>45.00036239624023</c:v>
                </c:pt>
                <c:pt idx="181">
                  <c:v>45.25038909912109</c:v>
                </c:pt>
                <c:pt idx="182">
                  <c:v>45.50038909912109</c:v>
                </c:pt>
                <c:pt idx="183">
                  <c:v>45.75041580200195</c:v>
                </c:pt>
                <c:pt idx="184">
                  <c:v>46.00044631958008</c:v>
                </c:pt>
                <c:pt idx="185">
                  <c:v>46.25047302246094</c:v>
                </c:pt>
                <c:pt idx="186">
                  <c:v>46.50047302246094</c:v>
                </c:pt>
                <c:pt idx="187">
                  <c:v>46.7504997253418</c:v>
                </c:pt>
                <c:pt idx="188">
                  <c:v>47.00052642822266</c:v>
                </c:pt>
                <c:pt idx="189">
                  <c:v>47.25055694580078</c:v>
                </c:pt>
                <c:pt idx="190">
                  <c:v>47.50058364868164</c:v>
                </c:pt>
                <c:pt idx="191">
                  <c:v>47.75058364868164</c:v>
                </c:pt>
                <c:pt idx="192">
                  <c:v>48.0006103515625</c:v>
                </c:pt>
                <c:pt idx="193">
                  <c:v>48.25063705444336</c:v>
                </c:pt>
                <c:pt idx="194">
                  <c:v>48.5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49.25005722045898</c:v>
                </c:pt>
                <c:pt idx="198">
                  <c:v>49.50008392333984</c:v>
                </c:pt>
                <c:pt idx="199">
                  <c:v>49.7501106262207</c:v>
                </c:pt>
                <c:pt idx="200">
                  <c:v>50.00013732910156</c:v>
                </c:pt>
                <c:pt idx="201">
                  <c:v>50.25016784667969</c:v>
                </c:pt>
                <c:pt idx="202">
                  <c:v>50.50016784667969</c:v>
                </c:pt>
                <c:pt idx="203">
                  <c:v>50.75019454956055</c:v>
                </c:pt>
                <c:pt idx="204">
                  <c:v>51.00022125244141</c:v>
                </c:pt>
                <c:pt idx="205">
                  <c:v>51.25025177001953</c:v>
                </c:pt>
                <c:pt idx="206">
                  <c:v>51.50027847290039</c:v>
                </c:pt>
                <c:pt idx="207">
                  <c:v>51.75027847290039</c:v>
                </c:pt>
                <c:pt idx="208">
                  <c:v>52.00030517578125</c:v>
                </c:pt>
                <c:pt idx="209">
                  <c:v>52.25033187866211</c:v>
                </c:pt>
                <c:pt idx="210">
                  <c:v>52.50036239624023</c:v>
                </c:pt>
                <c:pt idx="211">
                  <c:v>52.75038909912109</c:v>
                </c:pt>
                <c:pt idx="212">
                  <c:v>53.00038909912109</c:v>
                </c:pt>
                <c:pt idx="213">
                  <c:v>53.25041580200195</c:v>
                </c:pt>
                <c:pt idx="214">
                  <c:v>53.50044631958008</c:v>
                </c:pt>
                <c:pt idx="215">
                  <c:v>53.75047302246094</c:v>
                </c:pt>
                <c:pt idx="216">
                  <c:v>54.0004997253418</c:v>
                </c:pt>
                <c:pt idx="217">
                  <c:v>54.2504997253418</c:v>
                </c:pt>
                <c:pt idx="218">
                  <c:v>54.50052642822266</c:v>
                </c:pt>
                <c:pt idx="219">
                  <c:v>54.75055694580078</c:v>
                </c:pt>
                <c:pt idx="220">
                  <c:v>55.00058364868164</c:v>
                </c:pt>
                <c:pt idx="221">
                  <c:v>55.25058364868164</c:v>
                </c:pt>
                <c:pt idx="222">
                  <c:v>55.5006103515625</c:v>
                </c:pt>
                <c:pt idx="223">
                  <c:v>55.75063705444336</c:v>
                </c:pt>
                <c:pt idx="224">
                  <c:v>56</c:v>
                </c:pt>
                <c:pt idx="225">
                  <c:v>56.25002670288086</c:v>
                </c:pt>
                <c:pt idx="226">
                  <c:v>56.50005722045898</c:v>
                </c:pt>
                <c:pt idx="227">
                  <c:v>56.75008392333984</c:v>
                </c:pt>
                <c:pt idx="228">
                  <c:v>57.00008392333984</c:v>
                </c:pt>
                <c:pt idx="229">
                  <c:v>57.2501106262207</c:v>
                </c:pt>
                <c:pt idx="230">
                  <c:v>57.50013732910156</c:v>
                </c:pt>
                <c:pt idx="231">
                  <c:v>57.75016784667969</c:v>
                </c:pt>
                <c:pt idx="232">
                  <c:v>58.00016784667969</c:v>
                </c:pt>
                <c:pt idx="233">
                  <c:v>58.25019454956055</c:v>
                </c:pt>
                <c:pt idx="234">
                  <c:v>58.50022125244141</c:v>
                </c:pt>
                <c:pt idx="235">
                  <c:v>58.75025177001953</c:v>
                </c:pt>
                <c:pt idx="236">
                  <c:v>59.00027847290039</c:v>
                </c:pt>
                <c:pt idx="237">
                  <c:v>59.25027847290039</c:v>
                </c:pt>
                <c:pt idx="238">
                  <c:v>59.50030517578125</c:v>
                </c:pt>
                <c:pt idx="239">
                  <c:v>59.75033187866211</c:v>
                </c:pt>
                <c:pt idx="240">
                  <c:v>60.00036239624023</c:v>
                </c:pt>
                <c:pt idx="241">
                  <c:v>60.25038909912109</c:v>
                </c:pt>
                <c:pt idx="242">
                  <c:v>60.50038909912109</c:v>
                </c:pt>
                <c:pt idx="243">
                  <c:v>60.75041580200195</c:v>
                </c:pt>
                <c:pt idx="244">
                  <c:v>61.00044631958008</c:v>
                </c:pt>
                <c:pt idx="245">
                  <c:v>61.25047302246094</c:v>
                </c:pt>
                <c:pt idx="246">
                  <c:v>61.5004997253418</c:v>
                </c:pt>
                <c:pt idx="247">
                  <c:v>61.7504997253418</c:v>
                </c:pt>
                <c:pt idx="248">
                  <c:v>62.00052642822266</c:v>
                </c:pt>
                <c:pt idx="249">
                  <c:v>62.25055694580078</c:v>
                </c:pt>
                <c:pt idx="250">
                  <c:v>62.50058364868164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63.25063705444336</c:v>
                </c:pt>
                <c:pt idx="254">
                  <c:v>63.5</c:v>
                </c:pt>
                <c:pt idx="255">
                  <c:v>63.75002670288086</c:v>
                </c:pt>
                <c:pt idx="256">
                  <c:v>64.00005340576172</c:v>
                </c:pt>
                <c:pt idx="257">
                  <c:v>64.25008392333984</c:v>
                </c:pt>
                <c:pt idx="258">
                  <c:v>64.50008392333984</c:v>
                </c:pt>
                <c:pt idx="259">
                  <c:v>64.75011444091797</c:v>
                </c:pt>
                <c:pt idx="260">
                  <c:v>65.00013732910156</c:v>
                </c:pt>
                <c:pt idx="261">
                  <c:v>65.25016784667969</c:v>
                </c:pt>
                <c:pt idx="262">
                  <c:v>65.50019073486328</c:v>
                </c:pt>
                <c:pt idx="263">
                  <c:v>65.75019073486328</c:v>
                </c:pt>
                <c:pt idx="264">
                  <c:v>66.00022125244141</c:v>
                </c:pt>
                <c:pt idx="265">
                  <c:v>66.25025177001953</c:v>
                </c:pt>
                <c:pt idx="266">
                  <c:v>66.50027465820312</c:v>
                </c:pt>
                <c:pt idx="267">
                  <c:v>66.75030517578125</c:v>
                </c:pt>
                <c:pt idx="268">
                  <c:v>67.00030517578125</c:v>
                </c:pt>
                <c:pt idx="269">
                  <c:v>67.25033569335938</c:v>
                </c:pt>
                <c:pt idx="270">
                  <c:v>67.50035858154297</c:v>
                </c:pt>
                <c:pt idx="271">
                  <c:v>67.75038909912109</c:v>
                </c:pt>
                <c:pt idx="272">
                  <c:v>68.00038909912109</c:v>
                </c:pt>
                <c:pt idx="273">
                  <c:v>68.25041961669922</c:v>
                </c:pt>
                <c:pt idx="274">
                  <c:v>68.50044250488281</c:v>
                </c:pt>
                <c:pt idx="275">
                  <c:v>68.75047302246094</c:v>
                </c:pt>
                <c:pt idx="276">
                  <c:v>69.00050354003906</c:v>
                </c:pt>
                <c:pt idx="277">
                  <c:v>69.25050354003906</c:v>
                </c:pt>
                <c:pt idx="278">
                  <c:v>69.50052642822266</c:v>
                </c:pt>
                <c:pt idx="279">
                  <c:v>69.75055694580078</c:v>
                </c:pt>
                <c:pt idx="280">
                  <c:v>70.00057983398438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70.75064086914062</c:v>
                </c:pt>
                <c:pt idx="284">
                  <c:v>71</c:v>
                </c:pt>
                <c:pt idx="285">
                  <c:v>71.25003051757812</c:v>
                </c:pt>
                <c:pt idx="286">
                  <c:v>71.50005340576172</c:v>
                </c:pt>
                <c:pt idx="287">
                  <c:v>71.75008392333984</c:v>
                </c:pt>
                <c:pt idx="288">
                  <c:v>72.00008392333984</c:v>
                </c:pt>
              </c:numCache>
            </c:numRef>
          </c:xVal>
          <c:yVal>
            <c:numRef>
              <c:f>SIM4!$F$11:$F$299</c:f>
              <c:numCache>
                <c:ptCount val="289"/>
                <c:pt idx="0">
                  <c:v>0.01899014040827751</c:v>
                </c:pt>
                <c:pt idx="1">
                  <c:v>0.0130656398832798</c:v>
                </c:pt>
                <c:pt idx="2">
                  <c:v>0.009224898181855679</c:v>
                </c:pt>
                <c:pt idx="3">
                  <c:v>0.01388760004192591</c:v>
                </c:pt>
                <c:pt idx="4">
                  <c:v>-0.003372678067535162</c:v>
                </c:pt>
                <c:pt idx="5">
                  <c:v>-0.0003163136134389788</c:v>
                </c:pt>
                <c:pt idx="6">
                  <c:v>0.001392820966430008</c:v>
                </c:pt>
                <c:pt idx="7">
                  <c:v>0.002279487904161215</c:v>
                </c:pt>
                <c:pt idx="8">
                  <c:v>0.008723045699298382</c:v>
                </c:pt>
                <c:pt idx="9">
                  <c:v>0.006273952778428793</c:v>
                </c:pt>
                <c:pt idx="10">
                  <c:v>0.01268788985908031</c:v>
                </c:pt>
                <c:pt idx="11">
                  <c:v>0.01907997019588947</c:v>
                </c:pt>
                <c:pt idx="12">
                  <c:v>0.006877514068037271</c:v>
                </c:pt>
                <c:pt idx="13">
                  <c:v>0.007994884625077248</c:v>
                </c:pt>
                <c:pt idx="14">
                  <c:v>0.01312362961471081</c:v>
                </c:pt>
                <c:pt idx="15">
                  <c:v>0.01291069015860558</c:v>
                </c:pt>
                <c:pt idx="16">
                  <c:v>0.007821237668395042</c:v>
                </c:pt>
                <c:pt idx="17">
                  <c:v>0.007098529953509569</c:v>
                </c:pt>
                <c:pt idx="18">
                  <c:v>0.01275001000612974</c:v>
                </c:pt>
                <c:pt idx="19">
                  <c:v>0.01124729961156845</c:v>
                </c:pt>
                <c:pt idx="20">
                  <c:v>0.00835808739066124</c:v>
                </c:pt>
                <c:pt idx="21">
                  <c:v>0.007808811031281948</c:v>
                </c:pt>
                <c:pt idx="22">
                  <c:v>0.01244520023465157</c:v>
                </c:pt>
                <c:pt idx="23">
                  <c:v>0.01060689985752106</c:v>
                </c:pt>
                <c:pt idx="24">
                  <c:v>0.008626800030469894</c:v>
                </c:pt>
                <c:pt idx="25">
                  <c:v>0.008631167933344841</c:v>
                </c:pt>
                <c:pt idx="26">
                  <c:v>0.01227410044521093</c:v>
                </c:pt>
                <c:pt idx="27">
                  <c:v>0.01033032033592463</c:v>
                </c:pt>
                <c:pt idx="28">
                  <c:v>0.009070499800145626</c:v>
                </c:pt>
                <c:pt idx="29">
                  <c:v>0.00943301897495985</c:v>
                </c:pt>
                <c:pt idx="30">
                  <c:v>0.01158741023391485</c:v>
                </c:pt>
                <c:pt idx="31">
                  <c:v>0.01023446023464203</c:v>
                </c:pt>
                <c:pt idx="32">
                  <c:v>0.009218111634254456</c:v>
                </c:pt>
                <c:pt idx="33">
                  <c:v>0.009782266803085804</c:v>
                </c:pt>
                <c:pt idx="34">
                  <c:v>0.01113994978368282</c:v>
                </c:pt>
                <c:pt idx="35">
                  <c:v>0.01018907036632299</c:v>
                </c:pt>
                <c:pt idx="36">
                  <c:v>0.009436138905584812</c:v>
                </c:pt>
                <c:pt idx="37">
                  <c:v>0.01000901963561773</c:v>
                </c:pt>
                <c:pt idx="38">
                  <c:v>0.01085361000150442</c:v>
                </c:pt>
                <c:pt idx="39">
                  <c:v>0.0101319495588541</c:v>
                </c:pt>
                <c:pt idx="40">
                  <c:v>0.009593858383595943</c:v>
                </c:pt>
                <c:pt idx="41">
                  <c:v>0.01011359971016645</c:v>
                </c:pt>
                <c:pt idx="42">
                  <c:v>0.01065960992127657</c:v>
                </c:pt>
                <c:pt idx="43">
                  <c:v>0.01009717024862766</c:v>
                </c:pt>
                <c:pt idx="44">
                  <c:v>0.009728076867759228</c:v>
                </c:pt>
                <c:pt idx="45">
                  <c:v>0.01016843039542437</c:v>
                </c:pt>
                <c:pt idx="46">
                  <c:v>0.01051563024520874</c:v>
                </c:pt>
                <c:pt idx="47">
                  <c:v>0.01008670963346958</c:v>
                </c:pt>
                <c:pt idx="48">
                  <c:v>0.009836414828896523</c:v>
                </c:pt>
                <c:pt idx="49">
                  <c:v>0.01019216980785131</c:v>
                </c:pt>
                <c:pt idx="50">
                  <c:v>0.01040219981223345</c:v>
                </c:pt>
                <c:pt idx="51">
                  <c:v>0.01007732003927231</c:v>
                </c:pt>
                <c:pt idx="52">
                  <c:v>0.009919594042003155</c:v>
                </c:pt>
                <c:pt idx="53">
                  <c:v>0.01020080037415028</c:v>
                </c:pt>
                <c:pt idx="54">
                  <c:v>0.01033145003020763</c:v>
                </c:pt>
                <c:pt idx="55">
                  <c:v>0.01007863972336054</c:v>
                </c:pt>
                <c:pt idx="56">
                  <c:v>0.009978777728974819</c:v>
                </c:pt>
                <c:pt idx="57">
                  <c:v>0.01020106021314859</c:v>
                </c:pt>
                <c:pt idx="58">
                  <c:v>0.01027514971792698</c:v>
                </c:pt>
                <c:pt idx="59">
                  <c:v>0.01008678041398525</c:v>
                </c:pt>
                <c:pt idx="60">
                  <c:v>0.01002611964941025</c:v>
                </c:pt>
                <c:pt idx="61">
                  <c:v>0.01019737962633371</c:v>
                </c:pt>
                <c:pt idx="62">
                  <c:v>0.01023073028773069</c:v>
                </c:pt>
                <c:pt idx="63">
                  <c:v>0.01008732989430428</c:v>
                </c:pt>
                <c:pt idx="64">
                  <c:v>0.01006386987864971</c:v>
                </c:pt>
                <c:pt idx="65">
                  <c:v>0.0101927500218153</c:v>
                </c:pt>
                <c:pt idx="66">
                  <c:v>0.01020369026809931</c:v>
                </c:pt>
                <c:pt idx="67">
                  <c:v>0.0100915003567934</c:v>
                </c:pt>
                <c:pt idx="68">
                  <c:v>0.0100825596600771</c:v>
                </c:pt>
                <c:pt idx="69">
                  <c:v>0.01018510013818741</c:v>
                </c:pt>
                <c:pt idx="70">
                  <c:v>0.01018187962472439</c:v>
                </c:pt>
                <c:pt idx="71">
                  <c:v>0.01009724009782076</c:v>
                </c:pt>
                <c:pt idx="72">
                  <c:v>0.01010646019130945</c:v>
                </c:pt>
                <c:pt idx="73">
                  <c:v>0.01017368026077747</c:v>
                </c:pt>
                <c:pt idx="74">
                  <c:v>0.01016937009990215</c:v>
                </c:pt>
                <c:pt idx="75">
                  <c:v>0.01011107955127954</c:v>
                </c:pt>
                <c:pt idx="76">
                  <c:v>0.01011195033788681</c:v>
                </c:pt>
                <c:pt idx="77">
                  <c:v>0.01016393024474382</c:v>
                </c:pt>
                <c:pt idx="78">
                  <c:v>0.01016249042004347</c:v>
                </c:pt>
                <c:pt idx="79">
                  <c:v>0.01011953968554735</c:v>
                </c:pt>
                <c:pt idx="80">
                  <c:v>0.01011591963469982</c:v>
                </c:pt>
                <c:pt idx="81">
                  <c:v>0.01015590969473124</c:v>
                </c:pt>
                <c:pt idx="82">
                  <c:v>0.01016134954988956</c:v>
                </c:pt>
                <c:pt idx="83">
                  <c:v>0.01012489013373852</c:v>
                </c:pt>
                <c:pt idx="84">
                  <c:v>0.01011941954493523</c:v>
                </c:pt>
                <c:pt idx="85">
                  <c:v>0.01015171967446804</c:v>
                </c:pt>
                <c:pt idx="86">
                  <c:v>0.01015369035303593</c:v>
                </c:pt>
                <c:pt idx="87">
                  <c:v>0.01012624986469746</c:v>
                </c:pt>
                <c:pt idx="88">
                  <c:v>0.01012523006647825</c:v>
                </c:pt>
                <c:pt idx="89">
                  <c:v>0.01014927960932255</c:v>
                </c:pt>
                <c:pt idx="90">
                  <c:v>0.01014890987426043</c:v>
                </c:pt>
                <c:pt idx="91">
                  <c:v>0.01012881007045507</c:v>
                </c:pt>
                <c:pt idx="92">
                  <c:v>0.01013000961393118</c:v>
                </c:pt>
                <c:pt idx="93">
                  <c:v>0.0101477699354291</c:v>
                </c:pt>
                <c:pt idx="94">
                  <c:v>0.01014620997011662</c:v>
                </c:pt>
                <c:pt idx="95">
                  <c:v>0.01013140007853508</c:v>
                </c:pt>
                <c:pt idx="96">
                  <c:v>0.01013332977890968</c:v>
                </c:pt>
                <c:pt idx="97">
                  <c:v>0.01014436036348343</c:v>
                </c:pt>
                <c:pt idx="98">
                  <c:v>0.01014212984591722</c:v>
                </c:pt>
                <c:pt idx="99">
                  <c:v>0.01013226993381977</c:v>
                </c:pt>
                <c:pt idx="100">
                  <c:v>0.01013475004583597</c:v>
                </c:pt>
                <c:pt idx="101">
                  <c:v>0.0101429196074605</c:v>
                </c:pt>
                <c:pt idx="102">
                  <c:v>0.01014070026576519</c:v>
                </c:pt>
                <c:pt idx="103">
                  <c:v>0.01013378985226154</c:v>
                </c:pt>
                <c:pt idx="104">
                  <c:v>0.01013602968305349</c:v>
                </c:pt>
                <c:pt idx="105">
                  <c:v>0.01014185976237059</c:v>
                </c:pt>
                <c:pt idx="106">
                  <c:v>0.01013978011906147</c:v>
                </c:pt>
                <c:pt idx="107">
                  <c:v>0.0101348701864481</c:v>
                </c:pt>
                <c:pt idx="108">
                  <c:v>0.01013685017824173</c:v>
                </c:pt>
                <c:pt idx="109">
                  <c:v>0.01014075987040997</c:v>
                </c:pt>
                <c:pt idx="110">
                  <c:v>0.01013869978487492</c:v>
                </c:pt>
                <c:pt idx="111">
                  <c:v>0.01013575028628111</c:v>
                </c:pt>
                <c:pt idx="112">
                  <c:v>0.01013758964836597</c:v>
                </c:pt>
                <c:pt idx="113">
                  <c:v>0.01014048978686333</c:v>
                </c:pt>
                <c:pt idx="114">
                  <c:v>0.01013880036771297</c:v>
                </c:pt>
                <c:pt idx="115">
                  <c:v>0.0101367300376296</c:v>
                </c:pt>
                <c:pt idx="116">
                  <c:v>0.01013842038810253</c:v>
                </c:pt>
                <c:pt idx="117">
                  <c:v>0.01013964042067528</c:v>
                </c:pt>
                <c:pt idx="118">
                  <c:v>0.01013758964836597</c:v>
                </c:pt>
                <c:pt idx="119">
                  <c:v>0.01013663969933987</c:v>
                </c:pt>
                <c:pt idx="120">
                  <c:v>0.01013833004981279</c:v>
                </c:pt>
                <c:pt idx="121">
                  <c:v>0.01013918034732342</c:v>
                </c:pt>
                <c:pt idx="122">
                  <c:v>0.01013758964836597</c:v>
                </c:pt>
                <c:pt idx="123">
                  <c:v>0.01013706997036934</c:v>
                </c:pt>
                <c:pt idx="124">
                  <c:v>0.01013858988881111</c:v>
                </c:pt>
                <c:pt idx="125">
                  <c:v>0.01013910956680775</c:v>
                </c:pt>
                <c:pt idx="126">
                  <c:v>0.01013720035552979</c:v>
                </c:pt>
                <c:pt idx="127">
                  <c:v>0.0101366899907589</c:v>
                </c:pt>
                <c:pt idx="128">
                  <c:v>0.01013842038810253</c:v>
                </c:pt>
                <c:pt idx="129">
                  <c:v>0.01013921014964581</c:v>
                </c:pt>
                <c:pt idx="130">
                  <c:v>0.01013820990920067</c:v>
                </c:pt>
                <c:pt idx="131">
                  <c:v>0.01013667974621058</c:v>
                </c:pt>
                <c:pt idx="132">
                  <c:v>0.01013758033514023</c:v>
                </c:pt>
                <c:pt idx="133">
                  <c:v>0.01013856008648872</c:v>
                </c:pt>
                <c:pt idx="134">
                  <c:v>0.01013793982565403</c:v>
                </c:pt>
                <c:pt idx="135">
                  <c:v>0.01013709045946598</c:v>
                </c:pt>
                <c:pt idx="136">
                  <c:v>0.01013778988271952</c:v>
                </c:pt>
                <c:pt idx="137">
                  <c:v>0.01013849955052137</c:v>
                </c:pt>
                <c:pt idx="138">
                  <c:v>0.01013797987252474</c:v>
                </c:pt>
                <c:pt idx="139">
                  <c:v>0.01013735961169004</c:v>
                </c:pt>
                <c:pt idx="140">
                  <c:v>0.01013784017413855</c:v>
                </c:pt>
                <c:pt idx="141">
                  <c:v>0.0101384399458766</c:v>
                </c:pt>
                <c:pt idx="142">
                  <c:v>0.01013812981545925</c:v>
                </c:pt>
                <c:pt idx="143">
                  <c:v>0.01013792958110571</c:v>
                </c:pt>
                <c:pt idx="144">
                  <c:v>0.0101381903514266</c:v>
                </c:pt>
                <c:pt idx="145">
                  <c:v>0.01013812981545925</c:v>
                </c:pt>
                <c:pt idx="146">
                  <c:v>0.01013792026787996</c:v>
                </c:pt>
                <c:pt idx="147">
                  <c:v>0.01013791002333164</c:v>
                </c:pt>
                <c:pt idx="148">
                  <c:v>0.01013807021081448</c:v>
                </c:pt>
                <c:pt idx="149">
                  <c:v>0.01013807021081448</c:v>
                </c:pt>
                <c:pt idx="150">
                  <c:v>0.01013811957091093</c:v>
                </c:pt>
                <c:pt idx="151">
                  <c:v>0.01013824995607138</c:v>
                </c:pt>
                <c:pt idx="152">
                  <c:v>0.0101383700966835</c:v>
                </c:pt>
                <c:pt idx="153">
                  <c:v>0.01013789046555758</c:v>
                </c:pt>
                <c:pt idx="154">
                  <c:v>0.01013761013746262</c:v>
                </c:pt>
                <c:pt idx="155">
                  <c:v>0.01013776008039713</c:v>
                </c:pt>
                <c:pt idx="156">
                  <c:v>0.01013785973191261</c:v>
                </c:pt>
                <c:pt idx="157">
                  <c:v>0.01013758033514023</c:v>
                </c:pt>
                <c:pt idx="158">
                  <c:v>0.01013754960149527</c:v>
                </c:pt>
                <c:pt idx="159">
                  <c:v>0.01013766974210739</c:v>
                </c:pt>
                <c:pt idx="160">
                  <c:v>0.01013747975230217</c:v>
                </c:pt>
                <c:pt idx="161">
                  <c:v>0.01013754028826952</c:v>
                </c:pt>
                <c:pt idx="162">
                  <c:v>0.01013774983584881</c:v>
                </c:pt>
                <c:pt idx="163">
                  <c:v>0.0101378196850419</c:v>
                </c:pt>
                <c:pt idx="164">
                  <c:v>0.01013797987252474</c:v>
                </c:pt>
                <c:pt idx="165">
                  <c:v>0.01013811025768518</c:v>
                </c:pt>
                <c:pt idx="166">
                  <c:v>0.01013791002333164</c:v>
                </c:pt>
                <c:pt idx="167">
                  <c:v>0.01013754028826952</c:v>
                </c:pt>
                <c:pt idx="168">
                  <c:v>0.01013758033514023</c:v>
                </c:pt>
                <c:pt idx="169">
                  <c:v>0.01013777032494545</c:v>
                </c:pt>
                <c:pt idx="170">
                  <c:v>0.01013774983584881</c:v>
                </c:pt>
                <c:pt idx="171">
                  <c:v>0.01013757009059191</c:v>
                </c:pt>
                <c:pt idx="172">
                  <c:v>0.01013742014765739</c:v>
                </c:pt>
                <c:pt idx="173">
                  <c:v>0.01013754028826952</c:v>
                </c:pt>
                <c:pt idx="174">
                  <c:v>0.01013781037181616</c:v>
                </c:pt>
                <c:pt idx="175">
                  <c:v>0.01013801991939545</c:v>
                </c:pt>
                <c:pt idx="176">
                  <c:v>0.01013777032494545</c:v>
                </c:pt>
                <c:pt idx="177">
                  <c:v>0.01013757009059191</c:v>
                </c:pt>
                <c:pt idx="178">
                  <c:v>0.0101377097889781</c:v>
                </c:pt>
                <c:pt idx="179">
                  <c:v>0.01013782992959023</c:v>
                </c:pt>
                <c:pt idx="180">
                  <c:v>0.01013769023120403</c:v>
                </c:pt>
                <c:pt idx="181">
                  <c:v>0.01013758964836597</c:v>
                </c:pt>
                <c:pt idx="182">
                  <c:v>0.01013767998665571</c:v>
                </c:pt>
                <c:pt idx="183">
                  <c:v>0.01013765018433332</c:v>
                </c:pt>
                <c:pt idx="184">
                  <c:v>0.01013748999685049</c:v>
                </c:pt>
                <c:pt idx="185">
                  <c:v>0.0101377097889781</c:v>
                </c:pt>
                <c:pt idx="186">
                  <c:v>0.01013800036162138</c:v>
                </c:pt>
                <c:pt idx="187">
                  <c:v>0.01013795007020235</c:v>
                </c:pt>
                <c:pt idx="188">
                  <c:v>0.01013766974210739</c:v>
                </c:pt>
                <c:pt idx="189">
                  <c:v>0.01013766974210739</c:v>
                </c:pt>
                <c:pt idx="190">
                  <c:v>0.01013792958110571</c:v>
                </c:pt>
                <c:pt idx="191">
                  <c:v>0.01013786997646093</c:v>
                </c:pt>
                <c:pt idx="192">
                  <c:v>0.01013754028826952</c:v>
                </c:pt>
                <c:pt idx="193">
                  <c:v>0.01013755984604359</c:v>
                </c:pt>
                <c:pt idx="194">
                  <c:v>0.01013767998665571</c:v>
                </c:pt>
                <c:pt idx="195">
                  <c:v>0.010137639939785</c:v>
                </c:pt>
                <c:pt idx="196">
                  <c:v>0.01013762969523668</c:v>
                </c:pt>
                <c:pt idx="197">
                  <c:v>0.01013757009059191</c:v>
                </c:pt>
                <c:pt idx="198">
                  <c:v>0.01013766974210739</c:v>
                </c:pt>
                <c:pt idx="199">
                  <c:v>0.01013755984604359</c:v>
                </c:pt>
                <c:pt idx="200">
                  <c:v>0.01013750955462456</c:v>
                </c:pt>
                <c:pt idx="201">
                  <c:v>0.01013754960149527</c:v>
                </c:pt>
                <c:pt idx="202">
                  <c:v>0.0101375300437212</c:v>
                </c:pt>
                <c:pt idx="203">
                  <c:v>0.0101375998929143</c:v>
                </c:pt>
                <c:pt idx="204">
                  <c:v>0.01013754028826952</c:v>
                </c:pt>
                <c:pt idx="205">
                  <c:v>0.01013765018433332</c:v>
                </c:pt>
                <c:pt idx="206">
                  <c:v>0.01013769954442978</c:v>
                </c:pt>
                <c:pt idx="207">
                  <c:v>0.01013762969523668</c:v>
                </c:pt>
                <c:pt idx="208">
                  <c:v>0.01013762038201094</c:v>
                </c:pt>
                <c:pt idx="209">
                  <c:v>0.01013767998665571</c:v>
                </c:pt>
                <c:pt idx="210">
                  <c:v>0.0101377097889781</c:v>
                </c:pt>
                <c:pt idx="211">
                  <c:v>0.01013758033514023</c:v>
                </c:pt>
                <c:pt idx="212">
                  <c:v>0.01013762038201094</c:v>
                </c:pt>
                <c:pt idx="213">
                  <c:v>0.01013773959130049</c:v>
                </c:pt>
                <c:pt idx="214">
                  <c:v>0.01013754028826952</c:v>
                </c:pt>
                <c:pt idx="215">
                  <c:v>0.01013743039220572</c:v>
                </c:pt>
                <c:pt idx="216">
                  <c:v>0.01013744994997978</c:v>
                </c:pt>
                <c:pt idx="217">
                  <c:v>0.01013777032494545</c:v>
                </c:pt>
                <c:pt idx="218">
                  <c:v>0.010137639939785</c:v>
                </c:pt>
                <c:pt idx="219">
                  <c:v>0.01013743039220572</c:v>
                </c:pt>
                <c:pt idx="220">
                  <c:v>0.01013742014765739</c:v>
                </c:pt>
                <c:pt idx="221">
                  <c:v>0.01013748999685049</c:v>
                </c:pt>
                <c:pt idx="222">
                  <c:v>0.01013743970543146</c:v>
                </c:pt>
                <c:pt idx="223">
                  <c:v>0.01013773027807474</c:v>
                </c:pt>
                <c:pt idx="224">
                  <c:v>0.01013761013746262</c:v>
                </c:pt>
                <c:pt idx="225">
                  <c:v>0.01013750955462456</c:v>
                </c:pt>
                <c:pt idx="226">
                  <c:v>0.01013757009059191</c:v>
                </c:pt>
                <c:pt idx="227">
                  <c:v>0.01013777032494545</c:v>
                </c:pt>
                <c:pt idx="228">
                  <c:v>0.01013769023120403</c:v>
                </c:pt>
                <c:pt idx="229">
                  <c:v>0.01013743970543146</c:v>
                </c:pt>
                <c:pt idx="230">
                  <c:v>0.01013766042888165</c:v>
                </c:pt>
                <c:pt idx="231">
                  <c:v>0.01013780012726784</c:v>
                </c:pt>
                <c:pt idx="232">
                  <c:v>0.01013772003352642</c:v>
                </c:pt>
                <c:pt idx="233">
                  <c:v>0.0101374601945281</c:v>
                </c:pt>
                <c:pt idx="234">
                  <c:v>0.01013758964836597</c:v>
                </c:pt>
                <c:pt idx="235">
                  <c:v>0.01013791002333164</c:v>
                </c:pt>
                <c:pt idx="236">
                  <c:v>0.01013767998665571</c:v>
                </c:pt>
                <c:pt idx="237">
                  <c:v>0.0101373502984643</c:v>
                </c:pt>
                <c:pt idx="238">
                  <c:v>0.01013751979917288</c:v>
                </c:pt>
                <c:pt idx="239">
                  <c:v>0.010137639939785</c:v>
                </c:pt>
                <c:pt idx="240">
                  <c:v>0.01013747975230217</c:v>
                </c:pt>
                <c:pt idx="241">
                  <c:v>0.01013709045946598</c:v>
                </c:pt>
                <c:pt idx="242">
                  <c:v>0.01013693958520889</c:v>
                </c:pt>
                <c:pt idx="243">
                  <c:v>0.01013713981956244</c:v>
                </c:pt>
                <c:pt idx="244">
                  <c:v>0.01013782992959023</c:v>
                </c:pt>
                <c:pt idx="245">
                  <c:v>0.01013736985623837</c:v>
                </c:pt>
                <c:pt idx="246">
                  <c:v>0.01013732980936766</c:v>
                </c:pt>
                <c:pt idx="247">
                  <c:v>0.01013766042888165</c:v>
                </c:pt>
                <c:pt idx="248">
                  <c:v>0.01013823971152306</c:v>
                </c:pt>
                <c:pt idx="249">
                  <c:v>0.01013792958110571</c:v>
                </c:pt>
                <c:pt idx="250">
                  <c:v>0.01013739965856075</c:v>
                </c:pt>
                <c:pt idx="251">
                  <c:v>0.01013724040240049</c:v>
                </c:pt>
                <c:pt idx="252">
                  <c:v>0.01013765018433332</c:v>
                </c:pt>
                <c:pt idx="253">
                  <c:v>0.01013778988271952</c:v>
                </c:pt>
                <c:pt idx="254">
                  <c:v>0.01013734005391598</c:v>
                </c:pt>
                <c:pt idx="255">
                  <c:v>0.01013721991330385</c:v>
                </c:pt>
                <c:pt idx="256">
                  <c:v>0.01013781037181616</c:v>
                </c:pt>
                <c:pt idx="257">
                  <c:v>0.0101380804553628</c:v>
                </c:pt>
                <c:pt idx="258">
                  <c:v>0.01013758964836597</c:v>
                </c:pt>
                <c:pt idx="259">
                  <c:v>0.01013666018843651</c:v>
                </c:pt>
                <c:pt idx="260">
                  <c:v>0.01013765018433332</c:v>
                </c:pt>
                <c:pt idx="261">
                  <c:v>0.01013822015374899</c:v>
                </c:pt>
                <c:pt idx="262">
                  <c:v>0.01013724040240049</c:v>
                </c:pt>
                <c:pt idx="263">
                  <c:v>0.01013655960559845</c:v>
                </c:pt>
                <c:pt idx="264">
                  <c:v>0.01013724971562624</c:v>
                </c:pt>
                <c:pt idx="265">
                  <c:v>0.01013773959130049</c:v>
                </c:pt>
                <c:pt idx="266">
                  <c:v>0.01013750955462456</c:v>
                </c:pt>
                <c:pt idx="267">
                  <c:v>0.01013723015785217</c:v>
                </c:pt>
                <c:pt idx="268">
                  <c:v>0.01013730000704527</c:v>
                </c:pt>
                <c:pt idx="269">
                  <c:v>0.01013731025159359</c:v>
                </c:pt>
                <c:pt idx="270">
                  <c:v>0.01013648975640535</c:v>
                </c:pt>
                <c:pt idx="271">
                  <c:v>0.01013769954442978</c:v>
                </c:pt>
                <c:pt idx="272">
                  <c:v>0.01013933029025793</c:v>
                </c:pt>
                <c:pt idx="273">
                  <c:v>0.01013667043298483</c:v>
                </c:pt>
                <c:pt idx="274">
                  <c:v>0.01013663969933987</c:v>
                </c:pt>
                <c:pt idx="275">
                  <c:v>0.01013868022710085</c:v>
                </c:pt>
                <c:pt idx="276">
                  <c:v>0.01013804040849209</c:v>
                </c:pt>
                <c:pt idx="277">
                  <c:v>0.01013644970953465</c:v>
                </c:pt>
                <c:pt idx="278">
                  <c:v>0.01013692002743483</c:v>
                </c:pt>
                <c:pt idx="279">
                  <c:v>0.01013853028416634</c:v>
                </c:pt>
                <c:pt idx="280">
                  <c:v>0.01013754960149527</c:v>
                </c:pt>
                <c:pt idx="281">
                  <c:v>0.01013621035963297</c:v>
                </c:pt>
                <c:pt idx="282">
                  <c:v>0.01013719011098146</c:v>
                </c:pt>
                <c:pt idx="283">
                  <c:v>0.01013857033103704</c:v>
                </c:pt>
                <c:pt idx="284">
                  <c:v>0.01013734005391598</c:v>
                </c:pt>
                <c:pt idx="285">
                  <c:v>0.01013616006821394</c:v>
                </c:pt>
                <c:pt idx="286">
                  <c:v>0.0101378196850419</c:v>
                </c:pt>
                <c:pt idx="287">
                  <c:v>0.01013811957091093</c:v>
                </c:pt>
                <c:pt idx="288">
                  <c:v>0.01013727020472288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SIM4!$B$11:$B$299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1.250212550163269</c:v>
                </c:pt>
                <c:pt idx="6">
                  <c:v>1.50015115737915</c:v>
                </c:pt>
                <c:pt idx="7">
                  <c:v>1.750082492828369</c:v>
                </c:pt>
                <c:pt idx="8">
                  <c:v>2.000370740890503</c:v>
                </c:pt>
                <c:pt idx="9">
                  <c:v>2.250343084335327</c:v>
                </c:pt>
                <c:pt idx="10">
                  <c:v>2.500083684921265</c:v>
                </c:pt>
                <c:pt idx="11">
                  <c:v>2.750252246856689</c:v>
                </c:pt>
                <c:pt idx="12">
                  <c:v>3.000216722488403</c:v>
                </c:pt>
                <c:pt idx="13">
                  <c:v>3.250436067581177</c:v>
                </c:pt>
                <c:pt idx="14">
                  <c:v>3.50005841255188</c:v>
                </c:pt>
                <c:pt idx="15">
                  <c:v>3.750363826751709</c:v>
                </c:pt>
                <c:pt idx="16">
                  <c:v>4.000669479370117</c:v>
                </c:pt>
                <c:pt idx="17">
                  <c:v>4.250608444213867</c:v>
                </c:pt>
                <c:pt idx="18">
                  <c:v>4.500080585479736</c:v>
                </c:pt>
                <c:pt idx="19">
                  <c:v>4.750102996826172</c:v>
                </c:pt>
                <c:pt idx="20">
                  <c:v>5.000124931335449</c:v>
                </c:pt>
                <c:pt idx="21">
                  <c:v>5.250147342681885</c:v>
                </c:pt>
                <c:pt idx="22">
                  <c:v>5.500169277191162</c:v>
                </c:pt>
                <c:pt idx="23">
                  <c:v>5.750191688537598</c:v>
                </c:pt>
                <c:pt idx="24">
                  <c:v>6.000214099884033</c:v>
                </c:pt>
                <c:pt idx="25">
                  <c:v>6.250236034393311</c:v>
                </c:pt>
                <c:pt idx="26">
                  <c:v>6.500255584716797</c:v>
                </c:pt>
                <c:pt idx="27">
                  <c:v>6.750277996063232</c:v>
                </c:pt>
                <c:pt idx="28">
                  <c:v>7.00029993057251</c:v>
                </c:pt>
                <c:pt idx="29">
                  <c:v>7.250322341918945</c:v>
                </c:pt>
                <c:pt idx="30">
                  <c:v>7.500344276428223</c:v>
                </c:pt>
                <c:pt idx="31">
                  <c:v>7.750366687774658</c:v>
                </c:pt>
                <c:pt idx="32">
                  <c:v>8.000389099121094</c:v>
                </c:pt>
                <c:pt idx="33">
                  <c:v>8.250411033630371</c:v>
                </c:pt>
                <c:pt idx="34">
                  <c:v>8.500432968139648</c:v>
                </c:pt>
                <c:pt idx="35">
                  <c:v>8.750455856323242</c:v>
                </c:pt>
                <c:pt idx="36">
                  <c:v>9.00047779083252</c:v>
                </c:pt>
                <c:pt idx="37">
                  <c:v>9.250499725341797</c:v>
                </c:pt>
                <c:pt idx="38">
                  <c:v>9.500522613525391</c:v>
                </c:pt>
                <c:pt idx="39">
                  <c:v>9.750544548034668</c:v>
                </c:pt>
                <c:pt idx="40">
                  <c:v>10.00056648254395</c:v>
                </c:pt>
                <c:pt idx="41">
                  <c:v>10.25058841705322</c:v>
                </c:pt>
                <c:pt idx="42">
                  <c:v>10.50060844421387</c:v>
                </c:pt>
                <c:pt idx="43">
                  <c:v>10.75063037872314</c:v>
                </c:pt>
                <c:pt idx="44">
                  <c:v>11.00065231323242</c:v>
                </c:pt>
                <c:pt idx="45">
                  <c:v>11.25001621246338</c:v>
                </c:pt>
                <c:pt idx="46">
                  <c:v>11.50003910064697</c:v>
                </c:pt>
                <c:pt idx="47">
                  <c:v>11.75006103515625</c:v>
                </c:pt>
                <c:pt idx="48">
                  <c:v>12.00008296966553</c:v>
                </c:pt>
                <c:pt idx="49">
                  <c:v>12.25010585784912</c:v>
                </c:pt>
                <c:pt idx="50">
                  <c:v>12.50012493133545</c:v>
                </c:pt>
                <c:pt idx="51">
                  <c:v>12.75014686584473</c:v>
                </c:pt>
                <c:pt idx="52">
                  <c:v>13.00016975402832</c:v>
                </c:pt>
                <c:pt idx="53">
                  <c:v>13.2501916885376</c:v>
                </c:pt>
                <c:pt idx="54">
                  <c:v>13.50021362304688</c:v>
                </c:pt>
                <c:pt idx="55">
                  <c:v>13.75023651123047</c:v>
                </c:pt>
                <c:pt idx="56">
                  <c:v>14.00025844573975</c:v>
                </c:pt>
                <c:pt idx="57">
                  <c:v>14.25028038024902</c:v>
                </c:pt>
                <c:pt idx="58">
                  <c:v>14.5003023147583</c:v>
                </c:pt>
                <c:pt idx="59">
                  <c:v>14.75032520294189</c:v>
                </c:pt>
                <c:pt idx="60">
                  <c:v>15.00034713745117</c:v>
                </c:pt>
                <c:pt idx="61">
                  <c:v>15.25036907196045</c:v>
                </c:pt>
                <c:pt idx="62">
                  <c:v>15.50039196014404</c:v>
                </c:pt>
                <c:pt idx="63">
                  <c:v>15.75041389465332</c:v>
                </c:pt>
                <c:pt idx="64">
                  <c:v>16.00043678283691</c:v>
                </c:pt>
                <c:pt idx="65">
                  <c:v>16.25045585632324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17.00052261352539</c:v>
                </c:pt>
                <c:pt idx="69">
                  <c:v>17.25054359436035</c:v>
                </c:pt>
                <c:pt idx="70">
                  <c:v>17.50056648254395</c:v>
                </c:pt>
                <c:pt idx="71">
                  <c:v>17.75058937072754</c:v>
                </c:pt>
                <c:pt idx="72">
                  <c:v>18.0006103515625</c:v>
                </c:pt>
                <c:pt idx="73">
                  <c:v>18.25063323974609</c:v>
                </c:pt>
                <c:pt idx="74">
                  <c:v>18.50065612792969</c:v>
                </c:pt>
                <c:pt idx="75">
                  <c:v>18.7500171661377</c:v>
                </c:pt>
                <c:pt idx="76">
                  <c:v>19.00003814697266</c:v>
                </c:pt>
                <c:pt idx="77">
                  <c:v>19.25006103515625</c:v>
                </c:pt>
                <c:pt idx="78">
                  <c:v>19.50008392333984</c:v>
                </c:pt>
                <c:pt idx="79">
                  <c:v>19.7501049041748</c:v>
                </c:pt>
                <c:pt idx="80">
                  <c:v>20.0001277923584</c:v>
                </c:pt>
                <c:pt idx="81">
                  <c:v>20.25015068054199</c:v>
                </c:pt>
                <c:pt idx="82">
                  <c:v>20.50017166137695</c:v>
                </c:pt>
                <c:pt idx="83">
                  <c:v>20.75019454956055</c:v>
                </c:pt>
                <c:pt idx="84">
                  <c:v>21.00021743774414</c:v>
                </c:pt>
                <c:pt idx="85">
                  <c:v>21.2502384185791</c:v>
                </c:pt>
                <c:pt idx="86">
                  <c:v>21.5002613067627</c:v>
                </c:pt>
                <c:pt idx="87">
                  <c:v>21.75028419494629</c:v>
                </c:pt>
                <c:pt idx="88">
                  <c:v>22.00030326843262</c:v>
                </c:pt>
                <c:pt idx="89">
                  <c:v>22.25032424926758</c:v>
                </c:pt>
                <c:pt idx="90">
                  <c:v>22.50034713745117</c:v>
                </c:pt>
                <c:pt idx="91">
                  <c:v>22.75037002563477</c:v>
                </c:pt>
                <c:pt idx="92">
                  <c:v>23.00039100646973</c:v>
                </c:pt>
                <c:pt idx="93">
                  <c:v>23.25041389465332</c:v>
                </c:pt>
                <c:pt idx="94">
                  <c:v>23.50043678283691</c:v>
                </c:pt>
                <c:pt idx="95">
                  <c:v>23.75045776367188</c:v>
                </c:pt>
                <c:pt idx="96">
                  <c:v>24.00048065185547</c:v>
                </c:pt>
                <c:pt idx="97">
                  <c:v>24.25050354003906</c:v>
                </c:pt>
                <c:pt idx="98">
                  <c:v>24.50052452087402</c:v>
                </c:pt>
                <c:pt idx="99">
                  <c:v>24.75054740905762</c:v>
                </c:pt>
                <c:pt idx="100">
                  <c:v>25.00057029724121</c:v>
                </c:pt>
                <c:pt idx="101">
                  <c:v>25.25059127807617</c:v>
                </c:pt>
                <c:pt idx="102">
                  <c:v>25.50061416625977</c:v>
                </c:pt>
                <c:pt idx="103">
                  <c:v>25.75063705444336</c:v>
                </c:pt>
                <c:pt idx="104">
                  <c:v>26.00065612792969</c:v>
                </c:pt>
                <c:pt idx="105">
                  <c:v>26.25001907348633</c:v>
                </c:pt>
                <c:pt idx="106">
                  <c:v>26.50004196166992</c:v>
                </c:pt>
                <c:pt idx="107">
                  <c:v>26.75006294250488</c:v>
                </c:pt>
                <c:pt idx="108">
                  <c:v>27.00008583068848</c:v>
                </c:pt>
                <c:pt idx="109">
                  <c:v>27.25010871887207</c:v>
                </c:pt>
                <c:pt idx="110">
                  <c:v>27.50012969970703</c:v>
                </c:pt>
                <c:pt idx="111">
                  <c:v>27.75015258789062</c:v>
                </c:pt>
                <c:pt idx="112">
                  <c:v>28.00016593933105</c:v>
                </c:pt>
                <c:pt idx="113">
                  <c:v>28.25019454956055</c:v>
                </c:pt>
                <c:pt idx="114">
                  <c:v>28.50022315979004</c:v>
                </c:pt>
                <c:pt idx="115">
                  <c:v>28.7502498626709</c:v>
                </c:pt>
                <c:pt idx="116">
                  <c:v>29.0002498626709</c:v>
                </c:pt>
                <c:pt idx="117">
                  <c:v>29.25027847290039</c:v>
                </c:pt>
                <c:pt idx="118">
                  <c:v>29.50030517578125</c:v>
                </c:pt>
                <c:pt idx="119">
                  <c:v>29.75033378601074</c:v>
                </c:pt>
                <c:pt idx="120">
                  <c:v>30.0003604888916</c:v>
                </c:pt>
                <c:pt idx="121">
                  <c:v>30.2503604888916</c:v>
                </c:pt>
                <c:pt idx="122">
                  <c:v>30.50038909912109</c:v>
                </c:pt>
                <c:pt idx="123">
                  <c:v>30.75041580200195</c:v>
                </c:pt>
                <c:pt idx="124">
                  <c:v>31.00044441223145</c:v>
                </c:pt>
                <c:pt idx="125">
                  <c:v>31.25047302246094</c:v>
                </c:pt>
                <c:pt idx="126">
                  <c:v>31.50047302246094</c:v>
                </c:pt>
                <c:pt idx="127">
                  <c:v>31.7504997253418</c:v>
                </c:pt>
                <c:pt idx="128">
                  <c:v>32.00052642822266</c:v>
                </c:pt>
                <c:pt idx="129">
                  <c:v>32.25055694580078</c:v>
                </c:pt>
                <c:pt idx="130">
                  <c:v>32.50058364868164</c:v>
                </c:pt>
                <c:pt idx="131">
                  <c:v>32.75058364868164</c:v>
                </c:pt>
                <c:pt idx="132">
                  <c:v>33.0006103515625</c:v>
                </c:pt>
                <c:pt idx="133">
                  <c:v>33.25063705444336</c:v>
                </c:pt>
                <c:pt idx="134">
                  <c:v>33.50066757202148</c:v>
                </c:pt>
                <c:pt idx="135">
                  <c:v>33.75002670288086</c:v>
                </c:pt>
                <c:pt idx="136">
                  <c:v>34.00005722045898</c:v>
                </c:pt>
                <c:pt idx="137">
                  <c:v>34.25005722045898</c:v>
                </c:pt>
                <c:pt idx="138">
                  <c:v>34.50008392333984</c:v>
                </c:pt>
                <c:pt idx="139">
                  <c:v>34.7501106262207</c:v>
                </c:pt>
                <c:pt idx="140">
                  <c:v>35.00013732910156</c:v>
                </c:pt>
                <c:pt idx="141">
                  <c:v>35.25016784667969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36.00022125244141</c:v>
                </c:pt>
                <c:pt idx="145">
                  <c:v>36.25025177001953</c:v>
                </c:pt>
                <c:pt idx="146">
                  <c:v>36.50025177001953</c:v>
                </c:pt>
                <c:pt idx="147">
                  <c:v>36.75027847290039</c:v>
                </c:pt>
                <c:pt idx="148">
                  <c:v>37.00030517578125</c:v>
                </c:pt>
                <c:pt idx="149">
                  <c:v>37.25033187866211</c:v>
                </c:pt>
                <c:pt idx="150">
                  <c:v>37.50036239624023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38.75047302246094</c:v>
                </c:pt>
                <c:pt idx="156">
                  <c:v>39.00047302246094</c:v>
                </c:pt>
                <c:pt idx="157">
                  <c:v>39.2504997253418</c:v>
                </c:pt>
                <c:pt idx="158">
                  <c:v>39.50052642822266</c:v>
                </c:pt>
                <c:pt idx="159">
                  <c:v>39.75055694580078</c:v>
                </c:pt>
                <c:pt idx="160">
                  <c:v>40.00058364868164</c:v>
                </c:pt>
                <c:pt idx="161">
                  <c:v>40.25058364868164</c:v>
                </c:pt>
                <c:pt idx="162">
                  <c:v>40.5006103515625</c:v>
                </c:pt>
                <c:pt idx="163">
                  <c:v>40.75063705444336</c:v>
                </c:pt>
                <c:pt idx="164">
                  <c:v>41</c:v>
                </c:pt>
                <c:pt idx="165">
                  <c:v>41.25002670288086</c:v>
                </c:pt>
                <c:pt idx="166">
                  <c:v>41.50005722045898</c:v>
                </c:pt>
                <c:pt idx="167">
                  <c:v>41.75005722045898</c:v>
                </c:pt>
                <c:pt idx="168">
                  <c:v>42.00008392333984</c:v>
                </c:pt>
                <c:pt idx="169">
                  <c:v>42.2501106262207</c:v>
                </c:pt>
                <c:pt idx="170">
                  <c:v>42.50013732910156</c:v>
                </c:pt>
                <c:pt idx="171">
                  <c:v>42.75016784667969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44.25027847290039</c:v>
                </c:pt>
                <c:pt idx="178">
                  <c:v>44.50030517578125</c:v>
                </c:pt>
                <c:pt idx="179">
                  <c:v>44.75033187866211</c:v>
                </c:pt>
                <c:pt idx="180">
                  <c:v>45.00036239624023</c:v>
                </c:pt>
                <c:pt idx="181">
                  <c:v>45.25038909912109</c:v>
                </c:pt>
                <c:pt idx="182">
                  <c:v>45.50038909912109</c:v>
                </c:pt>
                <c:pt idx="183">
                  <c:v>45.75041580200195</c:v>
                </c:pt>
                <c:pt idx="184">
                  <c:v>46.00044631958008</c:v>
                </c:pt>
                <c:pt idx="185">
                  <c:v>46.25047302246094</c:v>
                </c:pt>
                <c:pt idx="186">
                  <c:v>46.50047302246094</c:v>
                </c:pt>
                <c:pt idx="187">
                  <c:v>46.7504997253418</c:v>
                </c:pt>
                <c:pt idx="188">
                  <c:v>47.00052642822266</c:v>
                </c:pt>
                <c:pt idx="189">
                  <c:v>47.25055694580078</c:v>
                </c:pt>
                <c:pt idx="190">
                  <c:v>47.50058364868164</c:v>
                </c:pt>
                <c:pt idx="191">
                  <c:v>47.75058364868164</c:v>
                </c:pt>
                <c:pt idx="192">
                  <c:v>48.0006103515625</c:v>
                </c:pt>
                <c:pt idx="193">
                  <c:v>48.25063705444336</c:v>
                </c:pt>
                <c:pt idx="194">
                  <c:v>48.5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49.25005722045898</c:v>
                </c:pt>
                <c:pt idx="198">
                  <c:v>49.50008392333984</c:v>
                </c:pt>
                <c:pt idx="199">
                  <c:v>49.7501106262207</c:v>
                </c:pt>
                <c:pt idx="200">
                  <c:v>50.00013732910156</c:v>
                </c:pt>
                <c:pt idx="201">
                  <c:v>50.25016784667969</c:v>
                </c:pt>
                <c:pt idx="202">
                  <c:v>50.50016784667969</c:v>
                </c:pt>
                <c:pt idx="203">
                  <c:v>50.75019454956055</c:v>
                </c:pt>
                <c:pt idx="204">
                  <c:v>51.00022125244141</c:v>
                </c:pt>
                <c:pt idx="205">
                  <c:v>51.25025177001953</c:v>
                </c:pt>
                <c:pt idx="206">
                  <c:v>51.50027847290039</c:v>
                </c:pt>
                <c:pt idx="207">
                  <c:v>51.75027847290039</c:v>
                </c:pt>
                <c:pt idx="208">
                  <c:v>52.00030517578125</c:v>
                </c:pt>
                <c:pt idx="209">
                  <c:v>52.25033187866211</c:v>
                </c:pt>
                <c:pt idx="210">
                  <c:v>52.50036239624023</c:v>
                </c:pt>
                <c:pt idx="211">
                  <c:v>52.75038909912109</c:v>
                </c:pt>
                <c:pt idx="212">
                  <c:v>53.00038909912109</c:v>
                </c:pt>
                <c:pt idx="213">
                  <c:v>53.25041580200195</c:v>
                </c:pt>
                <c:pt idx="214">
                  <c:v>53.50044631958008</c:v>
                </c:pt>
                <c:pt idx="215">
                  <c:v>53.75047302246094</c:v>
                </c:pt>
                <c:pt idx="216">
                  <c:v>54.0004997253418</c:v>
                </c:pt>
                <c:pt idx="217">
                  <c:v>54.2504997253418</c:v>
                </c:pt>
                <c:pt idx="218">
                  <c:v>54.50052642822266</c:v>
                </c:pt>
                <c:pt idx="219">
                  <c:v>54.75055694580078</c:v>
                </c:pt>
                <c:pt idx="220">
                  <c:v>55.00058364868164</c:v>
                </c:pt>
                <c:pt idx="221">
                  <c:v>55.25058364868164</c:v>
                </c:pt>
                <c:pt idx="222">
                  <c:v>55.5006103515625</c:v>
                </c:pt>
                <c:pt idx="223">
                  <c:v>55.75063705444336</c:v>
                </c:pt>
                <c:pt idx="224">
                  <c:v>56</c:v>
                </c:pt>
                <c:pt idx="225">
                  <c:v>56.25002670288086</c:v>
                </c:pt>
                <c:pt idx="226">
                  <c:v>56.50005722045898</c:v>
                </c:pt>
                <c:pt idx="227">
                  <c:v>56.75008392333984</c:v>
                </c:pt>
                <c:pt idx="228">
                  <c:v>57.00008392333984</c:v>
                </c:pt>
                <c:pt idx="229">
                  <c:v>57.2501106262207</c:v>
                </c:pt>
                <c:pt idx="230">
                  <c:v>57.50013732910156</c:v>
                </c:pt>
                <c:pt idx="231">
                  <c:v>57.75016784667969</c:v>
                </c:pt>
                <c:pt idx="232">
                  <c:v>58.00016784667969</c:v>
                </c:pt>
                <c:pt idx="233">
                  <c:v>58.25019454956055</c:v>
                </c:pt>
                <c:pt idx="234">
                  <c:v>58.50022125244141</c:v>
                </c:pt>
                <c:pt idx="235">
                  <c:v>58.75025177001953</c:v>
                </c:pt>
                <c:pt idx="236">
                  <c:v>59.00027847290039</c:v>
                </c:pt>
                <c:pt idx="237">
                  <c:v>59.25027847290039</c:v>
                </c:pt>
                <c:pt idx="238">
                  <c:v>59.50030517578125</c:v>
                </c:pt>
                <c:pt idx="239">
                  <c:v>59.75033187866211</c:v>
                </c:pt>
                <c:pt idx="240">
                  <c:v>60.00036239624023</c:v>
                </c:pt>
                <c:pt idx="241">
                  <c:v>60.25038909912109</c:v>
                </c:pt>
                <c:pt idx="242">
                  <c:v>60.50038909912109</c:v>
                </c:pt>
                <c:pt idx="243">
                  <c:v>60.75041580200195</c:v>
                </c:pt>
                <c:pt idx="244">
                  <c:v>61.00044631958008</c:v>
                </c:pt>
                <c:pt idx="245">
                  <c:v>61.25047302246094</c:v>
                </c:pt>
                <c:pt idx="246">
                  <c:v>61.5004997253418</c:v>
                </c:pt>
                <c:pt idx="247">
                  <c:v>61.7504997253418</c:v>
                </c:pt>
                <c:pt idx="248">
                  <c:v>62.00052642822266</c:v>
                </c:pt>
                <c:pt idx="249">
                  <c:v>62.25055694580078</c:v>
                </c:pt>
                <c:pt idx="250">
                  <c:v>62.50058364868164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63.25063705444336</c:v>
                </c:pt>
                <c:pt idx="254">
                  <c:v>63.5</c:v>
                </c:pt>
                <c:pt idx="255">
                  <c:v>63.75002670288086</c:v>
                </c:pt>
                <c:pt idx="256">
                  <c:v>64.00005340576172</c:v>
                </c:pt>
                <c:pt idx="257">
                  <c:v>64.25008392333984</c:v>
                </c:pt>
                <c:pt idx="258">
                  <c:v>64.50008392333984</c:v>
                </c:pt>
                <c:pt idx="259">
                  <c:v>64.75011444091797</c:v>
                </c:pt>
                <c:pt idx="260">
                  <c:v>65.00013732910156</c:v>
                </c:pt>
                <c:pt idx="261">
                  <c:v>65.25016784667969</c:v>
                </c:pt>
                <c:pt idx="262">
                  <c:v>65.50019073486328</c:v>
                </c:pt>
                <c:pt idx="263">
                  <c:v>65.75019073486328</c:v>
                </c:pt>
                <c:pt idx="264">
                  <c:v>66.00022125244141</c:v>
                </c:pt>
                <c:pt idx="265">
                  <c:v>66.25025177001953</c:v>
                </c:pt>
                <c:pt idx="266">
                  <c:v>66.50027465820312</c:v>
                </c:pt>
                <c:pt idx="267">
                  <c:v>66.75030517578125</c:v>
                </c:pt>
                <c:pt idx="268">
                  <c:v>67.00030517578125</c:v>
                </c:pt>
                <c:pt idx="269">
                  <c:v>67.25033569335938</c:v>
                </c:pt>
                <c:pt idx="270">
                  <c:v>67.50035858154297</c:v>
                </c:pt>
                <c:pt idx="271">
                  <c:v>67.75038909912109</c:v>
                </c:pt>
                <c:pt idx="272">
                  <c:v>68.00038909912109</c:v>
                </c:pt>
                <c:pt idx="273">
                  <c:v>68.25041961669922</c:v>
                </c:pt>
                <c:pt idx="274">
                  <c:v>68.50044250488281</c:v>
                </c:pt>
                <c:pt idx="275">
                  <c:v>68.75047302246094</c:v>
                </c:pt>
                <c:pt idx="276">
                  <c:v>69.00050354003906</c:v>
                </c:pt>
                <c:pt idx="277">
                  <c:v>69.25050354003906</c:v>
                </c:pt>
                <c:pt idx="278">
                  <c:v>69.50052642822266</c:v>
                </c:pt>
                <c:pt idx="279">
                  <c:v>69.75055694580078</c:v>
                </c:pt>
                <c:pt idx="280">
                  <c:v>70.00057983398438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70.75064086914062</c:v>
                </c:pt>
                <c:pt idx="284">
                  <c:v>71</c:v>
                </c:pt>
                <c:pt idx="285">
                  <c:v>71.25003051757812</c:v>
                </c:pt>
                <c:pt idx="286">
                  <c:v>71.50005340576172</c:v>
                </c:pt>
                <c:pt idx="287">
                  <c:v>71.75008392333984</c:v>
                </c:pt>
                <c:pt idx="288">
                  <c:v>72.00008392333984</c:v>
                </c:pt>
              </c:numCache>
            </c:numRef>
          </c:xVal>
          <c:yVal>
            <c:numRef>
              <c:f>SIM4!$G$11:$G$299</c:f>
              <c:numCache>
                <c:ptCount val="289"/>
                <c:pt idx="0">
                  <c:v>6.976023197174072</c:v>
                </c:pt>
                <c:pt idx="1">
                  <c:v>6.005105018615723</c:v>
                </c:pt>
                <c:pt idx="2">
                  <c:v>4.252870082855225</c:v>
                </c:pt>
                <c:pt idx="3">
                  <c:v>4.405671119689941</c:v>
                </c:pt>
                <c:pt idx="4">
                  <c:v>-1.612897992134094</c:v>
                </c:pt>
                <c:pt idx="5">
                  <c:v>-2.18445611000061</c:v>
                </c:pt>
                <c:pt idx="6">
                  <c:v>-1.745538949966431</c:v>
                </c:pt>
                <c:pt idx="7">
                  <c:v>-2.245676040649414</c:v>
                </c:pt>
                <c:pt idx="8">
                  <c:v>2.091460943222046</c:v>
                </c:pt>
                <c:pt idx="9">
                  <c:v>2.104238986968994</c:v>
                </c:pt>
                <c:pt idx="10">
                  <c:v>1.368736028671265</c:v>
                </c:pt>
                <c:pt idx="11">
                  <c:v>2.017231941223145</c:v>
                </c:pt>
                <c:pt idx="12">
                  <c:v>1.981701016426086</c:v>
                </c:pt>
                <c:pt idx="13">
                  <c:v>1.930199027061462</c:v>
                </c:pt>
                <c:pt idx="14">
                  <c:v>1.885370016098022</c:v>
                </c:pt>
                <c:pt idx="15">
                  <c:v>2.039254903793335</c:v>
                </c:pt>
                <c:pt idx="16">
                  <c:v>1.940299034118652</c:v>
                </c:pt>
                <c:pt idx="17">
                  <c:v>1.81311297416687</c:v>
                </c:pt>
                <c:pt idx="18">
                  <c:v>1.881240963935852</c:v>
                </c:pt>
                <c:pt idx="19">
                  <c:v>1.988312005996704</c:v>
                </c:pt>
                <c:pt idx="20">
                  <c:v>1.903880953788757</c:v>
                </c:pt>
                <c:pt idx="21">
                  <c:v>1.794935941696167</c:v>
                </c:pt>
                <c:pt idx="22">
                  <c:v>1.897909045219421</c:v>
                </c:pt>
                <c:pt idx="23">
                  <c:v>1.957725048065186</c:v>
                </c:pt>
                <c:pt idx="24">
                  <c:v>1.893583059310913</c:v>
                </c:pt>
                <c:pt idx="25">
                  <c:v>1.808351039886475</c:v>
                </c:pt>
                <c:pt idx="26">
                  <c:v>1.890519022941589</c:v>
                </c:pt>
                <c:pt idx="27">
                  <c:v>1.950119972229004</c:v>
                </c:pt>
                <c:pt idx="28">
                  <c:v>1.897393941879272</c:v>
                </c:pt>
                <c:pt idx="29">
                  <c:v>1.865110993385315</c:v>
                </c:pt>
                <c:pt idx="30">
                  <c:v>1.907662987709045</c:v>
                </c:pt>
                <c:pt idx="31">
                  <c:v>1.934888005256653</c:v>
                </c:pt>
                <c:pt idx="32">
                  <c:v>1.890633940696716</c:v>
                </c:pt>
                <c:pt idx="33">
                  <c:v>1.876167058944702</c:v>
                </c:pt>
                <c:pt idx="34">
                  <c:v>1.912744045257568</c:v>
                </c:pt>
                <c:pt idx="35">
                  <c:v>1.930225014686584</c:v>
                </c:pt>
                <c:pt idx="36">
                  <c:v>1.897547960281372</c:v>
                </c:pt>
                <c:pt idx="37">
                  <c:v>1.888286948204041</c:v>
                </c:pt>
                <c:pt idx="38">
                  <c:v>1.914968967437744</c:v>
                </c:pt>
                <c:pt idx="39">
                  <c:v>1.923313975334167</c:v>
                </c:pt>
                <c:pt idx="40">
                  <c:v>1.898874044418335</c:v>
                </c:pt>
                <c:pt idx="41">
                  <c:v>1.894212961196899</c:v>
                </c:pt>
                <c:pt idx="42">
                  <c:v>1.915102005004883</c:v>
                </c:pt>
                <c:pt idx="43">
                  <c:v>1.918601989746094</c:v>
                </c:pt>
                <c:pt idx="44">
                  <c:v>1.900537014007568</c:v>
                </c:pt>
                <c:pt idx="45">
                  <c:v>1.89874804019928</c:v>
                </c:pt>
                <c:pt idx="46">
                  <c:v>1.914558053016663</c:v>
                </c:pt>
                <c:pt idx="47">
                  <c:v>1.915771961212158</c:v>
                </c:pt>
                <c:pt idx="48">
                  <c:v>1.902207016944885</c:v>
                </c:pt>
                <c:pt idx="49">
                  <c:v>1.901847004890442</c:v>
                </c:pt>
                <c:pt idx="50">
                  <c:v>1.913596987724304</c:v>
                </c:pt>
                <c:pt idx="51">
                  <c:v>1.913099050521851</c:v>
                </c:pt>
                <c:pt idx="52">
                  <c:v>1.903421998023987</c:v>
                </c:pt>
                <c:pt idx="53">
                  <c:v>1.904348015785217</c:v>
                </c:pt>
                <c:pt idx="54">
                  <c:v>1.912796974182129</c:v>
                </c:pt>
                <c:pt idx="55">
                  <c:v>1.911769986152649</c:v>
                </c:pt>
                <c:pt idx="56">
                  <c:v>1.904700040817261</c:v>
                </c:pt>
                <c:pt idx="57">
                  <c:v>1.905830979347229</c:v>
                </c:pt>
                <c:pt idx="58">
                  <c:v>1.912224054336548</c:v>
                </c:pt>
                <c:pt idx="59">
                  <c:v>1.91109299659729</c:v>
                </c:pt>
                <c:pt idx="60">
                  <c:v>1.905769944190979</c:v>
                </c:pt>
                <c:pt idx="61">
                  <c:v>1.907124042510986</c:v>
                </c:pt>
                <c:pt idx="62">
                  <c:v>1.91159999370575</c:v>
                </c:pt>
                <c:pt idx="63">
                  <c:v>1.91025698184967</c:v>
                </c:pt>
                <c:pt idx="64">
                  <c:v>1.906592965126038</c:v>
                </c:pt>
                <c:pt idx="65">
                  <c:v>1.908254027366638</c:v>
                </c:pt>
                <c:pt idx="66">
                  <c:v>1.911241054534912</c:v>
                </c:pt>
                <c:pt idx="67">
                  <c:v>1.909767031669617</c:v>
                </c:pt>
                <c:pt idx="68">
                  <c:v>1.907080054283142</c:v>
                </c:pt>
                <c:pt idx="69">
                  <c:v>1.908539056777954</c:v>
                </c:pt>
                <c:pt idx="70">
                  <c:v>1.910905003547668</c:v>
                </c:pt>
                <c:pt idx="71">
                  <c:v>1.909347057342529</c:v>
                </c:pt>
                <c:pt idx="72">
                  <c:v>1.907825946807861</c:v>
                </c:pt>
                <c:pt idx="73">
                  <c:v>1.909137964248657</c:v>
                </c:pt>
                <c:pt idx="74">
                  <c:v>1.910603046417236</c:v>
                </c:pt>
                <c:pt idx="75">
                  <c:v>1.909517049789429</c:v>
                </c:pt>
                <c:pt idx="76">
                  <c:v>1.908306956291199</c:v>
                </c:pt>
                <c:pt idx="77">
                  <c:v>1.909289002418518</c:v>
                </c:pt>
                <c:pt idx="78">
                  <c:v>1.910328984260559</c:v>
                </c:pt>
                <c:pt idx="79">
                  <c:v>1.9096519947052</c:v>
                </c:pt>
                <c:pt idx="80">
                  <c:v>1.908674955368042</c:v>
                </c:pt>
                <c:pt idx="81">
                  <c:v>1.909302949905396</c:v>
                </c:pt>
                <c:pt idx="82">
                  <c:v>1.910303950309753</c:v>
                </c:pt>
                <c:pt idx="83">
                  <c:v>1.909894943237305</c:v>
                </c:pt>
                <c:pt idx="84">
                  <c:v>1.908951044082642</c:v>
                </c:pt>
                <c:pt idx="85">
                  <c:v>1.909373044967651</c:v>
                </c:pt>
                <c:pt idx="86">
                  <c:v>1.910130977630615</c:v>
                </c:pt>
                <c:pt idx="87">
                  <c:v>1.909762024879456</c:v>
                </c:pt>
                <c:pt idx="88">
                  <c:v>1.90913200378418</c:v>
                </c:pt>
                <c:pt idx="89">
                  <c:v>1.909518003463745</c:v>
                </c:pt>
                <c:pt idx="90">
                  <c:v>1.910076975822449</c:v>
                </c:pt>
                <c:pt idx="91">
                  <c:v>1.909777045249939</c:v>
                </c:pt>
                <c:pt idx="92">
                  <c:v>1.909373044967651</c:v>
                </c:pt>
                <c:pt idx="93">
                  <c:v>1.909724950790405</c:v>
                </c:pt>
                <c:pt idx="94">
                  <c:v>1.91013503074646</c:v>
                </c:pt>
                <c:pt idx="95">
                  <c:v>1.909876942634583</c:v>
                </c:pt>
                <c:pt idx="96">
                  <c:v>1.909580945968628</c:v>
                </c:pt>
                <c:pt idx="97">
                  <c:v>1.909800052642822</c:v>
                </c:pt>
                <c:pt idx="98">
                  <c:v>1.910017967224121</c:v>
                </c:pt>
                <c:pt idx="99">
                  <c:v>1.9098140001297</c:v>
                </c:pt>
                <c:pt idx="100">
                  <c:v>1.909646034240723</c:v>
                </c:pt>
                <c:pt idx="101">
                  <c:v>1.909839034080505</c:v>
                </c:pt>
                <c:pt idx="102">
                  <c:v>1.910004019737244</c:v>
                </c:pt>
                <c:pt idx="103">
                  <c:v>1.909854054450989</c:v>
                </c:pt>
                <c:pt idx="104">
                  <c:v>1.909742951393127</c:v>
                </c:pt>
                <c:pt idx="105">
                  <c:v>1.909903049468994</c:v>
                </c:pt>
                <c:pt idx="106">
                  <c:v>1.910019993782043</c:v>
                </c:pt>
                <c:pt idx="107">
                  <c:v>1.909893035888672</c:v>
                </c:pt>
                <c:pt idx="108">
                  <c:v>1.909831047058105</c:v>
                </c:pt>
                <c:pt idx="109">
                  <c:v>1.909942030906677</c:v>
                </c:pt>
                <c:pt idx="110">
                  <c:v>1.910004019737244</c:v>
                </c:pt>
                <c:pt idx="111">
                  <c:v>1.909932971000671</c:v>
                </c:pt>
                <c:pt idx="112">
                  <c:v>1.909906029701233</c:v>
                </c:pt>
                <c:pt idx="113">
                  <c:v>1.910012006759644</c:v>
                </c:pt>
                <c:pt idx="114">
                  <c:v>1.910084009170532</c:v>
                </c:pt>
                <c:pt idx="115">
                  <c:v>1.910022020339966</c:v>
                </c:pt>
                <c:pt idx="116">
                  <c:v>1.91000497341156</c:v>
                </c:pt>
                <c:pt idx="117">
                  <c:v>1.910071015357971</c:v>
                </c:pt>
                <c:pt idx="118">
                  <c:v>1.910063982009888</c:v>
                </c:pt>
                <c:pt idx="119">
                  <c:v>1.910014033317566</c:v>
                </c:pt>
                <c:pt idx="120">
                  <c:v>1.910024046897888</c:v>
                </c:pt>
                <c:pt idx="121">
                  <c:v>1.910081028938293</c:v>
                </c:pt>
                <c:pt idx="122">
                  <c:v>1.910083055496216</c:v>
                </c:pt>
                <c:pt idx="123">
                  <c:v>1.910063028335571</c:v>
                </c:pt>
                <c:pt idx="124">
                  <c:v>1.910076022148132</c:v>
                </c:pt>
                <c:pt idx="125">
                  <c:v>1.910117983818054</c:v>
                </c:pt>
                <c:pt idx="126">
                  <c:v>1.910096049308777</c:v>
                </c:pt>
                <c:pt idx="127">
                  <c:v>1.910060048103333</c:v>
                </c:pt>
                <c:pt idx="128">
                  <c:v>1.910096049308777</c:v>
                </c:pt>
                <c:pt idx="129">
                  <c:v>1.910148024559021</c:v>
                </c:pt>
                <c:pt idx="130">
                  <c:v>1.910161018371582</c:v>
                </c:pt>
                <c:pt idx="131">
                  <c:v>1.910107970237732</c:v>
                </c:pt>
                <c:pt idx="132">
                  <c:v>1.910092949867249</c:v>
                </c:pt>
                <c:pt idx="133">
                  <c:v>1.910130977630615</c:v>
                </c:pt>
                <c:pt idx="134">
                  <c:v>1.910148978233337</c:v>
                </c:pt>
                <c:pt idx="135">
                  <c:v>1.91012704372406</c:v>
                </c:pt>
                <c:pt idx="136">
                  <c:v>1.910127997398376</c:v>
                </c:pt>
                <c:pt idx="137">
                  <c:v>1.910161018371582</c:v>
                </c:pt>
                <c:pt idx="138">
                  <c:v>1.910177946090698</c:v>
                </c:pt>
                <c:pt idx="139">
                  <c:v>1.910161972045898</c:v>
                </c:pt>
                <c:pt idx="140">
                  <c:v>1.91015899181366</c:v>
                </c:pt>
                <c:pt idx="141">
                  <c:v>1.910202026367188</c:v>
                </c:pt>
                <c:pt idx="142">
                  <c:v>1.910222053527832</c:v>
                </c:pt>
                <c:pt idx="143">
                  <c:v>1.910215973854065</c:v>
                </c:pt>
                <c:pt idx="144">
                  <c:v>1.91022801399231</c:v>
                </c:pt>
                <c:pt idx="145">
                  <c:v>1.910238981246948</c:v>
                </c:pt>
                <c:pt idx="146">
                  <c:v>1.910241961479187</c:v>
                </c:pt>
                <c:pt idx="147">
                  <c:v>1.910241007804871</c:v>
                </c:pt>
                <c:pt idx="148">
                  <c:v>1.910254001617432</c:v>
                </c:pt>
                <c:pt idx="149">
                  <c:v>1.910267949104309</c:v>
                </c:pt>
                <c:pt idx="150">
                  <c:v>1.910284996032715</c:v>
                </c:pt>
                <c:pt idx="151">
                  <c:v>1.910297036170959</c:v>
                </c:pt>
                <c:pt idx="152">
                  <c:v>1.910308003425598</c:v>
                </c:pt>
                <c:pt idx="153">
                  <c:v>1.910302996635437</c:v>
                </c:pt>
                <c:pt idx="154">
                  <c:v>1.91028904914856</c:v>
                </c:pt>
                <c:pt idx="155">
                  <c:v>1.910282015800476</c:v>
                </c:pt>
                <c:pt idx="156">
                  <c:v>1.910290956497192</c:v>
                </c:pt>
                <c:pt idx="157">
                  <c:v>1.91028904914856</c:v>
                </c:pt>
                <c:pt idx="158">
                  <c:v>1.910276055335999</c:v>
                </c:pt>
                <c:pt idx="159">
                  <c:v>1.910282015800476</c:v>
                </c:pt>
                <c:pt idx="160">
                  <c:v>1.910279989242554</c:v>
                </c:pt>
                <c:pt idx="161">
                  <c:v>1.910279989242554</c:v>
                </c:pt>
                <c:pt idx="162">
                  <c:v>1.910292983055115</c:v>
                </c:pt>
                <c:pt idx="163">
                  <c:v>1.910310983657837</c:v>
                </c:pt>
                <c:pt idx="164">
                  <c:v>1.910326957702637</c:v>
                </c:pt>
                <c:pt idx="165">
                  <c:v>1.910336971282959</c:v>
                </c:pt>
                <c:pt idx="166">
                  <c:v>1.910339951515198</c:v>
                </c:pt>
                <c:pt idx="167">
                  <c:v>1.910328030586243</c:v>
                </c:pt>
                <c:pt idx="168">
                  <c:v>1.910323977470398</c:v>
                </c:pt>
                <c:pt idx="169">
                  <c:v>1.910328984260559</c:v>
                </c:pt>
                <c:pt idx="170">
                  <c:v>1.910331964492798</c:v>
                </c:pt>
                <c:pt idx="171">
                  <c:v>1.91032600402832</c:v>
                </c:pt>
                <c:pt idx="172">
                  <c:v>1.910323023796082</c:v>
                </c:pt>
                <c:pt idx="173">
                  <c:v>1.910328030586243</c:v>
                </c:pt>
                <c:pt idx="174">
                  <c:v>1.910341024398804</c:v>
                </c:pt>
                <c:pt idx="175">
                  <c:v>1.910356998443604</c:v>
                </c:pt>
                <c:pt idx="176">
                  <c:v>1.910362005233765</c:v>
                </c:pt>
                <c:pt idx="177">
                  <c:v>1.910356044769287</c:v>
                </c:pt>
                <c:pt idx="178">
                  <c:v>1.910356998443604</c:v>
                </c:pt>
                <c:pt idx="179">
                  <c:v>1.910364985466003</c:v>
                </c:pt>
                <c:pt idx="180">
                  <c:v>1.910369038581848</c:v>
                </c:pt>
                <c:pt idx="181">
                  <c:v>1.910364985466003</c:v>
                </c:pt>
                <c:pt idx="182">
                  <c:v>1.910362958908081</c:v>
                </c:pt>
                <c:pt idx="183">
                  <c:v>1.910366058349609</c:v>
                </c:pt>
                <c:pt idx="184">
                  <c:v>1.910369038581848</c:v>
                </c:pt>
                <c:pt idx="185">
                  <c:v>1.910377025604248</c:v>
                </c:pt>
                <c:pt idx="186">
                  <c:v>1.910392999649048</c:v>
                </c:pt>
                <c:pt idx="187">
                  <c:v>1.910405039787292</c:v>
                </c:pt>
                <c:pt idx="188">
                  <c:v>1.910405993461609</c:v>
                </c:pt>
                <c:pt idx="189">
                  <c:v>1.910403966903687</c:v>
                </c:pt>
                <c:pt idx="190">
                  <c:v>1.910410046577454</c:v>
                </c:pt>
                <c:pt idx="191">
                  <c:v>1.91041898727417</c:v>
                </c:pt>
                <c:pt idx="192">
                  <c:v>1.91041100025177</c:v>
                </c:pt>
                <c:pt idx="193">
                  <c:v>1.910405039787292</c:v>
                </c:pt>
                <c:pt idx="194">
                  <c:v>1.910408973693848</c:v>
                </c:pt>
                <c:pt idx="195">
                  <c:v>1.910411953926086</c:v>
                </c:pt>
                <c:pt idx="196">
                  <c:v>1.910413980484009</c:v>
                </c:pt>
                <c:pt idx="197">
                  <c:v>1.910411953926086</c:v>
                </c:pt>
                <c:pt idx="198">
                  <c:v>1.910415053367615</c:v>
                </c:pt>
                <c:pt idx="199">
                  <c:v>1.910415053367615</c:v>
                </c:pt>
                <c:pt idx="200">
                  <c:v>1.910413026809692</c:v>
                </c:pt>
                <c:pt idx="201">
                  <c:v>1.910415053367615</c:v>
                </c:pt>
                <c:pt idx="202">
                  <c:v>1.910413026809692</c:v>
                </c:pt>
                <c:pt idx="203">
                  <c:v>1.91041898727417</c:v>
                </c:pt>
                <c:pt idx="204">
                  <c:v>1.910421013832092</c:v>
                </c:pt>
                <c:pt idx="205">
                  <c:v>1.91042697429657</c:v>
                </c:pt>
                <c:pt idx="206">
                  <c:v>1.910433053970337</c:v>
                </c:pt>
                <c:pt idx="207">
                  <c:v>1.910434007644653</c:v>
                </c:pt>
                <c:pt idx="208">
                  <c:v>1.910439014434814</c:v>
                </c:pt>
                <c:pt idx="209">
                  <c:v>1.910437941551208</c:v>
                </c:pt>
                <c:pt idx="210">
                  <c:v>1.910444974899292</c:v>
                </c:pt>
                <c:pt idx="211">
                  <c:v>1.910446047782898</c:v>
                </c:pt>
                <c:pt idx="212">
                  <c:v>1.910446047782898</c:v>
                </c:pt>
                <c:pt idx="213">
                  <c:v>1.910449028015137</c:v>
                </c:pt>
                <c:pt idx="214">
                  <c:v>1.910447001457214</c:v>
                </c:pt>
                <c:pt idx="215">
                  <c:v>1.910444021224976</c:v>
                </c:pt>
                <c:pt idx="216">
                  <c:v>1.910439968109131</c:v>
                </c:pt>
                <c:pt idx="217">
                  <c:v>1.910449981689453</c:v>
                </c:pt>
                <c:pt idx="218">
                  <c:v>1.910457968711853</c:v>
                </c:pt>
                <c:pt idx="219">
                  <c:v>1.910444021224976</c:v>
                </c:pt>
                <c:pt idx="220">
                  <c:v>1.910439014434814</c:v>
                </c:pt>
                <c:pt idx="221">
                  <c:v>1.910446047782898</c:v>
                </c:pt>
                <c:pt idx="222">
                  <c:v>1.91044294834137</c:v>
                </c:pt>
                <c:pt idx="223">
                  <c:v>1.910454988479614</c:v>
                </c:pt>
                <c:pt idx="224">
                  <c:v>1.910455942153931</c:v>
                </c:pt>
                <c:pt idx="225">
                  <c:v>1.910460948944092</c:v>
                </c:pt>
                <c:pt idx="226">
                  <c:v>1.910459041595459</c:v>
                </c:pt>
                <c:pt idx="227">
                  <c:v>1.910467982292175</c:v>
                </c:pt>
                <c:pt idx="228">
                  <c:v>1.910472989082336</c:v>
                </c:pt>
                <c:pt idx="229">
                  <c:v>1.91047203540802</c:v>
                </c:pt>
                <c:pt idx="230">
                  <c:v>1.910475015640259</c:v>
                </c:pt>
                <c:pt idx="231">
                  <c:v>1.910477042198181</c:v>
                </c:pt>
                <c:pt idx="232">
                  <c:v>1.91048800945282</c:v>
                </c:pt>
                <c:pt idx="233">
                  <c:v>1.910485982894897</c:v>
                </c:pt>
                <c:pt idx="234">
                  <c:v>1.91048002243042</c:v>
                </c:pt>
                <c:pt idx="235">
                  <c:v>1.910495042800903</c:v>
                </c:pt>
                <c:pt idx="236">
                  <c:v>1.910500049591064</c:v>
                </c:pt>
                <c:pt idx="237">
                  <c:v>1.910485982894897</c:v>
                </c:pt>
                <c:pt idx="238">
                  <c:v>1.910483002662659</c:v>
                </c:pt>
                <c:pt idx="239">
                  <c:v>1.910491943359375</c:v>
                </c:pt>
                <c:pt idx="240">
                  <c:v>1.910472989082336</c:v>
                </c:pt>
                <c:pt idx="241">
                  <c:v>1.910465002059937</c:v>
                </c:pt>
                <c:pt idx="242">
                  <c:v>1.910452008247375</c:v>
                </c:pt>
                <c:pt idx="243">
                  <c:v>1.910444021224976</c:v>
                </c:pt>
                <c:pt idx="244">
                  <c:v>1.910472989082336</c:v>
                </c:pt>
                <c:pt idx="245">
                  <c:v>1.910473942756653</c:v>
                </c:pt>
                <c:pt idx="246">
                  <c:v>1.91048002243042</c:v>
                </c:pt>
                <c:pt idx="247">
                  <c:v>1.910498023033142</c:v>
                </c:pt>
                <c:pt idx="248">
                  <c:v>1.910526037216187</c:v>
                </c:pt>
                <c:pt idx="249">
                  <c:v>1.910531997680664</c:v>
                </c:pt>
                <c:pt idx="250">
                  <c:v>1.910518050193787</c:v>
                </c:pt>
                <c:pt idx="251">
                  <c:v>1.910501003265381</c:v>
                </c:pt>
                <c:pt idx="252">
                  <c:v>1.910508990287781</c:v>
                </c:pt>
                <c:pt idx="253">
                  <c:v>1.910514950752258</c:v>
                </c:pt>
                <c:pt idx="254">
                  <c:v>1.910509943962097</c:v>
                </c:pt>
                <c:pt idx="255">
                  <c:v>1.910516977310181</c:v>
                </c:pt>
                <c:pt idx="256">
                  <c:v>1.910526037216187</c:v>
                </c:pt>
                <c:pt idx="257">
                  <c:v>1.910529017448425</c:v>
                </c:pt>
                <c:pt idx="258">
                  <c:v>1.910545945167542</c:v>
                </c:pt>
                <c:pt idx="259">
                  <c:v>1.910516977310181</c:v>
                </c:pt>
                <c:pt idx="260">
                  <c:v>1.910508990287781</c:v>
                </c:pt>
                <c:pt idx="261">
                  <c:v>1.910549998283386</c:v>
                </c:pt>
                <c:pt idx="262">
                  <c:v>1.910529971122742</c:v>
                </c:pt>
                <c:pt idx="263">
                  <c:v>1.910493969917297</c:v>
                </c:pt>
                <c:pt idx="264">
                  <c:v>1.910488963127136</c:v>
                </c:pt>
                <c:pt idx="265">
                  <c:v>1.910518050193787</c:v>
                </c:pt>
                <c:pt idx="266">
                  <c:v>1.910544991493225</c:v>
                </c:pt>
                <c:pt idx="267">
                  <c:v>1.910501003265381</c:v>
                </c:pt>
                <c:pt idx="268">
                  <c:v>1.910500049591064</c:v>
                </c:pt>
                <c:pt idx="269">
                  <c:v>1.910513043403625</c:v>
                </c:pt>
                <c:pt idx="270">
                  <c:v>1.910493969917297</c:v>
                </c:pt>
                <c:pt idx="271">
                  <c:v>1.910519003868103</c:v>
                </c:pt>
                <c:pt idx="272">
                  <c:v>1.910568952560425</c:v>
                </c:pt>
                <c:pt idx="273">
                  <c:v>1.91056501865387</c:v>
                </c:pt>
                <c:pt idx="274">
                  <c:v>1.910523056983948</c:v>
                </c:pt>
                <c:pt idx="275">
                  <c:v>1.910555005073547</c:v>
                </c:pt>
                <c:pt idx="276">
                  <c:v>1.910575032234192</c:v>
                </c:pt>
                <c:pt idx="277">
                  <c:v>1.910542011260986</c:v>
                </c:pt>
                <c:pt idx="278">
                  <c:v>1.910519003868103</c:v>
                </c:pt>
                <c:pt idx="279">
                  <c:v>1.910545945167542</c:v>
                </c:pt>
                <c:pt idx="280">
                  <c:v>1.910557985305786</c:v>
                </c:pt>
                <c:pt idx="281">
                  <c:v>1.910526037216187</c:v>
                </c:pt>
                <c:pt idx="282">
                  <c:v>1.910501956939697</c:v>
                </c:pt>
                <c:pt idx="283">
                  <c:v>1.910554051399231</c:v>
                </c:pt>
                <c:pt idx="284">
                  <c:v>1.910560011863708</c:v>
                </c:pt>
                <c:pt idx="285">
                  <c:v>1.910519957542419</c:v>
                </c:pt>
                <c:pt idx="286">
                  <c:v>1.910513997077942</c:v>
                </c:pt>
                <c:pt idx="287">
                  <c:v>1.910557985305786</c:v>
                </c:pt>
                <c:pt idx="288">
                  <c:v>1.910560011863708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SIM4!$C$11:$C$299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1.250212550163269</c:v>
                </c:pt>
                <c:pt idx="6">
                  <c:v>1.50015115737915</c:v>
                </c:pt>
                <c:pt idx="7">
                  <c:v>1.750082492828369</c:v>
                </c:pt>
                <c:pt idx="8">
                  <c:v>2.000370740890503</c:v>
                </c:pt>
                <c:pt idx="9">
                  <c:v>2.250343084335327</c:v>
                </c:pt>
                <c:pt idx="10">
                  <c:v>2.500083684921265</c:v>
                </c:pt>
                <c:pt idx="11">
                  <c:v>2.750252246856689</c:v>
                </c:pt>
                <c:pt idx="12">
                  <c:v>3.000216722488403</c:v>
                </c:pt>
                <c:pt idx="13">
                  <c:v>3.250436067581177</c:v>
                </c:pt>
                <c:pt idx="14">
                  <c:v>3.50005841255188</c:v>
                </c:pt>
                <c:pt idx="15">
                  <c:v>3.750363826751709</c:v>
                </c:pt>
                <c:pt idx="16">
                  <c:v>4.000669479370117</c:v>
                </c:pt>
                <c:pt idx="17">
                  <c:v>4.250608444213867</c:v>
                </c:pt>
                <c:pt idx="18">
                  <c:v>4.500080585479736</c:v>
                </c:pt>
                <c:pt idx="19">
                  <c:v>4.750102996826172</c:v>
                </c:pt>
                <c:pt idx="20">
                  <c:v>5.000124931335449</c:v>
                </c:pt>
                <c:pt idx="21">
                  <c:v>5.250147342681885</c:v>
                </c:pt>
                <c:pt idx="22">
                  <c:v>5.500169277191162</c:v>
                </c:pt>
                <c:pt idx="23">
                  <c:v>5.750191688537598</c:v>
                </c:pt>
                <c:pt idx="24">
                  <c:v>6.000214099884033</c:v>
                </c:pt>
                <c:pt idx="25">
                  <c:v>6.250236034393311</c:v>
                </c:pt>
                <c:pt idx="26">
                  <c:v>6.500255584716797</c:v>
                </c:pt>
                <c:pt idx="27">
                  <c:v>6.750277996063232</c:v>
                </c:pt>
                <c:pt idx="28">
                  <c:v>7.00029993057251</c:v>
                </c:pt>
                <c:pt idx="29">
                  <c:v>7.250322341918945</c:v>
                </c:pt>
                <c:pt idx="30">
                  <c:v>7.500344276428223</c:v>
                </c:pt>
                <c:pt idx="31">
                  <c:v>7.750366687774658</c:v>
                </c:pt>
                <c:pt idx="32">
                  <c:v>8.000389099121094</c:v>
                </c:pt>
                <c:pt idx="33">
                  <c:v>8.250411033630371</c:v>
                </c:pt>
                <c:pt idx="34">
                  <c:v>8.500432968139648</c:v>
                </c:pt>
                <c:pt idx="35">
                  <c:v>8.750455856323242</c:v>
                </c:pt>
                <c:pt idx="36">
                  <c:v>9.00047779083252</c:v>
                </c:pt>
                <c:pt idx="37">
                  <c:v>9.250499725341797</c:v>
                </c:pt>
                <c:pt idx="38">
                  <c:v>9.500522613525391</c:v>
                </c:pt>
                <c:pt idx="39">
                  <c:v>9.750544548034668</c:v>
                </c:pt>
                <c:pt idx="40">
                  <c:v>10.00056648254395</c:v>
                </c:pt>
                <c:pt idx="41">
                  <c:v>10.25058841705322</c:v>
                </c:pt>
                <c:pt idx="42">
                  <c:v>10.50060844421387</c:v>
                </c:pt>
                <c:pt idx="43">
                  <c:v>10.75063037872314</c:v>
                </c:pt>
                <c:pt idx="44">
                  <c:v>11.00065231323242</c:v>
                </c:pt>
                <c:pt idx="45">
                  <c:v>11.25001621246338</c:v>
                </c:pt>
                <c:pt idx="46">
                  <c:v>11.50003910064697</c:v>
                </c:pt>
                <c:pt idx="47">
                  <c:v>11.75006103515625</c:v>
                </c:pt>
                <c:pt idx="48">
                  <c:v>12.00008296966553</c:v>
                </c:pt>
                <c:pt idx="49">
                  <c:v>12.25010585784912</c:v>
                </c:pt>
                <c:pt idx="50">
                  <c:v>12.50012493133545</c:v>
                </c:pt>
                <c:pt idx="51">
                  <c:v>12.75014686584473</c:v>
                </c:pt>
                <c:pt idx="52">
                  <c:v>13.00016975402832</c:v>
                </c:pt>
                <c:pt idx="53">
                  <c:v>13.2501916885376</c:v>
                </c:pt>
                <c:pt idx="54">
                  <c:v>13.50021362304688</c:v>
                </c:pt>
                <c:pt idx="55">
                  <c:v>13.75023651123047</c:v>
                </c:pt>
                <c:pt idx="56">
                  <c:v>14.00025844573975</c:v>
                </c:pt>
                <c:pt idx="57">
                  <c:v>14.25028038024902</c:v>
                </c:pt>
                <c:pt idx="58">
                  <c:v>14.5003023147583</c:v>
                </c:pt>
                <c:pt idx="59">
                  <c:v>14.75032520294189</c:v>
                </c:pt>
                <c:pt idx="60">
                  <c:v>15.00034713745117</c:v>
                </c:pt>
                <c:pt idx="61">
                  <c:v>15.25036907196045</c:v>
                </c:pt>
                <c:pt idx="62">
                  <c:v>15.50039196014404</c:v>
                </c:pt>
                <c:pt idx="63">
                  <c:v>15.75041389465332</c:v>
                </c:pt>
                <c:pt idx="64">
                  <c:v>16.00043678283691</c:v>
                </c:pt>
                <c:pt idx="65">
                  <c:v>16.25045585632324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17.00052261352539</c:v>
                </c:pt>
                <c:pt idx="69">
                  <c:v>17.25054359436035</c:v>
                </c:pt>
                <c:pt idx="70">
                  <c:v>17.50056648254395</c:v>
                </c:pt>
                <c:pt idx="71">
                  <c:v>17.75058937072754</c:v>
                </c:pt>
                <c:pt idx="72">
                  <c:v>18.0006103515625</c:v>
                </c:pt>
                <c:pt idx="73">
                  <c:v>18.25063323974609</c:v>
                </c:pt>
                <c:pt idx="74">
                  <c:v>18.50065612792969</c:v>
                </c:pt>
                <c:pt idx="75">
                  <c:v>18.7500171661377</c:v>
                </c:pt>
                <c:pt idx="76">
                  <c:v>19.00003814697266</c:v>
                </c:pt>
                <c:pt idx="77">
                  <c:v>19.25006103515625</c:v>
                </c:pt>
                <c:pt idx="78">
                  <c:v>19.50008392333984</c:v>
                </c:pt>
                <c:pt idx="79">
                  <c:v>19.7501049041748</c:v>
                </c:pt>
                <c:pt idx="80">
                  <c:v>20.0001277923584</c:v>
                </c:pt>
                <c:pt idx="81">
                  <c:v>20.25015068054199</c:v>
                </c:pt>
                <c:pt idx="82">
                  <c:v>20.50017166137695</c:v>
                </c:pt>
                <c:pt idx="83">
                  <c:v>20.75019454956055</c:v>
                </c:pt>
                <c:pt idx="84">
                  <c:v>21.00021743774414</c:v>
                </c:pt>
                <c:pt idx="85">
                  <c:v>21.2502384185791</c:v>
                </c:pt>
                <c:pt idx="86">
                  <c:v>21.5002613067627</c:v>
                </c:pt>
                <c:pt idx="87">
                  <c:v>21.75028419494629</c:v>
                </c:pt>
                <c:pt idx="88">
                  <c:v>22.00030326843262</c:v>
                </c:pt>
                <c:pt idx="89">
                  <c:v>22.25032424926758</c:v>
                </c:pt>
                <c:pt idx="90">
                  <c:v>22.50034713745117</c:v>
                </c:pt>
                <c:pt idx="91">
                  <c:v>22.75037002563477</c:v>
                </c:pt>
                <c:pt idx="92">
                  <c:v>23.00039100646973</c:v>
                </c:pt>
                <c:pt idx="93">
                  <c:v>23.25041389465332</c:v>
                </c:pt>
                <c:pt idx="94">
                  <c:v>23.50043678283691</c:v>
                </c:pt>
                <c:pt idx="95">
                  <c:v>23.75045776367188</c:v>
                </c:pt>
                <c:pt idx="96">
                  <c:v>24.00048065185547</c:v>
                </c:pt>
                <c:pt idx="97">
                  <c:v>24.25050354003906</c:v>
                </c:pt>
                <c:pt idx="98">
                  <c:v>24.50052452087402</c:v>
                </c:pt>
                <c:pt idx="99">
                  <c:v>24.75054740905762</c:v>
                </c:pt>
                <c:pt idx="100">
                  <c:v>25.00057029724121</c:v>
                </c:pt>
                <c:pt idx="101">
                  <c:v>25.25059127807617</c:v>
                </c:pt>
                <c:pt idx="102">
                  <c:v>25.50061416625977</c:v>
                </c:pt>
                <c:pt idx="103">
                  <c:v>25.75063705444336</c:v>
                </c:pt>
                <c:pt idx="104">
                  <c:v>26.00065612792969</c:v>
                </c:pt>
                <c:pt idx="105">
                  <c:v>26.25001907348633</c:v>
                </c:pt>
                <c:pt idx="106">
                  <c:v>26.50004196166992</c:v>
                </c:pt>
                <c:pt idx="107">
                  <c:v>26.75006294250488</c:v>
                </c:pt>
                <c:pt idx="108">
                  <c:v>27.00008583068848</c:v>
                </c:pt>
                <c:pt idx="109">
                  <c:v>27.25010871887207</c:v>
                </c:pt>
                <c:pt idx="110">
                  <c:v>27.50012969970703</c:v>
                </c:pt>
                <c:pt idx="111">
                  <c:v>27.75015258789062</c:v>
                </c:pt>
                <c:pt idx="112">
                  <c:v>28.00016593933105</c:v>
                </c:pt>
                <c:pt idx="113">
                  <c:v>28.25019454956055</c:v>
                </c:pt>
                <c:pt idx="114">
                  <c:v>28.50022315979004</c:v>
                </c:pt>
                <c:pt idx="115">
                  <c:v>28.7502498626709</c:v>
                </c:pt>
                <c:pt idx="116">
                  <c:v>29.0002498626709</c:v>
                </c:pt>
                <c:pt idx="117">
                  <c:v>29.25027847290039</c:v>
                </c:pt>
                <c:pt idx="118">
                  <c:v>29.50030517578125</c:v>
                </c:pt>
                <c:pt idx="119">
                  <c:v>29.75033378601074</c:v>
                </c:pt>
                <c:pt idx="120">
                  <c:v>30.0003604888916</c:v>
                </c:pt>
                <c:pt idx="121">
                  <c:v>30.2503604888916</c:v>
                </c:pt>
                <c:pt idx="122">
                  <c:v>30.50038909912109</c:v>
                </c:pt>
                <c:pt idx="123">
                  <c:v>30.75041580200195</c:v>
                </c:pt>
                <c:pt idx="124">
                  <c:v>31.00044441223145</c:v>
                </c:pt>
                <c:pt idx="125">
                  <c:v>31.25047302246094</c:v>
                </c:pt>
                <c:pt idx="126">
                  <c:v>31.50047302246094</c:v>
                </c:pt>
                <c:pt idx="127">
                  <c:v>31.7504997253418</c:v>
                </c:pt>
                <c:pt idx="128">
                  <c:v>32.00052642822266</c:v>
                </c:pt>
                <c:pt idx="129">
                  <c:v>32.25055694580078</c:v>
                </c:pt>
                <c:pt idx="130">
                  <c:v>32.50058364868164</c:v>
                </c:pt>
                <c:pt idx="131">
                  <c:v>32.75058364868164</c:v>
                </c:pt>
                <c:pt idx="132">
                  <c:v>33.0006103515625</c:v>
                </c:pt>
                <c:pt idx="133">
                  <c:v>33.25063705444336</c:v>
                </c:pt>
                <c:pt idx="134">
                  <c:v>33.50066757202148</c:v>
                </c:pt>
                <c:pt idx="135">
                  <c:v>33.75002670288086</c:v>
                </c:pt>
                <c:pt idx="136">
                  <c:v>34.00005722045898</c:v>
                </c:pt>
                <c:pt idx="137">
                  <c:v>34.25005722045898</c:v>
                </c:pt>
                <c:pt idx="138">
                  <c:v>34.50008392333984</c:v>
                </c:pt>
                <c:pt idx="139">
                  <c:v>34.7501106262207</c:v>
                </c:pt>
                <c:pt idx="140">
                  <c:v>35.00013732910156</c:v>
                </c:pt>
                <c:pt idx="141">
                  <c:v>35.25016784667969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36.00022125244141</c:v>
                </c:pt>
                <c:pt idx="145">
                  <c:v>36.25025177001953</c:v>
                </c:pt>
                <c:pt idx="146">
                  <c:v>36.50025177001953</c:v>
                </c:pt>
                <c:pt idx="147">
                  <c:v>36.75027847290039</c:v>
                </c:pt>
                <c:pt idx="148">
                  <c:v>37.00030517578125</c:v>
                </c:pt>
                <c:pt idx="149">
                  <c:v>37.25033187866211</c:v>
                </c:pt>
                <c:pt idx="150">
                  <c:v>37.50036239624023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38.75047302246094</c:v>
                </c:pt>
                <c:pt idx="156">
                  <c:v>39.00047302246094</c:v>
                </c:pt>
                <c:pt idx="157">
                  <c:v>39.2504997253418</c:v>
                </c:pt>
                <c:pt idx="158">
                  <c:v>39.50052642822266</c:v>
                </c:pt>
                <c:pt idx="159">
                  <c:v>39.75055694580078</c:v>
                </c:pt>
                <c:pt idx="160">
                  <c:v>40.00058364868164</c:v>
                </c:pt>
                <c:pt idx="161">
                  <c:v>40.25058364868164</c:v>
                </c:pt>
                <c:pt idx="162">
                  <c:v>40.5006103515625</c:v>
                </c:pt>
                <c:pt idx="163">
                  <c:v>40.75063705444336</c:v>
                </c:pt>
                <c:pt idx="164">
                  <c:v>41</c:v>
                </c:pt>
                <c:pt idx="165">
                  <c:v>41.25002670288086</c:v>
                </c:pt>
                <c:pt idx="166">
                  <c:v>41.50005722045898</c:v>
                </c:pt>
                <c:pt idx="167">
                  <c:v>41.75005722045898</c:v>
                </c:pt>
                <c:pt idx="168">
                  <c:v>42.00008392333984</c:v>
                </c:pt>
                <c:pt idx="169">
                  <c:v>42.2501106262207</c:v>
                </c:pt>
                <c:pt idx="170">
                  <c:v>42.50013732910156</c:v>
                </c:pt>
                <c:pt idx="171">
                  <c:v>42.75016784667969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44.25027847290039</c:v>
                </c:pt>
                <c:pt idx="178">
                  <c:v>44.50030517578125</c:v>
                </c:pt>
                <c:pt idx="179">
                  <c:v>44.75033187866211</c:v>
                </c:pt>
                <c:pt idx="180">
                  <c:v>45.00036239624023</c:v>
                </c:pt>
                <c:pt idx="181">
                  <c:v>45.25038909912109</c:v>
                </c:pt>
                <c:pt idx="182">
                  <c:v>45.50038909912109</c:v>
                </c:pt>
                <c:pt idx="183">
                  <c:v>45.75041580200195</c:v>
                </c:pt>
                <c:pt idx="184">
                  <c:v>46.00044631958008</c:v>
                </c:pt>
                <c:pt idx="185">
                  <c:v>46.25047302246094</c:v>
                </c:pt>
                <c:pt idx="186">
                  <c:v>46.50047302246094</c:v>
                </c:pt>
                <c:pt idx="187">
                  <c:v>46.7504997253418</c:v>
                </c:pt>
                <c:pt idx="188">
                  <c:v>47.00052642822266</c:v>
                </c:pt>
                <c:pt idx="189">
                  <c:v>47.25055694580078</c:v>
                </c:pt>
                <c:pt idx="190">
                  <c:v>47.50058364868164</c:v>
                </c:pt>
                <c:pt idx="191">
                  <c:v>47.75058364868164</c:v>
                </c:pt>
                <c:pt idx="192">
                  <c:v>48.0006103515625</c:v>
                </c:pt>
                <c:pt idx="193">
                  <c:v>48.25063705444336</c:v>
                </c:pt>
                <c:pt idx="194">
                  <c:v>48.5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49.25005722045898</c:v>
                </c:pt>
                <c:pt idx="198">
                  <c:v>49.50008392333984</c:v>
                </c:pt>
                <c:pt idx="199">
                  <c:v>49.7501106262207</c:v>
                </c:pt>
                <c:pt idx="200">
                  <c:v>50.00013732910156</c:v>
                </c:pt>
                <c:pt idx="201">
                  <c:v>50.25016784667969</c:v>
                </c:pt>
                <c:pt idx="202">
                  <c:v>50.50016784667969</c:v>
                </c:pt>
                <c:pt idx="203">
                  <c:v>50.75019454956055</c:v>
                </c:pt>
                <c:pt idx="204">
                  <c:v>51.00022125244141</c:v>
                </c:pt>
                <c:pt idx="205">
                  <c:v>51.25025177001953</c:v>
                </c:pt>
                <c:pt idx="206">
                  <c:v>51.50027847290039</c:v>
                </c:pt>
                <c:pt idx="207">
                  <c:v>51.75027847290039</c:v>
                </c:pt>
                <c:pt idx="208">
                  <c:v>52.00030517578125</c:v>
                </c:pt>
                <c:pt idx="209">
                  <c:v>52.25033187866211</c:v>
                </c:pt>
                <c:pt idx="210">
                  <c:v>52.50036239624023</c:v>
                </c:pt>
                <c:pt idx="211">
                  <c:v>52.75038909912109</c:v>
                </c:pt>
                <c:pt idx="212">
                  <c:v>53.00038909912109</c:v>
                </c:pt>
                <c:pt idx="213">
                  <c:v>53.25041580200195</c:v>
                </c:pt>
                <c:pt idx="214">
                  <c:v>53.50044631958008</c:v>
                </c:pt>
                <c:pt idx="215">
                  <c:v>53.75047302246094</c:v>
                </c:pt>
                <c:pt idx="216">
                  <c:v>54.0004997253418</c:v>
                </c:pt>
                <c:pt idx="217">
                  <c:v>54.2504997253418</c:v>
                </c:pt>
                <c:pt idx="218">
                  <c:v>54.50052642822266</c:v>
                </c:pt>
                <c:pt idx="219">
                  <c:v>54.75055694580078</c:v>
                </c:pt>
                <c:pt idx="220">
                  <c:v>55.00058364868164</c:v>
                </c:pt>
                <c:pt idx="221">
                  <c:v>55.25058364868164</c:v>
                </c:pt>
                <c:pt idx="222">
                  <c:v>55.5006103515625</c:v>
                </c:pt>
                <c:pt idx="223">
                  <c:v>55.75063705444336</c:v>
                </c:pt>
                <c:pt idx="224">
                  <c:v>56</c:v>
                </c:pt>
                <c:pt idx="225">
                  <c:v>56.25002670288086</c:v>
                </c:pt>
                <c:pt idx="226">
                  <c:v>56.50005722045898</c:v>
                </c:pt>
                <c:pt idx="227">
                  <c:v>56.75008392333984</c:v>
                </c:pt>
                <c:pt idx="228">
                  <c:v>57.00008392333984</c:v>
                </c:pt>
                <c:pt idx="229">
                  <c:v>57.2501106262207</c:v>
                </c:pt>
                <c:pt idx="230">
                  <c:v>57.50013732910156</c:v>
                </c:pt>
                <c:pt idx="231">
                  <c:v>57.75016784667969</c:v>
                </c:pt>
                <c:pt idx="232">
                  <c:v>58.00016784667969</c:v>
                </c:pt>
                <c:pt idx="233">
                  <c:v>58.25019454956055</c:v>
                </c:pt>
                <c:pt idx="234">
                  <c:v>58.50022125244141</c:v>
                </c:pt>
                <c:pt idx="235">
                  <c:v>58.75025177001953</c:v>
                </c:pt>
                <c:pt idx="236">
                  <c:v>59.00027847290039</c:v>
                </c:pt>
                <c:pt idx="237">
                  <c:v>59.25027847290039</c:v>
                </c:pt>
                <c:pt idx="238">
                  <c:v>59.50030517578125</c:v>
                </c:pt>
                <c:pt idx="239">
                  <c:v>59.75033187866211</c:v>
                </c:pt>
                <c:pt idx="240">
                  <c:v>60.00036239624023</c:v>
                </c:pt>
                <c:pt idx="241">
                  <c:v>60.25038909912109</c:v>
                </c:pt>
                <c:pt idx="242">
                  <c:v>60.50038909912109</c:v>
                </c:pt>
                <c:pt idx="243">
                  <c:v>60.75041580200195</c:v>
                </c:pt>
                <c:pt idx="244">
                  <c:v>61.00044631958008</c:v>
                </c:pt>
                <c:pt idx="245">
                  <c:v>61.25047302246094</c:v>
                </c:pt>
                <c:pt idx="246">
                  <c:v>61.5004997253418</c:v>
                </c:pt>
                <c:pt idx="247">
                  <c:v>61.7504997253418</c:v>
                </c:pt>
                <c:pt idx="248">
                  <c:v>62.00052642822266</c:v>
                </c:pt>
                <c:pt idx="249">
                  <c:v>62.25055694580078</c:v>
                </c:pt>
                <c:pt idx="250">
                  <c:v>62.50058364868164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63.25063705444336</c:v>
                </c:pt>
                <c:pt idx="254">
                  <c:v>63.5</c:v>
                </c:pt>
                <c:pt idx="255">
                  <c:v>63.75002670288086</c:v>
                </c:pt>
                <c:pt idx="256">
                  <c:v>64.00005340576172</c:v>
                </c:pt>
                <c:pt idx="257">
                  <c:v>64.25008392333984</c:v>
                </c:pt>
                <c:pt idx="258">
                  <c:v>64.50008392333984</c:v>
                </c:pt>
                <c:pt idx="259">
                  <c:v>64.75011444091797</c:v>
                </c:pt>
                <c:pt idx="260">
                  <c:v>65.00013732910156</c:v>
                </c:pt>
                <c:pt idx="261">
                  <c:v>65.25016784667969</c:v>
                </c:pt>
                <c:pt idx="262">
                  <c:v>65.50019073486328</c:v>
                </c:pt>
                <c:pt idx="263">
                  <c:v>65.75019073486328</c:v>
                </c:pt>
                <c:pt idx="264">
                  <c:v>66.00022125244141</c:v>
                </c:pt>
                <c:pt idx="265">
                  <c:v>66.25025177001953</c:v>
                </c:pt>
                <c:pt idx="266">
                  <c:v>66.50027465820312</c:v>
                </c:pt>
                <c:pt idx="267">
                  <c:v>66.75030517578125</c:v>
                </c:pt>
                <c:pt idx="268">
                  <c:v>67.00030517578125</c:v>
                </c:pt>
                <c:pt idx="269">
                  <c:v>67.25033569335938</c:v>
                </c:pt>
                <c:pt idx="270">
                  <c:v>67.50035858154297</c:v>
                </c:pt>
                <c:pt idx="271">
                  <c:v>67.75038909912109</c:v>
                </c:pt>
                <c:pt idx="272">
                  <c:v>68.00038909912109</c:v>
                </c:pt>
                <c:pt idx="273">
                  <c:v>68.25041961669922</c:v>
                </c:pt>
                <c:pt idx="274">
                  <c:v>68.50044250488281</c:v>
                </c:pt>
                <c:pt idx="275">
                  <c:v>68.75047302246094</c:v>
                </c:pt>
                <c:pt idx="276">
                  <c:v>69.00050354003906</c:v>
                </c:pt>
                <c:pt idx="277">
                  <c:v>69.25050354003906</c:v>
                </c:pt>
                <c:pt idx="278">
                  <c:v>69.50052642822266</c:v>
                </c:pt>
                <c:pt idx="279">
                  <c:v>69.75055694580078</c:v>
                </c:pt>
                <c:pt idx="280">
                  <c:v>70.00057983398438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70.75064086914062</c:v>
                </c:pt>
                <c:pt idx="284">
                  <c:v>71</c:v>
                </c:pt>
                <c:pt idx="285">
                  <c:v>71.25003051757812</c:v>
                </c:pt>
                <c:pt idx="286">
                  <c:v>71.50005340576172</c:v>
                </c:pt>
                <c:pt idx="287">
                  <c:v>71.75008392333984</c:v>
                </c:pt>
                <c:pt idx="288">
                  <c:v>72.00008392333984</c:v>
                </c:pt>
              </c:numCache>
            </c:numRef>
          </c:xVal>
          <c:yVal>
            <c:numRef>
              <c:f>SIM4!$H$11:$H$299</c:f>
              <c:numCache>
                <c:ptCount val="289"/>
                <c:pt idx="0">
                  <c:v>9.87746524810791</c:v>
                </c:pt>
                <c:pt idx="1">
                  <c:v>10.26500034332275</c:v>
                </c:pt>
                <c:pt idx="2">
                  <c:v>8.758434295654297</c:v>
                </c:pt>
                <c:pt idx="3">
                  <c:v>7.069362163543701</c:v>
                </c:pt>
                <c:pt idx="4">
                  <c:v>-2.599679946899414</c:v>
                </c:pt>
                <c:pt idx="5">
                  <c:v>1.790732979774475</c:v>
                </c:pt>
                <c:pt idx="6">
                  <c:v>1.393306970596313</c:v>
                </c:pt>
                <c:pt idx="7">
                  <c:v>1.384389042854309</c:v>
                </c:pt>
                <c:pt idx="8">
                  <c:v>4.062270164489746</c:v>
                </c:pt>
                <c:pt idx="9">
                  <c:v>5.047359943389893</c:v>
                </c:pt>
                <c:pt idx="10">
                  <c:v>2.092298984527588</c:v>
                </c:pt>
                <c:pt idx="11">
                  <c:v>2.524672985076904</c:v>
                </c:pt>
                <c:pt idx="12">
                  <c:v>4.34011697769165</c:v>
                </c:pt>
                <c:pt idx="13">
                  <c:v>4.004549026489258</c:v>
                </c:pt>
                <c:pt idx="14">
                  <c:v>2.879342079162598</c:v>
                </c:pt>
                <c:pt idx="15">
                  <c:v>3.220103025436401</c:v>
                </c:pt>
                <c:pt idx="16">
                  <c:v>4.056522846221924</c:v>
                </c:pt>
                <c:pt idx="17">
                  <c:v>4.054679870605469</c:v>
                </c:pt>
                <c:pt idx="18">
                  <c:v>2.928603887557983</c:v>
                </c:pt>
                <c:pt idx="19">
                  <c:v>3.413183927536011</c:v>
                </c:pt>
                <c:pt idx="20">
                  <c:v>3.89182710647583</c:v>
                </c:pt>
                <c:pt idx="21">
                  <c:v>3.858082056045532</c:v>
                </c:pt>
                <c:pt idx="22">
                  <c:v>3.009910106658936</c:v>
                </c:pt>
                <c:pt idx="23">
                  <c:v>3.489475011825562</c:v>
                </c:pt>
                <c:pt idx="24">
                  <c:v>3.823539972305298</c:v>
                </c:pt>
                <c:pt idx="25">
                  <c:v>3.68880295753479</c:v>
                </c:pt>
                <c:pt idx="26">
                  <c:v>3.081933975219727</c:v>
                </c:pt>
                <c:pt idx="27">
                  <c:v>3.53302788734436</c:v>
                </c:pt>
                <c:pt idx="28">
                  <c:v>3.733963012695312</c:v>
                </c:pt>
                <c:pt idx="29">
                  <c:v>3.583715915679932</c:v>
                </c:pt>
                <c:pt idx="30">
                  <c:v>3.221951007843018</c:v>
                </c:pt>
                <c:pt idx="31">
                  <c:v>3.528800964355469</c:v>
                </c:pt>
                <c:pt idx="32">
                  <c:v>3.687172889709473</c:v>
                </c:pt>
                <c:pt idx="33">
                  <c:v>3.524909973144531</c:v>
                </c:pt>
                <c:pt idx="34">
                  <c:v>3.310581922531128</c:v>
                </c:pt>
                <c:pt idx="35">
                  <c:v>3.529598951339722</c:v>
                </c:pt>
                <c:pt idx="36">
                  <c:v>3.644093990325928</c:v>
                </c:pt>
                <c:pt idx="37">
                  <c:v>3.495136976242065</c:v>
                </c:pt>
                <c:pt idx="38">
                  <c:v>3.368093013763428</c:v>
                </c:pt>
                <c:pt idx="39">
                  <c:v>3.530019044876099</c:v>
                </c:pt>
                <c:pt idx="40">
                  <c:v>3.608772039413452</c:v>
                </c:pt>
                <c:pt idx="41">
                  <c:v>3.482986927032471</c:v>
                </c:pt>
                <c:pt idx="42">
                  <c:v>3.406325101852417</c:v>
                </c:pt>
                <c:pt idx="43">
                  <c:v>3.529437065124512</c:v>
                </c:pt>
                <c:pt idx="44">
                  <c:v>3.580410957336426</c:v>
                </c:pt>
                <c:pt idx="45">
                  <c:v>3.479233026504517</c:v>
                </c:pt>
                <c:pt idx="46">
                  <c:v>3.434350967407227</c:v>
                </c:pt>
                <c:pt idx="47">
                  <c:v>3.52680492401123</c:v>
                </c:pt>
                <c:pt idx="48">
                  <c:v>3.558588981628418</c:v>
                </c:pt>
                <c:pt idx="49">
                  <c:v>3.479602098464966</c:v>
                </c:pt>
                <c:pt idx="50">
                  <c:v>3.455934047698975</c:v>
                </c:pt>
                <c:pt idx="51">
                  <c:v>3.524142026901245</c:v>
                </c:pt>
                <c:pt idx="52">
                  <c:v>3.541968107223511</c:v>
                </c:pt>
                <c:pt idx="53">
                  <c:v>3.482120037078857</c:v>
                </c:pt>
                <c:pt idx="54">
                  <c:v>3.469264030456543</c:v>
                </c:pt>
                <c:pt idx="55">
                  <c:v>3.521507024765015</c:v>
                </c:pt>
                <c:pt idx="56">
                  <c:v>3.531021118164062</c:v>
                </c:pt>
                <c:pt idx="57">
                  <c:v>3.48464298248291</c:v>
                </c:pt>
                <c:pt idx="58">
                  <c:v>3.480081081390381</c:v>
                </c:pt>
                <c:pt idx="59">
                  <c:v>3.518532991409302</c:v>
                </c:pt>
                <c:pt idx="60">
                  <c:v>3.522440910339355</c:v>
                </c:pt>
                <c:pt idx="61">
                  <c:v>3.487669944763184</c:v>
                </c:pt>
                <c:pt idx="62">
                  <c:v>3.488383054733276</c:v>
                </c:pt>
                <c:pt idx="63">
                  <c:v>3.51691198348999</c:v>
                </c:pt>
                <c:pt idx="64">
                  <c:v>3.515588998794556</c:v>
                </c:pt>
                <c:pt idx="65">
                  <c:v>3.490623950958252</c:v>
                </c:pt>
                <c:pt idx="66">
                  <c:v>3.493499040603638</c:v>
                </c:pt>
                <c:pt idx="67">
                  <c:v>3.515115976333618</c:v>
                </c:pt>
                <c:pt idx="68">
                  <c:v>3.512322902679443</c:v>
                </c:pt>
                <c:pt idx="69">
                  <c:v>3.49272894859314</c:v>
                </c:pt>
                <c:pt idx="70">
                  <c:v>3.497558116912842</c:v>
                </c:pt>
                <c:pt idx="71">
                  <c:v>3.513094902038574</c:v>
                </c:pt>
                <c:pt idx="72">
                  <c:v>3.508425951004028</c:v>
                </c:pt>
                <c:pt idx="73">
                  <c:v>3.496213912963867</c:v>
                </c:pt>
                <c:pt idx="74">
                  <c:v>3.499706983566284</c:v>
                </c:pt>
                <c:pt idx="75">
                  <c:v>3.510374069213867</c:v>
                </c:pt>
                <c:pt idx="76">
                  <c:v>3.508069038391113</c:v>
                </c:pt>
                <c:pt idx="77">
                  <c:v>3.498562097549438</c:v>
                </c:pt>
                <c:pt idx="78">
                  <c:v>3.500684022903442</c:v>
                </c:pt>
                <c:pt idx="79">
                  <c:v>3.508764982223511</c:v>
                </c:pt>
                <c:pt idx="80">
                  <c:v>3.507846117019653</c:v>
                </c:pt>
                <c:pt idx="81">
                  <c:v>3.500303030014038</c:v>
                </c:pt>
                <c:pt idx="82">
                  <c:v>3.500881910324097</c:v>
                </c:pt>
                <c:pt idx="83">
                  <c:v>3.508033037185669</c:v>
                </c:pt>
                <c:pt idx="84">
                  <c:v>3.507560014724731</c:v>
                </c:pt>
                <c:pt idx="85">
                  <c:v>3.501317024230957</c:v>
                </c:pt>
                <c:pt idx="86">
                  <c:v>3.502217054367065</c:v>
                </c:pt>
                <c:pt idx="87">
                  <c:v>3.507493019104004</c:v>
                </c:pt>
                <c:pt idx="88">
                  <c:v>3.506606101989746</c:v>
                </c:pt>
                <c:pt idx="89">
                  <c:v>3.502089023590088</c:v>
                </c:pt>
                <c:pt idx="90">
                  <c:v>3.503145933151245</c:v>
                </c:pt>
                <c:pt idx="91">
                  <c:v>3.506962060928345</c:v>
                </c:pt>
                <c:pt idx="92">
                  <c:v>3.505995035171509</c:v>
                </c:pt>
                <c:pt idx="93">
                  <c:v>3.502777099609375</c:v>
                </c:pt>
                <c:pt idx="94">
                  <c:v>3.503834009170532</c:v>
                </c:pt>
                <c:pt idx="95">
                  <c:v>3.506580114364624</c:v>
                </c:pt>
                <c:pt idx="96">
                  <c:v>3.505641937255859</c:v>
                </c:pt>
                <c:pt idx="97">
                  <c:v>3.50364089012146</c:v>
                </c:pt>
                <c:pt idx="98">
                  <c:v>3.504503011703491</c:v>
                </c:pt>
                <c:pt idx="99">
                  <c:v>3.506273984909058</c:v>
                </c:pt>
                <c:pt idx="100">
                  <c:v>3.505440950393677</c:v>
                </c:pt>
                <c:pt idx="101">
                  <c:v>3.50401496887207</c:v>
                </c:pt>
                <c:pt idx="102">
                  <c:v>3.504782915115356</c:v>
                </c:pt>
                <c:pt idx="103">
                  <c:v>3.506011962890625</c:v>
                </c:pt>
                <c:pt idx="104">
                  <c:v>3.505335092544556</c:v>
                </c:pt>
                <c:pt idx="105">
                  <c:v>3.504355907440186</c:v>
                </c:pt>
                <c:pt idx="106">
                  <c:v>3.505011081695557</c:v>
                </c:pt>
                <c:pt idx="107">
                  <c:v>3.50584888458252</c:v>
                </c:pt>
                <c:pt idx="108">
                  <c:v>3.505311965942383</c:v>
                </c:pt>
                <c:pt idx="109">
                  <c:v>3.504662036895752</c:v>
                </c:pt>
                <c:pt idx="110">
                  <c:v>3.505215883255005</c:v>
                </c:pt>
                <c:pt idx="111">
                  <c:v>3.505728960037231</c:v>
                </c:pt>
                <c:pt idx="112">
                  <c:v>3.505285024642944</c:v>
                </c:pt>
                <c:pt idx="113">
                  <c:v>3.504846096038818</c:v>
                </c:pt>
                <c:pt idx="114">
                  <c:v>3.505338907241821</c:v>
                </c:pt>
                <c:pt idx="115">
                  <c:v>3.505676984786987</c:v>
                </c:pt>
                <c:pt idx="116">
                  <c:v>3.505283117294312</c:v>
                </c:pt>
                <c:pt idx="117">
                  <c:v>3.505135059356689</c:v>
                </c:pt>
                <c:pt idx="118">
                  <c:v>3.505565881729126</c:v>
                </c:pt>
                <c:pt idx="119">
                  <c:v>3.505681991577148</c:v>
                </c:pt>
                <c:pt idx="120">
                  <c:v>3.50533390045166</c:v>
                </c:pt>
                <c:pt idx="121">
                  <c:v>3.505251884460449</c:v>
                </c:pt>
                <c:pt idx="122">
                  <c:v>3.505597114562988</c:v>
                </c:pt>
                <c:pt idx="123">
                  <c:v>3.505676031112671</c:v>
                </c:pt>
                <c:pt idx="124">
                  <c:v>3.50537109375</c:v>
                </c:pt>
                <c:pt idx="125">
                  <c:v>3.50533390045166</c:v>
                </c:pt>
                <c:pt idx="126">
                  <c:v>3.505707025527954</c:v>
                </c:pt>
                <c:pt idx="127">
                  <c:v>3.505753993988037</c:v>
                </c:pt>
                <c:pt idx="128">
                  <c:v>3.505444049835205</c:v>
                </c:pt>
                <c:pt idx="129">
                  <c:v>3.505366086959839</c:v>
                </c:pt>
                <c:pt idx="130">
                  <c:v>3.505604028701782</c:v>
                </c:pt>
                <c:pt idx="131">
                  <c:v>3.505841016769409</c:v>
                </c:pt>
                <c:pt idx="132">
                  <c:v>3.505619049072266</c:v>
                </c:pt>
                <c:pt idx="133">
                  <c:v>3.505474090576172</c:v>
                </c:pt>
                <c:pt idx="134">
                  <c:v>3.505640029907227</c:v>
                </c:pt>
                <c:pt idx="135">
                  <c:v>3.50578498840332</c:v>
                </c:pt>
                <c:pt idx="136">
                  <c:v>3.505635976791382</c:v>
                </c:pt>
                <c:pt idx="137">
                  <c:v>3.505541086196899</c:v>
                </c:pt>
                <c:pt idx="138">
                  <c:v>3.505681991577148</c:v>
                </c:pt>
                <c:pt idx="139">
                  <c:v>3.505789995193481</c:v>
                </c:pt>
                <c:pt idx="140">
                  <c:v>3.505680084228516</c:v>
                </c:pt>
                <c:pt idx="141">
                  <c:v>3.505629062652588</c:v>
                </c:pt>
                <c:pt idx="142">
                  <c:v>3.505731105804443</c:v>
                </c:pt>
                <c:pt idx="143">
                  <c:v>3.505765914916992</c:v>
                </c:pt>
                <c:pt idx="144">
                  <c:v>3.505729913711548</c:v>
                </c:pt>
                <c:pt idx="145">
                  <c:v>3.505762100219727</c:v>
                </c:pt>
                <c:pt idx="146">
                  <c:v>3.505812883377075</c:v>
                </c:pt>
                <c:pt idx="147">
                  <c:v>3.505814075469971</c:v>
                </c:pt>
                <c:pt idx="148">
                  <c:v>3.505801916122437</c:v>
                </c:pt>
                <c:pt idx="149">
                  <c:v>3.505825996398926</c:v>
                </c:pt>
                <c:pt idx="150">
                  <c:v>3.505846977233887</c:v>
                </c:pt>
                <c:pt idx="151">
                  <c:v>3.505841016769409</c:v>
                </c:pt>
                <c:pt idx="152">
                  <c:v>3.505836009979248</c:v>
                </c:pt>
                <c:pt idx="153">
                  <c:v>3.505928993225098</c:v>
                </c:pt>
                <c:pt idx="154">
                  <c:v>3.505964994430542</c:v>
                </c:pt>
                <c:pt idx="155">
                  <c:v>3.505919933319092</c:v>
                </c:pt>
                <c:pt idx="156">
                  <c:v>3.505912065505981</c:v>
                </c:pt>
                <c:pt idx="157">
                  <c:v>3.50596809387207</c:v>
                </c:pt>
                <c:pt idx="158">
                  <c:v>3.505953073501587</c:v>
                </c:pt>
                <c:pt idx="159">
                  <c:v>3.505937099456787</c:v>
                </c:pt>
                <c:pt idx="160">
                  <c:v>3.505974054336548</c:v>
                </c:pt>
                <c:pt idx="161">
                  <c:v>3.505960941314697</c:v>
                </c:pt>
                <c:pt idx="162">
                  <c:v>3.505938053131104</c:v>
                </c:pt>
                <c:pt idx="163">
                  <c:v>3.505956888198853</c:v>
                </c:pt>
                <c:pt idx="164">
                  <c:v>3.505949020385742</c:v>
                </c:pt>
                <c:pt idx="165">
                  <c:v>3.505940914154053</c:v>
                </c:pt>
                <c:pt idx="166">
                  <c:v>3.505989074707031</c:v>
                </c:pt>
                <c:pt idx="167">
                  <c:v>3.506048917770386</c:v>
                </c:pt>
                <c:pt idx="168">
                  <c:v>3.506031036376953</c:v>
                </c:pt>
                <c:pt idx="169">
                  <c:v>3.506000995635986</c:v>
                </c:pt>
                <c:pt idx="170">
                  <c:v>3.50600790977478</c:v>
                </c:pt>
                <c:pt idx="171">
                  <c:v>3.506036996841431</c:v>
                </c:pt>
                <c:pt idx="172">
                  <c:v>3.506062030792236</c:v>
                </c:pt>
                <c:pt idx="173">
                  <c:v>3.506047010421753</c:v>
                </c:pt>
                <c:pt idx="174">
                  <c:v>3.506011009216309</c:v>
                </c:pt>
                <c:pt idx="175">
                  <c:v>3.505995035171509</c:v>
                </c:pt>
                <c:pt idx="176">
                  <c:v>3.506057024002075</c:v>
                </c:pt>
                <c:pt idx="177">
                  <c:v>3.506091117858887</c:v>
                </c:pt>
                <c:pt idx="178">
                  <c:v>3.506059885025024</c:v>
                </c:pt>
                <c:pt idx="179">
                  <c:v>3.506048917770386</c:v>
                </c:pt>
                <c:pt idx="180">
                  <c:v>3.506087064743042</c:v>
                </c:pt>
                <c:pt idx="181">
                  <c:v>3.506102085113525</c:v>
                </c:pt>
                <c:pt idx="182">
                  <c:v>3.506078004837036</c:v>
                </c:pt>
                <c:pt idx="183">
                  <c:v>3.506091117858887</c:v>
                </c:pt>
                <c:pt idx="184">
                  <c:v>3.50612998008728</c:v>
                </c:pt>
                <c:pt idx="185">
                  <c:v>3.506097078323364</c:v>
                </c:pt>
                <c:pt idx="186">
                  <c:v>3.506062984466553</c:v>
                </c:pt>
                <c:pt idx="187">
                  <c:v>3.506094932556152</c:v>
                </c:pt>
                <c:pt idx="188">
                  <c:v>3.506155967712402</c:v>
                </c:pt>
                <c:pt idx="189">
                  <c:v>3.50615406036377</c:v>
                </c:pt>
                <c:pt idx="190">
                  <c:v>3.506108045578003</c:v>
                </c:pt>
                <c:pt idx="191">
                  <c:v>3.506136894226074</c:v>
                </c:pt>
                <c:pt idx="192">
                  <c:v>3.506194114685059</c:v>
                </c:pt>
                <c:pt idx="193">
                  <c:v>3.50617790222168</c:v>
                </c:pt>
                <c:pt idx="194">
                  <c:v>3.506159067153931</c:v>
                </c:pt>
                <c:pt idx="195">
                  <c:v>3.506174087524414</c:v>
                </c:pt>
                <c:pt idx="196">
                  <c:v>3.506180047988892</c:v>
                </c:pt>
                <c:pt idx="197">
                  <c:v>3.50619101524353</c:v>
                </c:pt>
                <c:pt idx="198">
                  <c:v>3.506172895431519</c:v>
                </c:pt>
                <c:pt idx="199">
                  <c:v>3.506196022033691</c:v>
                </c:pt>
                <c:pt idx="200">
                  <c:v>3.506202936172485</c:v>
                </c:pt>
                <c:pt idx="201">
                  <c:v>3.506197929382324</c:v>
                </c:pt>
                <c:pt idx="202">
                  <c:v>3.506200075149536</c:v>
                </c:pt>
                <c:pt idx="203">
                  <c:v>3.506194114685059</c:v>
                </c:pt>
                <c:pt idx="204">
                  <c:v>3.506211042404175</c:v>
                </c:pt>
                <c:pt idx="205">
                  <c:v>3.506196975708008</c:v>
                </c:pt>
                <c:pt idx="206">
                  <c:v>3.506196975708008</c:v>
                </c:pt>
                <c:pt idx="207">
                  <c:v>3.506213903427124</c:v>
                </c:pt>
                <c:pt idx="208">
                  <c:v>3.506225109100342</c:v>
                </c:pt>
                <c:pt idx="209">
                  <c:v>3.506211996078491</c:v>
                </c:pt>
                <c:pt idx="210">
                  <c:v>3.506217956542969</c:v>
                </c:pt>
                <c:pt idx="211">
                  <c:v>3.506246089935303</c:v>
                </c:pt>
                <c:pt idx="212">
                  <c:v>3.506239891052246</c:v>
                </c:pt>
                <c:pt idx="213">
                  <c:v>3.506217002868652</c:v>
                </c:pt>
                <c:pt idx="214">
                  <c:v>3.506257057189941</c:v>
                </c:pt>
                <c:pt idx="215">
                  <c:v>3.506273984909058</c:v>
                </c:pt>
                <c:pt idx="216">
                  <c:v>3.506263017654419</c:v>
                </c:pt>
                <c:pt idx="217">
                  <c:v>3.506212949752808</c:v>
                </c:pt>
                <c:pt idx="218">
                  <c:v>3.506253957748413</c:v>
                </c:pt>
                <c:pt idx="219">
                  <c:v>3.506273031234741</c:v>
                </c:pt>
                <c:pt idx="220">
                  <c:v>3.506267070770264</c:v>
                </c:pt>
                <c:pt idx="221">
                  <c:v>3.506263971328735</c:v>
                </c:pt>
                <c:pt idx="222">
                  <c:v>3.506269931793213</c:v>
                </c:pt>
                <c:pt idx="223">
                  <c:v>3.506228923797607</c:v>
                </c:pt>
                <c:pt idx="224">
                  <c:v>3.506256103515625</c:v>
                </c:pt>
                <c:pt idx="225">
                  <c:v>3.506288051605225</c:v>
                </c:pt>
                <c:pt idx="226">
                  <c:v>3.506272077560425</c:v>
                </c:pt>
                <c:pt idx="227">
                  <c:v>3.506244897842407</c:v>
                </c:pt>
                <c:pt idx="228">
                  <c:v>3.506268978118896</c:v>
                </c:pt>
                <c:pt idx="229">
                  <c:v>3.506323099136353</c:v>
                </c:pt>
                <c:pt idx="230">
                  <c:v>3.506280899047852</c:v>
                </c:pt>
                <c:pt idx="231">
                  <c:v>3.506254911422729</c:v>
                </c:pt>
                <c:pt idx="232">
                  <c:v>3.506289958953857</c:v>
                </c:pt>
                <c:pt idx="233">
                  <c:v>3.50634503364563</c:v>
                </c:pt>
                <c:pt idx="234">
                  <c:v>3.506305932998657</c:v>
                </c:pt>
                <c:pt idx="235">
                  <c:v>3.506262063980103</c:v>
                </c:pt>
                <c:pt idx="236">
                  <c:v>3.506320953369141</c:v>
                </c:pt>
                <c:pt idx="237">
                  <c:v>3.506367921829224</c:v>
                </c:pt>
                <c:pt idx="238">
                  <c:v>3.506325960159302</c:v>
                </c:pt>
                <c:pt idx="239">
                  <c:v>3.50631308555603</c:v>
                </c:pt>
                <c:pt idx="240">
                  <c:v>3.506314992904663</c:v>
                </c:pt>
                <c:pt idx="241">
                  <c:v>3.506381988525391</c:v>
                </c:pt>
                <c:pt idx="242">
                  <c:v>3.506391048431396</c:v>
                </c:pt>
                <c:pt idx="243">
                  <c:v>3.506335973739624</c:v>
                </c:pt>
                <c:pt idx="244">
                  <c:v>3.506237030029297</c:v>
                </c:pt>
                <c:pt idx="245">
                  <c:v>3.50633692741394</c:v>
                </c:pt>
                <c:pt idx="246">
                  <c:v>3.506356000900269</c:v>
                </c:pt>
                <c:pt idx="247">
                  <c:v>3.506316900253296</c:v>
                </c:pt>
                <c:pt idx="248">
                  <c:v>3.506244897842407</c:v>
                </c:pt>
                <c:pt idx="249">
                  <c:v>3.506320953369141</c:v>
                </c:pt>
                <c:pt idx="250">
                  <c:v>3.506409883499146</c:v>
                </c:pt>
                <c:pt idx="251">
                  <c:v>3.50641393661499</c:v>
                </c:pt>
                <c:pt idx="252">
                  <c:v>3.506340980529785</c:v>
                </c:pt>
                <c:pt idx="253">
                  <c:v>3.506320953369141</c:v>
                </c:pt>
                <c:pt idx="254">
                  <c:v>3.506407976150513</c:v>
                </c:pt>
                <c:pt idx="255">
                  <c:v>3.506447076797485</c:v>
                </c:pt>
                <c:pt idx="256">
                  <c:v>3.506335020065308</c:v>
                </c:pt>
                <c:pt idx="257">
                  <c:v>3.506280899047852</c:v>
                </c:pt>
                <c:pt idx="258">
                  <c:v>3.506419897079468</c:v>
                </c:pt>
                <c:pt idx="259">
                  <c:v>3.50656795501709</c:v>
                </c:pt>
                <c:pt idx="260">
                  <c:v>3.506339073181152</c:v>
                </c:pt>
                <c:pt idx="261">
                  <c:v>3.506288051605225</c:v>
                </c:pt>
                <c:pt idx="262">
                  <c:v>3.506463050842285</c:v>
                </c:pt>
                <c:pt idx="263">
                  <c:v>3.506546974182129</c:v>
                </c:pt>
                <c:pt idx="264">
                  <c:v>3.506387948989868</c:v>
                </c:pt>
                <c:pt idx="265">
                  <c:v>3.506334066390991</c:v>
                </c:pt>
                <c:pt idx="266">
                  <c:v>3.506431102752686</c:v>
                </c:pt>
                <c:pt idx="267">
                  <c:v>3.506412982940674</c:v>
                </c:pt>
                <c:pt idx="268">
                  <c:v>3.506396055221558</c:v>
                </c:pt>
                <c:pt idx="269">
                  <c:v>3.506416082382202</c:v>
                </c:pt>
                <c:pt idx="270">
                  <c:v>3.506562948226929</c:v>
                </c:pt>
                <c:pt idx="271">
                  <c:v>3.506344079971313</c:v>
                </c:pt>
                <c:pt idx="272">
                  <c:v>3.506083011627197</c:v>
                </c:pt>
                <c:pt idx="273">
                  <c:v>3.506648063659668</c:v>
                </c:pt>
                <c:pt idx="274">
                  <c:v>3.506582975387573</c:v>
                </c:pt>
                <c:pt idx="275">
                  <c:v>3.506197929382324</c:v>
                </c:pt>
                <c:pt idx="276">
                  <c:v>3.506369113922119</c:v>
                </c:pt>
                <c:pt idx="277">
                  <c:v>3.506655931472778</c:v>
                </c:pt>
                <c:pt idx="278">
                  <c:v>3.506514072418213</c:v>
                </c:pt>
                <c:pt idx="279">
                  <c:v>3.506212949752808</c:v>
                </c:pt>
                <c:pt idx="280">
                  <c:v>3.506447076797485</c:v>
                </c:pt>
                <c:pt idx="281">
                  <c:v>3.506680011749268</c:v>
                </c:pt>
                <c:pt idx="282">
                  <c:v>3.506424903869629</c:v>
                </c:pt>
                <c:pt idx="283">
                  <c:v>3.506216049194336</c:v>
                </c:pt>
                <c:pt idx="284">
                  <c:v>3.506493091583252</c:v>
                </c:pt>
                <c:pt idx="285">
                  <c:v>3.506678104400635</c:v>
                </c:pt>
                <c:pt idx="286">
                  <c:v>3.506310939788818</c:v>
                </c:pt>
                <c:pt idx="287">
                  <c:v>3.506321907043457</c:v>
                </c:pt>
                <c:pt idx="288">
                  <c:v>3.506509065628052</c:v>
                </c:pt>
              </c:numCache>
            </c:numRef>
          </c:yVal>
        </c:ser>
        <c:ser>
          <c:idx val="3"/>
          <c:order val="3"/>
          <c:tx>
            <c:strRef>
              <c:f>Legends!B5</c:f>
              <c:strCache>
                <c:ptCount val="1"/>
                <c:pt idx="0">
                  <c:v>VAR4</c:v>
                </c:pt>
              </c:strCache>
            </c:strRef>
          </c:tx>
          <c:marker>
            <c:symbol val="none"/>
          </c:marker>
          <c:xVal>
            <c:numRef>
              <c:f>SIM4!$D$11:$D$299</c:f>
              <c:numCache>
                <c:ptCount val="289"/>
                <c:pt idx="0">
                  <c:v>0</c:v>
                </c:pt>
                <c:pt idx="1">
                  <c:v>0.2503923773765564</c:v>
                </c:pt>
                <c:pt idx="2">
                  <c:v>0.5000028014183044</c:v>
                </c:pt>
                <c:pt idx="3">
                  <c:v>0.7500805258750916</c:v>
                </c:pt>
                <c:pt idx="4">
                  <c:v>1.00001060962677</c:v>
                </c:pt>
                <c:pt idx="5">
                  <c:v>1.250212550163269</c:v>
                </c:pt>
                <c:pt idx="6">
                  <c:v>1.50015115737915</c:v>
                </c:pt>
                <c:pt idx="7">
                  <c:v>1.750082492828369</c:v>
                </c:pt>
                <c:pt idx="8">
                  <c:v>2.000370740890503</c:v>
                </c:pt>
                <c:pt idx="9">
                  <c:v>2.250343084335327</c:v>
                </c:pt>
                <c:pt idx="10">
                  <c:v>2.500083684921265</c:v>
                </c:pt>
                <c:pt idx="11">
                  <c:v>2.750252246856689</c:v>
                </c:pt>
                <c:pt idx="12">
                  <c:v>3.000216722488403</c:v>
                </c:pt>
                <c:pt idx="13">
                  <c:v>3.250436067581177</c:v>
                </c:pt>
                <c:pt idx="14">
                  <c:v>3.50005841255188</c:v>
                </c:pt>
                <c:pt idx="15">
                  <c:v>3.750363826751709</c:v>
                </c:pt>
                <c:pt idx="16">
                  <c:v>4.000669479370117</c:v>
                </c:pt>
                <c:pt idx="17">
                  <c:v>4.250608444213867</c:v>
                </c:pt>
                <c:pt idx="18">
                  <c:v>4.500080585479736</c:v>
                </c:pt>
                <c:pt idx="19">
                  <c:v>4.750102996826172</c:v>
                </c:pt>
                <c:pt idx="20">
                  <c:v>5.000124931335449</c:v>
                </c:pt>
                <c:pt idx="21">
                  <c:v>5.250147342681885</c:v>
                </c:pt>
                <c:pt idx="22">
                  <c:v>5.500169277191162</c:v>
                </c:pt>
                <c:pt idx="23">
                  <c:v>5.750191688537598</c:v>
                </c:pt>
                <c:pt idx="24">
                  <c:v>6.000214099884033</c:v>
                </c:pt>
                <c:pt idx="25">
                  <c:v>6.250236034393311</c:v>
                </c:pt>
                <c:pt idx="26">
                  <c:v>6.500255584716797</c:v>
                </c:pt>
                <c:pt idx="27">
                  <c:v>6.750277996063232</c:v>
                </c:pt>
                <c:pt idx="28">
                  <c:v>7.00029993057251</c:v>
                </c:pt>
                <c:pt idx="29">
                  <c:v>7.250322341918945</c:v>
                </c:pt>
                <c:pt idx="30">
                  <c:v>7.500344276428223</c:v>
                </c:pt>
                <c:pt idx="31">
                  <c:v>7.750366687774658</c:v>
                </c:pt>
                <c:pt idx="32">
                  <c:v>8.000389099121094</c:v>
                </c:pt>
                <c:pt idx="33">
                  <c:v>8.250411033630371</c:v>
                </c:pt>
                <c:pt idx="34">
                  <c:v>8.500432968139648</c:v>
                </c:pt>
                <c:pt idx="35">
                  <c:v>8.750455856323242</c:v>
                </c:pt>
                <c:pt idx="36">
                  <c:v>9.00047779083252</c:v>
                </c:pt>
                <c:pt idx="37">
                  <c:v>9.250499725341797</c:v>
                </c:pt>
                <c:pt idx="38">
                  <c:v>9.500522613525391</c:v>
                </c:pt>
                <c:pt idx="39">
                  <c:v>9.750544548034668</c:v>
                </c:pt>
                <c:pt idx="40">
                  <c:v>10.00056648254395</c:v>
                </c:pt>
                <c:pt idx="41">
                  <c:v>10.25058841705322</c:v>
                </c:pt>
                <c:pt idx="42">
                  <c:v>10.50060844421387</c:v>
                </c:pt>
                <c:pt idx="43">
                  <c:v>10.75063037872314</c:v>
                </c:pt>
                <c:pt idx="44">
                  <c:v>11.00065231323242</c:v>
                </c:pt>
                <c:pt idx="45">
                  <c:v>11.25001621246338</c:v>
                </c:pt>
                <c:pt idx="46">
                  <c:v>11.50003910064697</c:v>
                </c:pt>
                <c:pt idx="47">
                  <c:v>11.75006103515625</c:v>
                </c:pt>
                <c:pt idx="48">
                  <c:v>12.00008296966553</c:v>
                </c:pt>
                <c:pt idx="49">
                  <c:v>12.25010585784912</c:v>
                </c:pt>
                <c:pt idx="50">
                  <c:v>12.50012493133545</c:v>
                </c:pt>
                <c:pt idx="51">
                  <c:v>12.75014686584473</c:v>
                </c:pt>
                <c:pt idx="52">
                  <c:v>13.00016975402832</c:v>
                </c:pt>
                <c:pt idx="53">
                  <c:v>13.2501916885376</c:v>
                </c:pt>
                <c:pt idx="54">
                  <c:v>13.50021362304688</c:v>
                </c:pt>
                <c:pt idx="55">
                  <c:v>13.75023651123047</c:v>
                </c:pt>
                <c:pt idx="56">
                  <c:v>14.00025844573975</c:v>
                </c:pt>
                <c:pt idx="57">
                  <c:v>14.25028038024902</c:v>
                </c:pt>
                <c:pt idx="58">
                  <c:v>14.5003023147583</c:v>
                </c:pt>
                <c:pt idx="59">
                  <c:v>14.75032520294189</c:v>
                </c:pt>
                <c:pt idx="60">
                  <c:v>15.00034713745117</c:v>
                </c:pt>
                <c:pt idx="61">
                  <c:v>15.25036907196045</c:v>
                </c:pt>
                <c:pt idx="62">
                  <c:v>15.50039196014404</c:v>
                </c:pt>
                <c:pt idx="63">
                  <c:v>15.75041389465332</c:v>
                </c:pt>
                <c:pt idx="64">
                  <c:v>16.00043678283691</c:v>
                </c:pt>
                <c:pt idx="65">
                  <c:v>16.25045585632324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17.00052261352539</c:v>
                </c:pt>
                <c:pt idx="69">
                  <c:v>17.25054359436035</c:v>
                </c:pt>
                <c:pt idx="70">
                  <c:v>17.50056648254395</c:v>
                </c:pt>
                <c:pt idx="71">
                  <c:v>17.75058937072754</c:v>
                </c:pt>
                <c:pt idx="72">
                  <c:v>18.0006103515625</c:v>
                </c:pt>
                <c:pt idx="73">
                  <c:v>18.25063323974609</c:v>
                </c:pt>
                <c:pt idx="74">
                  <c:v>18.50065612792969</c:v>
                </c:pt>
                <c:pt idx="75">
                  <c:v>18.7500171661377</c:v>
                </c:pt>
                <c:pt idx="76">
                  <c:v>19.00003814697266</c:v>
                </c:pt>
                <c:pt idx="77">
                  <c:v>19.25006103515625</c:v>
                </c:pt>
                <c:pt idx="78">
                  <c:v>19.50008392333984</c:v>
                </c:pt>
                <c:pt idx="79">
                  <c:v>19.7501049041748</c:v>
                </c:pt>
                <c:pt idx="80">
                  <c:v>20.0001277923584</c:v>
                </c:pt>
                <c:pt idx="81">
                  <c:v>20.25015068054199</c:v>
                </c:pt>
                <c:pt idx="82">
                  <c:v>20.50017166137695</c:v>
                </c:pt>
                <c:pt idx="83">
                  <c:v>20.75019454956055</c:v>
                </c:pt>
                <c:pt idx="84">
                  <c:v>21.00021743774414</c:v>
                </c:pt>
                <c:pt idx="85">
                  <c:v>21.2502384185791</c:v>
                </c:pt>
                <c:pt idx="86">
                  <c:v>21.5002613067627</c:v>
                </c:pt>
                <c:pt idx="87">
                  <c:v>21.75028419494629</c:v>
                </c:pt>
                <c:pt idx="88">
                  <c:v>22.00030326843262</c:v>
                </c:pt>
                <c:pt idx="89">
                  <c:v>22.25032424926758</c:v>
                </c:pt>
                <c:pt idx="90">
                  <c:v>22.50034713745117</c:v>
                </c:pt>
                <c:pt idx="91">
                  <c:v>22.75037002563477</c:v>
                </c:pt>
                <c:pt idx="92">
                  <c:v>23.00039100646973</c:v>
                </c:pt>
                <c:pt idx="93">
                  <c:v>23.25041389465332</c:v>
                </c:pt>
                <c:pt idx="94">
                  <c:v>23.50043678283691</c:v>
                </c:pt>
                <c:pt idx="95">
                  <c:v>23.75045776367188</c:v>
                </c:pt>
                <c:pt idx="96">
                  <c:v>24.00048065185547</c:v>
                </c:pt>
                <c:pt idx="97">
                  <c:v>24.25050354003906</c:v>
                </c:pt>
                <c:pt idx="98">
                  <c:v>24.50052452087402</c:v>
                </c:pt>
                <c:pt idx="99">
                  <c:v>24.75054740905762</c:v>
                </c:pt>
                <c:pt idx="100">
                  <c:v>25.00057029724121</c:v>
                </c:pt>
                <c:pt idx="101">
                  <c:v>25.25059127807617</c:v>
                </c:pt>
                <c:pt idx="102">
                  <c:v>25.50061416625977</c:v>
                </c:pt>
                <c:pt idx="103">
                  <c:v>25.75063705444336</c:v>
                </c:pt>
                <c:pt idx="104">
                  <c:v>26.00065612792969</c:v>
                </c:pt>
                <c:pt idx="105">
                  <c:v>26.25001907348633</c:v>
                </c:pt>
                <c:pt idx="106">
                  <c:v>26.50004196166992</c:v>
                </c:pt>
                <c:pt idx="107">
                  <c:v>26.75006294250488</c:v>
                </c:pt>
                <c:pt idx="108">
                  <c:v>27.00008583068848</c:v>
                </c:pt>
                <c:pt idx="109">
                  <c:v>27.25010871887207</c:v>
                </c:pt>
                <c:pt idx="110">
                  <c:v>27.50012969970703</c:v>
                </c:pt>
                <c:pt idx="111">
                  <c:v>27.75015258789062</c:v>
                </c:pt>
                <c:pt idx="112">
                  <c:v>28.00016593933105</c:v>
                </c:pt>
                <c:pt idx="113">
                  <c:v>28.25019454956055</c:v>
                </c:pt>
                <c:pt idx="114">
                  <c:v>28.50022315979004</c:v>
                </c:pt>
                <c:pt idx="115">
                  <c:v>28.7502498626709</c:v>
                </c:pt>
                <c:pt idx="116">
                  <c:v>29.0002498626709</c:v>
                </c:pt>
                <c:pt idx="117">
                  <c:v>29.25027847290039</c:v>
                </c:pt>
                <c:pt idx="118">
                  <c:v>29.50030517578125</c:v>
                </c:pt>
                <c:pt idx="119">
                  <c:v>29.75033378601074</c:v>
                </c:pt>
                <c:pt idx="120">
                  <c:v>30.0003604888916</c:v>
                </c:pt>
                <c:pt idx="121">
                  <c:v>30.2503604888916</c:v>
                </c:pt>
                <c:pt idx="122">
                  <c:v>30.50038909912109</c:v>
                </c:pt>
                <c:pt idx="123">
                  <c:v>30.75041580200195</c:v>
                </c:pt>
                <c:pt idx="124">
                  <c:v>31.00044441223145</c:v>
                </c:pt>
                <c:pt idx="125">
                  <c:v>31.25047302246094</c:v>
                </c:pt>
                <c:pt idx="126">
                  <c:v>31.50047302246094</c:v>
                </c:pt>
                <c:pt idx="127">
                  <c:v>31.7504997253418</c:v>
                </c:pt>
                <c:pt idx="128">
                  <c:v>32.00052642822266</c:v>
                </c:pt>
                <c:pt idx="129">
                  <c:v>32.25055694580078</c:v>
                </c:pt>
                <c:pt idx="130">
                  <c:v>32.50058364868164</c:v>
                </c:pt>
                <c:pt idx="131">
                  <c:v>32.75058364868164</c:v>
                </c:pt>
                <c:pt idx="132">
                  <c:v>33.0006103515625</c:v>
                </c:pt>
                <c:pt idx="133">
                  <c:v>33.25063705444336</c:v>
                </c:pt>
                <c:pt idx="134">
                  <c:v>33.50066757202148</c:v>
                </c:pt>
                <c:pt idx="135">
                  <c:v>33.75002670288086</c:v>
                </c:pt>
                <c:pt idx="136">
                  <c:v>34.00005722045898</c:v>
                </c:pt>
                <c:pt idx="137">
                  <c:v>34.25005722045898</c:v>
                </c:pt>
                <c:pt idx="138">
                  <c:v>34.50008392333984</c:v>
                </c:pt>
                <c:pt idx="139">
                  <c:v>34.7501106262207</c:v>
                </c:pt>
                <c:pt idx="140">
                  <c:v>35.00013732910156</c:v>
                </c:pt>
                <c:pt idx="141">
                  <c:v>35.25016784667969</c:v>
                </c:pt>
                <c:pt idx="142">
                  <c:v>35.50016784667969</c:v>
                </c:pt>
                <c:pt idx="143">
                  <c:v>35.75019454956055</c:v>
                </c:pt>
                <c:pt idx="144">
                  <c:v>36.00022125244141</c:v>
                </c:pt>
                <c:pt idx="145">
                  <c:v>36.25025177001953</c:v>
                </c:pt>
                <c:pt idx="146">
                  <c:v>36.50025177001953</c:v>
                </c:pt>
                <c:pt idx="147">
                  <c:v>36.75027847290039</c:v>
                </c:pt>
                <c:pt idx="148">
                  <c:v>37.00030517578125</c:v>
                </c:pt>
                <c:pt idx="149">
                  <c:v>37.25033187866211</c:v>
                </c:pt>
                <c:pt idx="150">
                  <c:v>37.50036239624023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38.75047302246094</c:v>
                </c:pt>
                <c:pt idx="156">
                  <c:v>39.00047302246094</c:v>
                </c:pt>
                <c:pt idx="157">
                  <c:v>39.2504997253418</c:v>
                </c:pt>
                <c:pt idx="158">
                  <c:v>39.50052642822266</c:v>
                </c:pt>
                <c:pt idx="159">
                  <c:v>39.75055694580078</c:v>
                </c:pt>
                <c:pt idx="160">
                  <c:v>40.00058364868164</c:v>
                </c:pt>
                <c:pt idx="161">
                  <c:v>40.25058364868164</c:v>
                </c:pt>
                <c:pt idx="162">
                  <c:v>40.5006103515625</c:v>
                </c:pt>
                <c:pt idx="163">
                  <c:v>40.75063705444336</c:v>
                </c:pt>
                <c:pt idx="164">
                  <c:v>41</c:v>
                </c:pt>
                <c:pt idx="165">
                  <c:v>41.25002670288086</c:v>
                </c:pt>
                <c:pt idx="166">
                  <c:v>41.50005722045898</c:v>
                </c:pt>
                <c:pt idx="167">
                  <c:v>41.75005722045898</c:v>
                </c:pt>
                <c:pt idx="168">
                  <c:v>42.00008392333984</c:v>
                </c:pt>
                <c:pt idx="169">
                  <c:v>42.2501106262207</c:v>
                </c:pt>
                <c:pt idx="170">
                  <c:v>42.50013732910156</c:v>
                </c:pt>
                <c:pt idx="171">
                  <c:v>42.75016784667969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44.25027847290039</c:v>
                </c:pt>
                <c:pt idx="178">
                  <c:v>44.50030517578125</c:v>
                </c:pt>
                <c:pt idx="179">
                  <c:v>44.75033187866211</c:v>
                </c:pt>
                <c:pt idx="180">
                  <c:v>45.00036239624023</c:v>
                </c:pt>
                <c:pt idx="181">
                  <c:v>45.25038909912109</c:v>
                </c:pt>
                <c:pt idx="182">
                  <c:v>45.50038909912109</c:v>
                </c:pt>
                <c:pt idx="183">
                  <c:v>45.75041580200195</c:v>
                </c:pt>
                <c:pt idx="184">
                  <c:v>46.00044631958008</c:v>
                </c:pt>
                <c:pt idx="185">
                  <c:v>46.25047302246094</c:v>
                </c:pt>
                <c:pt idx="186">
                  <c:v>46.50047302246094</c:v>
                </c:pt>
                <c:pt idx="187">
                  <c:v>46.7504997253418</c:v>
                </c:pt>
                <c:pt idx="188">
                  <c:v>47.00052642822266</c:v>
                </c:pt>
                <c:pt idx="189">
                  <c:v>47.25055694580078</c:v>
                </c:pt>
                <c:pt idx="190">
                  <c:v>47.50058364868164</c:v>
                </c:pt>
                <c:pt idx="191">
                  <c:v>47.75058364868164</c:v>
                </c:pt>
                <c:pt idx="192">
                  <c:v>48.0006103515625</c:v>
                </c:pt>
                <c:pt idx="193">
                  <c:v>48.25063705444336</c:v>
                </c:pt>
                <c:pt idx="194">
                  <c:v>48.5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49.25005722045898</c:v>
                </c:pt>
                <c:pt idx="198">
                  <c:v>49.50008392333984</c:v>
                </c:pt>
                <c:pt idx="199">
                  <c:v>49.7501106262207</c:v>
                </c:pt>
                <c:pt idx="200">
                  <c:v>50.00013732910156</c:v>
                </c:pt>
                <c:pt idx="201">
                  <c:v>50.25016784667969</c:v>
                </c:pt>
                <c:pt idx="202">
                  <c:v>50.50016784667969</c:v>
                </c:pt>
                <c:pt idx="203">
                  <c:v>50.75019454956055</c:v>
                </c:pt>
                <c:pt idx="204">
                  <c:v>51.00022125244141</c:v>
                </c:pt>
                <c:pt idx="205">
                  <c:v>51.25025177001953</c:v>
                </c:pt>
                <c:pt idx="206">
                  <c:v>51.50027847290039</c:v>
                </c:pt>
                <c:pt idx="207">
                  <c:v>51.75027847290039</c:v>
                </c:pt>
                <c:pt idx="208">
                  <c:v>52.00030517578125</c:v>
                </c:pt>
                <c:pt idx="209">
                  <c:v>52.25033187866211</c:v>
                </c:pt>
                <c:pt idx="210">
                  <c:v>52.50036239624023</c:v>
                </c:pt>
                <c:pt idx="211">
                  <c:v>52.75038909912109</c:v>
                </c:pt>
                <c:pt idx="212">
                  <c:v>53.00038909912109</c:v>
                </c:pt>
                <c:pt idx="213">
                  <c:v>53.25041580200195</c:v>
                </c:pt>
                <c:pt idx="214">
                  <c:v>53.50044631958008</c:v>
                </c:pt>
                <c:pt idx="215">
                  <c:v>53.75047302246094</c:v>
                </c:pt>
                <c:pt idx="216">
                  <c:v>54.0004997253418</c:v>
                </c:pt>
                <c:pt idx="217">
                  <c:v>54.2504997253418</c:v>
                </c:pt>
                <c:pt idx="218">
                  <c:v>54.50052642822266</c:v>
                </c:pt>
                <c:pt idx="219">
                  <c:v>54.75055694580078</c:v>
                </c:pt>
                <c:pt idx="220">
                  <c:v>55.00058364868164</c:v>
                </c:pt>
                <c:pt idx="221">
                  <c:v>55.25058364868164</c:v>
                </c:pt>
                <c:pt idx="222">
                  <c:v>55.5006103515625</c:v>
                </c:pt>
                <c:pt idx="223">
                  <c:v>55.75063705444336</c:v>
                </c:pt>
                <c:pt idx="224">
                  <c:v>56</c:v>
                </c:pt>
                <c:pt idx="225">
                  <c:v>56.25002670288086</c:v>
                </c:pt>
                <c:pt idx="226">
                  <c:v>56.50005722045898</c:v>
                </c:pt>
                <c:pt idx="227">
                  <c:v>56.75008392333984</c:v>
                </c:pt>
                <c:pt idx="228">
                  <c:v>57.00008392333984</c:v>
                </c:pt>
                <c:pt idx="229">
                  <c:v>57.2501106262207</c:v>
                </c:pt>
                <c:pt idx="230">
                  <c:v>57.50013732910156</c:v>
                </c:pt>
                <c:pt idx="231">
                  <c:v>57.75016784667969</c:v>
                </c:pt>
                <c:pt idx="232">
                  <c:v>58.00016784667969</c:v>
                </c:pt>
                <c:pt idx="233">
                  <c:v>58.25019454956055</c:v>
                </c:pt>
                <c:pt idx="234">
                  <c:v>58.50022125244141</c:v>
                </c:pt>
                <c:pt idx="235">
                  <c:v>58.75025177001953</c:v>
                </c:pt>
                <c:pt idx="236">
                  <c:v>59.00027847290039</c:v>
                </c:pt>
                <c:pt idx="237">
                  <c:v>59.25027847290039</c:v>
                </c:pt>
                <c:pt idx="238">
                  <c:v>59.50030517578125</c:v>
                </c:pt>
                <c:pt idx="239">
                  <c:v>59.75033187866211</c:v>
                </c:pt>
                <c:pt idx="240">
                  <c:v>60.00036239624023</c:v>
                </c:pt>
                <c:pt idx="241">
                  <c:v>60.25038909912109</c:v>
                </c:pt>
                <c:pt idx="242">
                  <c:v>60.50038909912109</c:v>
                </c:pt>
                <c:pt idx="243">
                  <c:v>60.75041580200195</c:v>
                </c:pt>
                <c:pt idx="244">
                  <c:v>61.00044631958008</c:v>
                </c:pt>
                <c:pt idx="245">
                  <c:v>61.25047302246094</c:v>
                </c:pt>
                <c:pt idx="246">
                  <c:v>61.5004997253418</c:v>
                </c:pt>
                <c:pt idx="247">
                  <c:v>61.7504997253418</c:v>
                </c:pt>
                <c:pt idx="248">
                  <c:v>62.00052642822266</c:v>
                </c:pt>
                <c:pt idx="249">
                  <c:v>62.25055694580078</c:v>
                </c:pt>
                <c:pt idx="250">
                  <c:v>62.50058364868164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63.25063705444336</c:v>
                </c:pt>
                <c:pt idx="254">
                  <c:v>63.5</c:v>
                </c:pt>
                <c:pt idx="255">
                  <c:v>63.75002670288086</c:v>
                </c:pt>
                <c:pt idx="256">
                  <c:v>64.00005340576172</c:v>
                </c:pt>
                <c:pt idx="257">
                  <c:v>64.25008392333984</c:v>
                </c:pt>
                <c:pt idx="258">
                  <c:v>64.50008392333984</c:v>
                </c:pt>
                <c:pt idx="259">
                  <c:v>64.75011444091797</c:v>
                </c:pt>
                <c:pt idx="260">
                  <c:v>65.00013732910156</c:v>
                </c:pt>
                <c:pt idx="261">
                  <c:v>65.25016784667969</c:v>
                </c:pt>
                <c:pt idx="262">
                  <c:v>65.50019073486328</c:v>
                </c:pt>
                <c:pt idx="263">
                  <c:v>65.75019073486328</c:v>
                </c:pt>
                <c:pt idx="264">
                  <c:v>66.00022125244141</c:v>
                </c:pt>
                <c:pt idx="265">
                  <c:v>66.25025177001953</c:v>
                </c:pt>
                <c:pt idx="266">
                  <c:v>66.50027465820312</c:v>
                </c:pt>
                <c:pt idx="267">
                  <c:v>66.75030517578125</c:v>
                </c:pt>
                <c:pt idx="268">
                  <c:v>67.00030517578125</c:v>
                </c:pt>
                <c:pt idx="269">
                  <c:v>67.25033569335938</c:v>
                </c:pt>
                <c:pt idx="270">
                  <c:v>67.50035858154297</c:v>
                </c:pt>
                <c:pt idx="271">
                  <c:v>67.75038909912109</c:v>
                </c:pt>
                <c:pt idx="272">
                  <c:v>68.00038909912109</c:v>
                </c:pt>
                <c:pt idx="273">
                  <c:v>68.25041961669922</c:v>
                </c:pt>
                <c:pt idx="274">
                  <c:v>68.50044250488281</c:v>
                </c:pt>
                <c:pt idx="275">
                  <c:v>68.75047302246094</c:v>
                </c:pt>
                <c:pt idx="276">
                  <c:v>69.00050354003906</c:v>
                </c:pt>
                <c:pt idx="277">
                  <c:v>69.25050354003906</c:v>
                </c:pt>
                <c:pt idx="278">
                  <c:v>69.50052642822266</c:v>
                </c:pt>
                <c:pt idx="279">
                  <c:v>69.75055694580078</c:v>
                </c:pt>
                <c:pt idx="280">
                  <c:v>70.00057983398438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70.75064086914062</c:v>
                </c:pt>
                <c:pt idx="284">
                  <c:v>71</c:v>
                </c:pt>
                <c:pt idx="285">
                  <c:v>71.25003051757812</c:v>
                </c:pt>
                <c:pt idx="286">
                  <c:v>71.50005340576172</c:v>
                </c:pt>
                <c:pt idx="287">
                  <c:v>71.75008392333984</c:v>
                </c:pt>
                <c:pt idx="288">
                  <c:v>72.00008392333984</c:v>
                </c:pt>
              </c:numCache>
            </c:numRef>
          </c:xVal>
          <c:yVal>
            <c:numRef>
              <c:f>SIM4!$I$11:$I$299</c:f>
              <c:numCache>
                <c:ptCount val="289"/>
                <c:pt idx="0">
                  <c:v>0.04023474827408791</c:v>
                </c:pt>
                <c:pt idx="1">
                  <c:v>0.03208952024579048</c:v>
                </c:pt>
                <c:pt idx="2">
                  <c:v>0.02026757970452309</c:v>
                </c:pt>
                <c:pt idx="3">
                  <c:v>0.02031189016997814</c:v>
                </c:pt>
                <c:pt idx="4">
                  <c:v>9.708891868591309</c:v>
                </c:pt>
                <c:pt idx="5">
                  <c:v>4.851388931274414</c:v>
                </c:pt>
                <c:pt idx="6">
                  <c:v>5.958818912506104</c:v>
                </c:pt>
                <c:pt idx="7">
                  <c:v>14.52054977416992</c:v>
                </c:pt>
                <c:pt idx="8">
                  <c:v>25.39755058288574</c:v>
                </c:pt>
                <c:pt idx="9">
                  <c:v>7.09949779510498</c:v>
                </c:pt>
                <c:pt idx="10">
                  <c:v>8.266169548034668</c:v>
                </c:pt>
                <c:pt idx="11">
                  <c:v>22.5219898223877</c:v>
                </c:pt>
                <c:pt idx="12">
                  <c:v>24.76015090942383</c:v>
                </c:pt>
                <c:pt idx="13">
                  <c:v>22.60177993774414</c:v>
                </c:pt>
                <c:pt idx="14">
                  <c:v>17.9199104309082</c:v>
                </c:pt>
                <c:pt idx="15">
                  <c:v>22.36252021789551</c:v>
                </c:pt>
                <c:pt idx="16">
                  <c:v>22.96622085571289</c:v>
                </c:pt>
                <c:pt idx="17">
                  <c:v>21.10944938659668</c:v>
                </c:pt>
                <c:pt idx="18">
                  <c:v>18.06533050537109</c:v>
                </c:pt>
                <c:pt idx="19">
                  <c:v>21.98818969726562</c:v>
                </c:pt>
                <c:pt idx="20">
                  <c:v>22.12310981750488</c:v>
                </c:pt>
                <c:pt idx="21">
                  <c:v>20.45653915405273</c:v>
                </c:pt>
                <c:pt idx="22">
                  <c:v>18.94076919555664</c:v>
                </c:pt>
                <c:pt idx="23">
                  <c:v>21.85592079162598</c:v>
                </c:pt>
                <c:pt idx="24">
                  <c:v>21.90521049499512</c:v>
                </c:pt>
                <c:pt idx="25">
                  <c:v>20.22295951843262</c:v>
                </c:pt>
                <c:pt idx="26">
                  <c:v>20.03248977661133</c:v>
                </c:pt>
                <c:pt idx="27">
                  <c:v>21.8056697845459</c:v>
                </c:pt>
                <c:pt idx="28">
                  <c:v>21.66011047363281</c:v>
                </c:pt>
                <c:pt idx="29">
                  <c:v>20.62030029296875</c:v>
                </c:pt>
                <c:pt idx="30">
                  <c:v>20.46223068237305</c:v>
                </c:pt>
                <c:pt idx="31">
                  <c:v>21.61075973510742</c:v>
                </c:pt>
                <c:pt idx="32">
                  <c:v>21.48228073120117</c:v>
                </c:pt>
                <c:pt idx="33">
                  <c:v>20.70138931274414</c:v>
                </c:pt>
                <c:pt idx="34">
                  <c:v>20.71396064758301</c:v>
                </c:pt>
                <c:pt idx="35">
                  <c:v>21.49667930603027</c:v>
                </c:pt>
                <c:pt idx="36">
                  <c:v>21.37198066711426</c:v>
                </c:pt>
                <c:pt idx="37">
                  <c:v>20.76733016967773</c:v>
                </c:pt>
                <c:pt idx="38">
                  <c:v>20.85585021972656</c:v>
                </c:pt>
                <c:pt idx="39">
                  <c:v>21.393310546875</c:v>
                </c:pt>
                <c:pt idx="40">
                  <c:v>21.27393913269043</c:v>
                </c:pt>
                <c:pt idx="41">
                  <c:v>20.82502937316895</c:v>
                </c:pt>
                <c:pt idx="42">
                  <c:v>20.94516944885254</c:v>
                </c:pt>
                <c:pt idx="43">
                  <c:v>21.32176971435547</c:v>
                </c:pt>
                <c:pt idx="44">
                  <c:v>21.20739936828613</c:v>
                </c:pt>
                <c:pt idx="45">
                  <c:v>20.88340950012207</c:v>
                </c:pt>
                <c:pt idx="46">
                  <c:v>21.00489044189453</c:v>
                </c:pt>
                <c:pt idx="47">
                  <c:v>21.27212905883789</c:v>
                </c:pt>
                <c:pt idx="48">
                  <c:v>21.16435050964355</c:v>
                </c:pt>
                <c:pt idx="49">
                  <c:v>20.93088912963867</c:v>
                </c:pt>
                <c:pt idx="50">
                  <c:v>21.0449104309082</c:v>
                </c:pt>
                <c:pt idx="51">
                  <c:v>21.22398948669434</c:v>
                </c:pt>
                <c:pt idx="52">
                  <c:v>21.13179969787598</c:v>
                </c:pt>
                <c:pt idx="53">
                  <c:v>20.97496032714844</c:v>
                </c:pt>
                <c:pt idx="54">
                  <c:v>21.06722068786621</c:v>
                </c:pt>
                <c:pt idx="55">
                  <c:v>21.19618034362793</c:v>
                </c:pt>
                <c:pt idx="56">
                  <c:v>21.11816024780273</c:v>
                </c:pt>
                <c:pt idx="57">
                  <c:v>21.00362968444824</c:v>
                </c:pt>
                <c:pt idx="58">
                  <c:v>21.08719062805176</c:v>
                </c:pt>
                <c:pt idx="59">
                  <c:v>21.1772403717041</c:v>
                </c:pt>
                <c:pt idx="60">
                  <c:v>21.10877990722656</c:v>
                </c:pt>
                <c:pt idx="61">
                  <c:v>21.03092956542969</c:v>
                </c:pt>
                <c:pt idx="62">
                  <c:v>21.10000991821289</c:v>
                </c:pt>
                <c:pt idx="63">
                  <c:v>21.15966033935547</c:v>
                </c:pt>
                <c:pt idx="64">
                  <c:v>21.10087013244629</c:v>
                </c:pt>
                <c:pt idx="65">
                  <c:v>21.05570030212402</c:v>
                </c:pt>
                <c:pt idx="66">
                  <c:v>21.10823059082031</c:v>
                </c:pt>
                <c:pt idx="67">
                  <c:v>21.14681053161621</c:v>
                </c:pt>
                <c:pt idx="68">
                  <c:v>21.09840965270996</c:v>
                </c:pt>
                <c:pt idx="69">
                  <c:v>21.06521987915039</c:v>
                </c:pt>
                <c:pt idx="70">
                  <c:v>21.11404991149902</c:v>
                </c:pt>
                <c:pt idx="71">
                  <c:v>21.13417053222656</c:v>
                </c:pt>
                <c:pt idx="72">
                  <c:v>21.09818077087402</c:v>
                </c:pt>
                <c:pt idx="73">
                  <c:v>21.08366966247559</c:v>
                </c:pt>
                <c:pt idx="74">
                  <c:v>21.11523056030273</c:v>
                </c:pt>
                <c:pt idx="75">
                  <c:v>21.12878036499023</c:v>
                </c:pt>
                <c:pt idx="76">
                  <c:v>21.10424995422363</c:v>
                </c:pt>
                <c:pt idx="77">
                  <c:v>21.09225082397461</c:v>
                </c:pt>
                <c:pt idx="78">
                  <c:v>21.11360931396484</c:v>
                </c:pt>
                <c:pt idx="79">
                  <c:v>21.12608909606934</c:v>
                </c:pt>
                <c:pt idx="80">
                  <c:v>21.10898017883301</c:v>
                </c:pt>
                <c:pt idx="81">
                  <c:v>21.09709930419922</c:v>
                </c:pt>
                <c:pt idx="82">
                  <c:v>21.11360931396484</c:v>
                </c:pt>
                <c:pt idx="83">
                  <c:v>21.12760925292969</c:v>
                </c:pt>
                <c:pt idx="84">
                  <c:v>21.11214065551758</c:v>
                </c:pt>
                <c:pt idx="85">
                  <c:v>21.10083961486816</c:v>
                </c:pt>
                <c:pt idx="86">
                  <c:v>21.11465072631836</c:v>
                </c:pt>
                <c:pt idx="87">
                  <c:v>21.12391090393066</c:v>
                </c:pt>
                <c:pt idx="88">
                  <c:v>21.11193084716797</c:v>
                </c:pt>
                <c:pt idx="89">
                  <c:v>21.10500907897949</c:v>
                </c:pt>
                <c:pt idx="90">
                  <c:v>21.11631011962891</c:v>
                </c:pt>
                <c:pt idx="91">
                  <c:v>21.12252044677734</c:v>
                </c:pt>
                <c:pt idx="92">
                  <c:v>21.11375999450684</c:v>
                </c:pt>
                <c:pt idx="93">
                  <c:v>21.11000061035156</c:v>
                </c:pt>
                <c:pt idx="94">
                  <c:v>21.11911010742188</c:v>
                </c:pt>
                <c:pt idx="95">
                  <c:v>21.12295913696289</c:v>
                </c:pt>
                <c:pt idx="96">
                  <c:v>21.11587905883789</c:v>
                </c:pt>
                <c:pt idx="97">
                  <c:v>21.11352920532227</c:v>
                </c:pt>
                <c:pt idx="98">
                  <c:v>21.11916923522949</c:v>
                </c:pt>
                <c:pt idx="99">
                  <c:v>21.12105941772461</c:v>
                </c:pt>
                <c:pt idx="100">
                  <c:v>21.11618041992188</c:v>
                </c:pt>
                <c:pt idx="101">
                  <c:v>21.11506080627441</c:v>
                </c:pt>
                <c:pt idx="102">
                  <c:v>21.11967086791992</c:v>
                </c:pt>
                <c:pt idx="103">
                  <c:v>21.12087059020996</c:v>
                </c:pt>
                <c:pt idx="104">
                  <c:v>21.11730003356934</c:v>
                </c:pt>
                <c:pt idx="105">
                  <c:v>21.11693954467773</c:v>
                </c:pt>
                <c:pt idx="106">
                  <c:v>21.12054061889648</c:v>
                </c:pt>
                <c:pt idx="107">
                  <c:v>21.12096977233887</c:v>
                </c:pt>
                <c:pt idx="108">
                  <c:v>21.11853981018066</c:v>
                </c:pt>
                <c:pt idx="109">
                  <c:v>21.11837959289551</c:v>
                </c:pt>
                <c:pt idx="110">
                  <c:v>21.120849609375</c:v>
                </c:pt>
                <c:pt idx="111">
                  <c:v>21.12122917175293</c:v>
                </c:pt>
                <c:pt idx="112">
                  <c:v>21.11957931518555</c:v>
                </c:pt>
                <c:pt idx="113">
                  <c:v>21.11993980407715</c:v>
                </c:pt>
                <c:pt idx="114">
                  <c:v>21.1224308013916</c:v>
                </c:pt>
                <c:pt idx="115">
                  <c:v>21.12245941162109</c:v>
                </c:pt>
                <c:pt idx="116">
                  <c:v>21.1210994720459</c:v>
                </c:pt>
                <c:pt idx="117">
                  <c:v>21.12167930603027</c:v>
                </c:pt>
                <c:pt idx="118">
                  <c:v>21.12278938293457</c:v>
                </c:pt>
                <c:pt idx="119">
                  <c:v>21.12235069274902</c:v>
                </c:pt>
                <c:pt idx="120">
                  <c:v>21.12150955200195</c:v>
                </c:pt>
                <c:pt idx="121">
                  <c:v>21.12214088439941</c:v>
                </c:pt>
                <c:pt idx="122">
                  <c:v>21.12313079833984</c:v>
                </c:pt>
                <c:pt idx="123">
                  <c:v>21.12306976318359</c:v>
                </c:pt>
                <c:pt idx="124">
                  <c:v>21.12239074707031</c:v>
                </c:pt>
                <c:pt idx="125">
                  <c:v>21.1229305267334</c:v>
                </c:pt>
                <c:pt idx="126">
                  <c:v>21.1236400604248</c:v>
                </c:pt>
                <c:pt idx="127">
                  <c:v>21.12323951721191</c:v>
                </c:pt>
                <c:pt idx="128">
                  <c:v>21.12290954589844</c:v>
                </c:pt>
                <c:pt idx="129">
                  <c:v>21.12346076965332</c:v>
                </c:pt>
                <c:pt idx="130">
                  <c:v>21.12431907653809</c:v>
                </c:pt>
                <c:pt idx="131">
                  <c:v>21.12420082092285</c:v>
                </c:pt>
                <c:pt idx="132">
                  <c:v>21.12335014343262</c:v>
                </c:pt>
                <c:pt idx="133">
                  <c:v>21.12348937988281</c:v>
                </c:pt>
                <c:pt idx="134">
                  <c:v>21.12422943115234</c:v>
                </c:pt>
                <c:pt idx="135">
                  <c:v>21.12431907653809</c:v>
                </c:pt>
                <c:pt idx="136">
                  <c:v>21.12389945983887</c:v>
                </c:pt>
                <c:pt idx="137">
                  <c:v>21.1241397857666</c:v>
                </c:pt>
                <c:pt idx="138">
                  <c:v>21.12479019165039</c:v>
                </c:pt>
                <c:pt idx="139">
                  <c:v>21.1248607635498</c:v>
                </c:pt>
                <c:pt idx="140">
                  <c:v>21.1245002746582</c:v>
                </c:pt>
                <c:pt idx="141">
                  <c:v>21.12503051757812</c:v>
                </c:pt>
                <c:pt idx="142">
                  <c:v>21.1256103515625</c:v>
                </c:pt>
                <c:pt idx="143">
                  <c:v>21.12562942504883</c:v>
                </c:pt>
                <c:pt idx="144">
                  <c:v>21.12571907043457</c:v>
                </c:pt>
                <c:pt idx="145">
                  <c:v>21.12598037719727</c:v>
                </c:pt>
                <c:pt idx="146">
                  <c:v>21.12616920471191</c:v>
                </c:pt>
                <c:pt idx="147">
                  <c:v>21.12615966796875</c:v>
                </c:pt>
                <c:pt idx="148">
                  <c:v>21.12631034851074</c:v>
                </c:pt>
                <c:pt idx="149">
                  <c:v>21.12660980224609</c:v>
                </c:pt>
                <c:pt idx="150">
                  <c:v>21.12692070007324</c:v>
                </c:pt>
                <c:pt idx="151">
                  <c:v>21.12709045410156</c:v>
                </c:pt>
                <c:pt idx="152">
                  <c:v>21.12725067138672</c:v>
                </c:pt>
                <c:pt idx="153">
                  <c:v>21.12743949890137</c:v>
                </c:pt>
                <c:pt idx="154">
                  <c:v>21.1273307800293</c:v>
                </c:pt>
                <c:pt idx="155">
                  <c:v>21.1270809173584</c:v>
                </c:pt>
                <c:pt idx="156">
                  <c:v>21.1271800994873</c:v>
                </c:pt>
                <c:pt idx="157">
                  <c:v>21.12729072570801</c:v>
                </c:pt>
                <c:pt idx="158">
                  <c:v>21.12705039978027</c:v>
                </c:pt>
                <c:pt idx="159">
                  <c:v>21.1270809173584</c:v>
                </c:pt>
                <c:pt idx="160">
                  <c:v>21.12714958190918</c:v>
                </c:pt>
                <c:pt idx="161">
                  <c:v>21.12710952758789</c:v>
                </c:pt>
                <c:pt idx="162">
                  <c:v>21.12723922729492</c:v>
                </c:pt>
                <c:pt idx="163">
                  <c:v>21.1275806427002</c:v>
                </c:pt>
                <c:pt idx="164">
                  <c:v>21.12779998779297</c:v>
                </c:pt>
                <c:pt idx="165">
                  <c:v>21.12793922424316</c:v>
                </c:pt>
                <c:pt idx="166">
                  <c:v>21.12812042236328</c:v>
                </c:pt>
                <c:pt idx="167">
                  <c:v>21.12811088562012</c:v>
                </c:pt>
                <c:pt idx="168">
                  <c:v>21.12800025939941</c:v>
                </c:pt>
                <c:pt idx="169">
                  <c:v>21.12797927856445</c:v>
                </c:pt>
                <c:pt idx="170">
                  <c:v>21.1280403137207</c:v>
                </c:pt>
                <c:pt idx="171">
                  <c:v>21.12803077697754</c:v>
                </c:pt>
                <c:pt idx="172">
                  <c:v>21.12804985046387</c:v>
                </c:pt>
                <c:pt idx="173">
                  <c:v>21.12808036804199</c:v>
                </c:pt>
                <c:pt idx="174">
                  <c:v>21.12817001342773</c:v>
                </c:pt>
                <c:pt idx="175">
                  <c:v>21.12837028503418</c:v>
                </c:pt>
                <c:pt idx="176">
                  <c:v>21.12862968444824</c:v>
                </c:pt>
                <c:pt idx="177">
                  <c:v>21.12863922119141</c:v>
                </c:pt>
                <c:pt idx="178">
                  <c:v>21.12855911254883</c:v>
                </c:pt>
                <c:pt idx="179">
                  <c:v>21.1286506652832</c:v>
                </c:pt>
                <c:pt idx="180">
                  <c:v>21.12881088256836</c:v>
                </c:pt>
                <c:pt idx="181">
                  <c:v>21.1287899017334</c:v>
                </c:pt>
                <c:pt idx="182">
                  <c:v>21.12869071960449</c:v>
                </c:pt>
                <c:pt idx="183">
                  <c:v>21.12878036499023</c:v>
                </c:pt>
                <c:pt idx="184">
                  <c:v>21.12894058227539</c:v>
                </c:pt>
                <c:pt idx="185">
                  <c:v>21.12895965576172</c:v>
                </c:pt>
                <c:pt idx="186">
                  <c:v>21.12910079956055</c:v>
                </c:pt>
                <c:pt idx="187">
                  <c:v>21.12937927246094</c:v>
                </c:pt>
                <c:pt idx="188">
                  <c:v>21.12956047058105</c:v>
                </c:pt>
                <c:pt idx="189">
                  <c:v>21.12952995300293</c:v>
                </c:pt>
                <c:pt idx="190">
                  <c:v>21.12948989868164</c:v>
                </c:pt>
                <c:pt idx="191">
                  <c:v>21.12970924377441</c:v>
                </c:pt>
                <c:pt idx="192">
                  <c:v>21.1297492980957</c:v>
                </c:pt>
                <c:pt idx="193">
                  <c:v>21.12961006164551</c:v>
                </c:pt>
                <c:pt idx="194">
                  <c:v>21.12961959838867</c:v>
                </c:pt>
                <c:pt idx="195">
                  <c:v>21.12970924377441</c:v>
                </c:pt>
                <c:pt idx="196">
                  <c:v>21.12973976135254</c:v>
                </c:pt>
                <c:pt idx="197">
                  <c:v>21.12973976135254</c:v>
                </c:pt>
                <c:pt idx="198">
                  <c:v>21.12973976135254</c:v>
                </c:pt>
                <c:pt idx="199">
                  <c:v>21.12978935241699</c:v>
                </c:pt>
                <c:pt idx="200">
                  <c:v>21.12977981567383</c:v>
                </c:pt>
                <c:pt idx="201">
                  <c:v>21.12980079650879</c:v>
                </c:pt>
                <c:pt idx="202">
                  <c:v>21.12977027893066</c:v>
                </c:pt>
                <c:pt idx="203">
                  <c:v>21.12984085083008</c:v>
                </c:pt>
                <c:pt idx="204">
                  <c:v>21.12991905212402</c:v>
                </c:pt>
                <c:pt idx="205">
                  <c:v>21.12995910644531</c:v>
                </c:pt>
                <c:pt idx="206">
                  <c:v>21.13005065917969</c:v>
                </c:pt>
                <c:pt idx="207">
                  <c:v>21.13013076782227</c:v>
                </c:pt>
                <c:pt idx="208">
                  <c:v>21.13022041320801</c:v>
                </c:pt>
                <c:pt idx="209">
                  <c:v>21.13018989562988</c:v>
                </c:pt>
                <c:pt idx="210">
                  <c:v>21.13031005859375</c:v>
                </c:pt>
                <c:pt idx="211">
                  <c:v>21.13039970397949</c:v>
                </c:pt>
                <c:pt idx="212">
                  <c:v>21.13039016723633</c:v>
                </c:pt>
                <c:pt idx="213">
                  <c:v>21.13036918640137</c:v>
                </c:pt>
                <c:pt idx="214">
                  <c:v>21.13044929504395</c:v>
                </c:pt>
                <c:pt idx="215">
                  <c:v>21.13044929504395</c:v>
                </c:pt>
                <c:pt idx="216">
                  <c:v>21.1303596496582</c:v>
                </c:pt>
                <c:pt idx="217">
                  <c:v>21.1303596496582</c:v>
                </c:pt>
                <c:pt idx="218">
                  <c:v>21.13059997558594</c:v>
                </c:pt>
                <c:pt idx="219">
                  <c:v>21.13043022155762</c:v>
                </c:pt>
                <c:pt idx="220">
                  <c:v>21.13034057617188</c:v>
                </c:pt>
                <c:pt idx="221">
                  <c:v>21.13043022155762</c:v>
                </c:pt>
                <c:pt idx="222">
                  <c:v>21.13040924072266</c:v>
                </c:pt>
                <c:pt idx="223">
                  <c:v>21.13046073913574</c:v>
                </c:pt>
                <c:pt idx="224">
                  <c:v>21.13055992126465</c:v>
                </c:pt>
                <c:pt idx="225">
                  <c:v>21.13072967529297</c:v>
                </c:pt>
                <c:pt idx="226">
                  <c:v>21.13064956665039</c:v>
                </c:pt>
                <c:pt idx="227">
                  <c:v>21.1307201385498</c:v>
                </c:pt>
                <c:pt idx="228">
                  <c:v>21.130859375</c:v>
                </c:pt>
                <c:pt idx="229">
                  <c:v>21.13100051879883</c:v>
                </c:pt>
                <c:pt idx="230">
                  <c:v>21.13092994689941</c:v>
                </c:pt>
                <c:pt idx="231">
                  <c:v>21.13088989257812</c:v>
                </c:pt>
                <c:pt idx="232">
                  <c:v>21.13114929199219</c:v>
                </c:pt>
                <c:pt idx="233">
                  <c:v>21.13129043579102</c:v>
                </c:pt>
                <c:pt idx="234">
                  <c:v>21.13108062744141</c:v>
                </c:pt>
                <c:pt idx="235">
                  <c:v>21.13117027282715</c:v>
                </c:pt>
                <c:pt idx="236">
                  <c:v>21.13142967224121</c:v>
                </c:pt>
                <c:pt idx="237">
                  <c:v>21.13134002685547</c:v>
                </c:pt>
                <c:pt idx="238">
                  <c:v>21.13117027282715</c:v>
                </c:pt>
                <c:pt idx="239">
                  <c:v>21.13125991821289</c:v>
                </c:pt>
                <c:pt idx="240">
                  <c:v>21.1309700012207</c:v>
                </c:pt>
                <c:pt idx="241">
                  <c:v>21.13102912902832</c:v>
                </c:pt>
                <c:pt idx="242">
                  <c:v>21.13084983825684</c:v>
                </c:pt>
                <c:pt idx="243">
                  <c:v>21.13056945800781</c:v>
                </c:pt>
                <c:pt idx="244">
                  <c:v>21.1307201385498</c:v>
                </c:pt>
                <c:pt idx="245">
                  <c:v>21.13101005554199</c:v>
                </c:pt>
                <c:pt idx="246">
                  <c:v>21.13116073608398</c:v>
                </c:pt>
                <c:pt idx="247">
                  <c:v>21.1313304901123</c:v>
                </c:pt>
                <c:pt idx="248">
                  <c:v>21.13157081604004</c:v>
                </c:pt>
                <c:pt idx="249">
                  <c:v>21.13187026977539</c:v>
                </c:pt>
                <c:pt idx="250">
                  <c:v>21.13191032409668</c:v>
                </c:pt>
                <c:pt idx="251">
                  <c:v>21.13166999816895</c:v>
                </c:pt>
                <c:pt idx="252">
                  <c:v>21.1315803527832</c:v>
                </c:pt>
                <c:pt idx="253">
                  <c:v>21.13161087036133</c:v>
                </c:pt>
                <c:pt idx="254">
                  <c:v>21.13176918029785</c:v>
                </c:pt>
                <c:pt idx="255">
                  <c:v>21.13199996948242</c:v>
                </c:pt>
                <c:pt idx="256">
                  <c:v>21.13180923461914</c:v>
                </c:pt>
                <c:pt idx="257">
                  <c:v>21.13167953491211</c:v>
                </c:pt>
                <c:pt idx="258">
                  <c:v>21.13235092163086</c:v>
                </c:pt>
                <c:pt idx="259">
                  <c:v>21.13232040405273</c:v>
                </c:pt>
                <c:pt idx="260">
                  <c:v>21.13154983520508</c:v>
                </c:pt>
                <c:pt idx="261">
                  <c:v>21.13202095031738</c:v>
                </c:pt>
                <c:pt idx="262">
                  <c:v>21.13220977783203</c:v>
                </c:pt>
                <c:pt idx="263">
                  <c:v>21.13190078735352</c:v>
                </c:pt>
                <c:pt idx="264">
                  <c:v>21.13137054443359</c:v>
                </c:pt>
                <c:pt idx="265">
                  <c:v>21.13163948059082</c:v>
                </c:pt>
                <c:pt idx="266">
                  <c:v>21.1323299407959</c:v>
                </c:pt>
                <c:pt idx="267">
                  <c:v>21.13158988952637</c:v>
                </c:pt>
                <c:pt idx="268">
                  <c:v>21.13153076171875</c:v>
                </c:pt>
                <c:pt idx="269">
                  <c:v>21.13176918029785</c:v>
                </c:pt>
                <c:pt idx="270">
                  <c:v>21.13192939758301</c:v>
                </c:pt>
                <c:pt idx="271">
                  <c:v>21.13166999816895</c:v>
                </c:pt>
                <c:pt idx="272">
                  <c:v>21.13170051574707</c:v>
                </c:pt>
                <c:pt idx="273">
                  <c:v>21.13323974609375</c:v>
                </c:pt>
                <c:pt idx="274">
                  <c:v>21.13245010375977</c:v>
                </c:pt>
                <c:pt idx="275">
                  <c:v>21.13183975219727</c:v>
                </c:pt>
                <c:pt idx="276">
                  <c:v>21.13261985778809</c:v>
                </c:pt>
                <c:pt idx="277">
                  <c:v>21.13291931152344</c:v>
                </c:pt>
                <c:pt idx="278">
                  <c:v>21.1321907043457</c:v>
                </c:pt>
                <c:pt idx="279">
                  <c:v>21.13172912597656</c:v>
                </c:pt>
                <c:pt idx="280">
                  <c:v>21.13257026672363</c:v>
                </c:pt>
                <c:pt idx="281">
                  <c:v>21.13274002075195</c:v>
                </c:pt>
                <c:pt idx="282">
                  <c:v>21.13165092468262</c:v>
                </c:pt>
                <c:pt idx="283">
                  <c:v>21.1318302154541</c:v>
                </c:pt>
                <c:pt idx="284">
                  <c:v>21.13270950317383</c:v>
                </c:pt>
                <c:pt idx="285">
                  <c:v>21.13262939453125</c:v>
                </c:pt>
                <c:pt idx="286">
                  <c:v>21.13150024414062</c:v>
                </c:pt>
                <c:pt idx="287">
                  <c:v>21.13220024108887</c:v>
                </c:pt>
                <c:pt idx="288">
                  <c:v>21.13274955749512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Report-2031_Oil_4500bopd_Liquid_4789blpd_No_GL_TD_Only_OP1.genkey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SIM5!$A$11:$A$299</c:f>
              <c:numCache>
                <c:ptCount val="289"/>
                <c:pt idx="0">
                  <c:v>0</c:v>
                </c:pt>
                <c:pt idx="1">
                  <c:v>0.2503698766231537</c:v>
                </c:pt>
                <c:pt idx="2">
                  <c:v>0.5003474950790405</c:v>
                </c:pt>
                <c:pt idx="3">
                  <c:v>0.7503663897514343</c:v>
                </c:pt>
                <c:pt idx="4">
                  <c:v>1.000272274017334</c:v>
                </c:pt>
                <c:pt idx="5">
                  <c:v>1.250338554382324</c:v>
                </c:pt>
                <c:pt idx="6">
                  <c:v>1.500310778617859</c:v>
                </c:pt>
                <c:pt idx="7">
                  <c:v>1.750393390655518</c:v>
                </c:pt>
                <c:pt idx="8">
                  <c:v>2.000298500061035</c:v>
                </c:pt>
                <c:pt idx="9">
                  <c:v>2.250226020812988</c:v>
                </c:pt>
                <c:pt idx="10">
                  <c:v>2.500319957733154</c:v>
                </c:pt>
                <c:pt idx="11">
                  <c:v>2.750267744064331</c:v>
                </c:pt>
                <c:pt idx="12">
                  <c:v>3.000191688537598</c:v>
                </c:pt>
                <c:pt idx="13">
                  <c:v>3.250283241271973</c:v>
                </c:pt>
                <c:pt idx="14">
                  <c:v>3.500147104263306</c:v>
                </c:pt>
                <c:pt idx="15">
                  <c:v>3.750288963317871</c:v>
                </c:pt>
                <c:pt idx="16">
                  <c:v>4.000313758850098</c:v>
                </c:pt>
                <c:pt idx="17">
                  <c:v>4.250041484832764</c:v>
                </c:pt>
                <c:pt idx="18">
                  <c:v>4.50066089630127</c:v>
                </c:pt>
                <c:pt idx="19">
                  <c:v>4.750247001647949</c:v>
                </c:pt>
                <c:pt idx="20">
                  <c:v>5.000277996063232</c:v>
                </c:pt>
                <c:pt idx="21">
                  <c:v>5.250236034393311</c:v>
                </c:pt>
                <c:pt idx="22">
                  <c:v>5.500516891479492</c:v>
                </c:pt>
                <c:pt idx="23">
                  <c:v>5.750086307525635</c:v>
                </c:pt>
                <c:pt idx="24">
                  <c:v>6.000389099121094</c:v>
                </c:pt>
                <c:pt idx="25">
                  <c:v>6.250469207763672</c:v>
                </c:pt>
                <c:pt idx="26">
                  <c:v>6.500052928924561</c:v>
                </c:pt>
                <c:pt idx="27">
                  <c:v>6.750552654266357</c:v>
                </c:pt>
                <c:pt idx="28">
                  <c:v>7.000699996948242</c:v>
                </c:pt>
                <c:pt idx="29">
                  <c:v>7.250261306762695</c:v>
                </c:pt>
                <c:pt idx="30">
                  <c:v>7.500458240509033</c:v>
                </c:pt>
                <c:pt idx="31">
                  <c:v>7.750130653381348</c:v>
                </c:pt>
                <c:pt idx="32">
                  <c:v>8.000386238098145</c:v>
                </c:pt>
                <c:pt idx="33">
                  <c:v>8.250313758850098</c:v>
                </c:pt>
                <c:pt idx="34">
                  <c:v>8.500364303588867</c:v>
                </c:pt>
                <c:pt idx="35">
                  <c:v>8.750405311584473</c:v>
                </c:pt>
                <c:pt idx="36">
                  <c:v>9.000142097473145</c:v>
                </c:pt>
                <c:pt idx="37">
                  <c:v>9.250161170959473</c:v>
                </c:pt>
                <c:pt idx="38">
                  <c:v>9.500016212463379</c:v>
                </c:pt>
                <c:pt idx="39">
                  <c:v>9.750371932983398</c:v>
                </c:pt>
                <c:pt idx="40">
                  <c:v>10.0001392364502</c:v>
                </c:pt>
                <c:pt idx="41">
                  <c:v>10.25042247772217</c:v>
                </c:pt>
                <c:pt idx="42">
                  <c:v>10.50008583068848</c:v>
                </c:pt>
                <c:pt idx="43">
                  <c:v>10.75004959106445</c:v>
                </c:pt>
                <c:pt idx="44">
                  <c:v>11.00026988983154</c:v>
                </c:pt>
                <c:pt idx="45">
                  <c:v>11.25038909912109</c:v>
                </c:pt>
                <c:pt idx="46">
                  <c:v>11.50056648254395</c:v>
                </c:pt>
                <c:pt idx="47">
                  <c:v>11.7500057220459</c:v>
                </c:pt>
                <c:pt idx="48">
                  <c:v>12.00052738189697</c:v>
                </c:pt>
                <c:pt idx="49">
                  <c:v>12.2503080368042</c:v>
                </c:pt>
                <c:pt idx="50">
                  <c:v>12.50016975402832</c:v>
                </c:pt>
                <c:pt idx="51">
                  <c:v>12.75010299682617</c:v>
                </c:pt>
                <c:pt idx="52">
                  <c:v>13.00012493133545</c:v>
                </c:pt>
                <c:pt idx="53">
                  <c:v>13.25016117095947</c:v>
                </c:pt>
                <c:pt idx="54">
                  <c:v>13.50045299530029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14.25004768371582</c:v>
                </c:pt>
                <c:pt idx="58">
                  <c:v>14.50016689300537</c:v>
                </c:pt>
                <c:pt idx="59">
                  <c:v>14.75031089782715</c:v>
                </c:pt>
                <c:pt idx="60">
                  <c:v>15.00023651123047</c:v>
                </c:pt>
                <c:pt idx="61">
                  <c:v>15.25072479248047</c:v>
                </c:pt>
                <c:pt idx="62">
                  <c:v>15.50008583068848</c:v>
                </c:pt>
                <c:pt idx="63">
                  <c:v>15.75078010559082</c:v>
                </c:pt>
                <c:pt idx="64">
                  <c:v>16.00008583068848</c:v>
                </c:pt>
                <c:pt idx="65">
                  <c:v>16.25002288818359</c:v>
                </c:pt>
                <c:pt idx="66">
                  <c:v>16.50029754638672</c:v>
                </c:pt>
                <c:pt idx="67">
                  <c:v>16.75045013427734</c:v>
                </c:pt>
                <c:pt idx="68">
                  <c:v>17.00076103210449</c:v>
                </c:pt>
                <c:pt idx="69">
                  <c:v>17.25020217895508</c:v>
                </c:pt>
                <c:pt idx="70">
                  <c:v>17.50014495849609</c:v>
                </c:pt>
                <c:pt idx="71">
                  <c:v>17.75012588500977</c:v>
                </c:pt>
                <c:pt idx="72">
                  <c:v>18.0000171661377</c:v>
                </c:pt>
                <c:pt idx="73">
                  <c:v>18.25006294250488</c:v>
                </c:pt>
                <c:pt idx="74">
                  <c:v>18.50054359436035</c:v>
                </c:pt>
                <c:pt idx="75">
                  <c:v>18.75059127807617</c:v>
                </c:pt>
                <c:pt idx="76">
                  <c:v>19.00070571899414</c:v>
                </c:pt>
                <c:pt idx="77">
                  <c:v>19.25062561035156</c:v>
                </c:pt>
                <c:pt idx="78">
                  <c:v>19.50022506713867</c:v>
                </c:pt>
                <c:pt idx="79">
                  <c:v>19.75065040588379</c:v>
                </c:pt>
                <c:pt idx="80">
                  <c:v>20.00045776367188</c:v>
                </c:pt>
                <c:pt idx="81">
                  <c:v>20.25028419494629</c:v>
                </c:pt>
                <c:pt idx="82">
                  <c:v>20.50001907348633</c:v>
                </c:pt>
                <c:pt idx="83">
                  <c:v>20.7501049041748</c:v>
                </c:pt>
                <c:pt idx="84">
                  <c:v>21.00059700012207</c:v>
                </c:pt>
                <c:pt idx="85">
                  <c:v>21.25004959106445</c:v>
                </c:pt>
                <c:pt idx="86">
                  <c:v>21.50067710876465</c:v>
                </c:pt>
                <c:pt idx="87">
                  <c:v>21.75057983398438</c:v>
                </c:pt>
                <c:pt idx="88">
                  <c:v>22.00036430358887</c:v>
                </c:pt>
                <c:pt idx="89">
                  <c:v>22.25044250488281</c:v>
                </c:pt>
                <c:pt idx="90">
                  <c:v>22.50027465820312</c:v>
                </c:pt>
                <c:pt idx="91">
                  <c:v>22.75015830993652</c:v>
                </c:pt>
                <c:pt idx="92">
                  <c:v>23.00018692016602</c:v>
                </c:pt>
                <c:pt idx="93">
                  <c:v>23.25011444091797</c:v>
                </c:pt>
                <c:pt idx="94">
                  <c:v>23.50038528442383</c:v>
                </c:pt>
                <c:pt idx="95">
                  <c:v>23.75017738342285</c:v>
                </c:pt>
                <c:pt idx="96">
                  <c:v>24.00063896179199</c:v>
                </c:pt>
                <c:pt idx="97">
                  <c:v>24.25063705444336</c:v>
                </c:pt>
                <c:pt idx="98">
                  <c:v>24.50048065185547</c:v>
                </c:pt>
                <c:pt idx="99">
                  <c:v>24.75008583068848</c:v>
                </c:pt>
                <c:pt idx="100">
                  <c:v>25.00044250488281</c:v>
                </c:pt>
                <c:pt idx="101">
                  <c:v>25.25060844421387</c:v>
                </c:pt>
                <c:pt idx="102">
                  <c:v>25.50006866455078</c:v>
                </c:pt>
                <c:pt idx="103">
                  <c:v>25.75045204162598</c:v>
                </c:pt>
                <c:pt idx="104">
                  <c:v>26.00029182434082</c:v>
                </c:pt>
                <c:pt idx="105">
                  <c:v>26.25020217895508</c:v>
                </c:pt>
                <c:pt idx="106">
                  <c:v>26.50071907043457</c:v>
                </c:pt>
                <c:pt idx="107">
                  <c:v>26.75035095214844</c:v>
                </c:pt>
                <c:pt idx="108">
                  <c:v>27.00043869018555</c:v>
                </c:pt>
                <c:pt idx="109">
                  <c:v>27.25024795532227</c:v>
                </c:pt>
                <c:pt idx="110">
                  <c:v>27.50032234191895</c:v>
                </c:pt>
                <c:pt idx="111">
                  <c:v>27.75018119812012</c:v>
                </c:pt>
                <c:pt idx="112">
                  <c:v>28.00002861022949</c:v>
                </c:pt>
                <c:pt idx="113">
                  <c:v>28.25002861022949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29.2502498626709</c:v>
                </c:pt>
                <c:pt idx="118">
                  <c:v>29.50047302246094</c:v>
                </c:pt>
                <c:pt idx="119">
                  <c:v>29.7501106262207</c:v>
                </c:pt>
                <c:pt idx="120">
                  <c:v>30.0002498626709</c:v>
                </c:pt>
                <c:pt idx="121">
                  <c:v>30.25</c:v>
                </c:pt>
                <c:pt idx="122">
                  <c:v>30.50016593933105</c:v>
                </c:pt>
                <c:pt idx="123">
                  <c:v>30.75058364868164</c:v>
                </c:pt>
                <c:pt idx="124">
                  <c:v>31.00008392333984</c:v>
                </c:pt>
                <c:pt idx="125">
                  <c:v>31.25027847290039</c:v>
                </c:pt>
                <c:pt idx="126">
                  <c:v>31.50033378601074</c:v>
                </c:pt>
                <c:pt idx="127">
                  <c:v>31.75019454956055</c:v>
                </c:pt>
                <c:pt idx="128">
                  <c:v>32.00044631958008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32.75033187866211</c:v>
                </c:pt>
                <c:pt idx="132">
                  <c:v>33.00025177001953</c:v>
                </c:pt>
                <c:pt idx="133">
                  <c:v>33.25041580200195</c:v>
                </c:pt>
                <c:pt idx="134">
                  <c:v>33.50027847290039</c:v>
                </c:pt>
                <c:pt idx="135">
                  <c:v>33.75069427490234</c:v>
                </c:pt>
                <c:pt idx="136">
                  <c:v>34.0001106262207</c:v>
                </c:pt>
                <c:pt idx="137">
                  <c:v>34.25058364868164</c:v>
                </c:pt>
                <c:pt idx="138">
                  <c:v>34.50016784667969</c:v>
                </c:pt>
                <c:pt idx="139">
                  <c:v>34.75025177001953</c:v>
                </c:pt>
                <c:pt idx="140">
                  <c:v>35.00063705444336</c:v>
                </c:pt>
                <c:pt idx="141">
                  <c:v>35.25091552734375</c:v>
                </c:pt>
                <c:pt idx="142">
                  <c:v>35.50013732910156</c:v>
                </c:pt>
                <c:pt idx="143">
                  <c:v>35.75019454956055</c:v>
                </c:pt>
                <c:pt idx="144">
                  <c:v>36.00019454956055</c:v>
                </c:pt>
                <c:pt idx="145">
                  <c:v>36.25027847290039</c:v>
                </c:pt>
                <c:pt idx="146">
                  <c:v>36.50077819824219</c:v>
                </c:pt>
                <c:pt idx="147">
                  <c:v>36.75005722045898</c:v>
                </c:pt>
                <c:pt idx="148">
                  <c:v>37.00041580200195</c:v>
                </c:pt>
                <c:pt idx="149">
                  <c:v>37.25033187866211</c:v>
                </c:pt>
                <c:pt idx="150">
                  <c:v>37.50008392333984</c:v>
                </c:pt>
                <c:pt idx="151">
                  <c:v>37.75036239624023</c:v>
                </c:pt>
                <c:pt idx="152">
                  <c:v>38.00041580200195</c:v>
                </c:pt>
                <c:pt idx="153">
                  <c:v>38.25044631958008</c:v>
                </c:pt>
                <c:pt idx="154">
                  <c:v>38.50041580200195</c:v>
                </c:pt>
                <c:pt idx="155">
                  <c:v>38.75052642822266</c:v>
                </c:pt>
                <c:pt idx="156">
                  <c:v>39.00044631958008</c:v>
                </c:pt>
                <c:pt idx="157">
                  <c:v>39.25019454956055</c:v>
                </c:pt>
                <c:pt idx="158">
                  <c:v>39.50008392333984</c:v>
                </c:pt>
                <c:pt idx="159">
                  <c:v>39.75080490112305</c:v>
                </c:pt>
                <c:pt idx="160">
                  <c:v>40.00063705444336</c:v>
                </c:pt>
                <c:pt idx="161">
                  <c:v>40.2501106262207</c:v>
                </c:pt>
                <c:pt idx="162">
                  <c:v>40.50030517578125</c:v>
                </c:pt>
                <c:pt idx="163">
                  <c:v>40.75041580200195</c:v>
                </c:pt>
                <c:pt idx="164">
                  <c:v>41.00077819824219</c:v>
                </c:pt>
                <c:pt idx="165">
                  <c:v>41.2507209777832</c:v>
                </c:pt>
                <c:pt idx="166">
                  <c:v>41.50013732910156</c:v>
                </c:pt>
                <c:pt idx="167">
                  <c:v>41.75052642822266</c:v>
                </c:pt>
                <c:pt idx="168">
                  <c:v>42.00030517578125</c:v>
                </c:pt>
                <c:pt idx="169">
                  <c:v>42.25013732910156</c:v>
                </c:pt>
                <c:pt idx="170">
                  <c:v>42.50030517578125</c:v>
                </c:pt>
                <c:pt idx="171">
                  <c:v>42.75047302246094</c:v>
                </c:pt>
                <c:pt idx="172">
                  <c:v>43.00030517578125</c:v>
                </c:pt>
                <c:pt idx="173">
                  <c:v>43.25063705444336</c:v>
                </c:pt>
                <c:pt idx="174">
                  <c:v>43.5006103515625</c:v>
                </c:pt>
                <c:pt idx="175">
                  <c:v>43.75036239624023</c:v>
                </c:pt>
                <c:pt idx="176">
                  <c:v>44.00052642822266</c:v>
                </c:pt>
                <c:pt idx="177">
                  <c:v>44.25027847290039</c:v>
                </c:pt>
                <c:pt idx="178">
                  <c:v>44.50047302246094</c:v>
                </c:pt>
                <c:pt idx="179">
                  <c:v>44.75052642822266</c:v>
                </c:pt>
                <c:pt idx="180">
                  <c:v>45.00055694580078</c:v>
                </c:pt>
                <c:pt idx="181">
                  <c:v>45.25016784667969</c:v>
                </c:pt>
                <c:pt idx="182">
                  <c:v>45.5006103515625</c:v>
                </c:pt>
                <c:pt idx="183">
                  <c:v>45.75066757202148</c:v>
                </c:pt>
                <c:pt idx="184">
                  <c:v>46.00069427490234</c:v>
                </c:pt>
                <c:pt idx="185">
                  <c:v>46.2507209777832</c:v>
                </c:pt>
                <c:pt idx="186">
                  <c:v>46.50052642822266</c:v>
                </c:pt>
                <c:pt idx="187">
                  <c:v>46.75036239624023</c:v>
                </c:pt>
                <c:pt idx="188">
                  <c:v>47.00030517578125</c:v>
                </c:pt>
                <c:pt idx="189">
                  <c:v>47.25027847290039</c:v>
                </c:pt>
                <c:pt idx="190">
                  <c:v>47.50005722045898</c:v>
                </c:pt>
                <c:pt idx="191">
                  <c:v>47.75036239624023</c:v>
                </c:pt>
                <c:pt idx="192">
                  <c:v>48.00016784667969</c:v>
                </c:pt>
                <c:pt idx="193">
                  <c:v>48.25013732910156</c:v>
                </c:pt>
                <c:pt idx="194">
                  <c:v>48.50027847290039</c:v>
                </c:pt>
                <c:pt idx="195">
                  <c:v>48.75038909912109</c:v>
                </c:pt>
                <c:pt idx="196">
                  <c:v>49.00019454956055</c:v>
                </c:pt>
                <c:pt idx="197">
                  <c:v>49.25066757202148</c:v>
                </c:pt>
                <c:pt idx="198">
                  <c:v>49.50025177001953</c:v>
                </c:pt>
                <c:pt idx="199">
                  <c:v>49.75069427490234</c:v>
                </c:pt>
                <c:pt idx="200">
                  <c:v>50.00005722045898</c:v>
                </c:pt>
                <c:pt idx="201">
                  <c:v>50.25030517578125</c:v>
                </c:pt>
                <c:pt idx="202">
                  <c:v>50.50008392333984</c:v>
                </c:pt>
                <c:pt idx="203">
                  <c:v>50.75080490112305</c:v>
                </c:pt>
                <c:pt idx="204">
                  <c:v>51.00038909912109</c:v>
                </c:pt>
                <c:pt idx="205">
                  <c:v>51.2501106262207</c:v>
                </c:pt>
                <c:pt idx="206">
                  <c:v>51.5004997253418</c:v>
                </c:pt>
                <c:pt idx="207">
                  <c:v>51.75019454956055</c:v>
                </c:pt>
                <c:pt idx="208">
                  <c:v>52.00030517578125</c:v>
                </c:pt>
                <c:pt idx="209">
                  <c:v>52.25030517578125</c:v>
                </c:pt>
                <c:pt idx="210">
                  <c:v>52.50025177001953</c:v>
                </c:pt>
                <c:pt idx="211">
                  <c:v>52.75033187866211</c:v>
                </c:pt>
                <c:pt idx="212">
                  <c:v>53.00058364868164</c:v>
                </c:pt>
                <c:pt idx="213">
                  <c:v>53.2501106262207</c:v>
                </c:pt>
                <c:pt idx="214">
                  <c:v>53.50025177001953</c:v>
                </c:pt>
                <c:pt idx="215">
                  <c:v>53.75036239624023</c:v>
                </c:pt>
                <c:pt idx="216">
                  <c:v>54.00047302246094</c:v>
                </c:pt>
                <c:pt idx="217">
                  <c:v>54.25027847290039</c:v>
                </c:pt>
                <c:pt idx="218">
                  <c:v>54.50077819824219</c:v>
                </c:pt>
                <c:pt idx="219">
                  <c:v>54.75013732910156</c:v>
                </c:pt>
                <c:pt idx="220">
                  <c:v>55.00036239624023</c:v>
                </c:pt>
                <c:pt idx="221">
                  <c:v>55.25025177001953</c:v>
                </c:pt>
                <c:pt idx="222">
                  <c:v>55.50002670288086</c:v>
                </c:pt>
                <c:pt idx="223">
                  <c:v>55.75058364868164</c:v>
                </c:pt>
                <c:pt idx="224">
                  <c:v>56.0007209777832</c:v>
                </c:pt>
                <c:pt idx="225">
                  <c:v>56.25052642822266</c:v>
                </c:pt>
                <c:pt idx="226">
                  <c:v>56.50030517578125</c:v>
                </c:pt>
                <c:pt idx="227">
                  <c:v>56.75</c:v>
                </c:pt>
                <c:pt idx="228">
                  <c:v>57.0001106262207</c:v>
                </c:pt>
                <c:pt idx="229">
                  <c:v>57.2501106262207</c:v>
                </c:pt>
                <c:pt idx="230">
                  <c:v>57.50027847290039</c:v>
                </c:pt>
                <c:pt idx="231">
                  <c:v>57.75063705444336</c:v>
                </c:pt>
                <c:pt idx="232">
                  <c:v>58.0004997253418</c:v>
                </c:pt>
                <c:pt idx="233">
                  <c:v>58.25036239624023</c:v>
                </c:pt>
                <c:pt idx="234">
                  <c:v>58.5</c:v>
                </c:pt>
                <c:pt idx="235">
                  <c:v>58.75038909912109</c:v>
                </c:pt>
                <c:pt idx="236">
                  <c:v>59.0001106262207</c:v>
                </c:pt>
                <c:pt idx="237">
                  <c:v>59.25025177001953</c:v>
                </c:pt>
                <c:pt idx="238">
                  <c:v>59.5001106262207</c:v>
                </c:pt>
                <c:pt idx="239">
                  <c:v>59.75019454956055</c:v>
                </c:pt>
                <c:pt idx="240">
                  <c:v>60.00033187866211</c:v>
                </c:pt>
                <c:pt idx="241">
                  <c:v>60.25005722045898</c:v>
                </c:pt>
                <c:pt idx="242">
                  <c:v>60.50058364868164</c:v>
                </c:pt>
                <c:pt idx="243">
                  <c:v>60.75047302246094</c:v>
                </c:pt>
                <c:pt idx="244">
                  <c:v>61.00041580200195</c:v>
                </c:pt>
                <c:pt idx="245">
                  <c:v>61.25033187866211</c:v>
                </c:pt>
                <c:pt idx="246">
                  <c:v>61.50033187866211</c:v>
                </c:pt>
                <c:pt idx="247">
                  <c:v>61.75016784667969</c:v>
                </c:pt>
                <c:pt idx="248">
                  <c:v>62</c:v>
                </c:pt>
                <c:pt idx="249">
                  <c:v>62.25041580200195</c:v>
                </c:pt>
                <c:pt idx="250">
                  <c:v>62.50036239624023</c:v>
                </c:pt>
                <c:pt idx="251">
                  <c:v>62.75044631958008</c:v>
                </c:pt>
                <c:pt idx="252">
                  <c:v>63.00013732910156</c:v>
                </c:pt>
                <c:pt idx="253">
                  <c:v>63.2504997253418</c:v>
                </c:pt>
                <c:pt idx="254">
                  <c:v>63.50055694580078</c:v>
                </c:pt>
                <c:pt idx="255">
                  <c:v>63.75030517578125</c:v>
                </c:pt>
                <c:pt idx="256">
                  <c:v>64.00011444091797</c:v>
                </c:pt>
                <c:pt idx="257">
                  <c:v>64.25016784667969</c:v>
                </c:pt>
                <c:pt idx="258">
                  <c:v>64.50044250488281</c:v>
                </c:pt>
                <c:pt idx="259">
                  <c:v>64.7506103515625</c:v>
                </c:pt>
                <c:pt idx="260">
                  <c:v>65.00064086914062</c:v>
                </c:pt>
                <c:pt idx="261">
                  <c:v>65.25013732910156</c:v>
                </c:pt>
                <c:pt idx="262">
                  <c:v>65.50030517578125</c:v>
                </c:pt>
                <c:pt idx="263">
                  <c:v>65.75050354003906</c:v>
                </c:pt>
                <c:pt idx="264">
                  <c:v>66.00050354003906</c:v>
                </c:pt>
                <c:pt idx="265">
                  <c:v>66.25003051757812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67.00008392333984</c:v>
                </c:pt>
                <c:pt idx="269">
                  <c:v>67.25022125244141</c:v>
                </c:pt>
                <c:pt idx="270">
                  <c:v>67.50016784667969</c:v>
                </c:pt>
                <c:pt idx="271">
                  <c:v>67.75050354003906</c:v>
                </c:pt>
                <c:pt idx="272">
                  <c:v>68.00013732910156</c:v>
                </c:pt>
                <c:pt idx="273">
                  <c:v>68.25008392333984</c:v>
                </c:pt>
                <c:pt idx="274">
                  <c:v>68.50055694580078</c:v>
                </c:pt>
                <c:pt idx="275">
                  <c:v>68.75055694580078</c:v>
                </c:pt>
                <c:pt idx="276">
                  <c:v>69.00035858154297</c:v>
                </c:pt>
                <c:pt idx="277">
                  <c:v>69.25069427490234</c:v>
                </c:pt>
                <c:pt idx="278">
                  <c:v>69.50013732910156</c:v>
                </c:pt>
                <c:pt idx="279">
                  <c:v>69.7506103515625</c:v>
                </c:pt>
                <c:pt idx="280">
                  <c:v>70.00025177001953</c:v>
                </c:pt>
                <c:pt idx="281">
                  <c:v>70.25064086914062</c:v>
                </c:pt>
                <c:pt idx="282">
                  <c:v>70.50047302246094</c:v>
                </c:pt>
                <c:pt idx="283">
                  <c:v>70.75005340576172</c:v>
                </c:pt>
                <c:pt idx="284">
                  <c:v>71.00050354003906</c:v>
                </c:pt>
                <c:pt idx="285">
                  <c:v>71.25038909912109</c:v>
                </c:pt>
                <c:pt idx="286">
                  <c:v>71.50027465820312</c:v>
                </c:pt>
                <c:pt idx="287">
                  <c:v>71.75035858154297</c:v>
                </c:pt>
                <c:pt idx="288">
                  <c:v>72.00016784667969</c:v>
                </c:pt>
              </c:numCache>
            </c:numRef>
          </c:xVal>
          <c:yVal>
            <c:numRef>
              <c:f>SIM5!$F$11:$F$299</c:f>
              <c:numCache>
                <c:ptCount val="289"/>
                <c:pt idx="0">
                  <c:v>0.01899014040827751</c:v>
                </c:pt>
                <c:pt idx="1">
                  <c:v>0.0127095403149724</c:v>
                </c:pt>
                <c:pt idx="2">
                  <c:v>0.009269413538277149</c:v>
                </c:pt>
                <c:pt idx="3">
                  <c:v>0.002632620977237821</c:v>
                </c:pt>
                <c:pt idx="4">
                  <c:v>-0.00185360899195075</c:v>
                </c:pt>
                <c:pt idx="5">
                  <c:v>-0.001179191982373595</c:v>
                </c:pt>
                <c:pt idx="6">
                  <c:v>-0.002168271923437715</c:v>
                </c:pt>
                <c:pt idx="7">
                  <c:v>-0.002610733965411782</c:v>
                </c:pt>
                <c:pt idx="8">
                  <c:v>-0.000678984506521374</c:v>
                </c:pt>
                <c:pt idx="9">
                  <c:v>4.167799852439202E-5</c:v>
                </c:pt>
                <c:pt idx="10">
                  <c:v>0.01630106009542942</c:v>
                </c:pt>
                <c:pt idx="11">
                  <c:v>0.06876353174448013</c:v>
                </c:pt>
                <c:pt idx="12">
                  <c:v>0.01289913989603519</c:v>
                </c:pt>
                <c:pt idx="13">
                  <c:v>0.003646072000265121</c:v>
                </c:pt>
                <c:pt idx="14">
                  <c:v>-0.0003267576976213604</c:v>
                </c:pt>
                <c:pt idx="15">
                  <c:v>0.0008398304926231503</c:v>
                </c:pt>
                <c:pt idx="16">
                  <c:v>-0.001906004035845399</c:v>
                </c:pt>
                <c:pt idx="17">
                  <c:v>-0.001272641005925834</c:v>
                </c:pt>
                <c:pt idx="18">
                  <c:v>0.007637470960617065</c:v>
                </c:pt>
                <c:pt idx="19">
                  <c:v>0.01535611040890217</c:v>
                </c:pt>
                <c:pt idx="20">
                  <c:v>-0.0003207437985111028</c:v>
                </c:pt>
                <c:pt idx="21">
                  <c:v>-0.0003606494865380228</c:v>
                </c:pt>
                <c:pt idx="22">
                  <c:v>-0.0003102883056271821</c:v>
                </c:pt>
                <c:pt idx="23">
                  <c:v>-0.0004048458940815181</c:v>
                </c:pt>
                <c:pt idx="24">
                  <c:v>0.1491090059280396</c:v>
                </c:pt>
                <c:pt idx="25">
                  <c:v>0.02490348927676678</c:v>
                </c:pt>
                <c:pt idx="26">
                  <c:v>-0.0002364677930017933</c:v>
                </c:pt>
                <c:pt idx="27">
                  <c:v>0.0001123593974625692</c:v>
                </c:pt>
                <c:pt idx="28">
                  <c:v>-2.147869963664562E-5</c:v>
                </c:pt>
                <c:pt idx="29">
                  <c:v>0.1883950978517532</c:v>
                </c:pt>
                <c:pt idx="30">
                  <c:v>0.02645057067275047</c:v>
                </c:pt>
                <c:pt idx="31">
                  <c:v>0.01426113024353981</c:v>
                </c:pt>
                <c:pt idx="32">
                  <c:v>0.005105398129671812</c:v>
                </c:pt>
                <c:pt idx="33">
                  <c:v>-0.0009675942710600793</c:v>
                </c:pt>
                <c:pt idx="34">
                  <c:v>-0.002522731898352504</c:v>
                </c:pt>
                <c:pt idx="35">
                  <c:v>-0.0006933864788152277</c:v>
                </c:pt>
                <c:pt idx="36">
                  <c:v>-0.001940386020578444</c:v>
                </c:pt>
                <c:pt idx="37">
                  <c:v>0.0005342522053979337</c:v>
                </c:pt>
                <c:pt idx="38">
                  <c:v>0.005955706816166639</c:v>
                </c:pt>
                <c:pt idx="39">
                  <c:v>0.007699929177761078</c:v>
                </c:pt>
                <c:pt idx="40">
                  <c:v>-0.0004996507777832448</c:v>
                </c:pt>
                <c:pt idx="41">
                  <c:v>-0.0009161917841993272</c:v>
                </c:pt>
                <c:pt idx="42">
                  <c:v>-0.0004111540038138628</c:v>
                </c:pt>
                <c:pt idx="43">
                  <c:v>-4.624000212061219E-6</c:v>
                </c:pt>
                <c:pt idx="44">
                  <c:v>0.007004139944911003</c:v>
                </c:pt>
                <c:pt idx="45">
                  <c:v>-0.003060854040086269</c:v>
                </c:pt>
                <c:pt idx="46">
                  <c:v>-0.001263663056306541</c:v>
                </c:pt>
                <c:pt idx="47">
                  <c:v>-0.0006319130188785493</c:v>
                </c:pt>
                <c:pt idx="48">
                  <c:v>0.001560032018460333</c:v>
                </c:pt>
                <c:pt idx="49">
                  <c:v>0.005055958870798349</c:v>
                </c:pt>
                <c:pt idx="50">
                  <c:v>0.07205624878406525</c:v>
                </c:pt>
                <c:pt idx="51">
                  <c:v>0.009416135028004646</c:v>
                </c:pt>
                <c:pt idx="52">
                  <c:v>0.0001958317006938159</c:v>
                </c:pt>
                <c:pt idx="53">
                  <c:v>-0.0007825188222341239</c:v>
                </c:pt>
                <c:pt idx="54">
                  <c:v>-4.431229899637401E-5</c:v>
                </c:pt>
                <c:pt idx="55">
                  <c:v>-0.002699261996895075</c:v>
                </c:pt>
                <c:pt idx="56">
                  <c:v>-0.0002717156894505024</c:v>
                </c:pt>
                <c:pt idx="57">
                  <c:v>8.844889816828072E-5</c:v>
                </c:pt>
                <c:pt idx="58">
                  <c:v>0.01321564987301826</c:v>
                </c:pt>
                <c:pt idx="59">
                  <c:v>-0.001807200023904443</c:v>
                </c:pt>
                <c:pt idx="60">
                  <c:v>-0.0008009346202015877</c:v>
                </c:pt>
                <c:pt idx="61">
                  <c:v>-0.0002249186945846304</c:v>
                </c:pt>
                <c:pt idx="62">
                  <c:v>-0.000633159012068063</c:v>
                </c:pt>
                <c:pt idx="63">
                  <c:v>0.08484415709972382</c:v>
                </c:pt>
                <c:pt idx="64">
                  <c:v>0.01472316030412912</c:v>
                </c:pt>
                <c:pt idx="65">
                  <c:v>0.002308157971128821</c:v>
                </c:pt>
                <c:pt idx="66">
                  <c:v>-0.0006971390102989972</c:v>
                </c:pt>
                <c:pt idx="67">
                  <c:v>-0.0001108629003283568</c:v>
                </c:pt>
                <c:pt idx="68">
                  <c:v>0.1078886985778809</c:v>
                </c:pt>
                <c:pt idx="69">
                  <c:v>0.02902751974761486</c:v>
                </c:pt>
                <c:pt idx="70">
                  <c:v>0.01524388045072556</c:v>
                </c:pt>
                <c:pt idx="71">
                  <c:v>0.004218754824250937</c:v>
                </c:pt>
                <c:pt idx="72">
                  <c:v>-0.0002882576955016702</c:v>
                </c:pt>
                <c:pt idx="73">
                  <c:v>0.0007533365860581398</c:v>
                </c:pt>
                <c:pt idx="74">
                  <c:v>-6.646600013482384E-6</c:v>
                </c:pt>
                <c:pt idx="75">
                  <c:v>-8.906790026230738E-5</c:v>
                </c:pt>
                <c:pt idx="76">
                  <c:v>-0.0009523035841993988</c:v>
                </c:pt>
                <c:pt idx="77">
                  <c:v>0.1454444974660873</c:v>
                </c:pt>
                <c:pt idx="78">
                  <c:v>0.02431952953338623</c:v>
                </c:pt>
                <c:pt idx="79">
                  <c:v>-0.000388102198485285</c:v>
                </c:pt>
                <c:pt idx="80">
                  <c:v>5.559439887292683E-5</c:v>
                </c:pt>
                <c:pt idx="81">
                  <c:v>-0.0006189243867993355</c:v>
                </c:pt>
                <c:pt idx="82">
                  <c:v>-0.001703999005258083</c:v>
                </c:pt>
                <c:pt idx="83">
                  <c:v>0.02517919987440109</c:v>
                </c:pt>
                <c:pt idx="84">
                  <c:v>0.008004653267562389</c:v>
                </c:pt>
                <c:pt idx="85">
                  <c:v>-0.001135017955675721</c:v>
                </c:pt>
                <c:pt idx="86">
                  <c:v>-0.000155217494466342</c:v>
                </c:pt>
                <c:pt idx="87">
                  <c:v>-9.506750211585313E-5</c:v>
                </c:pt>
                <c:pt idx="88">
                  <c:v>0.005652904976159334</c:v>
                </c:pt>
                <c:pt idx="89">
                  <c:v>0.06440957635641098</c:v>
                </c:pt>
                <c:pt idx="90">
                  <c:v>0.009486384689807892</c:v>
                </c:pt>
                <c:pt idx="91">
                  <c:v>0.0006191731081344187</c:v>
                </c:pt>
                <c:pt idx="92">
                  <c:v>-0.001936007989570498</c:v>
                </c:pt>
                <c:pt idx="93">
                  <c:v>-0.001616570050828159</c:v>
                </c:pt>
                <c:pt idx="94">
                  <c:v>-0.004795533139258623</c:v>
                </c:pt>
                <c:pt idx="95">
                  <c:v>-0.0006887004128657281</c:v>
                </c:pt>
                <c:pt idx="96">
                  <c:v>1.643000047124588E-7</c:v>
                </c:pt>
                <c:pt idx="97">
                  <c:v>0.001008152030408382</c:v>
                </c:pt>
                <c:pt idx="98">
                  <c:v>0.001055896980687976</c:v>
                </c:pt>
                <c:pt idx="99">
                  <c:v>-0.001188419992104173</c:v>
                </c:pt>
                <c:pt idx="100">
                  <c:v>-0.001054154941812158</c:v>
                </c:pt>
                <c:pt idx="101">
                  <c:v>-0.001136900973506272</c:v>
                </c:pt>
                <c:pt idx="102">
                  <c:v>-0.006164214108139277</c:v>
                </c:pt>
                <c:pt idx="103">
                  <c:v>0.001003931974992156</c:v>
                </c:pt>
                <c:pt idx="104">
                  <c:v>0.0003919542068615556</c:v>
                </c:pt>
                <c:pt idx="105">
                  <c:v>-0.0005305467057041824</c:v>
                </c:pt>
                <c:pt idx="106">
                  <c:v>-0.0004645739099942148</c:v>
                </c:pt>
                <c:pt idx="107">
                  <c:v>0.09696034342050552</c:v>
                </c:pt>
                <c:pt idx="108">
                  <c:v>0.01738769002258778</c:v>
                </c:pt>
                <c:pt idx="109">
                  <c:v>0.01779164001345634</c:v>
                </c:pt>
                <c:pt idx="110">
                  <c:v>0.004974096082150936</c:v>
                </c:pt>
                <c:pt idx="111">
                  <c:v>-0.002833415055647492</c:v>
                </c:pt>
                <c:pt idx="112">
                  <c:v>-0.0003134233993478119</c:v>
                </c:pt>
                <c:pt idx="113">
                  <c:v>0.0007254646043293178</c:v>
                </c:pt>
                <c:pt idx="114">
                  <c:v>-0.0003374273946974427</c:v>
                </c:pt>
                <c:pt idx="115">
                  <c:v>-0.0003230056900065392</c:v>
                </c:pt>
                <c:pt idx="116">
                  <c:v>0.1233780980110168</c:v>
                </c:pt>
                <c:pt idx="117">
                  <c:v>0.02407803013920784</c:v>
                </c:pt>
                <c:pt idx="118">
                  <c:v>-0.00037329678889364</c:v>
                </c:pt>
                <c:pt idx="119">
                  <c:v>-0.0004778146976605058</c:v>
                </c:pt>
                <c:pt idx="120">
                  <c:v>0.000243081696680747</c:v>
                </c:pt>
                <c:pt idx="121">
                  <c:v>-0.0006378581165336072</c:v>
                </c:pt>
                <c:pt idx="122">
                  <c:v>0.1768718957901001</c:v>
                </c:pt>
                <c:pt idx="123">
                  <c:v>0.01560753956437111</c:v>
                </c:pt>
                <c:pt idx="124">
                  <c:v>-0.0006280809175223112</c:v>
                </c:pt>
                <c:pt idx="125">
                  <c:v>-0.002472876105457544</c:v>
                </c:pt>
                <c:pt idx="126">
                  <c:v>0.005476981867104769</c:v>
                </c:pt>
                <c:pt idx="127">
                  <c:v>0.006269466131925583</c:v>
                </c:pt>
                <c:pt idx="128">
                  <c:v>0.03611404076218605</c:v>
                </c:pt>
                <c:pt idx="129">
                  <c:v>0.01287255994975567</c:v>
                </c:pt>
                <c:pt idx="130">
                  <c:v>0.002903962973505259</c:v>
                </c:pt>
                <c:pt idx="131">
                  <c:v>-0.0006490565137937665</c:v>
                </c:pt>
                <c:pt idx="132">
                  <c:v>-0.003504492109641433</c:v>
                </c:pt>
                <c:pt idx="133">
                  <c:v>-0.001399802975356579</c:v>
                </c:pt>
                <c:pt idx="134">
                  <c:v>-0.00125650898553431</c:v>
                </c:pt>
                <c:pt idx="135">
                  <c:v>-0.0005730967968702316</c:v>
                </c:pt>
                <c:pt idx="136">
                  <c:v>0.001480759005062282</c:v>
                </c:pt>
                <c:pt idx="137">
                  <c:v>0.0004928982234559953</c:v>
                </c:pt>
                <c:pt idx="138">
                  <c:v>-0.0009767162846401334</c:v>
                </c:pt>
                <c:pt idx="139">
                  <c:v>-0.003290232038125396</c:v>
                </c:pt>
                <c:pt idx="140">
                  <c:v>-0.000582861015573144</c:v>
                </c:pt>
                <c:pt idx="141">
                  <c:v>0.002827720018103719</c:v>
                </c:pt>
                <c:pt idx="142">
                  <c:v>0.004965377971529961</c:v>
                </c:pt>
                <c:pt idx="143">
                  <c:v>-0.0002146702026948333</c:v>
                </c:pt>
                <c:pt idx="144">
                  <c:v>-0.0005399518995545805</c:v>
                </c:pt>
                <c:pt idx="145">
                  <c:v>-0.0005543773877434433</c:v>
                </c:pt>
                <c:pt idx="146">
                  <c:v>0.0006499430746771395</c:v>
                </c:pt>
                <c:pt idx="147">
                  <c:v>0.003561238991096616</c:v>
                </c:pt>
                <c:pt idx="148">
                  <c:v>0.02286889031529427</c:v>
                </c:pt>
                <c:pt idx="149">
                  <c:v>0.006944899912923574</c:v>
                </c:pt>
                <c:pt idx="150">
                  <c:v>-0.0006303538102656603</c:v>
                </c:pt>
                <c:pt idx="151">
                  <c:v>-0.001330462982878089</c:v>
                </c:pt>
                <c:pt idx="152">
                  <c:v>-0.005972519982606173</c:v>
                </c:pt>
                <c:pt idx="153">
                  <c:v>-0.002408260013908148</c:v>
                </c:pt>
                <c:pt idx="154">
                  <c:v>-0.0005241751787252724</c:v>
                </c:pt>
                <c:pt idx="155">
                  <c:v>0.08944880962371826</c:v>
                </c:pt>
                <c:pt idx="156">
                  <c:v>0.01609873957931995</c:v>
                </c:pt>
                <c:pt idx="157">
                  <c:v>-0.001301556010730565</c:v>
                </c:pt>
                <c:pt idx="158">
                  <c:v>-0.0001056701003108174</c:v>
                </c:pt>
                <c:pt idx="159">
                  <c:v>-2.142019911843818E-5</c:v>
                </c:pt>
                <c:pt idx="160">
                  <c:v>-0.0001189629983855411</c:v>
                </c:pt>
                <c:pt idx="161">
                  <c:v>0.1492020040750504</c:v>
                </c:pt>
                <c:pt idx="162">
                  <c:v>0.01020900998264551</c:v>
                </c:pt>
                <c:pt idx="163">
                  <c:v>-0.0005187360220588744</c:v>
                </c:pt>
                <c:pt idx="164">
                  <c:v>-0.0009857222903519869</c:v>
                </c:pt>
                <c:pt idx="165">
                  <c:v>0.0008038480882532895</c:v>
                </c:pt>
                <c:pt idx="166">
                  <c:v>0.008332572877407074</c:v>
                </c:pt>
                <c:pt idx="167">
                  <c:v>0.0469684787094593</c:v>
                </c:pt>
                <c:pt idx="168">
                  <c:v>0.01221092045307159</c:v>
                </c:pt>
                <c:pt idx="169">
                  <c:v>0.002491795923560858</c:v>
                </c:pt>
                <c:pt idx="170">
                  <c:v>-0.002512557897716761</c:v>
                </c:pt>
                <c:pt idx="171">
                  <c:v>-0.001171923009678721</c:v>
                </c:pt>
                <c:pt idx="172">
                  <c:v>-0.001618096022866666</c:v>
                </c:pt>
                <c:pt idx="173">
                  <c:v>-0.0007948871934786439</c:v>
                </c:pt>
                <c:pt idx="174">
                  <c:v>4.12558983953204E-5</c:v>
                </c:pt>
                <c:pt idx="175">
                  <c:v>0.0003963205963373184</c:v>
                </c:pt>
                <c:pt idx="176">
                  <c:v>-0.001805944018997252</c:v>
                </c:pt>
                <c:pt idx="177">
                  <c:v>-0.0003468536888249218</c:v>
                </c:pt>
                <c:pt idx="178">
                  <c:v>-0.0003592387947719544</c:v>
                </c:pt>
                <c:pt idx="179">
                  <c:v>-0.0008903957786969841</c:v>
                </c:pt>
                <c:pt idx="180">
                  <c:v>0.003203741973266006</c:v>
                </c:pt>
                <c:pt idx="181">
                  <c:v>0.001317003974691033</c:v>
                </c:pt>
                <c:pt idx="182">
                  <c:v>-0.0007508128182962537</c:v>
                </c:pt>
                <c:pt idx="183">
                  <c:v>-0.0004990667803213</c:v>
                </c:pt>
                <c:pt idx="184">
                  <c:v>-0.0002451823966111988</c:v>
                </c:pt>
                <c:pt idx="185">
                  <c:v>0.1002670004963875</c:v>
                </c:pt>
                <c:pt idx="186">
                  <c:v>0.01848407089710236</c:v>
                </c:pt>
                <c:pt idx="187">
                  <c:v>0.01773264072835445</c:v>
                </c:pt>
                <c:pt idx="188">
                  <c:v>0.005063322838395834</c:v>
                </c:pt>
                <c:pt idx="189">
                  <c:v>-0.002568739000707865</c:v>
                </c:pt>
                <c:pt idx="190">
                  <c:v>-0.001344869961030781</c:v>
                </c:pt>
                <c:pt idx="191">
                  <c:v>-0.0009277929784730077</c:v>
                </c:pt>
                <c:pt idx="192">
                  <c:v>-0.001265882980078459</c:v>
                </c:pt>
                <c:pt idx="193">
                  <c:v>-0.001333008054643869</c:v>
                </c:pt>
                <c:pt idx="194">
                  <c:v>0.116330198943615</c:v>
                </c:pt>
                <c:pt idx="195">
                  <c:v>0.01195519976317883</c:v>
                </c:pt>
                <c:pt idx="196">
                  <c:v>-0.0008555091917514801</c:v>
                </c:pt>
                <c:pt idx="197">
                  <c:v>-4.452810026123188E-5</c:v>
                </c:pt>
                <c:pt idx="198">
                  <c:v>-0.0003040439041797072</c:v>
                </c:pt>
                <c:pt idx="199">
                  <c:v>-1.698830055829603E-5</c:v>
                </c:pt>
                <c:pt idx="200">
                  <c:v>0.01201721001416445</c:v>
                </c:pt>
                <c:pt idx="201">
                  <c:v>0.001108331955038011</c:v>
                </c:pt>
                <c:pt idx="202">
                  <c:v>-0.0009048740030266345</c:v>
                </c:pt>
                <c:pt idx="203">
                  <c:v>-0.001274770009331405</c:v>
                </c:pt>
                <c:pt idx="204">
                  <c:v>0.001816872041672468</c:v>
                </c:pt>
                <c:pt idx="205">
                  <c:v>0.00734386220574379</c:v>
                </c:pt>
                <c:pt idx="206">
                  <c:v>0.0674583911895752</c:v>
                </c:pt>
                <c:pt idx="207">
                  <c:v>0.01116215996444225</c:v>
                </c:pt>
                <c:pt idx="208">
                  <c:v>0.002290800912305713</c:v>
                </c:pt>
                <c:pt idx="209">
                  <c:v>0.001692038960754871</c:v>
                </c:pt>
                <c:pt idx="210">
                  <c:v>-0.001366849057376385</c:v>
                </c:pt>
                <c:pt idx="211">
                  <c:v>-0.003951540216803551</c:v>
                </c:pt>
                <c:pt idx="212">
                  <c:v>-0.001419257954694331</c:v>
                </c:pt>
                <c:pt idx="213">
                  <c:v>0.0002585389884188771</c:v>
                </c:pt>
                <c:pt idx="214">
                  <c:v>0.0006105973152443767</c:v>
                </c:pt>
                <c:pt idx="215">
                  <c:v>-0.0009877615375444293</c:v>
                </c:pt>
                <c:pt idx="216">
                  <c:v>-0.0003713885962497443</c:v>
                </c:pt>
                <c:pt idx="217">
                  <c:v>-0.0005958196124993265</c:v>
                </c:pt>
                <c:pt idx="218">
                  <c:v>-0.0007205919828265905</c:v>
                </c:pt>
                <c:pt idx="219">
                  <c:v>0.06181402876973152</c:v>
                </c:pt>
                <c:pt idx="220">
                  <c:v>0.00494681391865015</c:v>
                </c:pt>
                <c:pt idx="221">
                  <c:v>-0.0003833099908661097</c:v>
                </c:pt>
                <c:pt idx="222">
                  <c:v>-0.0006838474073447287</c:v>
                </c:pt>
                <c:pt idx="223">
                  <c:v>-0.0002895643992815167</c:v>
                </c:pt>
                <c:pt idx="224">
                  <c:v>0.1005870997905731</c:v>
                </c:pt>
                <c:pt idx="225">
                  <c:v>0.02575015090405941</c:v>
                </c:pt>
                <c:pt idx="226">
                  <c:v>0.01633482985198498</c:v>
                </c:pt>
                <c:pt idx="227">
                  <c:v>0.004711593966931105</c:v>
                </c:pt>
                <c:pt idx="228">
                  <c:v>-0.002543387934565544</c:v>
                </c:pt>
                <c:pt idx="229">
                  <c:v>0.0004693244118243456</c:v>
                </c:pt>
                <c:pt idx="230">
                  <c:v>-0.0008041257970035076</c:v>
                </c:pt>
                <c:pt idx="231">
                  <c:v>0.0009642277145758271</c:v>
                </c:pt>
                <c:pt idx="232">
                  <c:v>-0.0001728490024106577</c:v>
                </c:pt>
                <c:pt idx="233">
                  <c:v>0.1152641996741295</c:v>
                </c:pt>
                <c:pt idx="234">
                  <c:v>0.01203341968357563</c:v>
                </c:pt>
                <c:pt idx="235">
                  <c:v>-0.001056083012372255</c:v>
                </c:pt>
                <c:pt idx="236">
                  <c:v>-0.0001326169003732502</c:v>
                </c:pt>
                <c:pt idx="237">
                  <c:v>-0.000384402897907421</c:v>
                </c:pt>
                <c:pt idx="238">
                  <c:v>-8.741199962969404E-6</c:v>
                </c:pt>
                <c:pt idx="239">
                  <c:v>0.007039920892566442</c:v>
                </c:pt>
                <c:pt idx="240">
                  <c:v>-0.003914257977157831</c:v>
                </c:pt>
                <c:pt idx="241">
                  <c:v>-0.0006845258176326752</c:v>
                </c:pt>
                <c:pt idx="242">
                  <c:v>-0.0007744518807157874</c:v>
                </c:pt>
                <c:pt idx="243">
                  <c:v>0.0002664659987203777</c:v>
                </c:pt>
                <c:pt idx="244">
                  <c:v>0.006011560093611479</c:v>
                </c:pt>
                <c:pt idx="245">
                  <c:v>0.07570572942495346</c:v>
                </c:pt>
                <c:pt idx="246">
                  <c:v>0.01061320956796408</c:v>
                </c:pt>
                <c:pt idx="247">
                  <c:v>0.002192073967307806</c:v>
                </c:pt>
                <c:pt idx="248">
                  <c:v>-0.001150381984189153</c:v>
                </c:pt>
                <c:pt idx="249">
                  <c:v>-5.504980072146282E-5</c:v>
                </c:pt>
                <c:pt idx="250">
                  <c:v>-0.0003372489882167429</c:v>
                </c:pt>
                <c:pt idx="251">
                  <c:v>-0.001033158972859383</c:v>
                </c:pt>
                <c:pt idx="252">
                  <c:v>-0.0001487120025558397</c:v>
                </c:pt>
                <c:pt idx="253">
                  <c:v>0.0009666344267316163</c:v>
                </c:pt>
                <c:pt idx="254">
                  <c:v>-0.00135344301816076</c:v>
                </c:pt>
                <c:pt idx="255">
                  <c:v>-0.001039233990013599</c:v>
                </c:pt>
                <c:pt idx="256">
                  <c:v>-0.0001384372008033097</c:v>
                </c:pt>
                <c:pt idx="257">
                  <c:v>-0.0005333413719199598</c:v>
                </c:pt>
                <c:pt idx="258">
                  <c:v>0.1035574972629547</c:v>
                </c:pt>
                <c:pt idx="259">
                  <c:v>0.01215691957622766</c:v>
                </c:pt>
                <c:pt idx="260">
                  <c:v>-0.0009298720979131758</c:v>
                </c:pt>
                <c:pt idx="261">
                  <c:v>-0.0006565400981344283</c:v>
                </c:pt>
                <c:pt idx="262">
                  <c:v>-0.0002053992066066712</c:v>
                </c:pt>
                <c:pt idx="263">
                  <c:v>0.103488601744175</c:v>
                </c:pt>
                <c:pt idx="264">
                  <c:v>0.02687956020236015</c:v>
                </c:pt>
                <c:pt idx="265">
                  <c:v>0.0161452405154705</c:v>
                </c:pt>
                <c:pt idx="266">
                  <c:v>0.004789393860846758</c:v>
                </c:pt>
                <c:pt idx="267">
                  <c:v>-0.002587866969406605</c:v>
                </c:pt>
                <c:pt idx="268">
                  <c:v>0.0007064401288516819</c:v>
                </c:pt>
                <c:pt idx="269">
                  <c:v>-0.0005025824066251516</c:v>
                </c:pt>
                <c:pt idx="270">
                  <c:v>-0.0009549885289743543</c:v>
                </c:pt>
                <c:pt idx="271">
                  <c:v>-0.0006577461026608944</c:v>
                </c:pt>
                <c:pt idx="272">
                  <c:v>0.005096272099763155</c:v>
                </c:pt>
                <c:pt idx="273">
                  <c:v>-0.006216142792254686</c:v>
                </c:pt>
                <c:pt idx="274">
                  <c:v>-0.0004933609743602574</c:v>
                </c:pt>
                <c:pt idx="275">
                  <c:v>-6.555960135301575E-5</c:v>
                </c:pt>
                <c:pt idx="276">
                  <c:v>-0.0005154822138138115</c:v>
                </c:pt>
                <c:pt idx="277">
                  <c:v>-8.993999927042751E-7</c:v>
                </c:pt>
                <c:pt idx="278">
                  <c:v>0.006562402006238699</c:v>
                </c:pt>
                <c:pt idx="279">
                  <c:v>0.0006788211176171899</c:v>
                </c:pt>
                <c:pt idx="280">
                  <c:v>-0.001804015948437154</c:v>
                </c:pt>
                <c:pt idx="281">
                  <c:v>-0.0002260601031593978</c:v>
                </c:pt>
                <c:pt idx="282">
                  <c:v>0.001388009986840189</c:v>
                </c:pt>
                <c:pt idx="283">
                  <c:v>0.00540143484249711</c:v>
                </c:pt>
                <c:pt idx="284">
                  <c:v>0.06391394138336182</c:v>
                </c:pt>
                <c:pt idx="285">
                  <c:v>0.009212704375386238</c:v>
                </c:pt>
                <c:pt idx="286">
                  <c:v>0.001828094013035297</c:v>
                </c:pt>
                <c:pt idx="287">
                  <c:v>-0.001079760957509279</c:v>
                </c:pt>
                <c:pt idx="288">
                  <c:v>-0.0008535080123692751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SIM5!$B$11:$B$299</c:f>
              <c:numCache>
                <c:ptCount val="289"/>
                <c:pt idx="0">
                  <c:v>0</c:v>
                </c:pt>
                <c:pt idx="1">
                  <c:v>0.2503698766231537</c:v>
                </c:pt>
                <c:pt idx="2">
                  <c:v>0.5003474950790405</c:v>
                </c:pt>
                <c:pt idx="3">
                  <c:v>0.7503663897514343</c:v>
                </c:pt>
                <c:pt idx="4">
                  <c:v>1.000272274017334</c:v>
                </c:pt>
                <c:pt idx="5">
                  <c:v>1.250338554382324</c:v>
                </c:pt>
                <c:pt idx="6">
                  <c:v>1.500310778617859</c:v>
                </c:pt>
                <c:pt idx="7">
                  <c:v>1.750393390655518</c:v>
                </c:pt>
                <c:pt idx="8">
                  <c:v>2.000298500061035</c:v>
                </c:pt>
                <c:pt idx="9">
                  <c:v>2.250226020812988</c:v>
                </c:pt>
                <c:pt idx="10">
                  <c:v>2.500319957733154</c:v>
                </c:pt>
                <c:pt idx="11">
                  <c:v>2.750267744064331</c:v>
                </c:pt>
                <c:pt idx="12">
                  <c:v>3.000191688537598</c:v>
                </c:pt>
                <c:pt idx="13">
                  <c:v>3.250283241271973</c:v>
                </c:pt>
                <c:pt idx="14">
                  <c:v>3.500147104263306</c:v>
                </c:pt>
                <c:pt idx="15">
                  <c:v>3.750288963317871</c:v>
                </c:pt>
                <c:pt idx="16">
                  <c:v>4.000313758850098</c:v>
                </c:pt>
                <c:pt idx="17">
                  <c:v>4.250041484832764</c:v>
                </c:pt>
                <c:pt idx="18">
                  <c:v>4.50066089630127</c:v>
                </c:pt>
                <c:pt idx="19">
                  <c:v>4.750247001647949</c:v>
                </c:pt>
                <c:pt idx="20">
                  <c:v>5.000277996063232</c:v>
                </c:pt>
                <c:pt idx="21">
                  <c:v>5.250236034393311</c:v>
                </c:pt>
                <c:pt idx="22">
                  <c:v>5.500516891479492</c:v>
                </c:pt>
                <c:pt idx="23">
                  <c:v>5.750086307525635</c:v>
                </c:pt>
                <c:pt idx="24">
                  <c:v>6.000389099121094</c:v>
                </c:pt>
                <c:pt idx="25">
                  <c:v>6.250469207763672</c:v>
                </c:pt>
                <c:pt idx="26">
                  <c:v>6.500052928924561</c:v>
                </c:pt>
                <c:pt idx="27">
                  <c:v>6.750552654266357</c:v>
                </c:pt>
                <c:pt idx="28">
                  <c:v>7.000699996948242</c:v>
                </c:pt>
                <c:pt idx="29">
                  <c:v>7.250261306762695</c:v>
                </c:pt>
                <c:pt idx="30">
                  <c:v>7.500458240509033</c:v>
                </c:pt>
                <c:pt idx="31">
                  <c:v>7.750130653381348</c:v>
                </c:pt>
                <c:pt idx="32">
                  <c:v>8.000386238098145</c:v>
                </c:pt>
                <c:pt idx="33">
                  <c:v>8.250313758850098</c:v>
                </c:pt>
                <c:pt idx="34">
                  <c:v>8.500364303588867</c:v>
                </c:pt>
                <c:pt idx="35">
                  <c:v>8.750405311584473</c:v>
                </c:pt>
                <c:pt idx="36">
                  <c:v>9.000142097473145</c:v>
                </c:pt>
                <c:pt idx="37">
                  <c:v>9.250161170959473</c:v>
                </c:pt>
                <c:pt idx="38">
                  <c:v>9.500016212463379</c:v>
                </c:pt>
                <c:pt idx="39">
                  <c:v>9.750371932983398</c:v>
                </c:pt>
                <c:pt idx="40">
                  <c:v>10.0001392364502</c:v>
                </c:pt>
                <c:pt idx="41">
                  <c:v>10.25042247772217</c:v>
                </c:pt>
                <c:pt idx="42">
                  <c:v>10.50008583068848</c:v>
                </c:pt>
                <c:pt idx="43">
                  <c:v>10.75004959106445</c:v>
                </c:pt>
                <c:pt idx="44">
                  <c:v>11.00026988983154</c:v>
                </c:pt>
                <c:pt idx="45">
                  <c:v>11.25038909912109</c:v>
                </c:pt>
                <c:pt idx="46">
                  <c:v>11.50056648254395</c:v>
                </c:pt>
                <c:pt idx="47">
                  <c:v>11.7500057220459</c:v>
                </c:pt>
                <c:pt idx="48">
                  <c:v>12.00052738189697</c:v>
                </c:pt>
                <c:pt idx="49">
                  <c:v>12.2503080368042</c:v>
                </c:pt>
                <c:pt idx="50">
                  <c:v>12.50016975402832</c:v>
                </c:pt>
                <c:pt idx="51">
                  <c:v>12.75010299682617</c:v>
                </c:pt>
                <c:pt idx="52">
                  <c:v>13.00012493133545</c:v>
                </c:pt>
                <c:pt idx="53">
                  <c:v>13.25016117095947</c:v>
                </c:pt>
                <c:pt idx="54">
                  <c:v>13.50045299530029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14.25004768371582</c:v>
                </c:pt>
                <c:pt idx="58">
                  <c:v>14.50016689300537</c:v>
                </c:pt>
                <c:pt idx="59">
                  <c:v>14.75031089782715</c:v>
                </c:pt>
                <c:pt idx="60">
                  <c:v>15.00023651123047</c:v>
                </c:pt>
                <c:pt idx="61">
                  <c:v>15.25072479248047</c:v>
                </c:pt>
                <c:pt idx="62">
                  <c:v>15.50008583068848</c:v>
                </c:pt>
                <c:pt idx="63">
                  <c:v>15.75078010559082</c:v>
                </c:pt>
                <c:pt idx="64">
                  <c:v>16.00008583068848</c:v>
                </c:pt>
                <c:pt idx="65">
                  <c:v>16.25002288818359</c:v>
                </c:pt>
                <c:pt idx="66">
                  <c:v>16.50029754638672</c:v>
                </c:pt>
                <c:pt idx="67">
                  <c:v>16.75045013427734</c:v>
                </c:pt>
                <c:pt idx="68">
                  <c:v>17.00076103210449</c:v>
                </c:pt>
                <c:pt idx="69">
                  <c:v>17.25020217895508</c:v>
                </c:pt>
                <c:pt idx="70">
                  <c:v>17.50014495849609</c:v>
                </c:pt>
                <c:pt idx="71">
                  <c:v>17.75012588500977</c:v>
                </c:pt>
                <c:pt idx="72">
                  <c:v>18.0000171661377</c:v>
                </c:pt>
                <c:pt idx="73">
                  <c:v>18.25006294250488</c:v>
                </c:pt>
                <c:pt idx="74">
                  <c:v>18.50054359436035</c:v>
                </c:pt>
                <c:pt idx="75">
                  <c:v>18.75059127807617</c:v>
                </c:pt>
                <c:pt idx="76">
                  <c:v>19.00070571899414</c:v>
                </c:pt>
                <c:pt idx="77">
                  <c:v>19.25062561035156</c:v>
                </c:pt>
                <c:pt idx="78">
                  <c:v>19.50022506713867</c:v>
                </c:pt>
                <c:pt idx="79">
                  <c:v>19.75065040588379</c:v>
                </c:pt>
                <c:pt idx="80">
                  <c:v>20.00045776367188</c:v>
                </c:pt>
                <c:pt idx="81">
                  <c:v>20.25028419494629</c:v>
                </c:pt>
                <c:pt idx="82">
                  <c:v>20.50001907348633</c:v>
                </c:pt>
                <c:pt idx="83">
                  <c:v>20.7501049041748</c:v>
                </c:pt>
                <c:pt idx="84">
                  <c:v>21.00059700012207</c:v>
                </c:pt>
                <c:pt idx="85">
                  <c:v>21.25004959106445</c:v>
                </c:pt>
                <c:pt idx="86">
                  <c:v>21.50067710876465</c:v>
                </c:pt>
                <c:pt idx="87">
                  <c:v>21.75057983398438</c:v>
                </c:pt>
                <c:pt idx="88">
                  <c:v>22.00036430358887</c:v>
                </c:pt>
                <c:pt idx="89">
                  <c:v>22.25044250488281</c:v>
                </c:pt>
                <c:pt idx="90">
                  <c:v>22.50027465820312</c:v>
                </c:pt>
                <c:pt idx="91">
                  <c:v>22.75015830993652</c:v>
                </c:pt>
                <c:pt idx="92">
                  <c:v>23.00018692016602</c:v>
                </c:pt>
                <c:pt idx="93">
                  <c:v>23.25011444091797</c:v>
                </c:pt>
                <c:pt idx="94">
                  <c:v>23.50038528442383</c:v>
                </c:pt>
                <c:pt idx="95">
                  <c:v>23.75017738342285</c:v>
                </c:pt>
                <c:pt idx="96">
                  <c:v>24.00063896179199</c:v>
                </c:pt>
                <c:pt idx="97">
                  <c:v>24.25063705444336</c:v>
                </c:pt>
                <c:pt idx="98">
                  <c:v>24.50048065185547</c:v>
                </c:pt>
                <c:pt idx="99">
                  <c:v>24.75008583068848</c:v>
                </c:pt>
                <c:pt idx="100">
                  <c:v>25.00044250488281</c:v>
                </c:pt>
                <c:pt idx="101">
                  <c:v>25.25060844421387</c:v>
                </c:pt>
                <c:pt idx="102">
                  <c:v>25.50006866455078</c:v>
                </c:pt>
                <c:pt idx="103">
                  <c:v>25.75045204162598</c:v>
                </c:pt>
                <c:pt idx="104">
                  <c:v>26.00029182434082</c:v>
                </c:pt>
                <c:pt idx="105">
                  <c:v>26.25020217895508</c:v>
                </c:pt>
                <c:pt idx="106">
                  <c:v>26.50071907043457</c:v>
                </c:pt>
                <c:pt idx="107">
                  <c:v>26.75035095214844</c:v>
                </c:pt>
                <c:pt idx="108">
                  <c:v>27.00043869018555</c:v>
                </c:pt>
                <c:pt idx="109">
                  <c:v>27.25024795532227</c:v>
                </c:pt>
                <c:pt idx="110">
                  <c:v>27.50032234191895</c:v>
                </c:pt>
                <c:pt idx="111">
                  <c:v>27.75018119812012</c:v>
                </c:pt>
                <c:pt idx="112">
                  <c:v>28.00002861022949</c:v>
                </c:pt>
                <c:pt idx="113">
                  <c:v>28.25002861022949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29.2502498626709</c:v>
                </c:pt>
                <c:pt idx="118">
                  <c:v>29.50047302246094</c:v>
                </c:pt>
                <c:pt idx="119">
                  <c:v>29.7501106262207</c:v>
                </c:pt>
                <c:pt idx="120">
                  <c:v>30.0002498626709</c:v>
                </c:pt>
                <c:pt idx="121">
                  <c:v>30.25</c:v>
                </c:pt>
                <c:pt idx="122">
                  <c:v>30.50016593933105</c:v>
                </c:pt>
                <c:pt idx="123">
                  <c:v>30.75058364868164</c:v>
                </c:pt>
                <c:pt idx="124">
                  <c:v>31.00008392333984</c:v>
                </c:pt>
                <c:pt idx="125">
                  <c:v>31.25027847290039</c:v>
                </c:pt>
                <c:pt idx="126">
                  <c:v>31.50033378601074</c:v>
                </c:pt>
                <c:pt idx="127">
                  <c:v>31.75019454956055</c:v>
                </c:pt>
                <c:pt idx="128">
                  <c:v>32.00044631958008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32.75033187866211</c:v>
                </c:pt>
                <c:pt idx="132">
                  <c:v>33.00025177001953</c:v>
                </c:pt>
                <c:pt idx="133">
                  <c:v>33.25041580200195</c:v>
                </c:pt>
                <c:pt idx="134">
                  <c:v>33.50027847290039</c:v>
                </c:pt>
                <c:pt idx="135">
                  <c:v>33.75069427490234</c:v>
                </c:pt>
                <c:pt idx="136">
                  <c:v>34.0001106262207</c:v>
                </c:pt>
                <c:pt idx="137">
                  <c:v>34.25058364868164</c:v>
                </c:pt>
                <c:pt idx="138">
                  <c:v>34.50016784667969</c:v>
                </c:pt>
                <c:pt idx="139">
                  <c:v>34.75025177001953</c:v>
                </c:pt>
                <c:pt idx="140">
                  <c:v>35.00063705444336</c:v>
                </c:pt>
                <c:pt idx="141">
                  <c:v>35.25091552734375</c:v>
                </c:pt>
                <c:pt idx="142">
                  <c:v>35.50013732910156</c:v>
                </c:pt>
                <c:pt idx="143">
                  <c:v>35.75019454956055</c:v>
                </c:pt>
                <c:pt idx="144">
                  <c:v>36.00019454956055</c:v>
                </c:pt>
                <c:pt idx="145">
                  <c:v>36.25027847290039</c:v>
                </c:pt>
                <c:pt idx="146">
                  <c:v>36.50077819824219</c:v>
                </c:pt>
                <c:pt idx="147">
                  <c:v>36.75005722045898</c:v>
                </c:pt>
                <c:pt idx="148">
                  <c:v>37.00041580200195</c:v>
                </c:pt>
                <c:pt idx="149">
                  <c:v>37.25033187866211</c:v>
                </c:pt>
                <c:pt idx="150">
                  <c:v>37.50008392333984</c:v>
                </c:pt>
                <c:pt idx="151">
                  <c:v>37.75036239624023</c:v>
                </c:pt>
                <c:pt idx="152">
                  <c:v>38.00041580200195</c:v>
                </c:pt>
                <c:pt idx="153">
                  <c:v>38.25044631958008</c:v>
                </c:pt>
                <c:pt idx="154">
                  <c:v>38.50041580200195</c:v>
                </c:pt>
                <c:pt idx="155">
                  <c:v>38.75052642822266</c:v>
                </c:pt>
                <c:pt idx="156">
                  <c:v>39.00044631958008</c:v>
                </c:pt>
                <c:pt idx="157">
                  <c:v>39.25019454956055</c:v>
                </c:pt>
                <c:pt idx="158">
                  <c:v>39.50008392333984</c:v>
                </c:pt>
                <c:pt idx="159">
                  <c:v>39.75080490112305</c:v>
                </c:pt>
                <c:pt idx="160">
                  <c:v>40.00063705444336</c:v>
                </c:pt>
                <c:pt idx="161">
                  <c:v>40.2501106262207</c:v>
                </c:pt>
                <c:pt idx="162">
                  <c:v>40.50030517578125</c:v>
                </c:pt>
                <c:pt idx="163">
                  <c:v>40.75041580200195</c:v>
                </c:pt>
                <c:pt idx="164">
                  <c:v>41.00077819824219</c:v>
                </c:pt>
                <c:pt idx="165">
                  <c:v>41.2507209777832</c:v>
                </c:pt>
                <c:pt idx="166">
                  <c:v>41.50013732910156</c:v>
                </c:pt>
                <c:pt idx="167">
                  <c:v>41.75052642822266</c:v>
                </c:pt>
                <c:pt idx="168">
                  <c:v>42.00030517578125</c:v>
                </c:pt>
                <c:pt idx="169">
                  <c:v>42.25013732910156</c:v>
                </c:pt>
                <c:pt idx="170">
                  <c:v>42.50030517578125</c:v>
                </c:pt>
                <c:pt idx="171">
                  <c:v>42.75047302246094</c:v>
                </c:pt>
                <c:pt idx="172">
                  <c:v>43.00030517578125</c:v>
                </c:pt>
                <c:pt idx="173">
                  <c:v>43.25063705444336</c:v>
                </c:pt>
                <c:pt idx="174">
                  <c:v>43.5006103515625</c:v>
                </c:pt>
                <c:pt idx="175">
                  <c:v>43.75036239624023</c:v>
                </c:pt>
                <c:pt idx="176">
                  <c:v>44.00052642822266</c:v>
                </c:pt>
                <c:pt idx="177">
                  <c:v>44.25027847290039</c:v>
                </c:pt>
                <c:pt idx="178">
                  <c:v>44.50047302246094</c:v>
                </c:pt>
                <c:pt idx="179">
                  <c:v>44.75052642822266</c:v>
                </c:pt>
                <c:pt idx="180">
                  <c:v>45.00055694580078</c:v>
                </c:pt>
                <c:pt idx="181">
                  <c:v>45.25016784667969</c:v>
                </c:pt>
                <c:pt idx="182">
                  <c:v>45.5006103515625</c:v>
                </c:pt>
                <c:pt idx="183">
                  <c:v>45.75066757202148</c:v>
                </c:pt>
                <c:pt idx="184">
                  <c:v>46.00069427490234</c:v>
                </c:pt>
                <c:pt idx="185">
                  <c:v>46.2507209777832</c:v>
                </c:pt>
                <c:pt idx="186">
                  <c:v>46.50052642822266</c:v>
                </c:pt>
                <c:pt idx="187">
                  <c:v>46.75036239624023</c:v>
                </c:pt>
                <c:pt idx="188">
                  <c:v>47.00030517578125</c:v>
                </c:pt>
                <c:pt idx="189">
                  <c:v>47.25027847290039</c:v>
                </c:pt>
                <c:pt idx="190">
                  <c:v>47.50005722045898</c:v>
                </c:pt>
                <c:pt idx="191">
                  <c:v>47.75036239624023</c:v>
                </c:pt>
                <c:pt idx="192">
                  <c:v>48.00016784667969</c:v>
                </c:pt>
                <c:pt idx="193">
                  <c:v>48.25013732910156</c:v>
                </c:pt>
                <c:pt idx="194">
                  <c:v>48.50027847290039</c:v>
                </c:pt>
                <c:pt idx="195">
                  <c:v>48.75038909912109</c:v>
                </c:pt>
                <c:pt idx="196">
                  <c:v>49.00019454956055</c:v>
                </c:pt>
                <c:pt idx="197">
                  <c:v>49.25066757202148</c:v>
                </c:pt>
                <c:pt idx="198">
                  <c:v>49.50025177001953</c:v>
                </c:pt>
                <c:pt idx="199">
                  <c:v>49.75069427490234</c:v>
                </c:pt>
                <c:pt idx="200">
                  <c:v>50.00005722045898</c:v>
                </c:pt>
                <c:pt idx="201">
                  <c:v>50.25030517578125</c:v>
                </c:pt>
                <c:pt idx="202">
                  <c:v>50.50008392333984</c:v>
                </c:pt>
                <c:pt idx="203">
                  <c:v>50.75080490112305</c:v>
                </c:pt>
                <c:pt idx="204">
                  <c:v>51.00038909912109</c:v>
                </c:pt>
                <c:pt idx="205">
                  <c:v>51.2501106262207</c:v>
                </c:pt>
                <c:pt idx="206">
                  <c:v>51.5004997253418</c:v>
                </c:pt>
                <c:pt idx="207">
                  <c:v>51.75019454956055</c:v>
                </c:pt>
                <c:pt idx="208">
                  <c:v>52.00030517578125</c:v>
                </c:pt>
                <c:pt idx="209">
                  <c:v>52.25030517578125</c:v>
                </c:pt>
                <c:pt idx="210">
                  <c:v>52.50025177001953</c:v>
                </c:pt>
                <c:pt idx="211">
                  <c:v>52.75033187866211</c:v>
                </c:pt>
                <c:pt idx="212">
                  <c:v>53.00058364868164</c:v>
                </c:pt>
                <c:pt idx="213">
                  <c:v>53.2501106262207</c:v>
                </c:pt>
                <c:pt idx="214">
                  <c:v>53.50025177001953</c:v>
                </c:pt>
                <c:pt idx="215">
                  <c:v>53.75036239624023</c:v>
                </c:pt>
                <c:pt idx="216">
                  <c:v>54.00047302246094</c:v>
                </c:pt>
                <c:pt idx="217">
                  <c:v>54.25027847290039</c:v>
                </c:pt>
                <c:pt idx="218">
                  <c:v>54.50077819824219</c:v>
                </c:pt>
                <c:pt idx="219">
                  <c:v>54.75013732910156</c:v>
                </c:pt>
                <c:pt idx="220">
                  <c:v>55.00036239624023</c:v>
                </c:pt>
                <c:pt idx="221">
                  <c:v>55.25025177001953</c:v>
                </c:pt>
                <c:pt idx="222">
                  <c:v>55.50002670288086</c:v>
                </c:pt>
                <c:pt idx="223">
                  <c:v>55.75058364868164</c:v>
                </c:pt>
                <c:pt idx="224">
                  <c:v>56.0007209777832</c:v>
                </c:pt>
                <c:pt idx="225">
                  <c:v>56.25052642822266</c:v>
                </c:pt>
                <c:pt idx="226">
                  <c:v>56.50030517578125</c:v>
                </c:pt>
                <c:pt idx="227">
                  <c:v>56.75</c:v>
                </c:pt>
                <c:pt idx="228">
                  <c:v>57.0001106262207</c:v>
                </c:pt>
                <c:pt idx="229">
                  <c:v>57.2501106262207</c:v>
                </c:pt>
                <c:pt idx="230">
                  <c:v>57.50027847290039</c:v>
                </c:pt>
                <c:pt idx="231">
                  <c:v>57.75063705444336</c:v>
                </c:pt>
                <c:pt idx="232">
                  <c:v>58.0004997253418</c:v>
                </c:pt>
                <c:pt idx="233">
                  <c:v>58.25036239624023</c:v>
                </c:pt>
                <c:pt idx="234">
                  <c:v>58.5</c:v>
                </c:pt>
                <c:pt idx="235">
                  <c:v>58.75038909912109</c:v>
                </c:pt>
                <c:pt idx="236">
                  <c:v>59.0001106262207</c:v>
                </c:pt>
                <c:pt idx="237">
                  <c:v>59.25025177001953</c:v>
                </c:pt>
                <c:pt idx="238">
                  <c:v>59.5001106262207</c:v>
                </c:pt>
                <c:pt idx="239">
                  <c:v>59.75019454956055</c:v>
                </c:pt>
                <c:pt idx="240">
                  <c:v>60.00033187866211</c:v>
                </c:pt>
                <c:pt idx="241">
                  <c:v>60.25005722045898</c:v>
                </c:pt>
                <c:pt idx="242">
                  <c:v>60.50058364868164</c:v>
                </c:pt>
                <c:pt idx="243">
                  <c:v>60.75047302246094</c:v>
                </c:pt>
                <c:pt idx="244">
                  <c:v>61.00041580200195</c:v>
                </c:pt>
                <c:pt idx="245">
                  <c:v>61.25033187866211</c:v>
                </c:pt>
                <c:pt idx="246">
                  <c:v>61.50033187866211</c:v>
                </c:pt>
                <c:pt idx="247">
                  <c:v>61.75016784667969</c:v>
                </c:pt>
                <c:pt idx="248">
                  <c:v>62</c:v>
                </c:pt>
                <c:pt idx="249">
                  <c:v>62.25041580200195</c:v>
                </c:pt>
                <c:pt idx="250">
                  <c:v>62.50036239624023</c:v>
                </c:pt>
                <c:pt idx="251">
                  <c:v>62.75044631958008</c:v>
                </c:pt>
                <c:pt idx="252">
                  <c:v>63.00013732910156</c:v>
                </c:pt>
                <c:pt idx="253">
                  <c:v>63.2504997253418</c:v>
                </c:pt>
                <c:pt idx="254">
                  <c:v>63.50055694580078</c:v>
                </c:pt>
                <c:pt idx="255">
                  <c:v>63.75030517578125</c:v>
                </c:pt>
                <c:pt idx="256">
                  <c:v>64.00011444091797</c:v>
                </c:pt>
                <c:pt idx="257">
                  <c:v>64.25016784667969</c:v>
                </c:pt>
                <c:pt idx="258">
                  <c:v>64.50044250488281</c:v>
                </c:pt>
                <c:pt idx="259">
                  <c:v>64.7506103515625</c:v>
                </c:pt>
                <c:pt idx="260">
                  <c:v>65.00064086914062</c:v>
                </c:pt>
                <c:pt idx="261">
                  <c:v>65.25013732910156</c:v>
                </c:pt>
                <c:pt idx="262">
                  <c:v>65.50030517578125</c:v>
                </c:pt>
                <c:pt idx="263">
                  <c:v>65.75050354003906</c:v>
                </c:pt>
                <c:pt idx="264">
                  <c:v>66.00050354003906</c:v>
                </c:pt>
                <c:pt idx="265">
                  <c:v>66.25003051757812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67.00008392333984</c:v>
                </c:pt>
                <c:pt idx="269">
                  <c:v>67.25022125244141</c:v>
                </c:pt>
                <c:pt idx="270">
                  <c:v>67.50016784667969</c:v>
                </c:pt>
                <c:pt idx="271">
                  <c:v>67.75050354003906</c:v>
                </c:pt>
                <c:pt idx="272">
                  <c:v>68.00013732910156</c:v>
                </c:pt>
                <c:pt idx="273">
                  <c:v>68.25008392333984</c:v>
                </c:pt>
                <c:pt idx="274">
                  <c:v>68.50055694580078</c:v>
                </c:pt>
                <c:pt idx="275">
                  <c:v>68.75055694580078</c:v>
                </c:pt>
                <c:pt idx="276">
                  <c:v>69.00035858154297</c:v>
                </c:pt>
                <c:pt idx="277">
                  <c:v>69.25069427490234</c:v>
                </c:pt>
                <c:pt idx="278">
                  <c:v>69.50013732910156</c:v>
                </c:pt>
                <c:pt idx="279">
                  <c:v>69.7506103515625</c:v>
                </c:pt>
                <c:pt idx="280">
                  <c:v>70.00025177001953</c:v>
                </c:pt>
                <c:pt idx="281">
                  <c:v>70.25064086914062</c:v>
                </c:pt>
                <c:pt idx="282">
                  <c:v>70.50047302246094</c:v>
                </c:pt>
                <c:pt idx="283">
                  <c:v>70.75005340576172</c:v>
                </c:pt>
                <c:pt idx="284">
                  <c:v>71.00050354003906</c:v>
                </c:pt>
                <c:pt idx="285">
                  <c:v>71.25038909912109</c:v>
                </c:pt>
                <c:pt idx="286">
                  <c:v>71.50027465820312</c:v>
                </c:pt>
                <c:pt idx="287">
                  <c:v>71.75035858154297</c:v>
                </c:pt>
                <c:pt idx="288">
                  <c:v>72.00016784667969</c:v>
                </c:pt>
              </c:numCache>
            </c:numRef>
          </c:xVal>
          <c:yVal>
            <c:numRef>
              <c:f>SIM5!$G$11:$G$299</c:f>
              <c:numCache>
                <c:ptCount val="289"/>
                <c:pt idx="0">
                  <c:v>6.976023197174072</c:v>
                </c:pt>
                <c:pt idx="1">
                  <c:v>4.013641834259033</c:v>
                </c:pt>
                <c:pt idx="2">
                  <c:v>2.928809881210327</c:v>
                </c:pt>
                <c:pt idx="3">
                  <c:v>0.5996202230453491</c:v>
                </c:pt>
                <c:pt idx="4">
                  <c:v>-1.749161005020142</c:v>
                </c:pt>
                <c:pt idx="5">
                  <c:v>-1.43955397605896</c:v>
                </c:pt>
                <c:pt idx="6">
                  <c:v>-1.193088054656982</c:v>
                </c:pt>
                <c:pt idx="7">
                  <c:v>-1.002915024757385</c:v>
                </c:pt>
                <c:pt idx="8">
                  <c:v>-0.5985733866691589</c:v>
                </c:pt>
                <c:pt idx="9">
                  <c:v>-3.886600017547607</c:v>
                </c:pt>
                <c:pt idx="10">
                  <c:v>7.639770030975342</c:v>
                </c:pt>
                <c:pt idx="11">
                  <c:v>9.15025806427002</c:v>
                </c:pt>
                <c:pt idx="12">
                  <c:v>7.092512130737305</c:v>
                </c:pt>
                <c:pt idx="13">
                  <c:v>1.124827980995178</c:v>
                </c:pt>
                <c:pt idx="14">
                  <c:v>-1.365815043449402</c:v>
                </c:pt>
                <c:pt idx="15">
                  <c:v>-1.263849020004272</c:v>
                </c:pt>
                <c:pt idx="16">
                  <c:v>-2.087815046310425</c:v>
                </c:pt>
                <c:pt idx="17">
                  <c:v>-1.399719953536987</c:v>
                </c:pt>
                <c:pt idx="18">
                  <c:v>0.241156205534935</c:v>
                </c:pt>
                <c:pt idx="19">
                  <c:v>2.772372961044312</c:v>
                </c:pt>
                <c:pt idx="20">
                  <c:v>-0.9150152206420898</c:v>
                </c:pt>
                <c:pt idx="21">
                  <c:v>-0.5302770733833313</c:v>
                </c:pt>
                <c:pt idx="22">
                  <c:v>-0.4376001060009003</c:v>
                </c:pt>
                <c:pt idx="23">
                  <c:v>-2.798572063446045</c:v>
                </c:pt>
                <c:pt idx="24">
                  <c:v>11.21032047271729</c:v>
                </c:pt>
                <c:pt idx="25">
                  <c:v>2.896580934524536</c:v>
                </c:pt>
                <c:pt idx="26">
                  <c:v>-0.9255256056785583</c:v>
                </c:pt>
                <c:pt idx="27">
                  <c:v>-0.8096398115158081</c:v>
                </c:pt>
                <c:pt idx="28">
                  <c:v>-0.3024716079235077</c:v>
                </c:pt>
                <c:pt idx="29">
                  <c:v>14.80130004882812</c:v>
                </c:pt>
                <c:pt idx="30">
                  <c:v>3.233052968978882</c:v>
                </c:pt>
                <c:pt idx="31">
                  <c:v>8.726502418518066</c:v>
                </c:pt>
                <c:pt idx="32">
                  <c:v>2.475817918777466</c:v>
                </c:pt>
                <c:pt idx="33">
                  <c:v>-1.587882995605469</c:v>
                </c:pt>
                <c:pt idx="34">
                  <c:v>-0.8390296101570129</c:v>
                </c:pt>
                <c:pt idx="35">
                  <c:v>-1.519067049026489</c:v>
                </c:pt>
                <c:pt idx="36">
                  <c:v>-0.3188341856002808</c:v>
                </c:pt>
                <c:pt idx="37">
                  <c:v>-0.8291246294975281</c:v>
                </c:pt>
                <c:pt idx="38">
                  <c:v>5.763228893280029</c:v>
                </c:pt>
                <c:pt idx="39">
                  <c:v>0.9689006209373474</c:v>
                </c:pt>
                <c:pt idx="40">
                  <c:v>-1.16259503364563</c:v>
                </c:pt>
                <c:pt idx="41">
                  <c:v>-0.4107750952243805</c:v>
                </c:pt>
                <c:pt idx="42">
                  <c:v>-0.9112340211868286</c:v>
                </c:pt>
                <c:pt idx="43">
                  <c:v>-0.08440952003002167</c:v>
                </c:pt>
                <c:pt idx="44">
                  <c:v>0.5510904788970947</c:v>
                </c:pt>
                <c:pt idx="45">
                  <c:v>-1.454970955848694</c:v>
                </c:pt>
                <c:pt idx="46">
                  <c:v>-0.5653247237205505</c:v>
                </c:pt>
                <c:pt idx="47">
                  <c:v>-0.7334163784980774</c:v>
                </c:pt>
                <c:pt idx="48">
                  <c:v>0.0514661893248558</c:v>
                </c:pt>
                <c:pt idx="49">
                  <c:v>0.2504552900791168</c:v>
                </c:pt>
                <c:pt idx="50">
                  <c:v>14.91555023193359</c:v>
                </c:pt>
                <c:pt idx="51">
                  <c:v>5.347262859344482</c:v>
                </c:pt>
                <c:pt idx="52">
                  <c:v>0.05220165103673935</c:v>
                </c:pt>
                <c:pt idx="53">
                  <c:v>-0.8416370749473572</c:v>
                </c:pt>
                <c:pt idx="54">
                  <c:v>-1.441771984100342</c:v>
                </c:pt>
                <c:pt idx="55">
                  <c:v>-2.021634101867676</c:v>
                </c:pt>
                <c:pt idx="56">
                  <c:v>-0.9767081737518311</c:v>
                </c:pt>
                <c:pt idx="57">
                  <c:v>-1.485070943832397</c:v>
                </c:pt>
                <c:pt idx="58">
                  <c:v>3.543694019317627</c:v>
                </c:pt>
                <c:pt idx="59">
                  <c:v>-2.00860595703125</c:v>
                </c:pt>
                <c:pt idx="60">
                  <c:v>-0.7618653178215027</c:v>
                </c:pt>
                <c:pt idx="61">
                  <c:v>-0.7802948951721191</c:v>
                </c:pt>
                <c:pt idx="62">
                  <c:v>-0.2733122110366821</c:v>
                </c:pt>
                <c:pt idx="63">
                  <c:v>3.225038051605225</c:v>
                </c:pt>
                <c:pt idx="64">
                  <c:v>2.67286205291748</c:v>
                </c:pt>
                <c:pt idx="65">
                  <c:v>-1.185809016227722</c:v>
                </c:pt>
                <c:pt idx="66">
                  <c:v>-0.2150090932846069</c:v>
                </c:pt>
                <c:pt idx="67">
                  <c:v>-0.9146965146064758</c:v>
                </c:pt>
                <c:pt idx="68">
                  <c:v>7.336628913879395</c:v>
                </c:pt>
                <c:pt idx="69">
                  <c:v>4.083207130432129</c:v>
                </c:pt>
                <c:pt idx="70">
                  <c:v>8.574679374694824</c:v>
                </c:pt>
                <c:pt idx="71">
                  <c:v>2.187983989715576</c:v>
                </c:pt>
                <c:pt idx="72">
                  <c:v>-0.2918680012226105</c:v>
                </c:pt>
                <c:pt idx="73">
                  <c:v>-1.086701035499573</c:v>
                </c:pt>
                <c:pt idx="74">
                  <c:v>-1.597506999969482</c:v>
                </c:pt>
                <c:pt idx="75">
                  <c:v>-1.130089998245239</c:v>
                </c:pt>
                <c:pt idx="76">
                  <c:v>-0.791618287563324</c:v>
                </c:pt>
                <c:pt idx="77">
                  <c:v>11.20075988769531</c:v>
                </c:pt>
                <c:pt idx="78">
                  <c:v>3.690579891204834</c:v>
                </c:pt>
                <c:pt idx="79">
                  <c:v>-0.7041510939598083</c:v>
                </c:pt>
                <c:pt idx="80">
                  <c:v>-0.262196809053421</c:v>
                </c:pt>
                <c:pt idx="81">
                  <c:v>-0.6639347076416016</c:v>
                </c:pt>
                <c:pt idx="82">
                  <c:v>-3.941071033477783</c:v>
                </c:pt>
                <c:pt idx="83">
                  <c:v>19.83046913146973</c:v>
                </c:pt>
                <c:pt idx="84">
                  <c:v>0.8113282918930054</c:v>
                </c:pt>
                <c:pt idx="85">
                  <c:v>-0.4230104982852936</c:v>
                </c:pt>
                <c:pt idx="86">
                  <c:v>-1.69083297252655</c:v>
                </c:pt>
                <c:pt idx="87">
                  <c:v>-0.01072936970740557</c:v>
                </c:pt>
                <c:pt idx="88">
                  <c:v>0.2659451961517334</c:v>
                </c:pt>
                <c:pt idx="89">
                  <c:v>15.33108997344971</c:v>
                </c:pt>
                <c:pt idx="90">
                  <c:v>5.310279846191406</c:v>
                </c:pt>
                <c:pt idx="91">
                  <c:v>0.1748667061328888</c:v>
                </c:pt>
                <c:pt idx="92">
                  <c:v>-1.770717978477478</c:v>
                </c:pt>
                <c:pt idx="93">
                  <c:v>-1.571748971939087</c:v>
                </c:pt>
                <c:pt idx="94">
                  <c:v>-0.5977181792259216</c:v>
                </c:pt>
                <c:pt idx="95">
                  <c:v>-0.9683426022529602</c:v>
                </c:pt>
                <c:pt idx="96">
                  <c:v>-0.4448401033878326</c:v>
                </c:pt>
                <c:pt idx="97">
                  <c:v>-0.06988631933927536</c:v>
                </c:pt>
                <c:pt idx="98">
                  <c:v>-0.379137396812439</c:v>
                </c:pt>
                <c:pt idx="99">
                  <c:v>-0.7817077040672302</c:v>
                </c:pt>
                <c:pt idx="100">
                  <c:v>-0.9274733066558838</c:v>
                </c:pt>
                <c:pt idx="101">
                  <c:v>-1.468917012214661</c:v>
                </c:pt>
                <c:pt idx="102">
                  <c:v>-0.3044672012329102</c:v>
                </c:pt>
                <c:pt idx="103">
                  <c:v>-0.1007526963949203</c:v>
                </c:pt>
                <c:pt idx="104">
                  <c:v>-0.3533323109149933</c:v>
                </c:pt>
                <c:pt idx="105">
                  <c:v>-0.4568589925765991</c:v>
                </c:pt>
                <c:pt idx="106">
                  <c:v>-2.043992042541504</c:v>
                </c:pt>
                <c:pt idx="107">
                  <c:v>5.302791118621826</c:v>
                </c:pt>
                <c:pt idx="108">
                  <c:v>3.354511976242065</c:v>
                </c:pt>
                <c:pt idx="109">
                  <c:v>9.656624794006348</c:v>
                </c:pt>
                <c:pt idx="110">
                  <c:v>2.815761089324951</c:v>
                </c:pt>
                <c:pt idx="111">
                  <c:v>-0.8095985054969788</c:v>
                </c:pt>
                <c:pt idx="112">
                  <c:v>-1.766479969024658</c:v>
                </c:pt>
                <c:pt idx="113">
                  <c:v>-0.3603133857250214</c:v>
                </c:pt>
                <c:pt idx="114">
                  <c:v>-0.6340882778167725</c:v>
                </c:pt>
                <c:pt idx="115">
                  <c:v>-0.2157648056745529</c:v>
                </c:pt>
                <c:pt idx="116">
                  <c:v>5.73964786529541</c:v>
                </c:pt>
                <c:pt idx="117">
                  <c:v>3.682332038879395</c:v>
                </c:pt>
                <c:pt idx="118">
                  <c:v>-0.951296329498291</c:v>
                </c:pt>
                <c:pt idx="119">
                  <c:v>-1.024768948554993</c:v>
                </c:pt>
                <c:pt idx="120">
                  <c:v>-0.6868106722831726</c:v>
                </c:pt>
                <c:pt idx="121">
                  <c:v>-2.442038059234619</c:v>
                </c:pt>
                <c:pt idx="122">
                  <c:v>16.79068946838379</c:v>
                </c:pt>
                <c:pt idx="123">
                  <c:v>1.67224395275116</c:v>
                </c:pt>
                <c:pt idx="124">
                  <c:v>-0.6571115851402283</c:v>
                </c:pt>
                <c:pt idx="125">
                  <c:v>-0.2548916041851044</c:v>
                </c:pt>
                <c:pt idx="126">
                  <c:v>0.1711234003305435</c:v>
                </c:pt>
                <c:pt idx="127">
                  <c:v>4.6113600730896</c:v>
                </c:pt>
                <c:pt idx="128">
                  <c:v>4.072315216064453</c:v>
                </c:pt>
                <c:pt idx="129">
                  <c:v>7.049613952636719</c:v>
                </c:pt>
                <c:pt idx="130">
                  <c:v>1.014646053314209</c:v>
                </c:pt>
                <c:pt idx="131">
                  <c:v>-1.600275039672852</c:v>
                </c:pt>
                <c:pt idx="132">
                  <c:v>-0.849431574344635</c:v>
                </c:pt>
                <c:pt idx="133">
                  <c:v>-1.231675982475281</c:v>
                </c:pt>
                <c:pt idx="134">
                  <c:v>-1.282302975654602</c:v>
                </c:pt>
                <c:pt idx="135">
                  <c:v>-0.8411970138549805</c:v>
                </c:pt>
                <c:pt idx="136">
                  <c:v>0.07572218030691147</c:v>
                </c:pt>
                <c:pt idx="137">
                  <c:v>-0.7812411189079285</c:v>
                </c:pt>
                <c:pt idx="138">
                  <c:v>-0.8021847009658813</c:v>
                </c:pt>
                <c:pt idx="139">
                  <c:v>-0.4494192898273468</c:v>
                </c:pt>
                <c:pt idx="140">
                  <c:v>-1.153666019439697</c:v>
                </c:pt>
                <c:pt idx="141">
                  <c:v>0.08755432814359665</c:v>
                </c:pt>
                <c:pt idx="142">
                  <c:v>0.3514628112316132</c:v>
                </c:pt>
                <c:pt idx="143">
                  <c:v>-0.3717268109321594</c:v>
                </c:pt>
                <c:pt idx="144">
                  <c:v>-0.4732449948787689</c:v>
                </c:pt>
                <c:pt idx="145">
                  <c:v>-0.3095420002937317</c:v>
                </c:pt>
                <c:pt idx="146">
                  <c:v>0.02148633077740669</c:v>
                </c:pt>
                <c:pt idx="147">
                  <c:v>0.1503359973430634</c:v>
                </c:pt>
                <c:pt idx="148">
                  <c:v>11.85151958465576</c:v>
                </c:pt>
                <c:pt idx="149">
                  <c:v>4.146202087402344</c:v>
                </c:pt>
                <c:pt idx="150">
                  <c:v>-0.1608321964740753</c:v>
                </c:pt>
                <c:pt idx="151">
                  <c:v>-1.477980017662048</c:v>
                </c:pt>
                <c:pt idx="152">
                  <c:v>-0.286809504032135</c:v>
                </c:pt>
                <c:pt idx="153">
                  <c:v>-0.7051339149475098</c:v>
                </c:pt>
                <c:pt idx="154">
                  <c:v>-0.5170331001281738</c:v>
                </c:pt>
                <c:pt idx="155">
                  <c:v>3.7273850440979</c:v>
                </c:pt>
                <c:pt idx="156">
                  <c:v>2.398634910583496</c:v>
                </c:pt>
                <c:pt idx="157">
                  <c:v>-0.9271110892295837</c:v>
                </c:pt>
                <c:pt idx="158">
                  <c:v>-0.5381485819816589</c:v>
                </c:pt>
                <c:pt idx="159">
                  <c:v>-1.05278205871582</c:v>
                </c:pt>
                <c:pt idx="160">
                  <c:v>-1.083747029304504</c:v>
                </c:pt>
                <c:pt idx="161">
                  <c:v>25.24666023254395</c:v>
                </c:pt>
                <c:pt idx="162">
                  <c:v>1.052382946014404</c:v>
                </c:pt>
                <c:pt idx="163">
                  <c:v>-0.5333461165428162</c:v>
                </c:pt>
                <c:pt idx="164">
                  <c:v>-0.3529508113861084</c:v>
                </c:pt>
                <c:pt idx="165">
                  <c:v>0.02469859085977077</c:v>
                </c:pt>
                <c:pt idx="166">
                  <c:v>0.437903106212616</c:v>
                </c:pt>
                <c:pt idx="167">
                  <c:v>5.283449172973633</c:v>
                </c:pt>
                <c:pt idx="168">
                  <c:v>6.71011209487915</c:v>
                </c:pt>
                <c:pt idx="169">
                  <c:v>0.8007918000221252</c:v>
                </c:pt>
                <c:pt idx="170">
                  <c:v>-1.44628894329071</c:v>
                </c:pt>
                <c:pt idx="171">
                  <c:v>-1.459306001663208</c:v>
                </c:pt>
                <c:pt idx="172">
                  <c:v>-1.442636013031006</c:v>
                </c:pt>
                <c:pt idx="173">
                  <c:v>-1.025503039360046</c:v>
                </c:pt>
                <c:pt idx="174">
                  <c:v>-0.4429009854793549</c:v>
                </c:pt>
                <c:pt idx="175">
                  <c:v>-0.03860688954591751</c:v>
                </c:pt>
                <c:pt idx="176">
                  <c:v>-1.985841989517212</c:v>
                </c:pt>
                <c:pt idx="177">
                  <c:v>-0.911871075630188</c:v>
                </c:pt>
                <c:pt idx="178">
                  <c:v>-0.4325847029685974</c:v>
                </c:pt>
                <c:pt idx="179">
                  <c:v>-0.7949244976043701</c:v>
                </c:pt>
                <c:pt idx="180">
                  <c:v>0.09929391741752625</c:v>
                </c:pt>
                <c:pt idx="181">
                  <c:v>-0.1491654962301254</c:v>
                </c:pt>
                <c:pt idx="182">
                  <c:v>-0.6699461936950684</c:v>
                </c:pt>
                <c:pt idx="183">
                  <c:v>-1.589068055152893</c:v>
                </c:pt>
                <c:pt idx="184">
                  <c:v>-1.509704947471619</c:v>
                </c:pt>
                <c:pt idx="185">
                  <c:v>5.750893115997314</c:v>
                </c:pt>
                <c:pt idx="186">
                  <c:v>3.428534984588623</c:v>
                </c:pt>
                <c:pt idx="187">
                  <c:v>9.666082382202148</c:v>
                </c:pt>
                <c:pt idx="188">
                  <c:v>2.849467992782593</c:v>
                </c:pt>
                <c:pt idx="189">
                  <c:v>-0.6870245933532715</c:v>
                </c:pt>
                <c:pt idx="190">
                  <c:v>-1.463166952133179</c:v>
                </c:pt>
                <c:pt idx="191">
                  <c:v>-1.656833052635193</c:v>
                </c:pt>
                <c:pt idx="192">
                  <c:v>-1.569538950920105</c:v>
                </c:pt>
                <c:pt idx="193">
                  <c:v>-0.4985255002975464</c:v>
                </c:pt>
                <c:pt idx="194">
                  <c:v>15.38589954376221</c:v>
                </c:pt>
                <c:pt idx="195">
                  <c:v>1.593284964561462</c:v>
                </c:pt>
                <c:pt idx="196">
                  <c:v>-0.2753185033798218</c:v>
                </c:pt>
                <c:pt idx="197">
                  <c:v>-0.3469380140304565</c:v>
                </c:pt>
                <c:pt idx="198">
                  <c:v>-0.5954715013504028</c:v>
                </c:pt>
                <c:pt idx="199">
                  <c:v>-0.2624323964118958</c:v>
                </c:pt>
                <c:pt idx="200">
                  <c:v>11.16026973724365</c:v>
                </c:pt>
                <c:pt idx="201">
                  <c:v>0.1061673015356064</c:v>
                </c:pt>
                <c:pt idx="202">
                  <c:v>-0.3642832934856415</c:v>
                </c:pt>
                <c:pt idx="203">
                  <c:v>-0.8750730156898499</c:v>
                </c:pt>
                <c:pt idx="204">
                  <c:v>0.05916821956634521</c:v>
                </c:pt>
                <c:pt idx="205">
                  <c:v>0.4032897055149078</c:v>
                </c:pt>
                <c:pt idx="206">
                  <c:v>8.054105758666992</c:v>
                </c:pt>
                <c:pt idx="207">
                  <c:v>6.306838989257812</c:v>
                </c:pt>
                <c:pt idx="208">
                  <c:v>0.685925304889679</c:v>
                </c:pt>
                <c:pt idx="209">
                  <c:v>-1.074802041053772</c:v>
                </c:pt>
                <c:pt idx="210">
                  <c:v>-1.335701942443848</c:v>
                </c:pt>
                <c:pt idx="211">
                  <c:v>-0.6089072227478027</c:v>
                </c:pt>
                <c:pt idx="212">
                  <c:v>-1.436198949813843</c:v>
                </c:pt>
                <c:pt idx="213">
                  <c:v>-0.5282484292984009</c:v>
                </c:pt>
                <c:pt idx="214">
                  <c:v>-0.0647200271487236</c:v>
                </c:pt>
                <c:pt idx="215">
                  <c:v>-1.782438039779663</c:v>
                </c:pt>
                <c:pt idx="216">
                  <c:v>-0.7270289063453674</c:v>
                </c:pt>
                <c:pt idx="217">
                  <c:v>-0.543078601360321</c:v>
                </c:pt>
                <c:pt idx="218">
                  <c:v>-0.4727591872215271</c:v>
                </c:pt>
                <c:pt idx="219">
                  <c:v>2.175944089889526</c:v>
                </c:pt>
                <c:pt idx="220">
                  <c:v>0.4286786019802094</c:v>
                </c:pt>
                <c:pt idx="221">
                  <c:v>-0.2654395997524261</c:v>
                </c:pt>
                <c:pt idx="222">
                  <c:v>-0.3740853071212769</c:v>
                </c:pt>
                <c:pt idx="223">
                  <c:v>-1.661563992500305</c:v>
                </c:pt>
                <c:pt idx="224">
                  <c:v>6.51040506362915</c:v>
                </c:pt>
                <c:pt idx="225">
                  <c:v>3.902481079101562</c:v>
                </c:pt>
                <c:pt idx="226">
                  <c:v>9.127900123596191</c:v>
                </c:pt>
                <c:pt idx="227">
                  <c:v>2.548325061798096</c:v>
                </c:pt>
                <c:pt idx="228">
                  <c:v>-0.6872497797012329</c:v>
                </c:pt>
                <c:pt idx="229">
                  <c:v>-1.427693963050842</c:v>
                </c:pt>
                <c:pt idx="230">
                  <c:v>-0.8830111026763916</c:v>
                </c:pt>
                <c:pt idx="231">
                  <c:v>-0.8829231858253479</c:v>
                </c:pt>
                <c:pt idx="232">
                  <c:v>-1.084043025970459</c:v>
                </c:pt>
                <c:pt idx="233">
                  <c:v>16.96227073669434</c:v>
                </c:pt>
                <c:pt idx="234">
                  <c:v>1.593039035797119</c:v>
                </c:pt>
                <c:pt idx="235">
                  <c:v>-0.2434792071580887</c:v>
                </c:pt>
                <c:pt idx="236">
                  <c:v>-0.9780778884887695</c:v>
                </c:pt>
                <c:pt idx="237">
                  <c:v>-0.6838942170143127</c:v>
                </c:pt>
                <c:pt idx="238">
                  <c:v>-0.1463658958673477</c:v>
                </c:pt>
                <c:pt idx="239">
                  <c:v>7.054511070251465</c:v>
                </c:pt>
                <c:pt idx="240">
                  <c:v>-0.4295960962772369</c:v>
                </c:pt>
                <c:pt idx="241">
                  <c:v>-0.2992129921913147</c:v>
                </c:pt>
                <c:pt idx="242">
                  <c:v>-0.2837632894515991</c:v>
                </c:pt>
                <c:pt idx="243">
                  <c:v>0.00870107114315033</c:v>
                </c:pt>
                <c:pt idx="244">
                  <c:v>0.3309197127819061</c:v>
                </c:pt>
                <c:pt idx="245">
                  <c:v>9.916651725769043</c:v>
                </c:pt>
                <c:pt idx="246">
                  <c:v>6.076301097869873</c:v>
                </c:pt>
                <c:pt idx="247">
                  <c:v>0.6348189115524292</c:v>
                </c:pt>
                <c:pt idx="248">
                  <c:v>-0.2893314957618713</c:v>
                </c:pt>
                <c:pt idx="249">
                  <c:v>-1.097762942314148</c:v>
                </c:pt>
                <c:pt idx="250">
                  <c:v>-0.5155482888221741</c:v>
                </c:pt>
                <c:pt idx="251">
                  <c:v>-1.051257967948914</c:v>
                </c:pt>
                <c:pt idx="252">
                  <c:v>-1.08270001411438</c:v>
                </c:pt>
                <c:pt idx="253">
                  <c:v>-0.1086172983050346</c:v>
                </c:pt>
                <c:pt idx="254">
                  <c:v>-1.682234048843384</c:v>
                </c:pt>
                <c:pt idx="255">
                  <c:v>-1.31893002986908</c:v>
                </c:pt>
                <c:pt idx="256">
                  <c:v>-0.7277373075485229</c:v>
                </c:pt>
                <c:pt idx="257">
                  <c:v>-0.1906816959381104</c:v>
                </c:pt>
                <c:pt idx="258">
                  <c:v>4.503478050231934</c:v>
                </c:pt>
                <c:pt idx="259">
                  <c:v>2.306793928146362</c:v>
                </c:pt>
                <c:pt idx="260">
                  <c:v>-0.2050770074129105</c:v>
                </c:pt>
                <c:pt idx="261">
                  <c:v>-0.9951096773147583</c:v>
                </c:pt>
                <c:pt idx="262">
                  <c:v>-1.304258942604065</c:v>
                </c:pt>
                <c:pt idx="263">
                  <c:v>6.896417140960693</c:v>
                </c:pt>
                <c:pt idx="264">
                  <c:v>3.910785913467407</c:v>
                </c:pt>
                <c:pt idx="265">
                  <c:v>9.089502334594727</c:v>
                </c:pt>
                <c:pt idx="266">
                  <c:v>2.544477939605713</c:v>
                </c:pt>
                <c:pt idx="267">
                  <c:v>-0.6817055940628052</c:v>
                </c:pt>
                <c:pt idx="268">
                  <c:v>-1.40251898765564</c:v>
                </c:pt>
                <c:pt idx="269">
                  <c:v>-1.510025024414062</c:v>
                </c:pt>
                <c:pt idx="270">
                  <c:v>-1.510395050048828</c:v>
                </c:pt>
                <c:pt idx="271">
                  <c:v>-0.752062201499939</c:v>
                </c:pt>
                <c:pt idx="272">
                  <c:v>4.937400817871094</c:v>
                </c:pt>
                <c:pt idx="273">
                  <c:v>-1.413216948509216</c:v>
                </c:pt>
                <c:pt idx="274">
                  <c:v>-0.6980469226837158</c:v>
                </c:pt>
                <c:pt idx="275">
                  <c:v>-0.8550804257392883</c:v>
                </c:pt>
                <c:pt idx="276">
                  <c:v>-0.3981660902500153</c:v>
                </c:pt>
                <c:pt idx="277">
                  <c:v>-0.01467949990183115</c:v>
                </c:pt>
                <c:pt idx="278">
                  <c:v>0.6414843797683716</c:v>
                </c:pt>
                <c:pt idx="279">
                  <c:v>-3.858566999435425</c:v>
                </c:pt>
                <c:pt idx="280">
                  <c:v>-1.623762965202332</c:v>
                </c:pt>
                <c:pt idx="281">
                  <c:v>-1.244671940803528</c:v>
                </c:pt>
                <c:pt idx="282">
                  <c:v>0.04357872903347015</c:v>
                </c:pt>
                <c:pt idx="283">
                  <c:v>0.2664158940315247</c:v>
                </c:pt>
                <c:pt idx="284">
                  <c:v>17.16554069519043</c:v>
                </c:pt>
                <c:pt idx="285">
                  <c:v>5.435750961303711</c:v>
                </c:pt>
                <c:pt idx="286">
                  <c:v>0.4931226968765259</c:v>
                </c:pt>
                <c:pt idx="287">
                  <c:v>-1.779289960861206</c:v>
                </c:pt>
                <c:pt idx="288">
                  <c:v>-1.386598944664001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SIM5!$C$11:$C$299</c:f>
              <c:numCache>
                <c:ptCount val="289"/>
                <c:pt idx="0">
                  <c:v>0</c:v>
                </c:pt>
                <c:pt idx="1">
                  <c:v>0.2503698766231537</c:v>
                </c:pt>
                <c:pt idx="2">
                  <c:v>0.5003474950790405</c:v>
                </c:pt>
                <c:pt idx="3">
                  <c:v>0.7503663897514343</c:v>
                </c:pt>
                <c:pt idx="4">
                  <c:v>1.000272274017334</c:v>
                </c:pt>
                <c:pt idx="5">
                  <c:v>1.250338554382324</c:v>
                </c:pt>
                <c:pt idx="6">
                  <c:v>1.500310778617859</c:v>
                </c:pt>
                <c:pt idx="7">
                  <c:v>1.750393390655518</c:v>
                </c:pt>
                <c:pt idx="8">
                  <c:v>2.000298500061035</c:v>
                </c:pt>
                <c:pt idx="9">
                  <c:v>2.250226020812988</c:v>
                </c:pt>
                <c:pt idx="10">
                  <c:v>2.500319957733154</c:v>
                </c:pt>
                <c:pt idx="11">
                  <c:v>2.750267744064331</c:v>
                </c:pt>
                <c:pt idx="12">
                  <c:v>3.000191688537598</c:v>
                </c:pt>
                <c:pt idx="13">
                  <c:v>3.250283241271973</c:v>
                </c:pt>
                <c:pt idx="14">
                  <c:v>3.500147104263306</c:v>
                </c:pt>
                <c:pt idx="15">
                  <c:v>3.750288963317871</c:v>
                </c:pt>
                <c:pt idx="16">
                  <c:v>4.000313758850098</c:v>
                </c:pt>
                <c:pt idx="17">
                  <c:v>4.250041484832764</c:v>
                </c:pt>
                <c:pt idx="18">
                  <c:v>4.50066089630127</c:v>
                </c:pt>
                <c:pt idx="19">
                  <c:v>4.750247001647949</c:v>
                </c:pt>
                <c:pt idx="20">
                  <c:v>5.000277996063232</c:v>
                </c:pt>
                <c:pt idx="21">
                  <c:v>5.250236034393311</c:v>
                </c:pt>
                <c:pt idx="22">
                  <c:v>5.500516891479492</c:v>
                </c:pt>
                <c:pt idx="23">
                  <c:v>5.750086307525635</c:v>
                </c:pt>
                <c:pt idx="24">
                  <c:v>6.000389099121094</c:v>
                </c:pt>
                <c:pt idx="25">
                  <c:v>6.250469207763672</c:v>
                </c:pt>
                <c:pt idx="26">
                  <c:v>6.500052928924561</c:v>
                </c:pt>
                <c:pt idx="27">
                  <c:v>6.750552654266357</c:v>
                </c:pt>
                <c:pt idx="28">
                  <c:v>7.000699996948242</c:v>
                </c:pt>
                <c:pt idx="29">
                  <c:v>7.250261306762695</c:v>
                </c:pt>
                <c:pt idx="30">
                  <c:v>7.500458240509033</c:v>
                </c:pt>
                <c:pt idx="31">
                  <c:v>7.750130653381348</c:v>
                </c:pt>
                <c:pt idx="32">
                  <c:v>8.000386238098145</c:v>
                </c:pt>
                <c:pt idx="33">
                  <c:v>8.250313758850098</c:v>
                </c:pt>
                <c:pt idx="34">
                  <c:v>8.500364303588867</c:v>
                </c:pt>
                <c:pt idx="35">
                  <c:v>8.750405311584473</c:v>
                </c:pt>
                <c:pt idx="36">
                  <c:v>9.000142097473145</c:v>
                </c:pt>
                <c:pt idx="37">
                  <c:v>9.250161170959473</c:v>
                </c:pt>
                <c:pt idx="38">
                  <c:v>9.500016212463379</c:v>
                </c:pt>
                <c:pt idx="39">
                  <c:v>9.750371932983398</c:v>
                </c:pt>
                <c:pt idx="40">
                  <c:v>10.0001392364502</c:v>
                </c:pt>
                <c:pt idx="41">
                  <c:v>10.25042247772217</c:v>
                </c:pt>
                <c:pt idx="42">
                  <c:v>10.50008583068848</c:v>
                </c:pt>
                <c:pt idx="43">
                  <c:v>10.75004959106445</c:v>
                </c:pt>
                <c:pt idx="44">
                  <c:v>11.00026988983154</c:v>
                </c:pt>
                <c:pt idx="45">
                  <c:v>11.25038909912109</c:v>
                </c:pt>
                <c:pt idx="46">
                  <c:v>11.50056648254395</c:v>
                </c:pt>
                <c:pt idx="47">
                  <c:v>11.7500057220459</c:v>
                </c:pt>
                <c:pt idx="48">
                  <c:v>12.00052738189697</c:v>
                </c:pt>
                <c:pt idx="49">
                  <c:v>12.2503080368042</c:v>
                </c:pt>
                <c:pt idx="50">
                  <c:v>12.50016975402832</c:v>
                </c:pt>
                <c:pt idx="51">
                  <c:v>12.75010299682617</c:v>
                </c:pt>
                <c:pt idx="52">
                  <c:v>13.00012493133545</c:v>
                </c:pt>
                <c:pt idx="53">
                  <c:v>13.25016117095947</c:v>
                </c:pt>
                <c:pt idx="54">
                  <c:v>13.50045299530029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14.25004768371582</c:v>
                </c:pt>
                <c:pt idx="58">
                  <c:v>14.50016689300537</c:v>
                </c:pt>
                <c:pt idx="59">
                  <c:v>14.75031089782715</c:v>
                </c:pt>
                <c:pt idx="60">
                  <c:v>15.00023651123047</c:v>
                </c:pt>
                <c:pt idx="61">
                  <c:v>15.25072479248047</c:v>
                </c:pt>
                <c:pt idx="62">
                  <c:v>15.50008583068848</c:v>
                </c:pt>
                <c:pt idx="63">
                  <c:v>15.75078010559082</c:v>
                </c:pt>
                <c:pt idx="64">
                  <c:v>16.00008583068848</c:v>
                </c:pt>
                <c:pt idx="65">
                  <c:v>16.25002288818359</c:v>
                </c:pt>
                <c:pt idx="66">
                  <c:v>16.50029754638672</c:v>
                </c:pt>
                <c:pt idx="67">
                  <c:v>16.75045013427734</c:v>
                </c:pt>
                <c:pt idx="68">
                  <c:v>17.00076103210449</c:v>
                </c:pt>
                <c:pt idx="69">
                  <c:v>17.25020217895508</c:v>
                </c:pt>
                <c:pt idx="70">
                  <c:v>17.50014495849609</c:v>
                </c:pt>
                <c:pt idx="71">
                  <c:v>17.75012588500977</c:v>
                </c:pt>
                <c:pt idx="72">
                  <c:v>18.0000171661377</c:v>
                </c:pt>
                <c:pt idx="73">
                  <c:v>18.25006294250488</c:v>
                </c:pt>
                <c:pt idx="74">
                  <c:v>18.50054359436035</c:v>
                </c:pt>
                <c:pt idx="75">
                  <c:v>18.75059127807617</c:v>
                </c:pt>
                <c:pt idx="76">
                  <c:v>19.00070571899414</c:v>
                </c:pt>
                <c:pt idx="77">
                  <c:v>19.25062561035156</c:v>
                </c:pt>
                <c:pt idx="78">
                  <c:v>19.50022506713867</c:v>
                </c:pt>
                <c:pt idx="79">
                  <c:v>19.75065040588379</c:v>
                </c:pt>
                <c:pt idx="80">
                  <c:v>20.00045776367188</c:v>
                </c:pt>
                <c:pt idx="81">
                  <c:v>20.25028419494629</c:v>
                </c:pt>
                <c:pt idx="82">
                  <c:v>20.50001907348633</c:v>
                </c:pt>
                <c:pt idx="83">
                  <c:v>20.7501049041748</c:v>
                </c:pt>
                <c:pt idx="84">
                  <c:v>21.00059700012207</c:v>
                </c:pt>
                <c:pt idx="85">
                  <c:v>21.25004959106445</c:v>
                </c:pt>
                <c:pt idx="86">
                  <c:v>21.50067710876465</c:v>
                </c:pt>
                <c:pt idx="87">
                  <c:v>21.75057983398438</c:v>
                </c:pt>
                <c:pt idx="88">
                  <c:v>22.00036430358887</c:v>
                </c:pt>
                <c:pt idx="89">
                  <c:v>22.25044250488281</c:v>
                </c:pt>
                <c:pt idx="90">
                  <c:v>22.50027465820312</c:v>
                </c:pt>
                <c:pt idx="91">
                  <c:v>22.75015830993652</c:v>
                </c:pt>
                <c:pt idx="92">
                  <c:v>23.00018692016602</c:v>
                </c:pt>
                <c:pt idx="93">
                  <c:v>23.25011444091797</c:v>
                </c:pt>
                <c:pt idx="94">
                  <c:v>23.50038528442383</c:v>
                </c:pt>
                <c:pt idx="95">
                  <c:v>23.75017738342285</c:v>
                </c:pt>
                <c:pt idx="96">
                  <c:v>24.00063896179199</c:v>
                </c:pt>
                <c:pt idx="97">
                  <c:v>24.25063705444336</c:v>
                </c:pt>
                <c:pt idx="98">
                  <c:v>24.50048065185547</c:v>
                </c:pt>
                <c:pt idx="99">
                  <c:v>24.75008583068848</c:v>
                </c:pt>
                <c:pt idx="100">
                  <c:v>25.00044250488281</c:v>
                </c:pt>
                <c:pt idx="101">
                  <c:v>25.25060844421387</c:v>
                </c:pt>
                <c:pt idx="102">
                  <c:v>25.50006866455078</c:v>
                </c:pt>
                <c:pt idx="103">
                  <c:v>25.75045204162598</c:v>
                </c:pt>
                <c:pt idx="104">
                  <c:v>26.00029182434082</c:v>
                </c:pt>
                <c:pt idx="105">
                  <c:v>26.25020217895508</c:v>
                </c:pt>
                <c:pt idx="106">
                  <c:v>26.50071907043457</c:v>
                </c:pt>
                <c:pt idx="107">
                  <c:v>26.75035095214844</c:v>
                </c:pt>
                <c:pt idx="108">
                  <c:v>27.00043869018555</c:v>
                </c:pt>
                <c:pt idx="109">
                  <c:v>27.25024795532227</c:v>
                </c:pt>
                <c:pt idx="110">
                  <c:v>27.50032234191895</c:v>
                </c:pt>
                <c:pt idx="111">
                  <c:v>27.75018119812012</c:v>
                </c:pt>
                <c:pt idx="112">
                  <c:v>28.00002861022949</c:v>
                </c:pt>
                <c:pt idx="113">
                  <c:v>28.25002861022949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29.2502498626709</c:v>
                </c:pt>
                <c:pt idx="118">
                  <c:v>29.50047302246094</c:v>
                </c:pt>
                <c:pt idx="119">
                  <c:v>29.7501106262207</c:v>
                </c:pt>
                <c:pt idx="120">
                  <c:v>30.0002498626709</c:v>
                </c:pt>
                <c:pt idx="121">
                  <c:v>30.25</c:v>
                </c:pt>
                <c:pt idx="122">
                  <c:v>30.50016593933105</c:v>
                </c:pt>
                <c:pt idx="123">
                  <c:v>30.75058364868164</c:v>
                </c:pt>
                <c:pt idx="124">
                  <c:v>31.00008392333984</c:v>
                </c:pt>
                <c:pt idx="125">
                  <c:v>31.25027847290039</c:v>
                </c:pt>
                <c:pt idx="126">
                  <c:v>31.50033378601074</c:v>
                </c:pt>
                <c:pt idx="127">
                  <c:v>31.75019454956055</c:v>
                </c:pt>
                <c:pt idx="128">
                  <c:v>32.00044631958008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32.75033187866211</c:v>
                </c:pt>
                <c:pt idx="132">
                  <c:v>33.00025177001953</c:v>
                </c:pt>
                <c:pt idx="133">
                  <c:v>33.25041580200195</c:v>
                </c:pt>
                <c:pt idx="134">
                  <c:v>33.50027847290039</c:v>
                </c:pt>
                <c:pt idx="135">
                  <c:v>33.75069427490234</c:v>
                </c:pt>
                <c:pt idx="136">
                  <c:v>34.0001106262207</c:v>
                </c:pt>
                <c:pt idx="137">
                  <c:v>34.25058364868164</c:v>
                </c:pt>
                <c:pt idx="138">
                  <c:v>34.50016784667969</c:v>
                </c:pt>
                <c:pt idx="139">
                  <c:v>34.75025177001953</c:v>
                </c:pt>
                <c:pt idx="140">
                  <c:v>35.00063705444336</c:v>
                </c:pt>
                <c:pt idx="141">
                  <c:v>35.25091552734375</c:v>
                </c:pt>
                <c:pt idx="142">
                  <c:v>35.50013732910156</c:v>
                </c:pt>
                <c:pt idx="143">
                  <c:v>35.75019454956055</c:v>
                </c:pt>
                <c:pt idx="144">
                  <c:v>36.00019454956055</c:v>
                </c:pt>
                <c:pt idx="145">
                  <c:v>36.25027847290039</c:v>
                </c:pt>
                <c:pt idx="146">
                  <c:v>36.50077819824219</c:v>
                </c:pt>
                <c:pt idx="147">
                  <c:v>36.75005722045898</c:v>
                </c:pt>
                <c:pt idx="148">
                  <c:v>37.00041580200195</c:v>
                </c:pt>
                <c:pt idx="149">
                  <c:v>37.25033187866211</c:v>
                </c:pt>
                <c:pt idx="150">
                  <c:v>37.50008392333984</c:v>
                </c:pt>
                <c:pt idx="151">
                  <c:v>37.75036239624023</c:v>
                </c:pt>
                <c:pt idx="152">
                  <c:v>38.00041580200195</c:v>
                </c:pt>
                <c:pt idx="153">
                  <c:v>38.25044631958008</c:v>
                </c:pt>
                <c:pt idx="154">
                  <c:v>38.50041580200195</c:v>
                </c:pt>
                <c:pt idx="155">
                  <c:v>38.75052642822266</c:v>
                </c:pt>
                <c:pt idx="156">
                  <c:v>39.00044631958008</c:v>
                </c:pt>
                <c:pt idx="157">
                  <c:v>39.25019454956055</c:v>
                </c:pt>
                <c:pt idx="158">
                  <c:v>39.50008392333984</c:v>
                </c:pt>
                <c:pt idx="159">
                  <c:v>39.75080490112305</c:v>
                </c:pt>
                <c:pt idx="160">
                  <c:v>40.00063705444336</c:v>
                </c:pt>
                <c:pt idx="161">
                  <c:v>40.2501106262207</c:v>
                </c:pt>
                <c:pt idx="162">
                  <c:v>40.50030517578125</c:v>
                </c:pt>
                <c:pt idx="163">
                  <c:v>40.75041580200195</c:v>
                </c:pt>
                <c:pt idx="164">
                  <c:v>41.00077819824219</c:v>
                </c:pt>
                <c:pt idx="165">
                  <c:v>41.2507209777832</c:v>
                </c:pt>
                <c:pt idx="166">
                  <c:v>41.50013732910156</c:v>
                </c:pt>
                <c:pt idx="167">
                  <c:v>41.75052642822266</c:v>
                </c:pt>
                <c:pt idx="168">
                  <c:v>42.00030517578125</c:v>
                </c:pt>
                <c:pt idx="169">
                  <c:v>42.25013732910156</c:v>
                </c:pt>
                <c:pt idx="170">
                  <c:v>42.50030517578125</c:v>
                </c:pt>
                <c:pt idx="171">
                  <c:v>42.75047302246094</c:v>
                </c:pt>
                <c:pt idx="172">
                  <c:v>43.00030517578125</c:v>
                </c:pt>
                <c:pt idx="173">
                  <c:v>43.25063705444336</c:v>
                </c:pt>
                <c:pt idx="174">
                  <c:v>43.5006103515625</c:v>
                </c:pt>
                <c:pt idx="175">
                  <c:v>43.75036239624023</c:v>
                </c:pt>
                <c:pt idx="176">
                  <c:v>44.00052642822266</c:v>
                </c:pt>
                <c:pt idx="177">
                  <c:v>44.25027847290039</c:v>
                </c:pt>
                <c:pt idx="178">
                  <c:v>44.50047302246094</c:v>
                </c:pt>
                <c:pt idx="179">
                  <c:v>44.75052642822266</c:v>
                </c:pt>
                <c:pt idx="180">
                  <c:v>45.00055694580078</c:v>
                </c:pt>
                <c:pt idx="181">
                  <c:v>45.25016784667969</c:v>
                </c:pt>
                <c:pt idx="182">
                  <c:v>45.5006103515625</c:v>
                </c:pt>
                <c:pt idx="183">
                  <c:v>45.75066757202148</c:v>
                </c:pt>
                <c:pt idx="184">
                  <c:v>46.00069427490234</c:v>
                </c:pt>
                <c:pt idx="185">
                  <c:v>46.2507209777832</c:v>
                </c:pt>
                <c:pt idx="186">
                  <c:v>46.50052642822266</c:v>
                </c:pt>
                <c:pt idx="187">
                  <c:v>46.75036239624023</c:v>
                </c:pt>
                <c:pt idx="188">
                  <c:v>47.00030517578125</c:v>
                </c:pt>
                <c:pt idx="189">
                  <c:v>47.25027847290039</c:v>
                </c:pt>
                <c:pt idx="190">
                  <c:v>47.50005722045898</c:v>
                </c:pt>
                <c:pt idx="191">
                  <c:v>47.75036239624023</c:v>
                </c:pt>
                <c:pt idx="192">
                  <c:v>48.00016784667969</c:v>
                </c:pt>
                <c:pt idx="193">
                  <c:v>48.25013732910156</c:v>
                </c:pt>
                <c:pt idx="194">
                  <c:v>48.50027847290039</c:v>
                </c:pt>
                <c:pt idx="195">
                  <c:v>48.75038909912109</c:v>
                </c:pt>
                <c:pt idx="196">
                  <c:v>49.00019454956055</c:v>
                </c:pt>
                <c:pt idx="197">
                  <c:v>49.25066757202148</c:v>
                </c:pt>
                <c:pt idx="198">
                  <c:v>49.50025177001953</c:v>
                </c:pt>
                <c:pt idx="199">
                  <c:v>49.75069427490234</c:v>
                </c:pt>
                <c:pt idx="200">
                  <c:v>50.00005722045898</c:v>
                </c:pt>
                <c:pt idx="201">
                  <c:v>50.25030517578125</c:v>
                </c:pt>
                <c:pt idx="202">
                  <c:v>50.50008392333984</c:v>
                </c:pt>
                <c:pt idx="203">
                  <c:v>50.75080490112305</c:v>
                </c:pt>
                <c:pt idx="204">
                  <c:v>51.00038909912109</c:v>
                </c:pt>
                <c:pt idx="205">
                  <c:v>51.2501106262207</c:v>
                </c:pt>
                <c:pt idx="206">
                  <c:v>51.5004997253418</c:v>
                </c:pt>
                <c:pt idx="207">
                  <c:v>51.75019454956055</c:v>
                </c:pt>
                <c:pt idx="208">
                  <c:v>52.00030517578125</c:v>
                </c:pt>
                <c:pt idx="209">
                  <c:v>52.25030517578125</c:v>
                </c:pt>
                <c:pt idx="210">
                  <c:v>52.50025177001953</c:v>
                </c:pt>
                <c:pt idx="211">
                  <c:v>52.75033187866211</c:v>
                </c:pt>
                <c:pt idx="212">
                  <c:v>53.00058364868164</c:v>
                </c:pt>
                <c:pt idx="213">
                  <c:v>53.2501106262207</c:v>
                </c:pt>
                <c:pt idx="214">
                  <c:v>53.50025177001953</c:v>
                </c:pt>
                <c:pt idx="215">
                  <c:v>53.75036239624023</c:v>
                </c:pt>
                <c:pt idx="216">
                  <c:v>54.00047302246094</c:v>
                </c:pt>
                <c:pt idx="217">
                  <c:v>54.25027847290039</c:v>
                </c:pt>
                <c:pt idx="218">
                  <c:v>54.50077819824219</c:v>
                </c:pt>
                <c:pt idx="219">
                  <c:v>54.75013732910156</c:v>
                </c:pt>
                <c:pt idx="220">
                  <c:v>55.00036239624023</c:v>
                </c:pt>
                <c:pt idx="221">
                  <c:v>55.25025177001953</c:v>
                </c:pt>
                <c:pt idx="222">
                  <c:v>55.50002670288086</c:v>
                </c:pt>
                <c:pt idx="223">
                  <c:v>55.75058364868164</c:v>
                </c:pt>
                <c:pt idx="224">
                  <c:v>56.0007209777832</c:v>
                </c:pt>
                <c:pt idx="225">
                  <c:v>56.25052642822266</c:v>
                </c:pt>
                <c:pt idx="226">
                  <c:v>56.50030517578125</c:v>
                </c:pt>
                <c:pt idx="227">
                  <c:v>56.75</c:v>
                </c:pt>
                <c:pt idx="228">
                  <c:v>57.0001106262207</c:v>
                </c:pt>
                <c:pt idx="229">
                  <c:v>57.2501106262207</c:v>
                </c:pt>
                <c:pt idx="230">
                  <c:v>57.50027847290039</c:v>
                </c:pt>
                <c:pt idx="231">
                  <c:v>57.75063705444336</c:v>
                </c:pt>
                <c:pt idx="232">
                  <c:v>58.0004997253418</c:v>
                </c:pt>
                <c:pt idx="233">
                  <c:v>58.25036239624023</c:v>
                </c:pt>
                <c:pt idx="234">
                  <c:v>58.5</c:v>
                </c:pt>
                <c:pt idx="235">
                  <c:v>58.75038909912109</c:v>
                </c:pt>
                <c:pt idx="236">
                  <c:v>59.0001106262207</c:v>
                </c:pt>
                <c:pt idx="237">
                  <c:v>59.25025177001953</c:v>
                </c:pt>
                <c:pt idx="238">
                  <c:v>59.5001106262207</c:v>
                </c:pt>
                <c:pt idx="239">
                  <c:v>59.75019454956055</c:v>
                </c:pt>
                <c:pt idx="240">
                  <c:v>60.00033187866211</c:v>
                </c:pt>
                <c:pt idx="241">
                  <c:v>60.25005722045898</c:v>
                </c:pt>
                <c:pt idx="242">
                  <c:v>60.50058364868164</c:v>
                </c:pt>
                <c:pt idx="243">
                  <c:v>60.75047302246094</c:v>
                </c:pt>
                <c:pt idx="244">
                  <c:v>61.00041580200195</c:v>
                </c:pt>
                <c:pt idx="245">
                  <c:v>61.25033187866211</c:v>
                </c:pt>
                <c:pt idx="246">
                  <c:v>61.50033187866211</c:v>
                </c:pt>
                <c:pt idx="247">
                  <c:v>61.75016784667969</c:v>
                </c:pt>
                <c:pt idx="248">
                  <c:v>62</c:v>
                </c:pt>
                <c:pt idx="249">
                  <c:v>62.25041580200195</c:v>
                </c:pt>
                <c:pt idx="250">
                  <c:v>62.50036239624023</c:v>
                </c:pt>
                <c:pt idx="251">
                  <c:v>62.75044631958008</c:v>
                </c:pt>
                <c:pt idx="252">
                  <c:v>63.00013732910156</c:v>
                </c:pt>
                <c:pt idx="253">
                  <c:v>63.2504997253418</c:v>
                </c:pt>
                <c:pt idx="254">
                  <c:v>63.50055694580078</c:v>
                </c:pt>
                <c:pt idx="255">
                  <c:v>63.75030517578125</c:v>
                </c:pt>
                <c:pt idx="256">
                  <c:v>64.00011444091797</c:v>
                </c:pt>
                <c:pt idx="257">
                  <c:v>64.25016784667969</c:v>
                </c:pt>
                <c:pt idx="258">
                  <c:v>64.50044250488281</c:v>
                </c:pt>
                <c:pt idx="259">
                  <c:v>64.7506103515625</c:v>
                </c:pt>
                <c:pt idx="260">
                  <c:v>65.00064086914062</c:v>
                </c:pt>
                <c:pt idx="261">
                  <c:v>65.25013732910156</c:v>
                </c:pt>
                <c:pt idx="262">
                  <c:v>65.50030517578125</c:v>
                </c:pt>
                <c:pt idx="263">
                  <c:v>65.75050354003906</c:v>
                </c:pt>
                <c:pt idx="264">
                  <c:v>66.00050354003906</c:v>
                </c:pt>
                <c:pt idx="265">
                  <c:v>66.25003051757812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67.00008392333984</c:v>
                </c:pt>
                <c:pt idx="269">
                  <c:v>67.25022125244141</c:v>
                </c:pt>
                <c:pt idx="270">
                  <c:v>67.50016784667969</c:v>
                </c:pt>
                <c:pt idx="271">
                  <c:v>67.75050354003906</c:v>
                </c:pt>
                <c:pt idx="272">
                  <c:v>68.00013732910156</c:v>
                </c:pt>
                <c:pt idx="273">
                  <c:v>68.25008392333984</c:v>
                </c:pt>
                <c:pt idx="274">
                  <c:v>68.50055694580078</c:v>
                </c:pt>
                <c:pt idx="275">
                  <c:v>68.75055694580078</c:v>
                </c:pt>
                <c:pt idx="276">
                  <c:v>69.00035858154297</c:v>
                </c:pt>
                <c:pt idx="277">
                  <c:v>69.25069427490234</c:v>
                </c:pt>
                <c:pt idx="278">
                  <c:v>69.50013732910156</c:v>
                </c:pt>
                <c:pt idx="279">
                  <c:v>69.7506103515625</c:v>
                </c:pt>
                <c:pt idx="280">
                  <c:v>70.00025177001953</c:v>
                </c:pt>
                <c:pt idx="281">
                  <c:v>70.25064086914062</c:v>
                </c:pt>
                <c:pt idx="282">
                  <c:v>70.50047302246094</c:v>
                </c:pt>
                <c:pt idx="283">
                  <c:v>70.75005340576172</c:v>
                </c:pt>
                <c:pt idx="284">
                  <c:v>71.00050354003906</c:v>
                </c:pt>
                <c:pt idx="285">
                  <c:v>71.25038909912109</c:v>
                </c:pt>
                <c:pt idx="286">
                  <c:v>71.50027465820312</c:v>
                </c:pt>
                <c:pt idx="287">
                  <c:v>71.75035858154297</c:v>
                </c:pt>
                <c:pt idx="288">
                  <c:v>72.00016784667969</c:v>
                </c:pt>
              </c:numCache>
            </c:numRef>
          </c:xVal>
          <c:yVal>
            <c:numRef>
              <c:f>SIM5!$H$11:$H$299</c:f>
              <c:numCache>
                <c:ptCount val="289"/>
                <c:pt idx="0">
                  <c:v>9.87746524810791</c:v>
                </c:pt>
                <c:pt idx="1">
                  <c:v>6.724209785461426</c:v>
                </c:pt>
                <c:pt idx="2">
                  <c:v>5.848559856414795</c:v>
                </c:pt>
                <c:pt idx="3">
                  <c:v>2.995414018630981</c:v>
                </c:pt>
                <c:pt idx="4">
                  <c:v>0.3458889126777649</c:v>
                </c:pt>
                <c:pt idx="5">
                  <c:v>0.3663032054901123</c:v>
                </c:pt>
                <c:pt idx="6">
                  <c:v>-0.8842821717262268</c:v>
                </c:pt>
                <c:pt idx="7">
                  <c:v>-1.964154958724976</c:v>
                </c:pt>
                <c:pt idx="8">
                  <c:v>0.2452626973390579</c:v>
                </c:pt>
                <c:pt idx="9">
                  <c:v>0.7135136127471924</c:v>
                </c:pt>
                <c:pt idx="10">
                  <c:v>12.07009029388428</c:v>
                </c:pt>
                <c:pt idx="11">
                  <c:v>9.636834144592285</c:v>
                </c:pt>
                <c:pt idx="12">
                  <c:v>12.53713989257812</c:v>
                </c:pt>
                <c:pt idx="13">
                  <c:v>4.389116764068604</c:v>
                </c:pt>
                <c:pt idx="14">
                  <c:v>2.290347099304199</c:v>
                </c:pt>
                <c:pt idx="15">
                  <c:v>3.711467981338501</c:v>
                </c:pt>
                <c:pt idx="16">
                  <c:v>2.845895051956177</c:v>
                </c:pt>
                <c:pt idx="17">
                  <c:v>0.1025459989905357</c:v>
                </c:pt>
                <c:pt idx="18">
                  <c:v>4.869906902313232</c:v>
                </c:pt>
                <c:pt idx="19">
                  <c:v>4.107535839080811</c:v>
                </c:pt>
                <c:pt idx="20">
                  <c:v>0.7113612294197083</c:v>
                </c:pt>
                <c:pt idx="21">
                  <c:v>0.2800131142139435</c:v>
                </c:pt>
                <c:pt idx="22">
                  <c:v>0.09468682110309601</c:v>
                </c:pt>
                <c:pt idx="23">
                  <c:v>0.3517780900001526</c:v>
                </c:pt>
                <c:pt idx="24">
                  <c:v>11.59012031555176</c:v>
                </c:pt>
                <c:pt idx="25">
                  <c:v>3.321458101272583</c:v>
                </c:pt>
                <c:pt idx="26">
                  <c:v>0.3266083896160126</c:v>
                </c:pt>
                <c:pt idx="27">
                  <c:v>0.5070502758026123</c:v>
                </c:pt>
                <c:pt idx="28">
                  <c:v>2.776556015014648</c:v>
                </c:pt>
                <c:pt idx="29">
                  <c:v>15.28264999389648</c:v>
                </c:pt>
                <c:pt idx="30">
                  <c:v>3.662816047668457</c:v>
                </c:pt>
                <c:pt idx="31">
                  <c:v>16.13462066650391</c:v>
                </c:pt>
                <c:pt idx="32">
                  <c:v>7.635656833648682</c:v>
                </c:pt>
                <c:pt idx="33">
                  <c:v>1.298817038536072</c:v>
                </c:pt>
                <c:pt idx="34">
                  <c:v>-1.69038999080658</c:v>
                </c:pt>
                <c:pt idx="35">
                  <c:v>1.637127995491028</c:v>
                </c:pt>
                <c:pt idx="36">
                  <c:v>-0.9337441921234131</c:v>
                </c:pt>
                <c:pt idx="37">
                  <c:v>1.154185056686401</c:v>
                </c:pt>
                <c:pt idx="38">
                  <c:v>36.26895904541016</c:v>
                </c:pt>
                <c:pt idx="39">
                  <c:v>2.052864074707031</c:v>
                </c:pt>
                <c:pt idx="40">
                  <c:v>0.9063538908958435</c:v>
                </c:pt>
                <c:pt idx="41">
                  <c:v>-0.1906646937131882</c:v>
                </c:pt>
                <c:pt idx="42">
                  <c:v>0.4480277895927429</c:v>
                </c:pt>
                <c:pt idx="43">
                  <c:v>3.835819005966187</c:v>
                </c:pt>
                <c:pt idx="44">
                  <c:v>29.07954025268555</c:v>
                </c:pt>
                <c:pt idx="45">
                  <c:v>0.4151616990566254</c:v>
                </c:pt>
                <c:pt idx="46">
                  <c:v>-0.2653366029262543</c:v>
                </c:pt>
                <c:pt idx="47">
                  <c:v>0.07118108868598938</c:v>
                </c:pt>
                <c:pt idx="48">
                  <c:v>0.130135104060173</c:v>
                </c:pt>
                <c:pt idx="49">
                  <c:v>16.46599006652832</c:v>
                </c:pt>
                <c:pt idx="50">
                  <c:v>16.00824928283691</c:v>
                </c:pt>
                <c:pt idx="51">
                  <c:v>11.24038028717041</c:v>
                </c:pt>
                <c:pt idx="52">
                  <c:v>2.887099981307983</c:v>
                </c:pt>
                <c:pt idx="53">
                  <c:v>-0.04094627872109413</c:v>
                </c:pt>
                <c:pt idx="54">
                  <c:v>2.727288007736206</c:v>
                </c:pt>
                <c:pt idx="55">
                  <c:v>0.7743142247200012</c:v>
                </c:pt>
                <c:pt idx="56">
                  <c:v>1.831099033355713</c:v>
                </c:pt>
                <c:pt idx="57">
                  <c:v>0.9847363829612732</c:v>
                </c:pt>
                <c:pt idx="58">
                  <c:v>5.855937004089355</c:v>
                </c:pt>
                <c:pt idx="59">
                  <c:v>0.8199836015701294</c:v>
                </c:pt>
                <c:pt idx="60">
                  <c:v>0.1212090030312538</c:v>
                </c:pt>
                <c:pt idx="61">
                  <c:v>0.402363508939743</c:v>
                </c:pt>
                <c:pt idx="62">
                  <c:v>-0.169569194316864</c:v>
                </c:pt>
                <c:pt idx="63">
                  <c:v>3.391942024230957</c:v>
                </c:pt>
                <c:pt idx="64">
                  <c:v>4.115831851959229</c:v>
                </c:pt>
                <c:pt idx="65">
                  <c:v>1.269049048423767</c:v>
                </c:pt>
                <c:pt idx="66">
                  <c:v>-0.1850689947605133</c:v>
                </c:pt>
                <c:pt idx="67">
                  <c:v>2.484538078308105</c:v>
                </c:pt>
                <c:pt idx="68">
                  <c:v>7.598748207092285</c:v>
                </c:pt>
                <c:pt idx="69">
                  <c:v>4.577682018280029</c:v>
                </c:pt>
                <c:pt idx="70">
                  <c:v>14.50432014465332</c:v>
                </c:pt>
                <c:pt idx="71">
                  <c:v>7.830365180969238</c:v>
                </c:pt>
                <c:pt idx="72">
                  <c:v>1.136808037757874</c:v>
                </c:pt>
                <c:pt idx="73">
                  <c:v>2.674822092056274</c:v>
                </c:pt>
                <c:pt idx="74">
                  <c:v>2.941704034805298</c:v>
                </c:pt>
                <c:pt idx="75">
                  <c:v>1.809648990631104</c:v>
                </c:pt>
                <c:pt idx="76">
                  <c:v>0.1359204053878784</c:v>
                </c:pt>
                <c:pt idx="77">
                  <c:v>11.56342029571533</c:v>
                </c:pt>
                <c:pt idx="78">
                  <c:v>4.399995803833008</c:v>
                </c:pt>
                <c:pt idx="79">
                  <c:v>0.629481315612793</c:v>
                </c:pt>
                <c:pt idx="80">
                  <c:v>0.4373025894165039</c:v>
                </c:pt>
                <c:pt idx="81">
                  <c:v>0.1364320069551468</c:v>
                </c:pt>
                <c:pt idx="82">
                  <c:v>1.007588028907776</c:v>
                </c:pt>
                <c:pt idx="83">
                  <c:v>48.24406814575195</c:v>
                </c:pt>
                <c:pt idx="84">
                  <c:v>1.643625020980835</c:v>
                </c:pt>
                <c:pt idx="85">
                  <c:v>-0.08505377918481827</c:v>
                </c:pt>
                <c:pt idx="86">
                  <c:v>0.820417582988739</c:v>
                </c:pt>
                <c:pt idx="87">
                  <c:v>0.06522717326879501</c:v>
                </c:pt>
                <c:pt idx="88">
                  <c:v>19.73802947998047</c:v>
                </c:pt>
                <c:pt idx="89">
                  <c:v>16.62075996398926</c:v>
                </c:pt>
                <c:pt idx="90">
                  <c:v>11.09197998046875</c:v>
                </c:pt>
                <c:pt idx="91">
                  <c:v>3.18475604057312</c:v>
                </c:pt>
                <c:pt idx="92">
                  <c:v>0.6825078725814819</c:v>
                </c:pt>
                <c:pt idx="93">
                  <c:v>0.006167902145534754</c:v>
                </c:pt>
                <c:pt idx="94">
                  <c:v>-2.723714113235474</c:v>
                </c:pt>
                <c:pt idx="95">
                  <c:v>0.7110810279846191</c:v>
                </c:pt>
                <c:pt idx="96">
                  <c:v>0.3088749945163727</c:v>
                </c:pt>
                <c:pt idx="97">
                  <c:v>6.045926094055176</c:v>
                </c:pt>
                <c:pt idx="98">
                  <c:v>0.7997313737869263</c:v>
                </c:pt>
                <c:pt idx="99">
                  <c:v>-0.01556690968573093</c:v>
                </c:pt>
                <c:pt idx="100">
                  <c:v>0.3347795009613037</c:v>
                </c:pt>
                <c:pt idx="101">
                  <c:v>0.7953752279281616</c:v>
                </c:pt>
                <c:pt idx="102">
                  <c:v>-0.1900881975889206</c:v>
                </c:pt>
                <c:pt idx="103">
                  <c:v>5.480728149414062</c:v>
                </c:pt>
                <c:pt idx="104">
                  <c:v>0.4724786877632141</c:v>
                </c:pt>
                <c:pt idx="105">
                  <c:v>0.04521891847252846</c:v>
                </c:pt>
                <c:pt idx="106">
                  <c:v>2.440305948257446</c:v>
                </c:pt>
                <c:pt idx="107">
                  <c:v>5.506416797637939</c:v>
                </c:pt>
                <c:pt idx="108">
                  <c:v>4.780312061309814</c:v>
                </c:pt>
                <c:pt idx="109">
                  <c:v>15.5928201675415</c:v>
                </c:pt>
                <c:pt idx="110">
                  <c:v>8.983927726745605</c:v>
                </c:pt>
                <c:pt idx="111">
                  <c:v>1.5554039478302</c:v>
                </c:pt>
                <c:pt idx="112">
                  <c:v>3.338711977005005</c:v>
                </c:pt>
                <c:pt idx="113">
                  <c:v>1.055873036384583</c:v>
                </c:pt>
                <c:pt idx="114">
                  <c:v>0.3788849115371704</c:v>
                </c:pt>
                <c:pt idx="115">
                  <c:v>0.07253648340702057</c:v>
                </c:pt>
                <c:pt idx="116">
                  <c:v>5.944005012512207</c:v>
                </c:pt>
                <c:pt idx="117">
                  <c:v>4.418170928955078</c:v>
                </c:pt>
                <c:pt idx="118">
                  <c:v>0.3397189080715179</c:v>
                </c:pt>
                <c:pt idx="119">
                  <c:v>1.075310945510864</c:v>
                </c:pt>
                <c:pt idx="120">
                  <c:v>0.5690850019454956</c:v>
                </c:pt>
                <c:pt idx="121">
                  <c:v>2.538678884506226</c:v>
                </c:pt>
                <c:pt idx="122">
                  <c:v>17.39471054077148</c:v>
                </c:pt>
                <c:pt idx="123">
                  <c:v>2.318659067153931</c:v>
                </c:pt>
                <c:pt idx="124">
                  <c:v>0.2380971014499664</c:v>
                </c:pt>
                <c:pt idx="125">
                  <c:v>-1.074380040168762</c:v>
                </c:pt>
                <c:pt idx="126">
                  <c:v>0.3422949910163879</c:v>
                </c:pt>
                <c:pt idx="127">
                  <c:v>39.35760879516602</c:v>
                </c:pt>
                <c:pt idx="128">
                  <c:v>4.311427116394043</c:v>
                </c:pt>
                <c:pt idx="129">
                  <c:v>12.49367046356201</c:v>
                </c:pt>
                <c:pt idx="130">
                  <c:v>4.795139789581299</c:v>
                </c:pt>
                <c:pt idx="131">
                  <c:v>2.258244037628174</c:v>
                </c:pt>
                <c:pt idx="132">
                  <c:v>-2.522665023803711</c:v>
                </c:pt>
                <c:pt idx="133">
                  <c:v>-0.2709265053272247</c:v>
                </c:pt>
                <c:pt idx="134">
                  <c:v>0.882835328578949</c:v>
                </c:pt>
                <c:pt idx="135">
                  <c:v>0.3377954065799713</c:v>
                </c:pt>
                <c:pt idx="136">
                  <c:v>19.08436012268066</c:v>
                </c:pt>
                <c:pt idx="137">
                  <c:v>0.9352474212646484</c:v>
                </c:pt>
                <c:pt idx="138">
                  <c:v>0.3509607017040253</c:v>
                </c:pt>
                <c:pt idx="139">
                  <c:v>-2.033255100250244</c:v>
                </c:pt>
                <c:pt idx="140">
                  <c:v>0.358417809009552</c:v>
                </c:pt>
                <c:pt idx="141">
                  <c:v>0.1652942001819611</c:v>
                </c:pt>
                <c:pt idx="142">
                  <c:v>15.16425037384033</c:v>
                </c:pt>
                <c:pt idx="143">
                  <c:v>-0.1264652013778687</c:v>
                </c:pt>
                <c:pt idx="144">
                  <c:v>-0.003137530060485005</c:v>
                </c:pt>
                <c:pt idx="145">
                  <c:v>-0.09928002208471298</c:v>
                </c:pt>
                <c:pt idx="146">
                  <c:v>0.1382011026144028</c:v>
                </c:pt>
                <c:pt idx="147">
                  <c:v>10.76636981964111</c:v>
                </c:pt>
                <c:pt idx="148">
                  <c:v>18.17226982116699</c:v>
                </c:pt>
                <c:pt idx="149">
                  <c:v>10.58032989501953</c:v>
                </c:pt>
                <c:pt idx="150">
                  <c:v>2.405498027801514</c:v>
                </c:pt>
                <c:pt idx="151">
                  <c:v>0.2943964004516602</c:v>
                </c:pt>
                <c:pt idx="152">
                  <c:v>-4.343354225158691</c:v>
                </c:pt>
                <c:pt idx="153">
                  <c:v>-1.361384987831116</c:v>
                </c:pt>
                <c:pt idx="154">
                  <c:v>0.2735889852046967</c:v>
                </c:pt>
                <c:pt idx="155">
                  <c:v>3.900243997573853</c:v>
                </c:pt>
                <c:pt idx="156">
                  <c:v>3.407354116439819</c:v>
                </c:pt>
                <c:pt idx="157">
                  <c:v>-0.2940540015697479</c:v>
                </c:pt>
                <c:pt idx="158">
                  <c:v>0.3101767003536224</c:v>
                </c:pt>
                <c:pt idx="159">
                  <c:v>0.4604355096817017</c:v>
                </c:pt>
                <c:pt idx="160">
                  <c:v>1.955062985420227</c:v>
                </c:pt>
                <c:pt idx="161">
                  <c:v>26.69149017333984</c:v>
                </c:pt>
                <c:pt idx="162">
                  <c:v>1.828552961349487</c:v>
                </c:pt>
                <c:pt idx="163">
                  <c:v>0.1283223032951355</c:v>
                </c:pt>
                <c:pt idx="164">
                  <c:v>-0.4500643014907837</c:v>
                </c:pt>
                <c:pt idx="165">
                  <c:v>0.09862536936998367</c:v>
                </c:pt>
                <c:pt idx="166">
                  <c:v>35.74631118774414</c:v>
                </c:pt>
                <c:pt idx="167">
                  <c:v>5.568244934082031</c:v>
                </c:pt>
                <c:pt idx="168">
                  <c:v>12.21146011352539</c:v>
                </c:pt>
                <c:pt idx="169">
                  <c:v>4.29882287979126</c:v>
                </c:pt>
                <c:pt idx="170">
                  <c:v>-0.2501513957977295</c:v>
                </c:pt>
                <c:pt idx="171">
                  <c:v>0.799363911151886</c:v>
                </c:pt>
                <c:pt idx="172">
                  <c:v>-0.305274486541748</c:v>
                </c:pt>
                <c:pt idx="173">
                  <c:v>0.1023806035518646</c:v>
                </c:pt>
                <c:pt idx="174">
                  <c:v>0.3644343912601471</c:v>
                </c:pt>
                <c:pt idx="175">
                  <c:v>7.257670879364014</c:v>
                </c:pt>
                <c:pt idx="176">
                  <c:v>0.9627888798713684</c:v>
                </c:pt>
                <c:pt idx="177">
                  <c:v>0.458834707736969</c:v>
                </c:pt>
                <c:pt idx="178">
                  <c:v>0.1402730941772461</c:v>
                </c:pt>
                <c:pt idx="179">
                  <c:v>-0.03247395902872086</c:v>
                </c:pt>
                <c:pt idx="180">
                  <c:v>0.222544401884079</c:v>
                </c:pt>
                <c:pt idx="181">
                  <c:v>5.43393087387085</c:v>
                </c:pt>
                <c:pt idx="182">
                  <c:v>-0.01799041032791138</c:v>
                </c:pt>
                <c:pt idx="183">
                  <c:v>0.2906751930713654</c:v>
                </c:pt>
                <c:pt idx="184">
                  <c:v>2.431176900863647</c:v>
                </c:pt>
                <c:pt idx="185">
                  <c:v>5.963950157165527</c:v>
                </c:pt>
                <c:pt idx="186">
                  <c:v>4.735352039337158</c:v>
                </c:pt>
                <c:pt idx="187">
                  <c:v>15.67313957214355</c:v>
                </c:pt>
                <c:pt idx="188">
                  <c:v>8.969467163085938</c:v>
                </c:pt>
                <c:pt idx="189">
                  <c:v>1.877266049385071</c:v>
                </c:pt>
                <c:pt idx="190">
                  <c:v>0.6169434189796448</c:v>
                </c:pt>
                <c:pt idx="191">
                  <c:v>2.241461038589478</c:v>
                </c:pt>
                <c:pt idx="192">
                  <c:v>1.211030960083008</c:v>
                </c:pt>
                <c:pt idx="193">
                  <c:v>-0.6580463051795959</c:v>
                </c:pt>
                <c:pt idx="194">
                  <c:v>16.12664985656738</c:v>
                </c:pt>
                <c:pt idx="195">
                  <c:v>2.599086999893188</c:v>
                </c:pt>
                <c:pt idx="196">
                  <c:v>-0.3384484946727753</c:v>
                </c:pt>
                <c:pt idx="197">
                  <c:v>0.317715585231781</c:v>
                </c:pt>
                <c:pt idx="198">
                  <c:v>0.3263165056705475</c:v>
                </c:pt>
                <c:pt idx="199">
                  <c:v>3.145004034042358</c:v>
                </c:pt>
                <c:pt idx="200">
                  <c:v>42.4505615234375</c:v>
                </c:pt>
                <c:pt idx="201">
                  <c:v>1.05889904499054</c:v>
                </c:pt>
                <c:pt idx="202">
                  <c:v>-0.192560002207756</c:v>
                </c:pt>
                <c:pt idx="203">
                  <c:v>-0.1313717067241669</c:v>
                </c:pt>
                <c:pt idx="204">
                  <c:v>0.1349422931671143</c:v>
                </c:pt>
                <c:pt idx="205">
                  <c:v>27.65336990356445</c:v>
                </c:pt>
                <c:pt idx="206">
                  <c:v>8.459680557250977</c:v>
                </c:pt>
                <c:pt idx="207">
                  <c:v>12.06735038757324</c:v>
                </c:pt>
                <c:pt idx="208">
                  <c:v>3.932923078536987</c:v>
                </c:pt>
                <c:pt idx="209">
                  <c:v>1.66109299659729</c:v>
                </c:pt>
                <c:pt idx="210">
                  <c:v>-0.1139642000198364</c:v>
                </c:pt>
                <c:pt idx="211">
                  <c:v>-2.700608015060425</c:v>
                </c:pt>
                <c:pt idx="212">
                  <c:v>-0.07736156135797501</c:v>
                </c:pt>
                <c:pt idx="213">
                  <c:v>0.5253580212593079</c:v>
                </c:pt>
                <c:pt idx="214">
                  <c:v>5.942761898040771</c:v>
                </c:pt>
                <c:pt idx="215">
                  <c:v>1.081271052360535</c:v>
                </c:pt>
                <c:pt idx="216">
                  <c:v>0.7520918250083923</c:v>
                </c:pt>
                <c:pt idx="217">
                  <c:v>-0.07559548318386078</c:v>
                </c:pt>
                <c:pt idx="218">
                  <c:v>-0.04938900098204613</c:v>
                </c:pt>
                <c:pt idx="219">
                  <c:v>2.330347061157227</c:v>
                </c:pt>
                <c:pt idx="220">
                  <c:v>3.807408094406128</c:v>
                </c:pt>
                <c:pt idx="221">
                  <c:v>0.1321467012166977</c:v>
                </c:pt>
                <c:pt idx="222">
                  <c:v>-0.08140391856431961</c:v>
                </c:pt>
                <c:pt idx="223">
                  <c:v>2.348066091537476</c:v>
                </c:pt>
                <c:pt idx="224">
                  <c:v>6.748382091522217</c:v>
                </c:pt>
                <c:pt idx="225">
                  <c:v>4.607141971588135</c:v>
                </c:pt>
                <c:pt idx="226">
                  <c:v>15.24652004241943</c:v>
                </c:pt>
                <c:pt idx="227">
                  <c:v>8.428955078125</c:v>
                </c:pt>
                <c:pt idx="228">
                  <c:v>1.638360023498535</c:v>
                </c:pt>
                <c:pt idx="229">
                  <c:v>3.250338077545166</c:v>
                </c:pt>
                <c:pt idx="230">
                  <c:v>-0.05294471979141235</c:v>
                </c:pt>
                <c:pt idx="231">
                  <c:v>3.175235986709595</c:v>
                </c:pt>
                <c:pt idx="232">
                  <c:v>0.5429105162620544</c:v>
                </c:pt>
                <c:pt idx="233">
                  <c:v>17.86230087280273</c:v>
                </c:pt>
                <c:pt idx="234">
                  <c:v>2.586981058120728</c:v>
                </c:pt>
                <c:pt idx="235">
                  <c:v>-0.3900665938854218</c:v>
                </c:pt>
                <c:pt idx="236">
                  <c:v>0.3946382999420166</c:v>
                </c:pt>
                <c:pt idx="237">
                  <c:v>0.2765986025333405</c:v>
                </c:pt>
                <c:pt idx="238">
                  <c:v>3.497642993927002</c:v>
                </c:pt>
                <c:pt idx="239">
                  <c:v>39.19097900390625</c:v>
                </c:pt>
                <c:pt idx="240">
                  <c:v>0.4537228047847748</c:v>
                </c:pt>
                <c:pt idx="241">
                  <c:v>-0.1426614969968796</c:v>
                </c:pt>
                <c:pt idx="242">
                  <c:v>-0.2792611122131348</c:v>
                </c:pt>
                <c:pt idx="243">
                  <c:v>0.08160272985696793</c:v>
                </c:pt>
                <c:pt idx="244">
                  <c:v>23.34654998779297</c:v>
                </c:pt>
                <c:pt idx="245">
                  <c:v>10.43072986602783</c:v>
                </c:pt>
                <c:pt idx="246">
                  <c:v>11.96560955047607</c:v>
                </c:pt>
                <c:pt idx="247">
                  <c:v>3.770037889480591</c:v>
                </c:pt>
                <c:pt idx="248">
                  <c:v>-0.4130338132381439</c:v>
                </c:pt>
                <c:pt idx="249">
                  <c:v>1.426785945892334</c:v>
                </c:pt>
                <c:pt idx="250">
                  <c:v>0.2464703023433685</c:v>
                </c:pt>
                <c:pt idx="251">
                  <c:v>-0.2105154991149902</c:v>
                </c:pt>
                <c:pt idx="252">
                  <c:v>0.5010694265365601</c:v>
                </c:pt>
                <c:pt idx="253">
                  <c:v>5.160466194152832</c:v>
                </c:pt>
                <c:pt idx="254">
                  <c:v>0.791123628616333</c:v>
                </c:pt>
                <c:pt idx="255">
                  <c:v>0.1597463041543961</c:v>
                </c:pt>
                <c:pt idx="256">
                  <c:v>0.431144505739212</c:v>
                </c:pt>
                <c:pt idx="257">
                  <c:v>-0.1601182073354721</c:v>
                </c:pt>
                <c:pt idx="258">
                  <c:v>4.68629789352417</c:v>
                </c:pt>
                <c:pt idx="259">
                  <c:v>3.918999910354614</c:v>
                </c:pt>
                <c:pt idx="260">
                  <c:v>-0.1323367953300476</c:v>
                </c:pt>
                <c:pt idx="261">
                  <c:v>0.06625369936227798</c:v>
                </c:pt>
                <c:pt idx="262">
                  <c:v>2.432452917098999</c:v>
                </c:pt>
                <c:pt idx="263">
                  <c:v>7.145921230316162</c:v>
                </c:pt>
                <c:pt idx="264">
                  <c:v>4.525365829467773</c:v>
                </c:pt>
                <c:pt idx="265">
                  <c:v>15.3034496307373</c:v>
                </c:pt>
                <c:pt idx="266">
                  <c:v>8.30599308013916</c:v>
                </c:pt>
                <c:pt idx="267">
                  <c:v>1.831493973731995</c:v>
                </c:pt>
                <c:pt idx="268">
                  <c:v>3.852346897125244</c:v>
                </c:pt>
                <c:pt idx="269">
                  <c:v>2.211739063262939</c:v>
                </c:pt>
                <c:pt idx="270">
                  <c:v>1.25652003288269</c:v>
                </c:pt>
                <c:pt idx="271">
                  <c:v>0.3987154960632324</c:v>
                </c:pt>
                <c:pt idx="272">
                  <c:v>33.649169921875</c:v>
                </c:pt>
                <c:pt idx="273">
                  <c:v>0.1448937058448792</c:v>
                </c:pt>
                <c:pt idx="274">
                  <c:v>0.3567495942115784</c:v>
                </c:pt>
                <c:pt idx="275">
                  <c:v>0.3661870956420898</c:v>
                </c:pt>
                <c:pt idx="276">
                  <c:v>0.07440151274204254</c:v>
                </c:pt>
                <c:pt idx="277">
                  <c:v>4.10439395904541</c:v>
                </c:pt>
                <c:pt idx="278">
                  <c:v>29.77150917053223</c:v>
                </c:pt>
                <c:pt idx="279">
                  <c:v>1.29797899723053</c:v>
                </c:pt>
                <c:pt idx="280">
                  <c:v>0.5860757231712341</c:v>
                </c:pt>
                <c:pt idx="281">
                  <c:v>0.6389660239219666</c:v>
                </c:pt>
                <c:pt idx="282">
                  <c:v>0.1289360970258713</c:v>
                </c:pt>
                <c:pt idx="283">
                  <c:v>16.82291030883789</c:v>
                </c:pt>
                <c:pt idx="284">
                  <c:v>18.78101921081543</c:v>
                </c:pt>
                <c:pt idx="285">
                  <c:v>11.63920021057129</c:v>
                </c:pt>
                <c:pt idx="286">
                  <c:v>3.401818990707397</c:v>
                </c:pt>
                <c:pt idx="287">
                  <c:v>1.702075958251953</c:v>
                </c:pt>
                <c:pt idx="288">
                  <c:v>1.266477942466736</c:v>
                </c:pt>
              </c:numCache>
            </c:numRef>
          </c:yVal>
        </c:ser>
        <c:ser>
          <c:idx val="3"/>
          <c:order val="3"/>
          <c:tx>
            <c:strRef>
              <c:f>Legends!B5</c:f>
              <c:strCache>
                <c:ptCount val="1"/>
                <c:pt idx="0">
                  <c:v>VAR4</c:v>
                </c:pt>
              </c:strCache>
            </c:strRef>
          </c:tx>
          <c:marker>
            <c:symbol val="none"/>
          </c:marker>
          <c:xVal>
            <c:numRef>
              <c:f>SIM5!$D$11:$D$299</c:f>
              <c:numCache>
                <c:ptCount val="289"/>
                <c:pt idx="0">
                  <c:v>0</c:v>
                </c:pt>
                <c:pt idx="1">
                  <c:v>0.2503698766231537</c:v>
                </c:pt>
                <c:pt idx="2">
                  <c:v>0.5003474950790405</c:v>
                </c:pt>
                <c:pt idx="3">
                  <c:v>0.7503663897514343</c:v>
                </c:pt>
                <c:pt idx="4">
                  <c:v>1.000272274017334</c:v>
                </c:pt>
                <c:pt idx="5">
                  <c:v>1.250338554382324</c:v>
                </c:pt>
                <c:pt idx="6">
                  <c:v>1.500310778617859</c:v>
                </c:pt>
                <c:pt idx="7">
                  <c:v>1.750393390655518</c:v>
                </c:pt>
                <c:pt idx="8">
                  <c:v>2.000298500061035</c:v>
                </c:pt>
                <c:pt idx="9">
                  <c:v>2.250226020812988</c:v>
                </c:pt>
                <c:pt idx="10">
                  <c:v>2.500319957733154</c:v>
                </c:pt>
                <c:pt idx="11">
                  <c:v>2.750267744064331</c:v>
                </c:pt>
                <c:pt idx="12">
                  <c:v>3.000191688537598</c:v>
                </c:pt>
                <c:pt idx="13">
                  <c:v>3.250283241271973</c:v>
                </c:pt>
                <c:pt idx="14">
                  <c:v>3.500147104263306</c:v>
                </c:pt>
                <c:pt idx="15">
                  <c:v>3.750288963317871</c:v>
                </c:pt>
                <c:pt idx="16">
                  <c:v>4.000313758850098</c:v>
                </c:pt>
                <c:pt idx="17">
                  <c:v>4.250041484832764</c:v>
                </c:pt>
                <c:pt idx="18">
                  <c:v>4.50066089630127</c:v>
                </c:pt>
                <c:pt idx="19">
                  <c:v>4.750247001647949</c:v>
                </c:pt>
                <c:pt idx="20">
                  <c:v>5.000277996063232</c:v>
                </c:pt>
                <c:pt idx="21">
                  <c:v>5.250236034393311</c:v>
                </c:pt>
                <c:pt idx="22">
                  <c:v>5.500516891479492</c:v>
                </c:pt>
                <c:pt idx="23">
                  <c:v>5.750086307525635</c:v>
                </c:pt>
                <c:pt idx="24">
                  <c:v>6.000389099121094</c:v>
                </c:pt>
                <c:pt idx="25">
                  <c:v>6.250469207763672</c:v>
                </c:pt>
                <c:pt idx="26">
                  <c:v>6.500052928924561</c:v>
                </c:pt>
                <c:pt idx="27">
                  <c:v>6.750552654266357</c:v>
                </c:pt>
                <c:pt idx="28">
                  <c:v>7.000699996948242</c:v>
                </c:pt>
                <c:pt idx="29">
                  <c:v>7.250261306762695</c:v>
                </c:pt>
                <c:pt idx="30">
                  <c:v>7.500458240509033</c:v>
                </c:pt>
                <c:pt idx="31">
                  <c:v>7.750130653381348</c:v>
                </c:pt>
                <c:pt idx="32">
                  <c:v>8.000386238098145</c:v>
                </c:pt>
                <c:pt idx="33">
                  <c:v>8.250313758850098</c:v>
                </c:pt>
                <c:pt idx="34">
                  <c:v>8.500364303588867</c:v>
                </c:pt>
                <c:pt idx="35">
                  <c:v>8.750405311584473</c:v>
                </c:pt>
                <c:pt idx="36">
                  <c:v>9.000142097473145</c:v>
                </c:pt>
                <c:pt idx="37">
                  <c:v>9.250161170959473</c:v>
                </c:pt>
                <c:pt idx="38">
                  <c:v>9.500016212463379</c:v>
                </c:pt>
                <c:pt idx="39">
                  <c:v>9.750371932983398</c:v>
                </c:pt>
                <c:pt idx="40">
                  <c:v>10.0001392364502</c:v>
                </c:pt>
                <c:pt idx="41">
                  <c:v>10.25042247772217</c:v>
                </c:pt>
                <c:pt idx="42">
                  <c:v>10.50008583068848</c:v>
                </c:pt>
                <c:pt idx="43">
                  <c:v>10.75004959106445</c:v>
                </c:pt>
                <c:pt idx="44">
                  <c:v>11.00026988983154</c:v>
                </c:pt>
                <c:pt idx="45">
                  <c:v>11.25038909912109</c:v>
                </c:pt>
                <c:pt idx="46">
                  <c:v>11.50056648254395</c:v>
                </c:pt>
                <c:pt idx="47">
                  <c:v>11.7500057220459</c:v>
                </c:pt>
                <c:pt idx="48">
                  <c:v>12.00052738189697</c:v>
                </c:pt>
                <c:pt idx="49">
                  <c:v>12.2503080368042</c:v>
                </c:pt>
                <c:pt idx="50">
                  <c:v>12.50016975402832</c:v>
                </c:pt>
                <c:pt idx="51">
                  <c:v>12.75010299682617</c:v>
                </c:pt>
                <c:pt idx="52">
                  <c:v>13.00012493133545</c:v>
                </c:pt>
                <c:pt idx="53">
                  <c:v>13.25016117095947</c:v>
                </c:pt>
                <c:pt idx="54">
                  <c:v>13.50045299530029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14.25004768371582</c:v>
                </c:pt>
                <c:pt idx="58">
                  <c:v>14.50016689300537</c:v>
                </c:pt>
                <c:pt idx="59">
                  <c:v>14.75031089782715</c:v>
                </c:pt>
                <c:pt idx="60">
                  <c:v>15.00023651123047</c:v>
                </c:pt>
                <c:pt idx="61">
                  <c:v>15.25072479248047</c:v>
                </c:pt>
                <c:pt idx="62">
                  <c:v>15.50008583068848</c:v>
                </c:pt>
                <c:pt idx="63">
                  <c:v>15.75078010559082</c:v>
                </c:pt>
                <c:pt idx="64">
                  <c:v>16.00008583068848</c:v>
                </c:pt>
                <c:pt idx="65">
                  <c:v>16.25002288818359</c:v>
                </c:pt>
                <c:pt idx="66">
                  <c:v>16.50029754638672</c:v>
                </c:pt>
                <c:pt idx="67">
                  <c:v>16.75045013427734</c:v>
                </c:pt>
                <c:pt idx="68">
                  <c:v>17.00076103210449</c:v>
                </c:pt>
                <c:pt idx="69">
                  <c:v>17.25020217895508</c:v>
                </c:pt>
                <c:pt idx="70">
                  <c:v>17.50014495849609</c:v>
                </c:pt>
                <c:pt idx="71">
                  <c:v>17.75012588500977</c:v>
                </c:pt>
                <c:pt idx="72">
                  <c:v>18.0000171661377</c:v>
                </c:pt>
                <c:pt idx="73">
                  <c:v>18.25006294250488</c:v>
                </c:pt>
                <c:pt idx="74">
                  <c:v>18.50054359436035</c:v>
                </c:pt>
                <c:pt idx="75">
                  <c:v>18.75059127807617</c:v>
                </c:pt>
                <c:pt idx="76">
                  <c:v>19.00070571899414</c:v>
                </c:pt>
                <c:pt idx="77">
                  <c:v>19.25062561035156</c:v>
                </c:pt>
                <c:pt idx="78">
                  <c:v>19.50022506713867</c:v>
                </c:pt>
                <c:pt idx="79">
                  <c:v>19.75065040588379</c:v>
                </c:pt>
                <c:pt idx="80">
                  <c:v>20.00045776367188</c:v>
                </c:pt>
                <c:pt idx="81">
                  <c:v>20.25028419494629</c:v>
                </c:pt>
                <c:pt idx="82">
                  <c:v>20.50001907348633</c:v>
                </c:pt>
                <c:pt idx="83">
                  <c:v>20.7501049041748</c:v>
                </c:pt>
                <c:pt idx="84">
                  <c:v>21.00059700012207</c:v>
                </c:pt>
                <c:pt idx="85">
                  <c:v>21.25004959106445</c:v>
                </c:pt>
                <c:pt idx="86">
                  <c:v>21.50067710876465</c:v>
                </c:pt>
                <c:pt idx="87">
                  <c:v>21.75057983398438</c:v>
                </c:pt>
                <c:pt idx="88">
                  <c:v>22.00036430358887</c:v>
                </c:pt>
                <c:pt idx="89">
                  <c:v>22.25044250488281</c:v>
                </c:pt>
                <c:pt idx="90">
                  <c:v>22.50027465820312</c:v>
                </c:pt>
                <c:pt idx="91">
                  <c:v>22.75015830993652</c:v>
                </c:pt>
                <c:pt idx="92">
                  <c:v>23.00018692016602</c:v>
                </c:pt>
                <c:pt idx="93">
                  <c:v>23.25011444091797</c:v>
                </c:pt>
                <c:pt idx="94">
                  <c:v>23.50038528442383</c:v>
                </c:pt>
                <c:pt idx="95">
                  <c:v>23.75017738342285</c:v>
                </c:pt>
                <c:pt idx="96">
                  <c:v>24.00063896179199</c:v>
                </c:pt>
                <c:pt idx="97">
                  <c:v>24.25063705444336</c:v>
                </c:pt>
                <c:pt idx="98">
                  <c:v>24.50048065185547</c:v>
                </c:pt>
                <c:pt idx="99">
                  <c:v>24.75008583068848</c:v>
                </c:pt>
                <c:pt idx="100">
                  <c:v>25.00044250488281</c:v>
                </c:pt>
                <c:pt idx="101">
                  <c:v>25.25060844421387</c:v>
                </c:pt>
                <c:pt idx="102">
                  <c:v>25.50006866455078</c:v>
                </c:pt>
                <c:pt idx="103">
                  <c:v>25.75045204162598</c:v>
                </c:pt>
                <c:pt idx="104">
                  <c:v>26.00029182434082</c:v>
                </c:pt>
                <c:pt idx="105">
                  <c:v>26.25020217895508</c:v>
                </c:pt>
                <c:pt idx="106">
                  <c:v>26.50071907043457</c:v>
                </c:pt>
                <c:pt idx="107">
                  <c:v>26.75035095214844</c:v>
                </c:pt>
                <c:pt idx="108">
                  <c:v>27.00043869018555</c:v>
                </c:pt>
                <c:pt idx="109">
                  <c:v>27.25024795532227</c:v>
                </c:pt>
                <c:pt idx="110">
                  <c:v>27.50032234191895</c:v>
                </c:pt>
                <c:pt idx="111">
                  <c:v>27.75018119812012</c:v>
                </c:pt>
                <c:pt idx="112">
                  <c:v>28.00002861022949</c:v>
                </c:pt>
                <c:pt idx="113">
                  <c:v>28.25002861022949</c:v>
                </c:pt>
                <c:pt idx="114">
                  <c:v>28.50027847290039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29.2502498626709</c:v>
                </c:pt>
                <c:pt idx="118">
                  <c:v>29.50047302246094</c:v>
                </c:pt>
                <c:pt idx="119">
                  <c:v>29.7501106262207</c:v>
                </c:pt>
                <c:pt idx="120">
                  <c:v>30.0002498626709</c:v>
                </c:pt>
                <c:pt idx="121">
                  <c:v>30.25</c:v>
                </c:pt>
                <c:pt idx="122">
                  <c:v>30.50016593933105</c:v>
                </c:pt>
                <c:pt idx="123">
                  <c:v>30.75058364868164</c:v>
                </c:pt>
                <c:pt idx="124">
                  <c:v>31.00008392333984</c:v>
                </c:pt>
                <c:pt idx="125">
                  <c:v>31.25027847290039</c:v>
                </c:pt>
                <c:pt idx="126">
                  <c:v>31.50033378601074</c:v>
                </c:pt>
                <c:pt idx="127">
                  <c:v>31.75019454956055</c:v>
                </c:pt>
                <c:pt idx="128">
                  <c:v>32.00044631958008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32.75033187866211</c:v>
                </c:pt>
                <c:pt idx="132">
                  <c:v>33.00025177001953</c:v>
                </c:pt>
                <c:pt idx="133">
                  <c:v>33.25041580200195</c:v>
                </c:pt>
                <c:pt idx="134">
                  <c:v>33.50027847290039</c:v>
                </c:pt>
                <c:pt idx="135">
                  <c:v>33.75069427490234</c:v>
                </c:pt>
                <c:pt idx="136">
                  <c:v>34.0001106262207</c:v>
                </c:pt>
                <c:pt idx="137">
                  <c:v>34.25058364868164</c:v>
                </c:pt>
                <c:pt idx="138">
                  <c:v>34.50016784667969</c:v>
                </c:pt>
                <c:pt idx="139">
                  <c:v>34.75025177001953</c:v>
                </c:pt>
                <c:pt idx="140">
                  <c:v>35.00063705444336</c:v>
                </c:pt>
                <c:pt idx="141">
                  <c:v>35.25091552734375</c:v>
                </c:pt>
                <c:pt idx="142">
                  <c:v>35.50013732910156</c:v>
                </c:pt>
                <c:pt idx="143">
                  <c:v>35.75019454956055</c:v>
                </c:pt>
                <c:pt idx="144">
                  <c:v>36.00019454956055</c:v>
                </c:pt>
                <c:pt idx="145">
                  <c:v>36.25027847290039</c:v>
                </c:pt>
                <c:pt idx="146">
                  <c:v>36.50077819824219</c:v>
                </c:pt>
                <c:pt idx="147">
                  <c:v>36.75005722045898</c:v>
                </c:pt>
                <c:pt idx="148">
                  <c:v>37.00041580200195</c:v>
                </c:pt>
                <c:pt idx="149">
                  <c:v>37.25033187866211</c:v>
                </c:pt>
                <c:pt idx="150">
                  <c:v>37.50008392333984</c:v>
                </c:pt>
                <c:pt idx="151">
                  <c:v>37.75036239624023</c:v>
                </c:pt>
                <c:pt idx="152">
                  <c:v>38.00041580200195</c:v>
                </c:pt>
                <c:pt idx="153">
                  <c:v>38.25044631958008</c:v>
                </c:pt>
                <c:pt idx="154">
                  <c:v>38.50041580200195</c:v>
                </c:pt>
                <c:pt idx="155">
                  <c:v>38.75052642822266</c:v>
                </c:pt>
                <c:pt idx="156">
                  <c:v>39.00044631958008</c:v>
                </c:pt>
                <c:pt idx="157">
                  <c:v>39.25019454956055</c:v>
                </c:pt>
                <c:pt idx="158">
                  <c:v>39.50008392333984</c:v>
                </c:pt>
                <c:pt idx="159">
                  <c:v>39.75080490112305</c:v>
                </c:pt>
                <c:pt idx="160">
                  <c:v>40.00063705444336</c:v>
                </c:pt>
                <c:pt idx="161">
                  <c:v>40.2501106262207</c:v>
                </c:pt>
                <c:pt idx="162">
                  <c:v>40.50030517578125</c:v>
                </c:pt>
                <c:pt idx="163">
                  <c:v>40.75041580200195</c:v>
                </c:pt>
                <c:pt idx="164">
                  <c:v>41.00077819824219</c:v>
                </c:pt>
                <c:pt idx="165">
                  <c:v>41.2507209777832</c:v>
                </c:pt>
                <c:pt idx="166">
                  <c:v>41.50013732910156</c:v>
                </c:pt>
                <c:pt idx="167">
                  <c:v>41.75052642822266</c:v>
                </c:pt>
                <c:pt idx="168">
                  <c:v>42.00030517578125</c:v>
                </c:pt>
                <c:pt idx="169">
                  <c:v>42.25013732910156</c:v>
                </c:pt>
                <c:pt idx="170">
                  <c:v>42.50030517578125</c:v>
                </c:pt>
                <c:pt idx="171">
                  <c:v>42.75047302246094</c:v>
                </c:pt>
                <c:pt idx="172">
                  <c:v>43.00030517578125</c:v>
                </c:pt>
                <c:pt idx="173">
                  <c:v>43.25063705444336</c:v>
                </c:pt>
                <c:pt idx="174">
                  <c:v>43.5006103515625</c:v>
                </c:pt>
                <c:pt idx="175">
                  <c:v>43.75036239624023</c:v>
                </c:pt>
                <c:pt idx="176">
                  <c:v>44.00052642822266</c:v>
                </c:pt>
                <c:pt idx="177">
                  <c:v>44.25027847290039</c:v>
                </c:pt>
                <c:pt idx="178">
                  <c:v>44.50047302246094</c:v>
                </c:pt>
                <c:pt idx="179">
                  <c:v>44.75052642822266</c:v>
                </c:pt>
                <c:pt idx="180">
                  <c:v>45.00055694580078</c:v>
                </c:pt>
                <c:pt idx="181">
                  <c:v>45.25016784667969</c:v>
                </c:pt>
                <c:pt idx="182">
                  <c:v>45.5006103515625</c:v>
                </c:pt>
                <c:pt idx="183">
                  <c:v>45.75066757202148</c:v>
                </c:pt>
                <c:pt idx="184">
                  <c:v>46.00069427490234</c:v>
                </c:pt>
                <c:pt idx="185">
                  <c:v>46.2507209777832</c:v>
                </c:pt>
                <c:pt idx="186">
                  <c:v>46.50052642822266</c:v>
                </c:pt>
                <c:pt idx="187">
                  <c:v>46.75036239624023</c:v>
                </c:pt>
                <c:pt idx="188">
                  <c:v>47.00030517578125</c:v>
                </c:pt>
                <c:pt idx="189">
                  <c:v>47.25027847290039</c:v>
                </c:pt>
                <c:pt idx="190">
                  <c:v>47.50005722045898</c:v>
                </c:pt>
                <c:pt idx="191">
                  <c:v>47.75036239624023</c:v>
                </c:pt>
                <c:pt idx="192">
                  <c:v>48.00016784667969</c:v>
                </c:pt>
                <c:pt idx="193">
                  <c:v>48.25013732910156</c:v>
                </c:pt>
                <c:pt idx="194">
                  <c:v>48.50027847290039</c:v>
                </c:pt>
                <c:pt idx="195">
                  <c:v>48.75038909912109</c:v>
                </c:pt>
                <c:pt idx="196">
                  <c:v>49.00019454956055</c:v>
                </c:pt>
                <c:pt idx="197">
                  <c:v>49.25066757202148</c:v>
                </c:pt>
                <c:pt idx="198">
                  <c:v>49.50025177001953</c:v>
                </c:pt>
                <c:pt idx="199">
                  <c:v>49.75069427490234</c:v>
                </c:pt>
                <c:pt idx="200">
                  <c:v>50.00005722045898</c:v>
                </c:pt>
                <c:pt idx="201">
                  <c:v>50.25030517578125</c:v>
                </c:pt>
                <c:pt idx="202">
                  <c:v>50.50008392333984</c:v>
                </c:pt>
                <c:pt idx="203">
                  <c:v>50.75080490112305</c:v>
                </c:pt>
                <c:pt idx="204">
                  <c:v>51.00038909912109</c:v>
                </c:pt>
                <c:pt idx="205">
                  <c:v>51.2501106262207</c:v>
                </c:pt>
                <c:pt idx="206">
                  <c:v>51.5004997253418</c:v>
                </c:pt>
                <c:pt idx="207">
                  <c:v>51.75019454956055</c:v>
                </c:pt>
                <c:pt idx="208">
                  <c:v>52.00030517578125</c:v>
                </c:pt>
                <c:pt idx="209">
                  <c:v>52.25030517578125</c:v>
                </c:pt>
                <c:pt idx="210">
                  <c:v>52.50025177001953</c:v>
                </c:pt>
                <c:pt idx="211">
                  <c:v>52.75033187866211</c:v>
                </c:pt>
                <c:pt idx="212">
                  <c:v>53.00058364868164</c:v>
                </c:pt>
                <c:pt idx="213">
                  <c:v>53.2501106262207</c:v>
                </c:pt>
                <c:pt idx="214">
                  <c:v>53.50025177001953</c:v>
                </c:pt>
                <c:pt idx="215">
                  <c:v>53.75036239624023</c:v>
                </c:pt>
                <c:pt idx="216">
                  <c:v>54.00047302246094</c:v>
                </c:pt>
                <c:pt idx="217">
                  <c:v>54.25027847290039</c:v>
                </c:pt>
                <c:pt idx="218">
                  <c:v>54.50077819824219</c:v>
                </c:pt>
                <c:pt idx="219">
                  <c:v>54.75013732910156</c:v>
                </c:pt>
                <c:pt idx="220">
                  <c:v>55.00036239624023</c:v>
                </c:pt>
                <c:pt idx="221">
                  <c:v>55.25025177001953</c:v>
                </c:pt>
                <c:pt idx="222">
                  <c:v>55.50002670288086</c:v>
                </c:pt>
                <c:pt idx="223">
                  <c:v>55.75058364868164</c:v>
                </c:pt>
                <c:pt idx="224">
                  <c:v>56.0007209777832</c:v>
                </c:pt>
                <c:pt idx="225">
                  <c:v>56.25052642822266</c:v>
                </c:pt>
                <c:pt idx="226">
                  <c:v>56.50030517578125</c:v>
                </c:pt>
                <c:pt idx="227">
                  <c:v>56.75</c:v>
                </c:pt>
                <c:pt idx="228">
                  <c:v>57.0001106262207</c:v>
                </c:pt>
                <c:pt idx="229">
                  <c:v>57.2501106262207</c:v>
                </c:pt>
                <c:pt idx="230">
                  <c:v>57.50027847290039</c:v>
                </c:pt>
                <c:pt idx="231">
                  <c:v>57.75063705444336</c:v>
                </c:pt>
                <c:pt idx="232">
                  <c:v>58.0004997253418</c:v>
                </c:pt>
                <c:pt idx="233">
                  <c:v>58.25036239624023</c:v>
                </c:pt>
                <c:pt idx="234">
                  <c:v>58.5</c:v>
                </c:pt>
                <c:pt idx="235">
                  <c:v>58.75038909912109</c:v>
                </c:pt>
                <c:pt idx="236">
                  <c:v>59.0001106262207</c:v>
                </c:pt>
                <c:pt idx="237">
                  <c:v>59.25025177001953</c:v>
                </c:pt>
                <c:pt idx="238">
                  <c:v>59.5001106262207</c:v>
                </c:pt>
                <c:pt idx="239">
                  <c:v>59.75019454956055</c:v>
                </c:pt>
                <c:pt idx="240">
                  <c:v>60.00033187866211</c:v>
                </c:pt>
                <c:pt idx="241">
                  <c:v>60.25005722045898</c:v>
                </c:pt>
                <c:pt idx="242">
                  <c:v>60.50058364868164</c:v>
                </c:pt>
                <c:pt idx="243">
                  <c:v>60.75047302246094</c:v>
                </c:pt>
                <c:pt idx="244">
                  <c:v>61.00041580200195</c:v>
                </c:pt>
                <c:pt idx="245">
                  <c:v>61.25033187866211</c:v>
                </c:pt>
                <c:pt idx="246">
                  <c:v>61.50033187866211</c:v>
                </c:pt>
                <c:pt idx="247">
                  <c:v>61.75016784667969</c:v>
                </c:pt>
                <c:pt idx="248">
                  <c:v>62</c:v>
                </c:pt>
                <c:pt idx="249">
                  <c:v>62.25041580200195</c:v>
                </c:pt>
                <c:pt idx="250">
                  <c:v>62.50036239624023</c:v>
                </c:pt>
                <c:pt idx="251">
                  <c:v>62.75044631958008</c:v>
                </c:pt>
                <c:pt idx="252">
                  <c:v>63.00013732910156</c:v>
                </c:pt>
                <c:pt idx="253">
                  <c:v>63.2504997253418</c:v>
                </c:pt>
                <c:pt idx="254">
                  <c:v>63.50055694580078</c:v>
                </c:pt>
                <c:pt idx="255">
                  <c:v>63.75030517578125</c:v>
                </c:pt>
                <c:pt idx="256">
                  <c:v>64.00011444091797</c:v>
                </c:pt>
                <c:pt idx="257">
                  <c:v>64.25016784667969</c:v>
                </c:pt>
                <c:pt idx="258">
                  <c:v>64.50044250488281</c:v>
                </c:pt>
                <c:pt idx="259">
                  <c:v>64.7506103515625</c:v>
                </c:pt>
                <c:pt idx="260">
                  <c:v>65.00064086914062</c:v>
                </c:pt>
                <c:pt idx="261">
                  <c:v>65.25013732910156</c:v>
                </c:pt>
                <c:pt idx="262">
                  <c:v>65.50030517578125</c:v>
                </c:pt>
                <c:pt idx="263">
                  <c:v>65.75050354003906</c:v>
                </c:pt>
                <c:pt idx="264">
                  <c:v>66.00050354003906</c:v>
                </c:pt>
                <c:pt idx="265">
                  <c:v>66.25003051757812</c:v>
                </c:pt>
                <c:pt idx="266">
                  <c:v>66.50013732910156</c:v>
                </c:pt>
                <c:pt idx="267">
                  <c:v>66.75027465820312</c:v>
                </c:pt>
                <c:pt idx="268">
                  <c:v>67.00008392333984</c:v>
                </c:pt>
                <c:pt idx="269">
                  <c:v>67.25022125244141</c:v>
                </c:pt>
                <c:pt idx="270">
                  <c:v>67.50016784667969</c:v>
                </c:pt>
                <c:pt idx="271">
                  <c:v>67.75050354003906</c:v>
                </c:pt>
                <c:pt idx="272">
                  <c:v>68.00013732910156</c:v>
                </c:pt>
                <c:pt idx="273">
                  <c:v>68.25008392333984</c:v>
                </c:pt>
                <c:pt idx="274">
                  <c:v>68.50055694580078</c:v>
                </c:pt>
                <c:pt idx="275">
                  <c:v>68.75055694580078</c:v>
                </c:pt>
                <c:pt idx="276">
                  <c:v>69.00035858154297</c:v>
                </c:pt>
                <c:pt idx="277">
                  <c:v>69.25069427490234</c:v>
                </c:pt>
                <c:pt idx="278">
                  <c:v>69.50013732910156</c:v>
                </c:pt>
                <c:pt idx="279">
                  <c:v>69.7506103515625</c:v>
                </c:pt>
                <c:pt idx="280">
                  <c:v>70.00025177001953</c:v>
                </c:pt>
                <c:pt idx="281">
                  <c:v>70.25064086914062</c:v>
                </c:pt>
                <c:pt idx="282">
                  <c:v>70.50047302246094</c:v>
                </c:pt>
                <c:pt idx="283">
                  <c:v>70.75005340576172</c:v>
                </c:pt>
                <c:pt idx="284">
                  <c:v>71.00050354003906</c:v>
                </c:pt>
                <c:pt idx="285">
                  <c:v>71.25038909912109</c:v>
                </c:pt>
                <c:pt idx="286">
                  <c:v>71.50027465820312</c:v>
                </c:pt>
                <c:pt idx="287">
                  <c:v>71.75035858154297</c:v>
                </c:pt>
                <c:pt idx="288">
                  <c:v>72.00016784667969</c:v>
                </c:pt>
              </c:numCache>
            </c:numRef>
          </c:xVal>
          <c:yVal>
            <c:numRef>
              <c:f>SIM5!$I$11:$I$299</c:f>
              <c:numCache>
                <c:ptCount val="289"/>
                <c:pt idx="0">
                  <c:v>0.04023474827408791</c:v>
                </c:pt>
                <c:pt idx="1">
                  <c:v>0.01786009036004543</c:v>
                </c:pt>
                <c:pt idx="2">
                  <c:v>0.01166731957346201</c:v>
                </c:pt>
                <c:pt idx="3">
                  <c:v>2.48699990379464E-7</c:v>
                </c:pt>
                <c:pt idx="4">
                  <c:v>3.508999952828162E-7</c:v>
                </c:pt>
                <c:pt idx="5">
                  <c:v>2.1760000379345E-7</c:v>
                </c:pt>
                <c:pt idx="6">
                  <c:v>1.592179978615604E-5</c:v>
                </c:pt>
                <c:pt idx="7">
                  <c:v>0.0007428731769323349</c:v>
                </c:pt>
                <c:pt idx="8">
                  <c:v>3.551259942469187E-5</c:v>
                </c:pt>
                <c:pt idx="9">
                  <c:v>4.799999828719592E-7</c:v>
                </c:pt>
                <c:pt idx="10">
                  <c:v>0.04675766825675964</c:v>
                </c:pt>
                <c:pt idx="11">
                  <c:v>0.1209719032049179</c:v>
                </c:pt>
                <c:pt idx="12">
                  <c:v>0.0426502488553524</c:v>
                </c:pt>
                <c:pt idx="13">
                  <c:v>6.766999831597786E-7</c:v>
                </c:pt>
                <c:pt idx="14">
                  <c:v>6.47899980776856E-7</c:v>
                </c:pt>
                <c:pt idx="15">
                  <c:v>4.297000089081848E-7</c:v>
                </c:pt>
                <c:pt idx="16">
                  <c:v>6.520419992739335E-5</c:v>
                </c:pt>
                <c:pt idx="17">
                  <c:v>1.76699998633012E-7</c:v>
                </c:pt>
                <c:pt idx="18">
                  <c:v>1.844099983827618E-6</c:v>
                </c:pt>
                <c:pt idx="19">
                  <c:v>8.513999887327373E-7</c:v>
                </c:pt>
                <c:pt idx="20">
                  <c:v>1.149999988570016E-7</c:v>
                </c:pt>
                <c:pt idx="21">
                  <c:v>8.469999812632523E-8</c:v>
                </c:pt>
                <c:pt idx="22">
                  <c:v>2.280000011012362E-8</c:v>
                </c:pt>
                <c:pt idx="23">
                  <c:v>2.105000049823502E-7</c:v>
                </c:pt>
                <c:pt idx="24">
                  <c:v>0.3122856914997101</c:v>
                </c:pt>
                <c:pt idx="25">
                  <c:v>1.331099952039949E-6</c:v>
                </c:pt>
                <c:pt idx="26">
                  <c:v>6.660000195779503E-8</c:v>
                </c:pt>
                <c:pt idx="27">
                  <c:v>3.590000119402248E-8</c:v>
                </c:pt>
                <c:pt idx="28">
                  <c:v>3.060000040022715E-7</c:v>
                </c:pt>
                <c:pt idx="29">
                  <c:v>0.5705385208129883</c:v>
                </c:pt>
                <c:pt idx="30">
                  <c:v>1.574599991727155E-6</c:v>
                </c:pt>
                <c:pt idx="31">
                  <c:v>0.06596881896257401</c:v>
                </c:pt>
                <c:pt idx="32">
                  <c:v>0.01186867989599705</c:v>
                </c:pt>
                <c:pt idx="33">
                  <c:v>2.214000005551497E-7</c:v>
                </c:pt>
                <c:pt idx="34">
                  <c:v>0.00431104376912117</c:v>
                </c:pt>
                <c:pt idx="35">
                  <c:v>5.218000183049298E-7</c:v>
                </c:pt>
                <c:pt idx="36">
                  <c:v>1.769999968814773E-8</c:v>
                </c:pt>
                <c:pt idx="37">
                  <c:v>2.990000069758025E-8</c:v>
                </c:pt>
                <c:pt idx="38">
                  <c:v>0.2064311951398849</c:v>
                </c:pt>
                <c:pt idx="39">
                  <c:v>5.819999842060497E-7</c:v>
                </c:pt>
                <c:pt idx="40">
                  <c:v>7.650000100056786E-8</c:v>
                </c:pt>
                <c:pt idx="41">
                  <c:v>2.068180037895218E-5</c:v>
                </c:pt>
                <c:pt idx="42">
                  <c:v>3.550000116092633E-8</c:v>
                </c:pt>
                <c:pt idx="43">
                  <c:v>5.854000164617901E-7</c:v>
                </c:pt>
                <c:pt idx="44">
                  <c:v>0.1362762004137039</c:v>
                </c:pt>
                <c:pt idx="45">
                  <c:v>4.558999933124142E-7</c:v>
                </c:pt>
                <c:pt idx="46">
                  <c:v>1.261709985556081E-5</c:v>
                </c:pt>
                <c:pt idx="47">
                  <c:v>7.140000235494881E-8</c:v>
                </c:pt>
                <c:pt idx="48">
                  <c:v>1.500000013088254E-9</c:v>
                </c:pt>
                <c:pt idx="49">
                  <c:v>0.04334317147731781</c:v>
                </c:pt>
                <c:pt idx="50">
                  <c:v>0.2349548935890198</c:v>
                </c:pt>
                <c:pt idx="51">
                  <c:v>0.0300502497702837</c:v>
                </c:pt>
                <c:pt idx="52">
                  <c:v>5.44000009483625E-8</c:v>
                </c:pt>
                <c:pt idx="53">
                  <c:v>4.409999831977984E-8</c:v>
                </c:pt>
                <c:pt idx="54">
                  <c:v>2.303000030678959E-7</c:v>
                </c:pt>
                <c:pt idx="55">
                  <c:v>0.001649070996791124</c:v>
                </c:pt>
                <c:pt idx="56">
                  <c:v>4.259999997202613E-8</c:v>
                </c:pt>
                <c:pt idx="57">
                  <c:v>2.348999998957879E-7</c:v>
                </c:pt>
                <c:pt idx="58">
                  <c:v>0.01567042991518974</c:v>
                </c:pt>
                <c:pt idx="59">
                  <c:v>4.908999926556135E-7</c:v>
                </c:pt>
                <c:pt idx="60">
                  <c:v>1.159000007078248E-7</c:v>
                </c:pt>
                <c:pt idx="61">
                  <c:v>1.450000031155696E-8</c:v>
                </c:pt>
                <c:pt idx="62">
                  <c:v>4.764859841088764E-5</c:v>
                </c:pt>
                <c:pt idx="63">
                  <c:v>0.04017477110028267</c:v>
                </c:pt>
                <c:pt idx="64">
                  <c:v>7.772000003569701E-7</c:v>
                </c:pt>
                <c:pt idx="65">
                  <c:v>0.0001741688029142097</c:v>
                </c:pt>
                <c:pt idx="66">
                  <c:v>4.799999953064571E-9</c:v>
                </c:pt>
                <c:pt idx="67">
                  <c:v>2.666000114004419E-7</c:v>
                </c:pt>
                <c:pt idx="68">
                  <c:v>0.1421152949333191</c:v>
                </c:pt>
                <c:pt idx="69">
                  <c:v>2.194700073232525E-6</c:v>
                </c:pt>
                <c:pt idx="70">
                  <c:v>0.05889366939663887</c:v>
                </c:pt>
                <c:pt idx="71">
                  <c:v>0.01122832018882036</c:v>
                </c:pt>
                <c:pt idx="72">
                  <c:v>1.120000021614942E-7</c:v>
                </c:pt>
                <c:pt idx="73">
                  <c:v>5.472999760058883E-7</c:v>
                </c:pt>
                <c:pt idx="74">
                  <c:v>2.692000009574258E-7</c:v>
                </c:pt>
                <c:pt idx="75">
                  <c:v>0.002013491932302713</c:v>
                </c:pt>
                <c:pt idx="76">
                  <c:v>0.0002677084994502366</c:v>
                </c:pt>
                <c:pt idx="77">
                  <c:v>0.3084186017513275</c:v>
                </c:pt>
                <c:pt idx="78">
                  <c:v>0.01932837069034576</c:v>
                </c:pt>
                <c:pt idx="79">
                  <c:v>5.291309935273603E-5</c:v>
                </c:pt>
                <c:pt idx="80">
                  <c:v>1.999999943436137E-9</c:v>
                </c:pt>
                <c:pt idx="81">
                  <c:v>9.850000282085603E-8</c:v>
                </c:pt>
                <c:pt idx="82">
                  <c:v>2.882999865505553E-7</c:v>
                </c:pt>
                <c:pt idx="83">
                  <c:v>0.639787495136261</c:v>
                </c:pt>
                <c:pt idx="84">
                  <c:v>4.679999960899295E-7</c:v>
                </c:pt>
                <c:pt idx="85">
                  <c:v>4.484019882511348E-5</c:v>
                </c:pt>
                <c:pt idx="86">
                  <c:v>3.856000034829776E-7</c:v>
                </c:pt>
                <c:pt idx="87">
                  <c:v>8.000000106811456E-10</c:v>
                </c:pt>
                <c:pt idx="88">
                  <c:v>0.06183163076639175</c:v>
                </c:pt>
                <c:pt idx="89">
                  <c:v>0.2227113991975784</c:v>
                </c:pt>
                <c:pt idx="90">
                  <c:v>0.0295824408531189</c:v>
                </c:pt>
                <c:pt idx="91">
                  <c:v>1.00299999417075E-7</c:v>
                </c:pt>
                <c:pt idx="92">
                  <c:v>4.569000111587229E-7</c:v>
                </c:pt>
                <c:pt idx="93">
                  <c:v>2.563000123245729E-7</c:v>
                </c:pt>
                <c:pt idx="94">
                  <c:v>7.330000073579868E-8</c:v>
                </c:pt>
                <c:pt idx="95">
                  <c:v>2.907999885337631E-7</c:v>
                </c:pt>
                <c:pt idx="96">
                  <c:v>1.100000002196566E-8</c:v>
                </c:pt>
                <c:pt idx="97">
                  <c:v>3.032000108760258E-7</c:v>
                </c:pt>
                <c:pt idx="98">
                  <c:v>7.620000275210259E-8</c:v>
                </c:pt>
                <c:pt idx="99">
                  <c:v>1.104479997593444E-5</c:v>
                </c:pt>
                <c:pt idx="100">
                  <c:v>2.866690010705497E-5</c:v>
                </c:pt>
                <c:pt idx="101">
                  <c:v>1.245000049721057E-7</c:v>
                </c:pt>
                <c:pt idx="102">
                  <c:v>1.86928991752211E-5</c:v>
                </c:pt>
                <c:pt idx="103">
                  <c:v>2.795000000332948E-7</c:v>
                </c:pt>
                <c:pt idx="104">
                  <c:v>6.700000110271276E-9</c:v>
                </c:pt>
                <c:pt idx="105">
                  <c:v>2.830000056519566E-8</c:v>
                </c:pt>
                <c:pt idx="106">
                  <c:v>3.728000024239009E-7</c:v>
                </c:pt>
                <c:pt idx="107">
                  <c:v>0.08984871208667755</c:v>
                </c:pt>
                <c:pt idx="108">
                  <c:v>1.157800056716951E-6</c:v>
                </c:pt>
                <c:pt idx="109">
                  <c:v>0.07231850177049637</c:v>
                </c:pt>
                <c:pt idx="110">
                  <c:v>0.01513694040477276</c:v>
                </c:pt>
                <c:pt idx="111">
                  <c:v>2.534000032028416E-7</c:v>
                </c:pt>
                <c:pt idx="112">
                  <c:v>6.77699972584378E-7</c:v>
                </c:pt>
                <c:pt idx="113">
                  <c:v>7.490000086818327E-8</c:v>
                </c:pt>
                <c:pt idx="114">
                  <c:v>1.748999949313657E-7</c:v>
                </c:pt>
                <c:pt idx="115">
                  <c:v>2.49000002838784E-8</c:v>
                </c:pt>
                <c:pt idx="116">
                  <c:v>0.1133617982268333</c:v>
                </c:pt>
                <c:pt idx="117">
                  <c:v>0.01915604993700981</c:v>
                </c:pt>
                <c:pt idx="118">
                  <c:v>5.900000132896821E-8</c:v>
                </c:pt>
                <c:pt idx="119">
                  <c:v>3.243000037400634E-7</c:v>
                </c:pt>
                <c:pt idx="120">
                  <c:v>7.5999997406484E-9</c:v>
                </c:pt>
                <c:pt idx="121">
                  <c:v>4.73000000056345E-7</c:v>
                </c:pt>
                <c:pt idx="122">
                  <c:v>0.6298174262046814</c:v>
                </c:pt>
                <c:pt idx="123">
                  <c:v>4.963999913343287E-7</c:v>
                </c:pt>
                <c:pt idx="124">
                  <c:v>8.999999856484919E-9</c:v>
                </c:pt>
                <c:pt idx="125">
                  <c:v>7.370000076889482E-8</c:v>
                </c:pt>
                <c:pt idx="126">
                  <c:v>9.099999864758956E-9</c:v>
                </c:pt>
                <c:pt idx="127">
                  <c:v>0.2391227930784225</c:v>
                </c:pt>
                <c:pt idx="128">
                  <c:v>0.02732091955840588</c:v>
                </c:pt>
                <c:pt idx="129">
                  <c:v>0.042567178606987</c:v>
                </c:pt>
                <c:pt idx="130">
                  <c:v>6.50199979190802E-7</c:v>
                </c:pt>
                <c:pt idx="131">
                  <c:v>2.495999922302872E-7</c:v>
                </c:pt>
                <c:pt idx="132">
                  <c:v>6.6100000140068E-8</c:v>
                </c:pt>
                <c:pt idx="133">
                  <c:v>9.139999690432887E-8</c:v>
                </c:pt>
                <c:pt idx="134">
                  <c:v>0.0001838073949329555</c:v>
                </c:pt>
                <c:pt idx="135">
                  <c:v>1.320000020399448E-8</c:v>
                </c:pt>
                <c:pt idx="136">
                  <c:v>0.04485306143760681</c:v>
                </c:pt>
                <c:pt idx="137">
                  <c:v>7.78999975636907E-8</c:v>
                </c:pt>
                <c:pt idx="138">
                  <c:v>4.398139935801737E-5</c:v>
                </c:pt>
                <c:pt idx="139">
                  <c:v>1.923950003401842E-5</c:v>
                </c:pt>
                <c:pt idx="140">
                  <c:v>1.167000007740171E-7</c:v>
                </c:pt>
                <c:pt idx="141">
                  <c:v>4.799999953064571E-9</c:v>
                </c:pt>
                <c:pt idx="142">
                  <c:v>0.0375058613717556</c:v>
                </c:pt>
                <c:pt idx="143">
                  <c:v>7.400000168189536E-9</c:v>
                </c:pt>
                <c:pt idx="144">
                  <c:v>3.870000142569552E-8</c:v>
                </c:pt>
                <c:pt idx="145">
                  <c:v>2.260000009357555E-8</c:v>
                </c:pt>
                <c:pt idx="146">
                  <c:v>3.899999878598237E-9</c:v>
                </c:pt>
                <c:pt idx="147">
                  <c:v>0.01855652034282684</c:v>
                </c:pt>
                <c:pt idx="148">
                  <c:v>0.1067570969462395</c:v>
                </c:pt>
                <c:pt idx="149">
                  <c:v>0.02314707078039646</c:v>
                </c:pt>
                <c:pt idx="150">
                  <c:v>5.920000134551628E-8</c:v>
                </c:pt>
                <c:pt idx="151">
                  <c:v>2.35900003531242E-7</c:v>
                </c:pt>
                <c:pt idx="152">
                  <c:v>7.93000012322409E-8</c:v>
                </c:pt>
                <c:pt idx="153">
                  <c:v>0.002961225109174848</c:v>
                </c:pt>
                <c:pt idx="154">
                  <c:v>0.0001378276065224782</c:v>
                </c:pt>
                <c:pt idx="155">
                  <c:v>0.05001235008239746</c:v>
                </c:pt>
                <c:pt idx="156">
                  <c:v>7.488999926863471E-7</c:v>
                </c:pt>
                <c:pt idx="157">
                  <c:v>4.320000002167035E-8</c:v>
                </c:pt>
                <c:pt idx="158">
                  <c:v>2.720000047418125E-8</c:v>
                </c:pt>
                <c:pt idx="159">
                  <c:v>2.57000003500707E-8</c:v>
                </c:pt>
                <c:pt idx="160">
                  <c:v>1.81299995460904E-7</c:v>
                </c:pt>
                <c:pt idx="161">
                  <c:v>1.010306000709534</c:v>
                </c:pt>
                <c:pt idx="162">
                  <c:v>1.948999965861731E-7</c:v>
                </c:pt>
                <c:pt idx="163">
                  <c:v>5.500000010982831E-9</c:v>
                </c:pt>
                <c:pt idx="164">
                  <c:v>2.079999994464288E-8</c:v>
                </c:pt>
                <c:pt idx="165">
                  <c:v>1.29999999654018E-9</c:v>
                </c:pt>
                <c:pt idx="166">
                  <c:v>0.2023136019706726</c:v>
                </c:pt>
                <c:pt idx="167">
                  <c:v>0.04590737074613571</c:v>
                </c:pt>
                <c:pt idx="168">
                  <c:v>0.03981449827551842</c:v>
                </c:pt>
                <c:pt idx="169">
                  <c:v>4.620000026989146E-7</c:v>
                </c:pt>
                <c:pt idx="170">
                  <c:v>0.000771092192735523</c:v>
                </c:pt>
                <c:pt idx="171">
                  <c:v>3.22799991181455E-7</c:v>
                </c:pt>
                <c:pt idx="172">
                  <c:v>1.261000051044903E-7</c:v>
                </c:pt>
                <c:pt idx="173">
                  <c:v>4.389999830323177E-8</c:v>
                </c:pt>
                <c:pt idx="174">
                  <c:v>1.589999953921506E-8</c:v>
                </c:pt>
                <c:pt idx="175">
                  <c:v>0.006392226088792086</c:v>
                </c:pt>
                <c:pt idx="176">
                  <c:v>6.366000206980971E-7</c:v>
                </c:pt>
                <c:pt idx="177">
                  <c:v>3.599999942593968E-8</c:v>
                </c:pt>
                <c:pt idx="178">
                  <c:v>5.099999977886682E-9</c:v>
                </c:pt>
                <c:pt idx="179">
                  <c:v>1.23000006624352E-7</c:v>
                </c:pt>
                <c:pt idx="180">
                  <c:v>7.000000135093387E-9</c:v>
                </c:pt>
                <c:pt idx="181">
                  <c:v>2.376000054482574E-7</c:v>
                </c:pt>
                <c:pt idx="182">
                  <c:v>8.140000318235252E-8</c:v>
                </c:pt>
                <c:pt idx="183">
                  <c:v>3.076830034842715E-5</c:v>
                </c:pt>
                <c:pt idx="184">
                  <c:v>2.788999893255095E-7</c:v>
                </c:pt>
                <c:pt idx="185">
                  <c:v>0.1016850024461746</c:v>
                </c:pt>
                <c:pt idx="186">
                  <c:v>1.240999949914112E-6</c:v>
                </c:pt>
                <c:pt idx="187">
                  <c:v>0.07270500063896179</c:v>
                </c:pt>
                <c:pt idx="188">
                  <c:v>0.01523218024522066</c:v>
                </c:pt>
                <c:pt idx="189">
                  <c:v>2.087000012807039E-7</c:v>
                </c:pt>
                <c:pt idx="190">
                  <c:v>2.989000051911717E-7</c:v>
                </c:pt>
                <c:pt idx="191">
                  <c:v>3.70599991583731E-7</c:v>
                </c:pt>
                <c:pt idx="192">
                  <c:v>5.667999971592508E-7</c:v>
                </c:pt>
                <c:pt idx="193">
                  <c:v>3.684260082081892E-5</c:v>
                </c:pt>
                <c:pt idx="194">
                  <c:v>0.3779619932174683</c:v>
                </c:pt>
                <c:pt idx="195">
                  <c:v>3.499999934319931E-7</c:v>
                </c:pt>
                <c:pt idx="196">
                  <c:v>0.0001169804017990828</c:v>
                </c:pt>
                <c:pt idx="197">
                  <c:v>1.260000015435025E-8</c:v>
                </c:pt>
                <c:pt idx="198">
                  <c:v>6.800000118545313E-9</c:v>
                </c:pt>
                <c:pt idx="199">
                  <c:v>3.909999861662072E-7</c:v>
                </c:pt>
                <c:pt idx="200">
                  <c:v>0.3434427082538605</c:v>
                </c:pt>
                <c:pt idx="201">
                  <c:v>1.879999977916214E-8</c:v>
                </c:pt>
                <c:pt idx="202">
                  <c:v>1.609999955576313E-8</c:v>
                </c:pt>
                <c:pt idx="203">
                  <c:v>1.532000055703975E-7</c:v>
                </c:pt>
                <c:pt idx="204">
                  <c:v>1.400000004814217E-9</c:v>
                </c:pt>
                <c:pt idx="205">
                  <c:v>0.1270231008529663</c:v>
                </c:pt>
                <c:pt idx="206">
                  <c:v>0.1025426015257835</c:v>
                </c:pt>
                <c:pt idx="207">
                  <c:v>0.03699792921543121</c:v>
                </c:pt>
                <c:pt idx="208">
                  <c:v>3.622999997787701E-7</c:v>
                </c:pt>
                <c:pt idx="209">
                  <c:v>7.540000268591029E-8</c:v>
                </c:pt>
                <c:pt idx="210">
                  <c:v>1.388000043789361E-7</c:v>
                </c:pt>
                <c:pt idx="211">
                  <c:v>0.004811781924217939</c:v>
                </c:pt>
                <c:pt idx="212">
                  <c:v>1.610000026630587E-7</c:v>
                </c:pt>
                <c:pt idx="213">
                  <c:v>1.609999955576313E-8</c:v>
                </c:pt>
                <c:pt idx="214">
                  <c:v>2.465000079610036E-7</c:v>
                </c:pt>
                <c:pt idx="215">
                  <c:v>4.826999884244287E-7</c:v>
                </c:pt>
                <c:pt idx="216">
                  <c:v>1.589999953921506E-8</c:v>
                </c:pt>
                <c:pt idx="217">
                  <c:v>8.499999815114734E-9</c:v>
                </c:pt>
                <c:pt idx="218">
                  <c:v>2.211899982285104E-6</c:v>
                </c:pt>
                <c:pt idx="219">
                  <c:v>0.01826916076242924</c:v>
                </c:pt>
                <c:pt idx="220">
                  <c:v>2.634999987094488E-7</c:v>
                </c:pt>
                <c:pt idx="221">
                  <c:v>2.399999976532285E-9</c:v>
                </c:pt>
                <c:pt idx="222">
                  <c:v>4.929999875002977E-8</c:v>
                </c:pt>
                <c:pt idx="223">
                  <c:v>2.696000080959493E-7</c:v>
                </c:pt>
                <c:pt idx="224">
                  <c:v>0.1177226975560188</c:v>
                </c:pt>
                <c:pt idx="225">
                  <c:v>1.882499987004849E-6</c:v>
                </c:pt>
                <c:pt idx="226">
                  <c:v>0.06620299071073532</c:v>
                </c:pt>
                <c:pt idx="227">
                  <c:v>0.01331959012895823</c:v>
                </c:pt>
                <c:pt idx="228">
                  <c:v>1.967000002878194E-7</c:v>
                </c:pt>
                <c:pt idx="229">
                  <c:v>2.639999934217485E-7</c:v>
                </c:pt>
                <c:pt idx="230">
                  <c:v>5.609999931266429E-8</c:v>
                </c:pt>
                <c:pt idx="231">
                  <c:v>2.790000053209951E-7</c:v>
                </c:pt>
                <c:pt idx="232">
                  <c:v>3.539999937629545E-8</c:v>
                </c:pt>
                <c:pt idx="233">
                  <c:v>0.4292851090431213</c:v>
                </c:pt>
                <c:pt idx="234">
                  <c:v>3.515999935643777E-7</c:v>
                </c:pt>
                <c:pt idx="235">
                  <c:v>9.399999889581068E-9</c:v>
                </c:pt>
                <c:pt idx="236">
                  <c:v>2.280000011012362E-8</c:v>
                </c:pt>
                <c:pt idx="237">
                  <c:v>9.099999864758956E-9</c:v>
                </c:pt>
                <c:pt idx="238">
                  <c:v>4.858999886891979E-7</c:v>
                </c:pt>
                <c:pt idx="239">
                  <c:v>0.246449202299118</c:v>
                </c:pt>
                <c:pt idx="240">
                  <c:v>4.889999871693362E-8</c:v>
                </c:pt>
                <c:pt idx="241">
                  <c:v>3.22738014801871E-5</c:v>
                </c:pt>
                <c:pt idx="242">
                  <c:v>1.290000017917237E-8</c:v>
                </c:pt>
                <c:pt idx="243">
                  <c:v>2.999999970665357E-10</c:v>
                </c:pt>
                <c:pt idx="244">
                  <c:v>0.08553244918584824</c:v>
                </c:pt>
                <c:pt idx="245">
                  <c:v>0.1456283032894135</c:v>
                </c:pt>
                <c:pt idx="246">
                  <c:v>0.03543708100914955</c:v>
                </c:pt>
                <c:pt idx="247">
                  <c:v>3.215000106138177E-7</c:v>
                </c:pt>
                <c:pt idx="248">
                  <c:v>7.799999757196474E-9</c:v>
                </c:pt>
                <c:pt idx="249">
                  <c:v>3.956000114158087E-7</c:v>
                </c:pt>
                <c:pt idx="250">
                  <c:v>1.781999969807657E-7</c:v>
                </c:pt>
                <c:pt idx="251">
                  <c:v>5.389999913063548E-8</c:v>
                </c:pt>
                <c:pt idx="252">
                  <c:v>1.021000031187214E-7</c:v>
                </c:pt>
                <c:pt idx="253">
                  <c:v>1.98300000420204E-7</c:v>
                </c:pt>
                <c:pt idx="254">
                  <c:v>3.574999993816164E-7</c:v>
                </c:pt>
                <c:pt idx="255">
                  <c:v>1.164999972047553E-7</c:v>
                </c:pt>
                <c:pt idx="256">
                  <c:v>1.30000001874464E-8</c:v>
                </c:pt>
                <c:pt idx="257">
                  <c:v>4.107080167159438E-5</c:v>
                </c:pt>
                <c:pt idx="258">
                  <c:v>0.07576353847980499</c:v>
                </c:pt>
                <c:pt idx="259">
                  <c:v>5.054999974163366E-7</c:v>
                </c:pt>
                <c:pt idx="260">
                  <c:v>9.099999864758956E-9</c:v>
                </c:pt>
                <c:pt idx="261">
                  <c:v>4.98000005677568E-8</c:v>
                </c:pt>
                <c:pt idx="262">
                  <c:v>2.680000079635647E-7</c:v>
                </c:pt>
                <c:pt idx="263">
                  <c:v>0.1281840056180954</c:v>
                </c:pt>
                <c:pt idx="264">
                  <c:v>1.954799927261774E-6</c:v>
                </c:pt>
                <c:pt idx="265">
                  <c:v>0.06604863703250885</c:v>
                </c:pt>
                <c:pt idx="266">
                  <c:v>0.01311885006725788</c:v>
                </c:pt>
                <c:pt idx="267">
                  <c:v>2.05000006303635E-7</c:v>
                </c:pt>
                <c:pt idx="268">
                  <c:v>5.174999841983663E-7</c:v>
                </c:pt>
                <c:pt idx="269">
                  <c:v>1.793000024008506E-7</c:v>
                </c:pt>
                <c:pt idx="270">
                  <c:v>4.748999913317675E-7</c:v>
                </c:pt>
                <c:pt idx="271">
                  <c:v>0.0001283317978959531</c:v>
                </c:pt>
                <c:pt idx="272">
                  <c:v>0.170726403594017</c:v>
                </c:pt>
                <c:pt idx="273">
                  <c:v>5.071000259704306E-7</c:v>
                </c:pt>
                <c:pt idx="274">
                  <c:v>1.020000013340905E-7</c:v>
                </c:pt>
                <c:pt idx="275">
                  <c:v>1.430000029500889E-8</c:v>
                </c:pt>
                <c:pt idx="276">
                  <c:v>1.680700052020256E-6</c:v>
                </c:pt>
                <c:pt idx="277">
                  <c:v>6.669999947916949E-7</c:v>
                </c:pt>
                <c:pt idx="278">
                  <c:v>0.1341194957494736</c:v>
                </c:pt>
                <c:pt idx="279">
                  <c:v>2.355999981773493E-7</c:v>
                </c:pt>
                <c:pt idx="280">
                  <c:v>2.856000094197952E-7</c:v>
                </c:pt>
                <c:pt idx="281">
                  <c:v>3.259999914462242E-8</c:v>
                </c:pt>
                <c:pt idx="282">
                  <c:v>8.000000106811456E-10</c:v>
                </c:pt>
                <c:pt idx="283">
                  <c:v>0.04606933891773224</c:v>
                </c:pt>
                <c:pt idx="284">
                  <c:v>0.2596370875835419</c:v>
                </c:pt>
                <c:pt idx="285">
                  <c:v>0.03128939867019653</c:v>
                </c:pt>
                <c:pt idx="286">
                  <c:v>2.259999973830418E-7</c:v>
                </c:pt>
                <c:pt idx="287">
                  <c:v>1.811999936762732E-7</c:v>
                </c:pt>
                <c:pt idx="288">
                  <c:v>4.270000033557153E-7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20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20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20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20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20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5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49.41650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9"/>
  <sheetViews>
    <sheetView tabSelected="0" workbookViewId="0" showGridLines="true" showRowColHeaders="1">
      <selection activeCell="I10" sqref="I10"/>
    </sheetView>
  </sheetViews>
  <sheetFormatPr defaultRowHeight="14.4" outlineLevelRow="0" outlineLevelCol="0"/>
  <sheetData>
    <row r="1" spans="1:11">
      <c r="A1" s="2" t="s">
        <v>10</v>
      </c>
      <c r="B1" s="2" t="s">
        <v>10</v>
      </c>
      <c r="C1" s="2" t="s">
        <v>10</v>
      </c>
      <c r="D1" s="2" t="s">
        <v>10</v>
      </c>
      <c r="E1" s="1"/>
      <c r="F1" s="2" t="s">
        <v>11</v>
      </c>
      <c r="G1" s="2" t="s">
        <v>12</v>
      </c>
      <c r="H1" s="2" t="s">
        <v>12</v>
      </c>
      <c r="I1" s="2" t="s">
        <v>13</v>
      </c>
    </row>
    <row r="2" spans="1:11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tr">
        <f>'Legends'!B2</f>
        <v>0</v>
      </c>
      <c r="G2" s="1" t="str">
        <f>'Legends'!B3</f>
        <v>0</v>
      </c>
      <c r="H2" s="1" t="str">
        <f>'Legends'!B4</f>
        <v>0</v>
      </c>
      <c r="I2" s="1" t="str">
        <f>'Legends'!B5</f>
        <v>0</v>
      </c>
      <c r="K2" s="3" t="s">
        <v>18</v>
      </c>
    </row>
    <row r="3" spans="1:11">
      <c r="A3" t="str">
        <f>MIN($A$11:$A$299)</f>
        <v>0</v>
      </c>
      <c r="B3" t="str">
        <f>MIN($B$11:$B$299)</f>
        <v>0</v>
      </c>
      <c r="C3" t="str">
        <f>MIN($C$11:$C$299)</f>
        <v>0</v>
      </c>
      <c r="D3" t="str">
        <f>MIN($D$11:$D$299)</f>
        <v>0</v>
      </c>
      <c r="E3" s="1" t="s">
        <v>19</v>
      </c>
      <c r="F3" t="str">
        <f>MIN($F$11:$F$299)</f>
        <v>0</v>
      </c>
      <c r="G3" t="str">
        <f>MIN($G$11:$G$299)</f>
        <v>0</v>
      </c>
      <c r="H3" t="str">
        <f>MIN($H$11:$H$299)</f>
        <v>0</v>
      </c>
      <c r="I3" t="str">
        <f>MIN($I$11:$I$299)</f>
        <v>0</v>
      </c>
    </row>
    <row r="4" spans="1:11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t="str">
        <f>MEDIAN($D$11:$D$299)</f>
        <v>0</v>
      </c>
      <c r="E4" s="1" t="s">
        <v>20</v>
      </c>
      <c r="F4" t="str">
        <f>MEDIAN($F$11:$F$299)</f>
        <v>0</v>
      </c>
      <c r="G4" t="str">
        <f>MEDIAN($G$11:$G$299)</f>
        <v>0</v>
      </c>
      <c r="H4" t="str">
        <f>MEDIAN($H$11:$H$299)</f>
        <v>0</v>
      </c>
      <c r="I4" t="str">
        <f>MEDIAN($I$11:$I$299)</f>
        <v>0</v>
      </c>
    </row>
    <row r="5" spans="1:11">
      <c r="A5" t="str">
        <f>MAX($A$11:$A$299)</f>
        <v>0</v>
      </c>
      <c r="B5" t="str">
        <f>MAX($B$11:$B$299)</f>
        <v>0</v>
      </c>
      <c r="C5" t="str">
        <f>MAX($C$11:$C$299)</f>
        <v>0</v>
      </c>
      <c r="D5" t="str">
        <f>MAX($D$11:$D$299)</f>
        <v>0</v>
      </c>
      <c r="E5" s="1" t="s">
        <v>21</v>
      </c>
      <c r="F5" t="str">
        <f>MAX($F$11:$F$299)</f>
        <v>0</v>
      </c>
      <c r="G5" t="str">
        <f>MAX($G$11:$G$299)</f>
        <v>0</v>
      </c>
      <c r="H5" t="str">
        <f>MAX($H$11:$H$299)</f>
        <v>0</v>
      </c>
      <c r="I5" t="str">
        <f>MAX($I$11:$I$299)</f>
        <v>0</v>
      </c>
    </row>
    <row r="6" spans="1:11">
      <c r="A6" t="str">
        <f>$A5-$A3</f>
        <v>0</v>
      </c>
      <c r="B6" t="str">
        <f>$B5-$B3</f>
        <v>0</v>
      </c>
      <c r="C6" t="str">
        <f>$C5-$C3</f>
        <v>0</v>
      </c>
      <c r="D6" t="str">
        <f>$D5-$D3</f>
        <v>0</v>
      </c>
      <c r="E6" s="1" t="s">
        <v>22</v>
      </c>
      <c r="F6" t="str">
        <f>$F5-$F3</f>
        <v>0</v>
      </c>
      <c r="G6" t="str">
        <f>$G5-$G3</f>
        <v>0</v>
      </c>
      <c r="H6" t="str">
        <f>$H5-$H3</f>
        <v>0</v>
      </c>
      <c r="I6" t="str">
        <f>$I5-$I3</f>
        <v>0</v>
      </c>
    </row>
    <row r="7" spans="1:11">
      <c r="A7" s="2" t="s">
        <v>10</v>
      </c>
      <c r="B7" s="2" t="s">
        <v>10</v>
      </c>
      <c r="C7" s="2" t="s">
        <v>10</v>
      </c>
      <c r="D7" s="2" t="s">
        <v>10</v>
      </c>
      <c r="E7" s="1"/>
      <c r="F7" s="2" t="s">
        <v>11</v>
      </c>
      <c r="G7" s="2" t="s">
        <v>12</v>
      </c>
      <c r="H7" s="2" t="s">
        <v>12</v>
      </c>
      <c r="I7" s="2" t="s">
        <v>13</v>
      </c>
    </row>
    <row r="8" spans="1:11">
      <c r="A8">
        <v>0</v>
      </c>
      <c r="B8">
        <v>0</v>
      </c>
      <c r="C8">
        <v>0</v>
      </c>
      <c r="D8">
        <v>0</v>
      </c>
      <c r="E8" s="1" t="s">
        <v>23</v>
      </c>
      <c r="F8">
        <v>0</v>
      </c>
      <c r="G8">
        <v>0</v>
      </c>
      <c r="H8">
        <v>0</v>
      </c>
      <c r="I8">
        <v>0</v>
      </c>
    </row>
    <row r="9" spans="1:11">
      <c r="A9">
        <v>1</v>
      </c>
      <c r="B9">
        <v>1</v>
      </c>
      <c r="C9">
        <v>1</v>
      </c>
      <c r="D9">
        <v>1</v>
      </c>
      <c r="E9" s="1" t="s">
        <v>24</v>
      </c>
      <c r="F9">
        <v>1</v>
      </c>
      <c r="G9">
        <v>1</v>
      </c>
      <c r="H9">
        <v>1</v>
      </c>
      <c r="I9">
        <v>1</v>
      </c>
    </row>
    <row r="10" spans="1:11">
      <c r="A10" s="1" t="s">
        <v>14</v>
      </c>
      <c r="B10" s="1" t="s">
        <v>15</v>
      </c>
      <c r="C10" s="1" t="s">
        <v>16</v>
      </c>
      <c r="D10" s="1" t="s">
        <v>17</v>
      </c>
      <c r="E10" s="1"/>
      <c r="F10" s="1" t="str">
        <f>'Legends'!B2</f>
        <v>0</v>
      </c>
      <c r="G10" s="1" t="str">
        <f>'Legends'!B3</f>
        <v>0</v>
      </c>
      <c r="H10" s="1" t="str">
        <f>'Legends'!B4</f>
        <v>0</v>
      </c>
      <c r="I10" s="1" t="str">
        <f>'Legends'!B5</f>
        <v>0</v>
      </c>
    </row>
    <row r="11" spans="1:11">
      <c r="A11" t="str">
        <f>A$9 * (0 -A$8)</f>
        <v>0</v>
      </c>
      <c r="B11" t="str">
        <f>B$9 * (0 -B$8)</f>
        <v>0</v>
      </c>
      <c r="C11" t="str">
        <f>C$9 * (0 -C$8)</f>
        <v>0</v>
      </c>
      <c r="D11" t="str">
        <f>D$9 * (0 -D$8)</f>
        <v>0</v>
      </c>
      <c r="F11" t="str">
        <f>F$9 * (0.01899014040827751 -F$8)</f>
        <v>0</v>
      </c>
      <c r="G11" t="str">
        <f>G$9 * (6.976023197174072 -G$8)</f>
        <v>0</v>
      </c>
      <c r="H11" t="str">
        <f>H$9 * (9.87746524810791 -H$8)</f>
        <v>0</v>
      </c>
      <c r="I11" t="str">
        <f>I$9 * (0.04023474827408791 -I$8)</f>
        <v>0</v>
      </c>
    </row>
    <row r="12" spans="1:11">
      <c r="A12" t="str">
        <f>A$9 * (0.2503671646118164 -A$8)</f>
        <v>0</v>
      </c>
      <c r="B12" t="str">
        <f>B$9 * (0.2503671646118164 -B$8)</f>
        <v>0</v>
      </c>
      <c r="C12" t="str">
        <f>C$9 * (0.2503671646118164 -C$8)</f>
        <v>0</v>
      </c>
      <c r="D12" t="str">
        <f>D$9 * (0.2503671646118164 -D$8)</f>
        <v>0</v>
      </c>
      <c r="F12" t="str">
        <f>F$9 * (0.01097180973738432 -F$8)</f>
        <v>0</v>
      </c>
      <c r="G12" t="str">
        <f>G$9 * (7.357691764831543 -G$8)</f>
        <v>0</v>
      </c>
      <c r="H12" t="str">
        <f>H$9 * (15.4488697052002 -H$8)</f>
        <v>0</v>
      </c>
      <c r="I12" t="str">
        <f>I$9 * (0.05202734097838402 -I$8)</f>
        <v>0</v>
      </c>
    </row>
    <row r="13" spans="1:11">
      <c r="A13" t="str">
        <f>A$9 * (0.5001519322395325 -A$8)</f>
        <v>0</v>
      </c>
      <c r="B13" t="str">
        <f>B$9 * (0.5001519322395325 -B$8)</f>
        <v>0</v>
      </c>
      <c r="C13" t="str">
        <f>C$9 * (0.5001519322395325 -C$8)</f>
        <v>0</v>
      </c>
      <c r="D13" t="str">
        <f>D$9 * (0.5001519322395325 -D$8)</f>
        <v>0</v>
      </c>
      <c r="F13" t="str">
        <f>F$9 * (0.007581710815429688 -F$8)</f>
        <v>0</v>
      </c>
      <c r="G13" t="str">
        <f>G$9 * (5.557830810546875 -G$8)</f>
        <v>0</v>
      </c>
      <c r="H13" t="str">
        <f>H$9 * (13.97049045562744 -H$8)</f>
        <v>0</v>
      </c>
      <c r="I13" t="str">
        <f>I$9 * (0.03673849999904633 -I$8)</f>
        <v>0</v>
      </c>
    </row>
    <row r="14" spans="1:11">
      <c r="A14" t="str">
        <f>A$9 * (0.7503069639205933 -A$8)</f>
        <v>0</v>
      </c>
      <c r="B14" t="str">
        <f>B$9 * (0.7503069639205933 -B$8)</f>
        <v>0</v>
      </c>
      <c r="C14" t="str">
        <f>C$9 * (0.7503069639205933 -C$8)</f>
        <v>0</v>
      </c>
      <c r="D14" t="str">
        <f>D$9 * (0.7503069639205933 -D$8)</f>
        <v>0</v>
      </c>
      <c r="F14" t="str">
        <f>F$9 * (0.01136249955743551 -F$8)</f>
        <v>0</v>
      </c>
      <c r="G14" t="str">
        <f>G$9 * (6.973039150238037 -G$8)</f>
        <v>0</v>
      </c>
      <c r="H14" t="str">
        <f>H$9 * (13.3164701461792 -H$8)</f>
        <v>0</v>
      </c>
      <c r="I14" t="str">
        <f>I$9 * (0.04264308884739876 -I$8)</f>
        <v>0</v>
      </c>
    </row>
    <row r="15" spans="1:11">
      <c r="A15" t="str">
        <f>A$9 * (1.000024199485779 -A$8)</f>
        <v>0</v>
      </c>
      <c r="B15" t="str">
        <f>B$9 * (1.000024199485779 -B$8)</f>
        <v>0</v>
      </c>
      <c r="C15" t="str">
        <f>C$9 * (1.000024199485779 -C$8)</f>
        <v>0</v>
      </c>
      <c r="D15" t="str">
        <f>D$9 * (1.000024199485779 -D$8)</f>
        <v>0</v>
      </c>
      <c r="F15" t="str">
        <f>F$9 * (0.008642112836241722 -F$8)</f>
        <v>0</v>
      </c>
      <c r="G15" t="str">
        <f>G$9 * (5.96185302734375 -G$8)</f>
        <v>0</v>
      </c>
      <c r="H15" t="str">
        <f>H$9 * (13.49567985534668 -H$8)</f>
        <v>0</v>
      </c>
      <c r="I15" t="str">
        <f>I$9 * (0.03733047097921371 -I$8)</f>
        <v>0</v>
      </c>
    </row>
    <row r="16" spans="1:11">
      <c r="A16" t="str">
        <f>A$9 * (1.250035881996155 -A$8)</f>
        <v>0</v>
      </c>
      <c r="B16" t="str">
        <f>B$9 * (1.250035881996155 -B$8)</f>
        <v>0</v>
      </c>
      <c r="C16" t="str">
        <f>C$9 * (1.250035881996155 -C$8)</f>
        <v>0</v>
      </c>
      <c r="D16" t="str">
        <f>D$9 * (1.250035881996155 -D$8)</f>
        <v>0</v>
      </c>
      <c r="F16" t="str">
        <f>F$9 * (0.01067489013075829 -F$8)</f>
        <v>0</v>
      </c>
      <c r="G16" t="str">
        <f>G$9 * (5.957446098327637 -G$8)</f>
        <v>0</v>
      </c>
      <c r="H16" t="str">
        <f>H$9 * (11.59778022766113 -H$8)</f>
        <v>0</v>
      </c>
      <c r="I16" t="str">
        <f>I$9 * (0.03343437984585762 -I$8)</f>
        <v>0</v>
      </c>
    </row>
    <row r="17" spans="1:11">
      <c r="A17" t="str">
        <f>A$9 * (1.500266671180725 -A$8)</f>
        <v>0</v>
      </c>
      <c r="B17" t="str">
        <f>B$9 * (1.500266671180725 -B$8)</f>
        <v>0</v>
      </c>
      <c r="C17" t="str">
        <f>C$9 * (1.500266671180725 -C$8)</f>
        <v>0</v>
      </c>
      <c r="D17" t="str">
        <f>D$9 * (1.500266671180725 -D$8)</f>
        <v>0</v>
      </c>
      <c r="F17" t="str">
        <f>F$9 * (0.008710009977221489 -F$8)</f>
        <v>0</v>
      </c>
      <c r="G17" t="str">
        <f>G$9 * (5.728689193725586 -G$8)</f>
        <v>0</v>
      </c>
      <c r="H17" t="str">
        <f>H$9 * (12.8129301071167 -H$8)</f>
        <v>0</v>
      </c>
      <c r="I17" t="str">
        <f>I$9 * (0.03468288108706474 -I$8)</f>
        <v>0</v>
      </c>
    </row>
    <row r="18" spans="1:11">
      <c r="A18" t="str">
        <f>A$9 * (1.750089168548584 -A$8)</f>
        <v>0</v>
      </c>
      <c r="B18" t="str">
        <f>B$9 * (1.750089168548584 -B$8)</f>
        <v>0</v>
      </c>
      <c r="C18" t="str">
        <f>C$9 * (1.750089168548584 -C$8)</f>
        <v>0</v>
      </c>
      <c r="D18" t="str">
        <f>D$9 * (1.750089168548584 -D$8)</f>
        <v>0</v>
      </c>
      <c r="F18" t="str">
        <f>F$9 * (0.008181803859770298 -F$8)</f>
        <v>0</v>
      </c>
      <c r="G18" t="str">
        <f>G$9 * (5.424334049224854 -G$8)</f>
        <v>0</v>
      </c>
      <c r="H18" t="str">
        <f>H$9 * (12.61380958557129 -H$8)</f>
        <v>0</v>
      </c>
      <c r="I18" t="str">
        <f>I$9 * (0.03280157968401909 -I$8)</f>
        <v>0</v>
      </c>
    </row>
    <row r="19" spans="1:11">
      <c r="A19" t="str">
        <f>A$9 * (2.000319719314575 -A$8)</f>
        <v>0</v>
      </c>
      <c r="B19" t="str">
        <f>B$9 * (2.000319719314575 -B$8)</f>
        <v>0</v>
      </c>
      <c r="C19" t="str">
        <f>C$9 * (2.000319719314575 -C$8)</f>
        <v>0</v>
      </c>
      <c r="D19" t="str">
        <f>D$9 * (2.000319719314575 -D$8)</f>
        <v>0</v>
      </c>
      <c r="F19" t="str">
        <f>F$9 * (0.01010151021182537 -F$8)</f>
        <v>0</v>
      </c>
      <c r="G19" t="str">
        <f>G$9 * (6.053127765655518 -G$8)</f>
        <v>0</v>
      </c>
      <c r="H19" t="str">
        <f>H$9 * (12.27962970733643 -H$8)</f>
        <v>0</v>
      </c>
      <c r="I19" t="str">
        <f>I$9 * (0.0354129783809185 -I$8)</f>
        <v>0</v>
      </c>
    </row>
    <row r="20" spans="1:11">
      <c r="A20" t="str">
        <f>A$9 * (2.250142335891724 -A$8)</f>
        <v>0</v>
      </c>
      <c r="B20" t="str">
        <f>B$9 * (2.250142335891724 -B$8)</f>
        <v>0</v>
      </c>
      <c r="C20" t="str">
        <f>C$9 * (2.250142335891724 -C$8)</f>
        <v>0</v>
      </c>
      <c r="D20" t="str">
        <f>D$9 * (2.250142335891724 -D$8)</f>
        <v>0</v>
      </c>
      <c r="F20" t="str">
        <f>F$9 * (0.009255268611013889 -F$8)</f>
        <v>0</v>
      </c>
      <c r="G20" t="str">
        <f>G$9 * (5.792596817016602 -G$8)</f>
        <v>0</v>
      </c>
      <c r="H20" t="str">
        <f>H$9 * (12.43274974822998 -H$8)</f>
        <v>0</v>
      </c>
      <c r="I20" t="str">
        <f>I$9 * (0.03438536077737808 -I$8)</f>
        <v>0</v>
      </c>
    </row>
    <row r="21" spans="1:11">
      <c r="A21" t="str">
        <f>A$9 * (2.500373125076294 -A$8)</f>
        <v>0</v>
      </c>
      <c r="B21" t="str">
        <f>B$9 * (2.500373125076294 -B$8)</f>
        <v>0</v>
      </c>
      <c r="C21" t="str">
        <f>C$9 * (2.500373125076294 -C$8)</f>
        <v>0</v>
      </c>
      <c r="D21" t="str">
        <f>D$9 * (2.500373125076294 -D$8)</f>
        <v>0</v>
      </c>
      <c r="F21" t="str">
        <f>F$9 * (0.009349054656922817 -F$8)</f>
        <v>0</v>
      </c>
      <c r="G21" t="str">
        <f>G$9 * (5.740601062774658 -G$8)</f>
        <v>0</v>
      </c>
      <c r="H21" t="str">
        <f>H$9 * (12.22107982635498 -H$8)</f>
        <v>0</v>
      </c>
      <c r="I21" t="str">
        <f>I$9 * (0.03372646868228912 -I$8)</f>
        <v>0</v>
      </c>
    </row>
    <row r="22" spans="1:11">
      <c r="A22" t="str">
        <f>A$9 * (2.750195503234863 -A$8)</f>
        <v>0</v>
      </c>
      <c r="B22" t="str">
        <f>B$9 * (2.750195503234863 -B$8)</f>
        <v>0</v>
      </c>
      <c r="C22" t="str">
        <f>C$9 * (2.750195503234863 -C$8)</f>
        <v>0</v>
      </c>
      <c r="D22" t="str">
        <f>D$9 * (2.750195503234863 -D$8)</f>
        <v>0</v>
      </c>
      <c r="F22" t="str">
        <f>F$9 * (0.009816385805606842 -F$8)</f>
        <v>0</v>
      </c>
      <c r="G22" t="str">
        <f>G$9 * (5.94547176361084 -G$8)</f>
        <v>0</v>
      </c>
      <c r="H22" t="str">
        <f>H$9 * (12.29277992248535 -H$8)</f>
        <v>0</v>
      </c>
      <c r="I22" t="str">
        <f>I$9 * (0.03502615168690681 -I$8)</f>
        <v>0</v>
      </c>
    </row>
    <row r="23" spans="1:11">
      <c r="A23" t="str">
        <f>A$9 * (3.000016689300537 -A$8)</f>
        <v>0</v>
      </c>
      <c r="B23" t="str">
        <f>B$9 * (3.000016689300537 -B$8)</f>
        <v>0</v>
      </c>
      <c r="C23" t="str">
        <f>C$9 * (3.000016689300537 -C$8)</f>
        <v>0</v>
      </c>
      <c r="D23" t="str">
        <f>D$9 * (3.000016689300537 -D$8)</f>
        <v>0</v>
      </c>
      <c r="F23" t="str">
        <f>F$9 * (0.009557683952152729 -F$8)</f>
        <v>0</v>
      </c>
      <c r="G23" t="str">
        <f>G$9 * (5.83661413192749 -G$8)</f>
        <v>0</v>
      </c>
      <c r="H23" t="str">
        <f>H$9 * (12.27081966400146 -H$8)</f>
        <v>0</v>
      </c>
      <c r="I23" t="str">
        <f>I$9 * (0.03443736955523491 -I$8)</f>
        <v>0</v>
      </c>
    </row>
    <row r="24" spans="1:11">
      <c r="A24" t="str">
        <f>A$9 * (3.250250101089478 -A$8)</f>
        <v>0</v>
      </c>
      <c r="B24" t="str">
        <f>B$9 * (3.250250101089478 -B$8)</f>
        <v>0</v>
      </c>
      <c r="C24" t="str">
        <f>C$9 * (3.250250101089478 -C$8)</f>
        <v>0</v>
      </c>
      <c r="D24" t="str">
        <f>D$9 * (3.250250101089478 -D$8)</f>
        <v>0</v>
      </c>
      <c r="F24" t="str">
        <f>F$9 * (0.009805687703192234 -F$8)</f>
        <v>0</v>
      </c>
      <c r="G24" t="str">
        <f>G$9 * (5.868650913238525 -G$8)</f>
        <v>0</v>
      </c>
      <c r="H24" t="str">
        <f>H$9 * (12.12981986999512 -H$8)</f>
        <v>0</v>
      </c>
      <c r="I24" t="str">
        <f>I$9 * (0.03436591103672981 -I$8)</f>
        <v>0</v>
      </c>
    </row>
    <row r="25" spans="1:11">
      <c r="A25" t="str">
        <f>A$9 * (3.500072240829468 -A$8)</f>
        <v>0</v>
      </c>
      <c r="B25" t="str">
        <f>B$9 * (3.500072240829468 -B$8)</f>
        <v>0</v>
      </c>
      <c r="C25" t="str">
        <f>C$9 * (3.500072240829468 -C$8)</f>
        <v>0</v>
      </c>
      <c r="D25" t="str">
        <f>D$9 * (3.500072240829468 -D$8)</f>
        <v>0</v>
      </c>
      <c r="F25" t="str">
        <f>F$9 * (0.01009378954768181 -F$8)</f>
        <v>0</v>
      </c>
      <c r="G25" t="str">
        <f>G$9 * (5.998239994049072 -G$8)</f>
        <v>0</v>
      </c>
      <c r="H25" t="str">
        <f>H$9 * (12.19044971466064 -H$8)</f>
        <v>0</v>
      </c>
      <c r="I25" t="str">
        <f>I$9 * (0.03524487093091011 -I$8)</f>
        <v>0</v>
      </c>
    </row>
    <row r="26" spans="1:11">
      <c r="A26" t="str">
        <f>A$9 * (3.750302791595459 -A$8)</f>
        <v>0</v>
      </c>
      <c r="B26" t="str">
        <f>B$9 * (3.750302791595459 -B$8)</f>
        <v>0</v>
      </c>
      <c r="C26" t="str">
        <f>C$9 * (3.750302791595459 -C$8)</f>
        <v>0</v>
      </c>
      <c r="D26" t="str">
        <f>D$9 * (3.750302791595459 -D$8)</f>
        <v>0</v>
      </c>
      <c r="F26" t="str">
        <f>F$9 * (0.009907563216984272 -F$8)</f>
        <v>0</v>
      </c>
      <c r="G26" t="str">
        <f>G$9 * (5.936785221099854 -G$8)</f>
        <v>0</v>
      </c>
      <c r="H26" t="str">
        <f>H$9 * (12.22393035888672 -H$8)</f>
        <v>0</v>
      </c>
      <c r="I26" t="str">
        <f>I$9 * (0.03509030118584633 -I$8)</f>
        <v>0</v>
      </c>
    </row>
    <row r="27" spans="1:11">
      <c r="A27" t="str">
        <f>A$9 * (4.000124931335449 -A$8)</f>
        <v>0</v>
      </c>
      <c r="B27" t="str">
        <f>B$9 * (4.000124931335449 -B$8)</f>
        <v>0</v>
      </c>
      <c r="C27" t="str">
        <f>C$9 * (4.000124931335449 -C$8)</f>
        <v>0</v>
      </c>
      <c r="D27" t="str">
        <f>D$9 * (4.000124931335449 -D$8)</f>
        <v>0</v>
      </c>
      <c r="F27" t="str">
        <f>F$9 * (0.009979641996324062 -F$8)</f>
        <v>0</v>
      </c>
      <c r="G27" t="str">
        <f>G$9 * (5.918453216552734 -G$8)</f>
        <v>0</v>
      </c>
      <c r="H27" t="str">
        <f>H$9 * (12.14278030395508 -H$8)</f>
        <v>0</v>
      </c>
      <c r="I27" t="str">
        <f>I$9 * (0.03498442843556404 -I$8)</f>
        <v>0</v>
      </c>
    </row>
    <row r="28" spans="1:11">
      <c r="A28" t="str">
        <f>A$9 * (4.25035572052002 -A$8)</f>
        <v>0</v>
      </c>
      <c r="B28" t="str">
        <f>B$9 * (4.25035572052002 -B$8)</f>
        <v>0</v>
      </c>
      <c r="C28" t="str">
        <f>C$9 * (4.25035572052002 -C$8)</f>
        <v>0</v>
      </c>
      <c r="D28" t="str">
        <f>D$9 * (4.25035572052002 -D$8)</f>
        <v>0</v>
      </c>
      <c r="F28" t="str">
        <f>F$9 * (0.009894935414195061 -F$8)</f>
        <v>0</v>
      </c>
      <c r="G28" t="str">
        <f>G$9 * (5.897223949432373 -G$8)</f>
        <v>0</v>
      </c>
      <c r="H28" t="str">
        <f>H$9 * (12.17510986328125 -H$8)</f>
        <v>0</v>
      </c>
      <c r="I28" t="str">
        <f>I$9 * (0.0349937416613102 -I$8)</f>
        <v>0</v>
      </c>
    </row>
    <row r="29" spans="1:11">
      <c r="A29" t="str">
        <f>A$9 * (4.50017786026001 -A$8)</f>
        <v>0</v>
      </c>
      <c r="B29" t="str">
        <f>B$9 * (4.50017786026001 -B$8)</f>
        <v>0</v>
      </c>
      <c r="C29" t="str">
        <f>C$9 * (4.50017786026001 -C$8)</f>
        <v>0</v>
      </c>
      <c r="D29" t="str">
        <f>D$9 * (4.50017786026001 -D$8)</f>
        <v>0</v>
      </c>
      <c r="F29" t="str">
        <f>F$9 * (0.009788823314011097 -F$8)</f>
        <v>0</v>
      </c>
      <c r="G29" t="str">
        <f>G$9 * (5.843953132629395 -G$8)</f>
        <v>0</v>
      </c>
      <c r="H29" t="str">
        <f>H$9 * (12.1471004486084 -H$8)</f>
        <v>0</v>
      </c>
      <c r="I29" t="str">
        <f>I$9 * (0.03468092158436775 -I$8)</f>
        <v>0</v>
      </c>
    </row>
    <row r="30" spans="1:11">
      <c r="A30" t="str">
        <f>A$9 * (4.75 -A$8)</f>
        <v>0</v>
      </c>
      <c r="B30" t="str">
        <f>B$9 * (4.75 -B$8)</f>
        <v>0</v>
      </c>
      <c r="C30" t="str">
        <f>C$9 * (4.75 -C$8)</f>
        <v>0</v>
      </c>
      <c r="D30" t="str">
        <f>D$9 * (4.75 -D$8)</f>
        <v>0</v>
      </c>
      <c r="F30" t="str">
        <f>F$9 * (0.009871572256088257 -F$8)</f>
        <v>0</v>
      </c>
      <c r="G30" t="str">
        <f>G$9 * (5.861738204956055 -G$8)</f>
        <v>0</v>
      </c>
      <c r="H30" t="str">
        <f>H$9 * (12.11773014068604 -H$8)</f>
        <v>0</v>
      </c>
      <c r="I30" t="str">
        <f>I$9 * (0.03473073989152908 -I$8)</f>
        <v>0</v>
      </c>
    </row>
    <row r="31" spans="1:11">
      <c r="A31" t="str">
        <f>A$9 * (5.00023078918457 -A$8)</f>
        <v>0</v>
      </c>
      <c r="B31" t="str">
        <f>B$9 * (5.00023078918457 -B$8)</f>
        <v>0</v>
      </c>
      <c r="C31" t="str">
        <f>C$9 * (5.00023078918457 -C$8)</f>
        <v>0</v>
      </c>
      <c r="D31" t="str">
        <f>D$9 * (5.00023078918457 -D$8)</f>
        <v>0</v>
      </c>
      <c r="F31" t="str">
        <f>F$9 * (0.00983258243650198 -F$8)</f>
        <v>0</v>
      </c>
      <c r="G31" t="str">
        <f>G$9 * (5.850683212280273 -G$8)</f>
        <v>0</v>
      </c>
      <c r="H31" t="str">
        <f>H$9 * (12.12627029418945 -H$8)</f>
        <v>0</v>
      </c>
      <c r="I31" t="str">
        <f>I$9 * (0.03469723090529442 -I$8)</f>
        <v>0</v>
      </c>
    </row>
    <row r="32" spans="1:11">
      <c r="A32" t="str">
        <f>A$9 * (5.250052928924561 -A$8)</f>
        <v>0</v>
      </c>
      <c r="B32" t="str">
        <f>B$9 * (5.250052928924561 -B$8)</f>
        <v>0</v>
      </c>
      <c r="C32" t="str">
        <f>C$9 * (5.250052928924561 -C$8)</f>
        <v>0</v>
      </c>
      <c r="D32" t="str">
        <f>D$9 * (5.250052928924561 -D$8)</f>
        <v>0</v>
      </c>
      <c r="F32" t="str">
        <f>F$9 * (0.009826762601733208 -F$8)</f>
        <v>0</v>
      </c>
      <c r="G32" t="str">
        <f>G$9 * (5.837368011474609 -G$8)</f>
        <v>0</v>
      </c>
      <c r="H32" t="str">
        <f>H$9 * (12.10186004638672 -H$8)</f>
        <v>0</v>
      </c>
      <c r="I32" t="str">
        <f>I$9 * (0.03459233045578003 -I$8)</f>
        <v>0</v>
      </c>
    </row>
    <row r="33" spans="1:11">
      <c r="A33" t="str">
        <f>A$9 * (5.500283241271973 -A$8)</f>
        <v>0</v>
      </c>
      <c r="B33" t="str">
        <f>B$9 * (5.500283241271973 -B$8)</f>
        <v>0</v>
      </c>
      <c r="C33" t="str">
        <f>C$9 * (5.500283241271973 -C$8)</f>
        <v>0</v>
      </c>
      <c r="D33" t="str">
        <f>D$9 * (5.500283241271973 -D$8)</f>
        <v>0</v>
      </c>
      <c r="F33" t="str">
        <f>F$9 * (0.009864252991974354 -F$8)</f>
        <v>0</v>
      </c>
      <c r="G33" t="str">
        <f>G$9 * (5.846667766571045 -G$8)</f>
        <v>0</v>
      </c>
      <c r="H33" t="str">
        <f>H$9 * (12.09193992614746 -H$8)</f>
        <v>0</v>
      </c>
      <c r="I33" t="str">
        <f>I$9 * (0.03463288024067879 -I$8)</f>
        <v>0</v>
      </c>
    </row>
    <row r="34" spans="1:11">
      <c r="A34" t="str">
        <f>A$9 * (5.750105381011963 -A$8)</f>
        <v>0</v>
      </c>
      <c r="B34" t="str">
        <f>B$9 * (5.750105381011963 -B$8)</f>
        <v>0</v>
      </c>
      <c r="C34" t="str">
        <f>C$9 * (5.750105381011963 -C$8)</f>
        <v>0</v>
      </c>
      <c r="D34" t="str">
        <f>D$9 * (5.750105381011963 -D$8)</f>
        <v>0</v>
      </c>
      <c r="F34" t="str">
        <f>F$9 * (0.009843706153333187 -F$8)</f>
        <v>0</v>
      </c>
      <c r="G34" t="str">
        <f>G$9 * (5.837972164154053 -G$8)</f>
        <v>0</v>
      </c>
      <c r="H34" t="str">
        <f>H$9 * (12.09039974212646 -H$8)</f>
        <v>0</v>
      </c>
      <c r="I34" t="str">
        <f>I$9 * (0.03459354862570763 -I$8)</f>
        <v>0</v>
      </c>
    </row>
    <row r="35" spans="1:11">
      <c r="A35" t="str">
        <f>A$9 * (6.000336170196533 -A$8)</f>
        <v>0</v>
      </c>
      <c r="B35" t="str">
        <f>B$9 * (6.000336170196533 -B$8)</f>
        <v>0</v>
      </c>
      <c r="C35" t="str">
        <f>C$9 * (6.000336170196533 -C$8)</f>
        <v>0</v>
      </c>
      <c r="D35" t="str">
        <f>D$9 * (6.000336170196533 -D$8)</f>
        <v>0</v>
      </c>
      <c r="F35" t="str">
        <f>F$9 * (0.009854025207459927 -F$8)</f>
        <v>0</v>
      </c>
      <c r="G35" t="str">
        <f>G$9 * (5.834768772125244 -G$8)</f>
        <v>0</v>
      </c>
      <c r="H35" t="str">
        <f>H$9 * (12.07526016235352 -H$8)</f>
        <v>0</v>
      </c>
      <c r="I35" t="str">
        <f>I$9 * (0.03455797955393791 -I$8)</f>
        <v>0</v>
      </c>
    </row>
    <row r="36" spans="1:11">
      <c r="A36" t="str">
        <f>A$9 * (6.250158309936523 -A$8)</f>
        <v>0</v>
      </c>
      <c r="B36" t="str">
        <f>B$9 * (6.250158309936523 -B$8)</f>
        <v>0</v>
      </c>
      <c r="C36" t="str">
        <f>C$9 * (6.250158309936523 -C$8)</f>
        <v>0</v>
      </c>
      <c r="D36" t="str">
        <f>D$9 * (6.250158309936523 -D$8)</f>
        <v>0</v>
      </c>
      <c r="F36" t="str">
        <f>F$9 * (0.009865045547485352 -F$8)</f>
        <v>0</v>
      </c>
      <c r="G36" t="str">
        <f>G$9 * (5.836542129516602 -G$8)</f>
        <v>0</v>
      </c>
      <c r="H36" t="str">
        <f>H$9 * (12.07067012786865 -H$8)</f>
        <v>0</v>
      </c>
      <c r="I36" t="str">
        <f>I$9 * (0.03456699103116989 -I$8)</f>
        <v>0</v>
      </c>
    </row>
    <row r="37" spans="1:11">
      <c r="A37" t="str">
        <f>A$9 * (6.500391483306885 -A$8)</f>
        <v>0</v>
      </c>
      <c r="B37" t="str">
        <f>B$9 * (6.500391483306885 -B$8)</f>
        <v>0</v>
      </c>
      <c r="C37" t="str">
        <f>C$9 * (6.500391483306885 -C$8)</f>
        <v>0</v>
      </c>
      <c r="D37" t="str">
        <f>D$9 * (6.500391483306885 -D$8)</f>
        <v>0</v>
      </c>
      <c r="F37" t="str">
        <f>F$9 * (0.009856316260993481 -F$8)</f>
        <v>0</v>
      </c>
      <c r="G37" t="str">
        <f>G$9 * (5.830729007720947 -G$8)</f>
        <v>0</v>
      </c>
      <c r="H37" t="str">
        <f>H$9 * (12.06556034088135 -H$8)</f>
        <v>0</v>
      </c>
      <c r="I37" t="str">
        <f>I$9 * (0.03453446924686432 -I$8)</f>
        <v>0</v>
      </c>
    </row>
    <row r="38" spans="1:11">
      <c r="A38" t="str">
        <f>A$9 * (6.750214099884033 -A$8)</f>
        <v>0</v>
      </c>
      <c r="B38" t="str">
        <f>B$9 * (6.750214099884033 -B$8)</f>
        <v>0</v>
      </c>
      <c r="C38" t="str">
        <f>C$9 * (6.750214099884033 -C$8)</f>
        <v>0</v>
      </c>
      <c r="D38" t="str">
        <f>D$9 * (6.750214099884033 -D$8)</f>
        <v>0</v>
      </c>
      <c r="F38" t="str">
        <f>F$9 * (0.009865122847259045 -F$8)</f>
        <v>0</v>
      </c>
      <c r="G38" t="str">
        <f>G$9 * (5.829803943634033 -G$8)</f>
        <v>0</v>
      </c>
      <c r="H38" t="str">
        <f>H$9 * (12.05665016174316 -H$8)</f>
        <v>0</v>
      </c>
      <c r="I38" t="str">
        <f>I$9 * (0.03452004864811897 -I$8)</f>
        <v>0</v>
      </c>
    </row>
    <row r="39" spans="1:11">
      <c r="A39" t="str">
        <f>A$9 * (7.000036239624023 -A$8)</f>
        <v>0</v>
      </c>
      <c r="B39" t="str">
        <f>B$9 * (7.000036239624023 -B$8)</f>
        <v>0</v>
      </c>
      <c r="C39" t="str">
        <f>C$9 * (7.000036239624023 -C$8)</f>
        <v>0</v>
      </c>
      <c r="D39" t="str">
        <f>D$9 * (7.000036239624023 -D$8)</f>
        <v>0</v>
      </c>
      <c r="F39" t="str">
        <f>F$9 * (0.009867358021438122 -F$8)</f>
        <v>0</v>
      </c>
      <c r="G39" t="str">
        <f>G$9 * (5.828939914703369 -G$8)</f>
        <v>0</v>
      </c>
      <c r="H39" t="str">
        <f>H$9 * (12.05333995819092 -H$8)</f>
        <v>0</v>
      </c>
      <c r="I39" t="str">
        <f>I$9 * (0.03451545909047127 -I$8)</f>
        <v>0</v>
      </c>
    </row>
    <row r="40" spans="1:11">
      <c r="A40" t="str">
        <f>A$9 * (7.250266551971436 -A$8)</f>
        <v>0</v>
      </c>
      <c r="B40" t="str">
        <f>B$9 * (7.250266551971436 -B$8)</f>
        <v>0</v>
      </c>
      <c r="C40" t="str">
        <f>C$9 * (7.250266551971436 -C$8)</f>
        <v>0</v>
      </c>
      <c r="D40" t="str">
        <f>D$9 * (7.250266551971436 -D$8)</f>
        <v>0</v>
      </c>
      <c r="F40" t="str">
        <f>F$9 * (0.009864470921456814 -F$8)</f>
        <v>0</v>
      </c>
      <c r="G40" t="str">
        <f>G$9 * (5.825331211090088 -G$8)</f>
        <v>0</v>
      </c>
      <c r="H40" t="str">
        <f>H$9 * (12.04806995391846 -H$8)</f>
        <v>0</v>
      </c>
      <c r="I40" t="str">
        <f>I$9 * (0.0344921313226223 -I$8)</f>
        <v>0</v>
      </c>
    </row>
    <row r="41" spans="1:11">
      <c r="A41" t="str">
        <f>A$9 * (7.500088691711426 -A$8)</f>
        <v>0</v>
      </c>
      <c r="B41" t="str">
        <f>B$9 * (7.500088691711426 -B$8)</f>
        <v>0</v>
      </c>
      <c r="C41" t="str">
        <f>C$9 * (7.500088691711426 -C$8)</f>
        <v>0</v>
      </c>
      <c r="D41" t="str">
        <f>D$9 * (7.500088691711426 -D$8)</f>
        <v>0</v>
      </c>
      <c r="F41" t="str">
        <f>F$9 * (0.009869328700006008 -F$8)</f>
        <v>0</v>
      </c>
      <c r="G41" t="str">
        <f>G$9 * (5.824634075164795 -G$8)</f>
        <v>0</v>
      </c>
      <c r="H41" t="str">
        <f>H$9 * (12.04283046722412 -H$8)</f>
        <v>0</v>
      </c>
      <c r="I41" t="str">
        <f>I$9 * (0.0344836488366127 -I$8)</f>
        <v>0</v>
      </c>
    </row>
    <row r="42" spans="1:11">
      <c r="A42" t="str">
        <f>A$9 * (7.750319480895996 -A$8)</f>
        <v>0</v>
      </c>
      <c r="B42" t="str">
        <f>B$9 * (7.750319480895996 -B$8)</f>
        <v>0</v>
      </c>
      <c r="C42" t="str">
        <f>C$9 * (7.750319480895996 -C$8)</f>
        <v>0</v>
      </c>
      <c r="D42" t="str">
        <f>D$9 * (7.750319480895996 -D$8)</f>
        <v>0</v>
      </c>
      <c r="F42" t="str">
        <f>F$9 * (0.009868786670267582 -F$8)</f>
        <v>0</v>
      </c>
      <c r="G42" t="str">
        <f>G$9 * (5.823009014129639 -G$8)</f>
        <v>0</v>
      </c>
      <c r="H42" t="str">
        <f>H$9 * (12.03997039794922 -H$8)</f>
        <v>0</v>
      </c>
      <c r="I42" t="str">
        <f>I$9 * (0.03447410836815834 -I$8)</f>
        <v>0</v>
      </c>
    </row>
    <row r="43" spans="1:11">
      <c r="A43" t="str">
        <f>A$9 * (8.000142097473145 -A$8)</f>
        <v>0</v>
      </c>
      <c r="B43" t="str">
        <f>B$9 * (8.000142097473145 -B$8)</f>
        <v>0</v>
      </c>
      <c r="C43" t="str">
        <f>C$9 * (8.000142097473145 -C$8)</f>
        <v>0</v>
      </c>
      <c r="D43" t="str">
        <f>D$9 * (8.000142097473145 -D$8)</f>
        <v>0</v>
      </c>
      <c r="F43" t="str">
        <f>F$9 * (0.009869717061519623 -F$8)</f>
        <v>0</v>
      </c>
      <c r="G43" t="str">
        <f>G$9 * (5.821361064910889 -G$8)</f>
        <v>0</v>
      </c>
      <c r="H43" t="str">
        <f>H$9 * (12.03579998016357 -H$8)</f>
        <v>0</v>
      </c>
      <c r="I43" t="str">
        <f>I$9 * (0.03446165099740028 -I$8)</f>
        <v>0</v>
      </c>
    </row>
    <row r="44" spans="1:11">
      <c r="A44" t="str">
        <f>A$9 * (8.250371932983398 -A$8)</f>
        <v>0</v>
      </c>
      <c r="B44" t="str">
        <f>B$9 * (8.250371932983398 -B$8)</f>
        <v>0</v>
      </c>
      <c r="C44" t="str">
        <f>C$9 * (8.250371932983398 -C$8)</f>
        <v>0</v>
      </c>
      <c r="D44" t="str">
        <f>D$9 * (8.250371932983398 -D$8)</f>
        <v>0</v>
      </c>
      <c r="F44" t="str">
        <f>F$9 * (0.009872008115053177 -F$8)</f>
        <v>0</v>
      </c>
      <c r="G44" t="str">
        <f>G$9 * (5.820765972137451 -G$8)</f>
        <v>0</v>
      </c>
      <c r="H44" t="str">
        <f>H$9 * (12.03283977508545 -H$8)</f>
        <v>0</v>
      </c>
      <c r="I44" t="str">
        <f>I$9 * (0.03445655852556229 -I$8)</f>
        <v>0</v>
      </c>
    </row>
    <row r="45" spans="1:11">
      <c r="A45" t="str">
        <f>A$9 * (8.500194549560547 -A$8)</f>
        <v>0</v>
      </c>
      <c r="B45" t="str">
        <f>B$9 * (8.500194549560547 -B$8)</f>
        <v>0</v>
      </c>
      <c r="C45" t="str">
        <f>C$9 * (8.500194549560547 -C$8)</f>
        <v>0</v>
      </c>
      <c r="D45" t="str">
        <f>D$9 * (8.500194549560547 -D$8)</f>
        <v>0</v>
      </c>
      <c r="F45" t="str">
        <f>F$9 * (0.009872118011116982 -F$8)</f>
        <v>0</v>
      </c>
      <c r="G45" t="str">
        <f>G$9 * (5.819552898406982 -G$8)</f>
        <v>0</v>
      </c>
      <c r="H45" t="str">
        <f>H$9 * (12.03026962280273 -H$8)</f>
        <v>0</v>
      </c>
      <c r="I45" t="str">
        <f>I$9 * (0.03444856032729149 -I$8)</f>
        <v>0</v>
      </c>
    </row>
    <row r="46" spans="1:11">
      <c r="A46" t="str">
        <f>A$9 * (8.750016212463379 -A$8)</f>
        <v>0</v>
      </c>
      <c r="B46" t="str">
        <f>B$9 * (8.750016212463379 -B$8)</f>
        <v>0</v>
      </c>
      <c r="C46" t="str">
        <f>C$9 * (8.750016212463379 -C$8)</f>
        <v>0</v>
      </c>
      <c r="D46" t="str">
        <f>D$9 * (8.750016212463379 -D$8)</f>
        <v>0</v>
      </c>
      <c r="F46" t="str">
        <f>F$9 * (0.009872570633888245 -F$8)</f>
        <v>0</v>
      </c>
      <c r="G46" t="str">
        <f>G$9 * (5.818436145782471 -G$8)</f>
        <v>0</v>
      </c>
      <c r="H46" t="str">
        <f>H$9 * (12.02760982513428 -H$8)</f>
        <v>0</v>
      </c>
      <c r="I46" t="str">
        <f>I$9 * (0.03444052115082741 -I$8)</f>
        <v>0</v>
      </c>
    </row>
    <row r="47" spans="1:11">
      <c r="A47" t="str">
        <f>A$9 * (9.000247001647949 -A$8)</f>
        <v>0</v>
      </c>
      <c r="B47" t="str">
        <f>B$9 * (9.000247001647949 -B$8)</f>
        <v>0</v>
      </c>
      <c r="C47" t="str">
        <f>C$9 * (9.000247001647949 -C$8)</f>
        <v>0</v>
      </c>
      <c r="D47" t="str">
        <f>D$9 * (9.000247001647949 -D$8)</f>
        <v>0</v>
      </c>
      <c r="F47" t="str">
        <f>F$9 * (0.009872956201434135 -F$8)</f>
        <v>0</v>
      </c>
      <c r="G47" t="str">
        <f>G$9 * (5.817558765411377 -G$8)</f>
        <v>0</v>
      </c>
      <c r="H47" t="str">
        <f>H$9 * (12.02550983428955 -H$8)</f>
        <v>0</v>
      </c>
      <c r="I47" t="str">
        <f>I$9 * (0.03443447127938271 -I$8)</f>
        <v>0</v>
      </c>
    </row>
    <row r="48" spans="1:11">
      <c r="A48" t="str">
        <f>A$9 * (9.250069618225098 -A$8)</f>
        <v>0</v>
      </c>
      <c r="B48" t="str">
        <f>B$9 * (9.250069618225098 -B$8)</f>
        <v>0</v>
      </c>
      <c r="C48" t="str">
        <f>C$9 * (9.250069618225098 -C$8)</f>
        <v>0</v>
      </c>
      <c r="D48" t="str">
        <f>D$9 * (9.250069618225098 -D$8)</f>
        <v>0</v>
      </c>
      <c r="F48" t="str">
        <f>F$9 * (0.009874016977846622 -F$8)</f>
        <v>0</v>
      </c>
      <c r="G48" t="str">
        <f>G$9 * (5.816959857940674 -G$8)</f>
        <v>0</v>
      </c>
      <c r="H48" t="str">
        <f>H$9 * (12.02346038818359 -H$8)</f>
        <v>0</v>
      </c>
      <c r="I48" t="str">
        <f>I$9 * (0.03442975878715515 -I$8)</f>
        <v>0</v>
      </c>
    </row>
    <row r="49" spans="1:11">
      <c r="A49" t="str">
        <f>A$9 * (9.500300407409668 -A$8)</f>
        <v>0</v>
      </c>
      <c r="B49" t="str">
        <f>B$9 * (9.500300407409668 -B$8)</f>
        <v>0</v>
      </c>
      <c r="C49" t="str">
        <f>C$9 * (9.500300407409668 -C$8)</f>
        <v>0</v>
      </c>
      <c r="D49" t="str">
        <f>D$9 * (9.500300407409668 -D$8)</f>
        <v>0</v>
      </c>
      <c r="F49" t="str">
        <f>F$9 * (0.009874600917100906 -F$8)</f>
        <v>0</v>
      </c>
      <c r="G49" t="str">
        <f>G$9 * (5.816411972045898 -G$8)</f>
        <v>0</v>
      </c>
      <c r="H49" t="str">
        <f>H$9 * (12.02190971374512 -H$8)</f>
        <v>0</v>
      </c>
      <c r="I49" t="str">
        <f>I$9 * (0.034425999969244 -I$8)</f>
        <v>0</v>
      </c>
    </row>
    <row r="50" spans="1:11">
      <c r="A50" t="str">
        <f>A$9 * (9.750124931335449 -A$8)</f>
        <v>0</v>
      </c>
      <c r="B50" t="str">
        <f>B$9 * (9.750124931335449 -B$8)</f>
        <v>0</v>
      </c>
      <c r="C50" t="str">
        <f>C$9 * (9.750124931335449 -C$8)</f>
        <v>0</v>
      </c>
      <c r="D50" t="str">
        <f>D$9 * (9.750124931335449 -D$8)</f>
        <v>0</v>
      </c>
      <c r="F50" t="str">
        <f>F$9 * (0.009875088930130005 -F$8)</f>
        <v>0</v>
      </c>
      <c r="G50" t="str">
        <f>G$9 * (5.815966129302979 -G$8)</f>
        <v>0</v>
      </c>
      <c r="H50" t="str">
        <f>H$9 * (12.02066040039062 -H$8)</f>
        <v>0</v>
      </c>
      <c r="I50" t="str">
        <f>I$9 * (0.03442317992448807 -I$8)</f>
        <v>0</v>
      </c>
    </row>
    <row r="51" spans="1:11">
      <c r="A51" t="str">
        <f>A$9 * (10.00035572052002 -A$8)</f>
        <v>0</v>
      </c>
      <c r="B51" t="str">
        <f>B$9 * (10.00035572052002 -B$8)</f>
        <v>0</v>
      </c>
      <c r="C51" t="str">
        <f>C$9 * (10.00035572052002 -C$8)</f>
        <v>0</v>
      </c>
      <c r="D51" t="str">
        <f>D$9 * (10.00035572052002 -D$8)</f>
        <v>0</v>
      </c>
      <c r="F51" t="str">
        <f>F$9 * (0.009875676594674587 -F$8)</f>
        <v>0</v>
      </c>
      <c r="G51" t="str">
        <f>G$9 * (5.815432071685791 -G$8)</f>
        <v>0</v>
      </c>
      <c r="H51" t="str">
        <f>H$9 * (12.01908016204834 -H$8)</f>
        <v>0</v>
      </c>
      <c r="I51" t="str">
        <f>I$9 * (0.03441895917057991 -I$8)</f>
        <v>0</v>
      </c>
    </row>
    <row r="52" spans="1:11">
      <c r="A52" t="str">
        <f>A$9 * (10.25017738342285 -A$8)</f>
        <v>0</v>
      </c>
      <c r="B52" t="str">
        <f>B$9 * (10.25017738342285 -B$8)</f>
        <v>0</v>
      </c>
      <c r="C52" t="str">
        <f>C$9 * (10.25017738342285 -C$8)</f>
        <v>0</v>
      </c>
      <c r="D52" t="str">
        <f>D$9 * (10.25017738342285 -D$8)</f>
        <v>0</v>
      </c>
      <c r="F52" t="str">
        <f>F$9 * (0.009875929914414883 -F$8)</f>
        <v>0</v>
      </c>
      <c r="G52" t="str">
        <f>G$9 * (5.815009117126465 -G$8)</f>
        <v>0</v>
      </c>
      <c r="H52" t="str">
        <f>H$9 * (12.01803970336914 -H$8)</f>
        <v>0</v>
      </c>
      <c r="I52" t="str">
        <f>I$9 * (0.03441619873046875 -I$8)</f>
        <v>0</v>
      </c>
    </row>
    <row r="53" spans="1:11">
      <c r="A53" t="str">
        <f>A$9 * (10.50040817260742 -A$8)</f>
        <v>0</v>
      </c>
      <c r="B53" t="str">
        <f>B$9 * (10.50040817260742 -B$8)</f>
        <v>0</v>
      </c>
      <c r="C53" t="str">
        <f>C$9 * (10.50040817260742 -C$8)</f>
        <v>0</v>
      </c>
      <c r="D53" t="str">
        <f>D$9 * (10.50040817260742 -D$8)</f>
        <v>0</v>
      </c>
      <c r="F53" t="str">
        <f>F$9 * (0.009875878691673279 -F$8)</f>
        <v>0</v>
      </c>
      <c r="G53" t="str">
        <f>G$9 * (5.814395904541016 -G$8)</f>
        <v>0</v>
      </c>
      <c r="H53" t="str">
        <f>H$9 * (12.01679039001465 -H$8)</f>
        <v>0</v>
      </c>
      <c r="I53" t="str">
        <f>I$9 * (0.03441182151436806 -I$8)</f>
        <v>0</v>
      </c>
    </row>
    <row r="54" spans="1:11">
      <c r="A54" t="str">
        <f>A$9 * (10.75023078918457 -A$8)</f>
        <v>0</v>
      </c>
      <c r="B54" t="str">
        <f>B$9 * (10.75023078918457 -B$8)</f>
        <v>0</v>
      </c>
      <c r="C54" t="str">
        <f>C$9 * (10.75023078918457 -C$8)</f>
        <v>0</v>
      </c>
      <c r="D54" t="str">
        <f>D$9 * (10.75023078918457 -D$8)</f>
        <v>0</v>
      </c>
      <c r="F54" t="str">
        <f>F$9 * (0.009875665418803692 -F$8)</f>
        <v>0</v>
      </c>
      <c r="G54" t="str">
        <f>G$9 * (5.814061164855957 -G$8)</f>
        <v>0</v>
      </c>
      <c r="H54" t="str">
        <f>H$9 * (12.01632022857666 -H$8)</f>
        <v>0</v>
      </c>
      <c r="I54" t="str">
        <f>I$9 * (0.0344102717936039 -I$8)</f>
        <v>0</v>
      </c>
    </row>
    <row r="55" spans="1:11">
      <c r="A55" t="str">
        <f>A$9 * (11.0000524520874 -A$8)</f>
        <v>0</v>
      </c>
      <c r="B55" t="str">
        <f>B$9 * (11.0000524520874 -B$8)</f>
        <v>0</v>
      </c>
      <c r="C55" t="str">
        <f>C$9 * (11.0000524520874 -C$8)</f>
        <v>0</v>
      </c>
      <c r="D55" t="str">
        <f>D$9 * (11.0000524520874 -D$8)</f>
        <v>0</v>
      </c>
      <c r="F55" t="str">
        <f>F$9 * (0.009876723401248455 -F$8)</f>
        <v>0</v>
      </c>
      <c r="G55" t="str">
        <f>G$9 * (5.813976764678955 -G$8)</f>
        <v>0</v>
      </c>
      <c r="H55" t="str">
        <f>H$9 * (12.01531982421875 -H$8)</f>
        <v>0</v>
      </c>
      <c r="I55" t="str">
        <f>I$9 * (0.03440894931554794 -I$8)</f>
        <v>0</v>
      </c>
    </row>
    <row r="56" spans="1:11">
      <c r="A56" t="str">
        <f>A$9 * (11.25028324127197 -A$8)</f>
        <v>0</v>
      </c>
      <c r="B56" t="str">
        <f>B$9 * (11.25028324127197 -B$8)</f>
        <v>0</v>
      </c>
      <c r="C56" t="str">
        <f>C$9 * (11.25028324127197 -C$8)</f>
        <v>0</v>
      </c>
      <c r="D56" t="str">
        <f>D$9 * (11.25028324127197 -D$8)</f>
        <v>0</v>
      </c>
      <c r="F56" t="str">
        <f>F$9 * (0.009877035394310951 -F$8)</f>
        <v>0</v>
      </c>
      <c r="G56" t="str">
        <f>G$9 * (5.813889026641846 -G$8)</f>
        <v>0</v>
      </c>
      <c r="H56" t="str">
        <f>H$9 * (12.01494979858398 -H$8)</f>
        <v>0</v>
      </c>
      <c r="I56" t="str">
        <f>I$9 * (0.03440871089696884 -I$8)</f>
        <v>0</v>
      </c>
    </row>
    <row r="57" spans="1:11">
      <c r="A57" t="str">
        <f>A$9 * (11.50010585784912 -A$8)</f>
        <v>0</v>
      </c>
      <c r="B57" t="str">
        <f>B$9 * (11.50010585784912 -B$8)</f>
        <v>0</v>
      </c>
      <c r="C57" t="str">
        <f>C$9 * (11.50010585784912 -C$8)</f>
        <v>0</v>
      </c>
      <c r="D57" t="str">
        <f>D$9 * (11.50010585784912 -D$8)</f>
        <v>0</v>
      </c>
      <c r="F57" t="str">
        <f>F$9 * (0.009876862168312073 -F$8)</f>
        <v>0</v>
      </c>
      <c r="G57" t="str">
        <f>G$9 * (5.813484191894531 -G$8)</f>
        <v>0</v>
      </c>
      <c r="H57" t="str">
        <f>H$9 * (12.01424026489258 -H$8)</f>
        <v>0</v>
      </c>
      <c r="I57" t="str">
        <f>I$9 * (0.03440599143505096 -I$8)</f>
        <v>0</v>
      </c>
    </row>
    <row r="58" spans="1:11">
      <c r="A58" t="str">
        <f>A$9 * (11.75033569335938 -A$8)</f>
        <v>0</v>
      </c>
      <c r="B58" t="str">
        <f>B$9 * (11.75033569335938 -B$8)</f>
        <v>0</v>
      </c>
      <c r="C58" t="str">
        <f>C$9 * (11.75033569335938 -C$8)</f>
        <v>0</v>
      </c>
      <c r="D58" t="str">
        <f>D$9 * (11.75033569335938 -D$8)</f>
        <v>0</v>
      </c>
      <c r="F58" t="str">
        <f>F$9 * (0.009877215139567852 -F$8)</f>
        <v>0</v>
      </c>
      <c r="G58" t="str">
        <f>G$9 * (5.81342887878418 -G$8)</f>
        <v>0</v>
      </c>
      <c r="H58" t="str">
        <f>H$9 * (12.01389026641846 -H$8)</f>
        <v>0</v>
      </c>
      <c r="I58" t="str">
        <f>I$9 * (0.03440574184060097 -I$8)</f>
        <v>0</v>
      </c>
    </row>
    <row r="59" spans="1:11">
      <c r="A59" t="str">
        <f>A$9 * (12.00015830993652 -A$8)</f>
        <v>0</v>
      </c>
      <c r="B59" t="str">
        <f>B$9 * (12.00015830993652 -B$8)</f>
        <v>0</v>
      </c>
      <c r="C59" t="str">
        <f>C$9 * (12.00015830993652 -C$8)</f>
        <v>0</v>
      </c>
      <c r="D59" t="str">
        <f>D$9 * (12.00015830993652 -D$8)</f>
        <v>0</v>
      </c>
      <c r="F59" t="str">
        <f>F$9 * (0.009877040982246399 -F$8)</f>
        <v>0</v>
      </c>
      <c r="G59" t="str">
        <f>G$9 * (5.813147068023682 -G$8)</f>
        <v>0</v>
      </c>
      <c r="H59" t="str">
        <f>H$9 * (12.01344966888428 -H$8)</f>
        <v>0</v>
      </c>
      <c r="I59" t="str">
        <f>I$9 * (0.03440399095416069 -I$8)</f>
        <v>0</v>
      </c>
    </row>
    <row r="60" spans="1:11">
      <c r="A60" t="str">
        <f>A$9 * (12.25038909912109 -A$8)</f>
        <v>0</v>
      </c>
      <c r="B60" t="str">
        <f>B$9 * (12.25038909912109 -B$8)</f>
        <v>0</v>
      </c>
      <c r="C60" t="str">
        <f>C$9 * (12.25038909912109 -C$8)</f>
        <v>0</v>
      </c>
      <c r="D60" t="str">
        <f>D$9 * (12.25038909912109 -D$8)</f>
        <v>0</v>
      </c>
      <c r="F60" t="str">
        <f>F$9 * (0.009877192787826061 -F$8)</f>
        <v>0</v>
      </c>
      <c r="G60" t="str">
        <f>G$9 * (5.812982082366943 -G$8)</f>
        <v>0</v>
      </c>
      <c r="H60" t="str">
        <f>H$9 * (12.01298999786377 -H$8)</f>
        <v>0</v>
      </c>
      <c r="I60" t="str">
        <f>I$9 * (0.03440276905894279 -I$8)</f>
        <v>0</v>
      </c>
    </row>
    <row r="61" spans="1:11">
      <c r="A61" t="str">
        <f>A$9 * (12.50021076202393 -A$8)</f>
        <v>0</v>
      </c>
      <c r="B61" t="str">
        <f>B$9 * (12.50021076202393 -B$8)</f>
        <v>0</v>
      </c>
      <c r="C61" t="str">
        <f>C$9 * (12.50021076202393 -C$8)</f>
        <v>0</v>
      </c>
      <c r="D61" t="str">
        <f>D$9 * (12.50021076202393 -D$8)</f>
        <v>0</v>
      </c>
      <c r="F61" t="str">
        <f>F$9 * (0.009877916425466537 -F$8)</f>
        <v>0</v>
      </c>
      <c r="G61" t="str">
        <f>G$9 * (5.81319522857666 -G$8)</f>
        <v>0</v>
      </c>
      <c r="H61" t="str">
        <f>H$9 * (12.01292037963867 -H$8)</f>
        <v>0</v>
      </c>
      <c r="I61" t="str">
        <f>I$9 * (0.03440428897738457 -I$8)</f>
        <v>0</v>
      </c>
    </row>
    <row r="62" spans="1:11">
      <c r="A62" t="str">
        <f>A$9 * (12.75003337860107 -A$8)</f>
        <v>0</v>
      </c>
      <c r="B62" t="str">
        <f>B$9 * (12.75003337860107 -B$8)</f>
        <v>0</v>
      </c>
      <c r="C62" t="str">
        <f>C$9 * (12.75003337860107 -C$8)</f>
        <v>0</v>
      </c>
      <c r="D62" t="str">
        <f>D$9 * (12.75003337860107 -D$8)</f>
        <v>0</v>
      </c>
      <c r="F62" t="str">
        <f>F$9 * (0.009877392090857029 -F$8)</f>
        <v>0</v>
      </c>
      <c r="G62" t="str">
        <f>G$9 * (5.812816143035889 -G$8)</f>
        <v>0</v>
      </c>
      <c r="H62" t="str">
        <f>H$9 * (12.01251983642578 -H$8)</f>
        <v>0</v>
      </c>
      <c r="I62" t="str">
        <f>I$9 * (0.03440187871456146 -I$8)</f>
        <v>0</v>
      </c>
    </row>
    <row r="63" spans="1:11">
      <c r="A63" t="str">
        <f>A$9 * (13.00026702880859 -A$8)</f>
        <v>0</v>
      </c>
      <c r="B63" t="str">
        <f>B$9 * (13.00026702880859 -B$8)</f>
        <v>0</v>
      </c>
      <c r="C63" t="str">
        <f>C$9 * (13.00026702880859 -C$8)</f>
        <v>0</v>
      </c>
      <c r="D63" t="str">
        <f>D$9 * (13.00026702880859 -D$8)</f>
        <v>0</v>
      </c>
      <c r="F63" t="str">
        <f>F$9 * (0.009877394884824753 -F$8)</f>
        <v>0</v>
      </c>
      <c r="G63" t="str">
        <f>G$9 * (5.812925815582275 -G$8)</f>
        <v>0</v>
      </c>
      <c r="H63" t="str">
        <f>H$9 * (12.01282978057861 -H$8)</f>
        <v>0</v>
      </c>
      <c r="I63" t="str">
        <f>I$9 * (0.03440349921584129 -I$8)</f>
        <v>0</v>
      </c>
    </row>
    <row r="64" spans="1:11">
      <c r="A64" t="str">
        <f>A$9 * (13.25008869171143 -A$8)</f>
        <v>0</v>
      </c>
      <c r="B64" t="str">
        <f>B$9 * (13.25008869171143 -B$8)</f>
        <v>0</v>
      </c>
      <c r="C64" t="str">
        <f>C$9 * (13.25008869171143 -C$8)</f>
        <v>0</v>
      </c>
      <c r="D64" t="str">
        <f>D$9 * (13.25008869171143 -D$8)</f>
        <v>0</v>
      </c>
      <c r="F64" t="str">
        <f>F$9 * (0.009877720847725868 -F$8)</f>
        <v>0</v>
      </c>
      <c r="G64" t="str">
        <f>G$9 * (5.812780857086182 -G$8)</f>
        <v>0</v>
      </c>
      <c r="H64" t="str">
        <f>H$9 * (12.01224040985107 -H$8)</f>
        <v>0</v>
      </c>
      <c r="I64" t="str">
        <f>I$9 * (0.03440187871456146 -I$8)</f>
        <v>0</v>
      </c>
    </row>
    <row r="65" spans="1:11">
      <c r="A65" t="str">
        <f>A$9 * (13.500319480896 -A$8)</f>
        <v>0</v>
      </c>
      <c r="B65" t="str">
        <f>B$9 * (13.500319480896 -B$8)</f>
        <v>0</v>
      </c>
      <c r="C65" t="str">
        <f>C$9 * (13.500319480896 -C$8)</f>
        <v>0</v>
      </c>
      <c r="D65" t="str">
        <f>D$9 * (13.500319480896 -D$8)</f>
        <v>0</v>
      </c>
      <c r="F65" t="str">
        <f>F$9 * (0.009878383949398994 -F$8)</f>
        <v>0</v>
      </c>
      <c r="G65" t="str">
        <f>G$9 * (5.813051223754883 -G$8)</f>
        <v>0</v>
      </c>
      <c r="H65" t="str">
        <f>H$9 * (12.01233005523682 -H$8)</f>
        <v>0</v>
      </c>
      <c r="I65" t="str">
        <f>I$9 * (0.03440380096435547 -I$8)</f>
        <v>0</v>
      </c>
    </row>
    <row r="66" spans="1:11">
      <c r="A66" t="str">
        <f>A$9 * (13.75014209747314 -A$8)</f>
        <v>0</v>
      </c>
      <c r="B66" t="str">
        <f>B$9 * (13.75014209747314 -B$8)</f>
        <v>0</v>
      </c>
      <c r="C66" t="str">
        <f>C$9 * (13.75014209747314 -C$8)</f>
        <v>0</v>
      </c>
      <c r="D66" t="str">
        <f>D$9 * (13.75014209747314 -D$8)</f>
        <v>0</v>
      </c>
      <c r="F66" t="str">
        <f>F$9 * (0.009876466356217861 -F$8)</f>
        <v>0</v>
      </c>
      <c r="G66" t="str">
        <f>G$9 * (5.812375068664551 -G$8)</f>
        <v>0</v>
      </c>
      <c r="H66" t="str">
        <f>H$9 * (12.01243019104004 -H$8)</f>
        <v>0</v>
      </c>
      <c r="I66" t="str">
        <f>I$9 * (0.0344005785882473 -I$8)</f>
        <v>0</v>
      </c>
    </row>
    <row r="67" spans="1:11">
      <c r="A67" t="str">
        <f>A$9 * (14.0003719329834 -A$8)</f>
        <v>0</v>
      </c>
      <c r="B67" t="str">
        <f>B$9 * (14.0003719329834 -B$8)</f>
        <v>0</v>
      </c>
      <c r="C67" t="str">
        <f>C$9 * (14.0003719329834 -C$8)</f>
        <v>0</v>
      </c>
      <c r="D67" t="str">
        <f>D$9 * (14.0003719329834 -D$8)</f>
        <v>0</v>
      </c>
      <c r="F67" t="str">
        <f>F$9 * (0.009878307580947876 -F$8)</f>
        <v>0</v>
      </c>
      <c r="G67" t="str">
        <f>G$9 * (5.812729835510254 -G$8)</f>
        <v>0</v>
      </c>
      <c r="H67" t="str">
        <f>H$9 * (12.01169967651367 -H$8)</f>
        <v>0</v>
      </c>
      <c r="I67" t="str">
        <f>I$9 * (0.0344013087451458 -I$8)</f>
        <v>0</v>
      </c>
    </row>
    <row r="68" spans="1:11">
      <c r="A68" t="str">
        <f>A$9 * (14.25019454956055 -A$8)</f>
        <v>0</v>
      </c>
      <c r="B68" t="str">
        <f>B$9 * (14.25019454956055 -B$8)</f>
        <v>0</v>
      </c>
      <c r="C68" t="str">
        <f>C$9 * (14.25019454956055 -C$8)</f>
        <v>0</v>
      </c>
      <c r="D68" t="str">
        <f>D$9 * (14.25019454956055 -D$8)</f>
        <v>0</v>
      </c>
      <c r="F68" t="str">
        <f>F$9 * (0.009877484291791916 -F$8)</f>
        <v>0</v>
      </c>
      <c r="G68" t="str">
        <f>G$9 * (5.812728881835938 -G$8)</f>
        <v>0</v>
      </c>
      <c r="H68" t="str">
        <f>H$9 * (12.01241016387939 -H$8)</f>
        <v>0</v>
      </c>
      <c r="I68" t="str">
        <f>I$9 * (0.03440282866358757 -I$8)</f>
        <v>0</v>
      </c>
    </row>
    <row r="69" spans="1:11">
      <c r="A69" t="str">
        <f>A$9 * (14.50001621246338 -A$8)</f>
        <v>0</v>
      </c>
      <c r="B69" t="str">
        <f>B$9 * (14.50001621246338 -B$8)</f>
        <v>0</v>
      </c>
      <c r="C69" t="str">
        <f>C$9 * (14.50001621246338 -C$8)</f>
        <v>0</v>
      </c>
      <c r="D69" t="str">
        <f>D$9 * (14.50001621246338 -D$8)</f>
        <v>0</v>
      </c>
      <c r="F69" t="str">
        <f>F$9 * (0.009876578114926815 -F$8)</f>
        <v>0</v>
      </c>
      <c r="G69" t="str">
        <f>G$9 * (5.812368869781494 -G$8)</f>
        <v>0</v>
      </c>
      <c r="H69" t="str">
        <f>H$9 * (12.01237010955811 -H$8)</f>
        <v>0</v>
      </c>
      <c r="I69" t="str">
        <f>I$9 * (0.03440102934837341 -I$8)</f>
        <v>0</v>
      </c>
    </row>
    <row r="70" spans="1:11">
      <c r="A70" t="str">
        <f>A$9 * (14.75024700164795 -A$8)</f>
        <v>0</v>
      </c>
      <c r="B70" t="str">
        <f>B$9 * (14.75024700164795 -B$8)</f>
        <v>0</v>
      </c>
      <c r="C70" t="str">
        <f>C$9 * (14.75024700164795 -C$8)</f>
        <v>0</v>
      </c>
      <c r="D70" t="str">
        <f>D$9 * (14.75024700164795 -D$8)</f>
        <v>0</v>
      </c>
      <c r="F70" t="str">
        <f>F$9 * (0.009878811426460743 -F$8)</f>
        <v>0</v>
      </c>
      <c r="G70" t="str">
        <f>G$9 * (5.813046932220459 -G$8)</f>
        <v>0</v>
      </c>
      <c r="H70" t="str">
        <f>H$9 * (12.01206016540527 -H$8)</f>
        <v>0</v>
      </c>
      <c r="I70" t="str">
        <f>I$9 * (0.03440422937273979 -I$8)</f>
        <v>0</v>
      </c>
    </row>
    <row r="71" spans="1:11">
      <c r="A71" t="str">
        <f>A$9 * (15.0000696182251 -A$8)</f>
        <v>0</v>
      </c>
      <c r="B71" t="str">
        <f>B$9 * (15.0000696182251 -B$8)</f>
        <v>0</v>
      </c>
      <c r="C71" t="str">
        <f>C$9 * (15.0000696182251 -C$8)</f>
        <v>0</v>
      </c>
      <c r="D71" t="str">
        <f>D$9 * (15.0000696182251 -D$8)</f>
        <v>0</v>
      </c>
      <c r="F71" t="str">
        <f>F$9 * (0.009877579286694527 -F$8)</f>
        <v>0</v>
      </c>
      <c r="G71" t="str">
        <f>G$9 * (5.812679767608643 -G$8)</f>
        <v>0</v>
      </c>
      <c r="H71" t="str">
        <f>H$9 * (12.01226043701172 -H$8)</f>
        <v>0</v>
      </c>
      <c r="I71" t="str">
        <f>I$9 * (0.03440269827842712 -I$8)</f>
        <v>0</v>
      </c>
    </row>
    <row r="72" spans="1:11">
      <c r="A72" t="str">
        <f>A$9 * (15.25030040740967 -A$8)</f>
        <v>0</v>
      </c>
      <c r="B72" t="str">
        <f>B$9 * (15.25030040740967 -B$8)</f>
        <v>0</v>
      </c>
      <c r="C72" t="str">
        <f>C$9 * (15.25030040740967 -C$8)</f>
        <v>0</v>
      </c>
      <c r="D72" t="str">
        <f>D$9 * (15.25030040740967 -D$8)</f>
        <v>0</v>
      </c>
      <c r="F72" t="str">
        <f>F$9 * (0.009877904318273067 -F$8)</f>
        <v>0</v>
      </c>
      <c r="G72" t="str">
        <f>G$9 * (5.812612056732178 -G$8)</f>
        <v>0</v>
      </c>
      <c r="H72" t="str">
        <f>H$9 * (12.01185035705566 -H$8)</f>
        <v>0</v>
      </c>
      <c r="I72" t="str">
        <f>I$9 * (0.03440167009830475 -I$8)</f>
        <v>0</v>
      </c>
    </row>
    <row r="73" spans="1:11">
      <c r="A73" t="str">
        <f>A$9 * (15.5001220703125 -A$8)</f>
        <v>0</v>
      </c>
      <c r="B73" t="str">
        <f>B$9 * (15.5001220703125 -B$8)</f>
        <v>0</v>
      </c>
      <c r="C73" t="str">
        <f>C$9 * (15.5001220703125 -C$8)</f>
        <v>0</v>
      </c>
      <c r="D73" t="str">
        <f>D$9 * (15.5001220703125 -D$8)</f>
        <v>0</v>
      </c>
      <c r="F73" t="str">
        <f>F$9 * (0.009877718985080719 -F$8)</f>
        <v>0</v>
      </c>
      <c r="G73" t="str">
        <f>G$9 * (5.812736988067627 -G$8)</f>
        <v>0</v>
      </c>
      <c r="H73" t="str">
        <f>H$9 * (12.01229953765869 -H$8)</f>
        <v>0</v>
      </c>
      <c r="I73" t="str">
        <f>I$9 * (0.03440330922603607 -I$8)</f>
        <v>0</v>
      </c>
    </row>
    <row r="74" spans="1:11">
      <c r="A74" t="str">
        <f>A$9 * (15.75035285949707 -A$8)</f>
        <v>0</v>
      </c>
      <c r="B74" t="str">
        <f>B$9 * (15.75035285949707 -B$8)</f>
        <v>0</v>
      </c>
      <c r="C74" t="str">
        <f>C$9 * (15.75035285949707 -C$8)</f>
        <v>0</v>
      </c>
      <c r="D74" t="str">
        <f>D$9 * (15.75035285949707 -D$8)</f>
        <v>0</v>
      </c>
      <c r="F74" t="str">
        <f>F$9 * (0.009877497330307961 -F$8)</f>
        <v>0</v>
      </c>
      <c r="G74" t="str">
        <f>G$9 * (5.8126540184021 -G$8)</f>
        <v>0</v>
      </c>
      <c r="H74" t="str">
        <f>H$9 * (12.01231002807617 -H$8)</f>
        <v>0</v>
      </c>
      <c r="I74" t="str">
        <f>I$9 * (0.03440298140048981 -I$8)</f>
        <v>0</v>
      </c>
    </row>
    <row r="75" spans="1:11">
      <c r="A75" t="str">
        <f>A$9 * (16.00017547607422 -A$8)</f>
        <v>0</v>
      </c>
      <c r="B75" t="str">
        <f>B$9 * (16.00017547607422 -B$8)</f>
        <v>0</v>
      </c>
      <c r="C75" t="str">
        <f>C$9 * (16.00017547607422 -C$8)</f>
        <v>0</v>
      </c>
      <c r="D75" t="str">
        <f>D$9 * (16.00017547607422 -D$8)</f>
        <v>0</v>
      </c>
      <c r="F75" t="str">
        <f>F$9 * (0.009879120625555515 -F$8)</f>
        <v>0</v>
      </c>
      <c r="G75" t="str">
        <f>G$9 * (5.813169002532959 -G$8)</f>
        <v>0</v>
      </c>
      <c r="H75" t="str">
        <f>H$9 * (12.01212978363037 -H$8)</f>
        <v>0</v>
      </c>
      <c r="I75" t="str">
        <f>I$9 * (0.03440548107028008 -I$8)</f>
        <v>0</v>
      </c>
    </row>
    <row r="76" spans="1:11">
      <c r="A76" t="str">
        <f>A$9 * (16.25040817260742 -A$8)</f>
        <v>0</v>
      </c>
      <c r="B76" t="str">
        <f>B$9 * (16.25040817260742 -B$8)</f>
        <v>0</v>
      </c>
      <c r="C76" t="str">
        <f>C$9 * (16.25040817260742 -C$8)</f>
        <v>0</v>
      </c>
      <c r="D76" t="str">
        <f>D$9 * (16.25040817260742 -D$8)</f>
        <v>0</v>
      </c>
      <c r="F76" t="str">
        <f>F$9 * (0.009877270087599754 -F$8)</f>
        <v>0</v>
      </c>
      <c r="G76" t="str">
        <f>G$9 * (5.812602043151855 -G$8)</f>
        <v>0</v>
      </c>
      <c r="H76" t="str">
        <f>H$9 * (12.01237964630127 -H$8)</f>
        <v>0</v>
      </c>
      <c r="I76" t="str">
        <f>I$9 * (0.03440285846590996 -I$8)</f>
        <v>0</v>
      </c>
    </row>
    <row r="77" spans="1:11">
      <c r="A77" t="str">
        <f>A$9 * (16.50023078918457 -A$8)</f>
        <v>0</v>
      </c>
      <c r="B77" t="str">
        <f>B$9 * (16.50023078918457 -B$8)</f>
        <v>0</v>
      </c>
      <c r="C77" t="str">
        <f>C$9 * (16.50023078918457 -C$8)</f>
        <v>0</v>
      </c>
      <c r="D77" t="str">
        <f>D$9 * (16.50023078918457 -D$8)</f>
        <v>0</v>
      </c>
      <c r="F77" t="str">
        <f>F$9 * (0.00987749919295311 -F$8)</f>
        <v>0</v>
      </c>
      <c r="G77" t="str">
        <f>G$9 * (5.812812805175781 -G$8)</f>
        <v>0</v>
      </c>
      <c r="H77" t="str">
        <f>H$9 * (12.01270008087158 -H$8)</f>
        <v>0</v>
      </c>
      <c r="I77" t="str">
        <f>I$9 * (0.03440478071570396 -I$8)</f>
        <v>0</v>
      </c>
    </row>
    <row r="78" spans="1:11">
      <c r="A78" t="str">
        <f>A$9 * (16.75005340576172 -A$8)</f>
        <v>0</v>
      </c>
      <c r="B78" t="str">
        <f>B$9 * (16.75005340576172 -B$8)</f>
        <v>0</v>
      </c>
      <c r="C78" t="str">
        <f>C$9 * (16.75005340576172 -C$8)</f>
        <v>0</v>
      </c>
      <c r="D78" t="str">
        <f>D$9 * (16.75005340576172 -D$8)</f>
        <v>0</v>
      </c>
      <c r="F78" t="str">
        <f>F$9 * (0.009878436103463173 -F$8)</f>
        <v>0</v>
      </c>
      <c r="G78" t="str">
        <f>G$9 * (5.81303882598877 -G$8)</f>
        <v>0</v>
      </c>
      <c r="H78" t="str">
        <f>H$9 * (12.01243019104004 -H$8)</f>
        <v>0</v>
      </c>
      <c r="I78" t="str">
        <f>I$9 * (0.03440548852086067 -I$8)</f>
        <v>0</v>
      </c>
    </row>
    <row r="79" spans="1:11">
      <c r="A79" t="str">
        <f>A$9 * (17.00028419494629 -A$8)</f>
        <v>0</v>
      </c>
      <c r="B79" t="str">
        <f>B$9 * (17.00028419494629 -B$8)</f>
        <v>0</v>
      </c>
      <c r="C79" t="str">
        <f>C$9 * (17.00028419494629 -C$8)</f>
        <v>0</v>
      </c>
      <c r="D79" t="str">
        <f>D$9 * (17.00028419494629 -D$8)</f>
        <v>0</v>
      </c>
      <c r="F79" t="str">
        <f>F$9 * (0.009878030046820641 -F$8)</f>
        <v>0</v>
      </c>
      <c r="G79" t="str">
        <f>G$9 * (5.813080787658691 -G$8)</f>
        <v>0</v>
      </c>
      <c r="H79" t="str">
        <f>H$9 * (12.0128698348999 -H$8)</f>
        <v>0</v>
      </c>
      <c r="I79" t="str">
        <f>I$9 * (0.03440665081143379 -I$8)</f>
        <v>0</v>
      </c>
    </row>
    <row r="80" spans="1:11">
      <c r="A80" t="str">
        <f>A$9 * (17.2501049041748 -A$8)</f>
        <v>0</v>
      </c>
      <c r="B80" t="str">
        <f>B$9 * (17.2501049041748 -B$8)</f>
        <v>0</v>
      </c>
      <c r="C80" t="str">
        <f>C$9 * (17.2501049041748 -C$8)</f>
        <v>0</v>
      </c>
      <c r="D80" t="str">
        <f>D$9 * (17.2501049041748 -D$8)</f>
        <v>0</v>
      </c>
      <c r="F80" t="str">
        <f>F$9 * (0.009876720607280731 -F$8)</f>
        <v>0</v>
      </c>
      <c r="G80" t="str">
        <f>G$9 * (5.812678813934326 -G$8)</f>
        <v>0</v>
      </c>
      <c r="H80" t="str">
        <f>H$9 * (12.01307010650635 -H$8)</f>
        <v>0</v>
      </c>
      <c r="I80" t="str">
        <f>I$9 * (0.03440491110086441 -I$8)</f>
        <v>0</v>
      </c>
    </row>
    <row r="81" spans="1:11">
      <c r="A81" t="str">
        <f>A$9 * (17.50033569335938 -A$8)</f>
        <v>0</v>
      </c>
      <c r="B81" t="str">
        <f>B$9 * (17.50033569335938 -B$8)</f>
        <v>0</v>
      </c>
      <c r="C81" t="str">
        <f>C$9 * (17.50033569335938 -C$8)</f>
        <v>0</v>
      </c>
      <c r="D81" t="str">
        <f>D$9 * (17.50033569335938 -D$8)</f>
        <v>0</v>
      </c>
      <c r="F81" t="str">
        <f>F$9 * (0.009877867065370083 -F$8)</f>
        <v>0</v>
      </c>
      <c r="G81" t="str">
        <f>G$9 * (5.812925815582275 -G$8)</f>
        <v>0</v>
      </c>
      <c r="H81" t="str">
        <f>H$9 * (12.01266956329346 -H$8)</f>
        <v>0</v>
      </c>
      <c r="I81" t="str">
        <f>I$9 * (0.03440545126795769 -I$8)</f>
        <v>0</v>
      </c>
    </row>
    <row r="82" spans="1:11">
      <c r="A82" t="str">
        <f>A$9 * (17.75015830993652 -A$8)</f>
        <v>0</v>
      </c>
      <c r="B82" t="str">
        <f>B$9 * (17.75015830993652 -B$8)</f>
        <v>0</v>
      </c>
      <c r="C82" t="str">
        <f>C$9 * (17.75015830993652 -C$8)</f>
        <v>0</v>
      </c>
      <c r="D82" t="str">
        <f>D$9 * (17.75015830993652 -D$8)</f>
        <v>0</v>
      </c>
      <c r="F82" t="str">
        <f>F$9 * (0.009877482429146767 -F$8)</f>
        <v>0</v>
      </c>
      <c r="G82" t="str">
        <f>G$9 * (5.812802791595459 -G$8)</f>
        <v>0</v>
      </c>
      <c r="H82" t="str">
        <f>H$9 * (12.0126895904541 -H$8)</f>
        <v>0</v>
      </c>
      <c r="I82" t="str">
        <f>I$9 * (0.03440478071570396 -I$8)</f>
        <v>0</v>
      </c>
    </row>
    <row r="83" spans="1:11">
      <c r="A83" t="str">
        <f>A$9 * (18.00038909912109 -A$8)</f>
        <v>0</v>
      </c>
      <c r="B83" t="str">
        <f>B$9 * (18.00038909912109 -B$8)</f>
        <v>0</v>
      </c>
      <c r="C83" t="str">
        <f>C$9 * (18.00038909912109 -C$8)</f>
        <v>0</v>
      </c>
      <c r="D83" t="str">
        <f>D$9 * (18.00038909912109 -D$8)</f>
        <v>0</v>
      </c>
      <c r="F83" t="str">
        <f>F$9 * (0.009876739233732224 -F$8)</f>
        <v>0</v>
      </c>
      <c r="G83" t="str">
        <f>G$9 * (5.812734127044678 -G$8)</f>
        <v>0</v>
      </c>
      <c r="H83" t="str">
        <f>H$9 * (12.01319026947021 -H$8)</f>
        <v>0</v>
      </c>
      <c r="I83" t="str">
        <f>I$9 * (0.03440548107028008 -I$8)</f>
        <v>0</v>
      </c>
    </row>
    <row r="84" spans="1:11">
      <c r="A84" t="str">
        <f>A$9 * (18.25021171569824 -A$8)</f>
        <v>0</v>
      </c>
      <c r="B84" t="str">
        <f>B$9 * (18.25021171569824 -B$8)</f>
        <v>0</v>
      </c>
      <c r="C84" t="str">
        <f>C$9 * (18.25021171569824 -C$8)</f>
        <v>0</v>
      </c>
      <c r="D84" t="str">
        <f>D$9 * (18.25021171569824 -D$8)</f>
        <v>0</v>
      </c>
      <c r="F84" t="str">
        <f>F$9 * (0.009877505712211132 -F$8)</f>
        <v>0</v>
      </c>
      <c r="G84" t="str">
        <f>G$9 * (5.813014030456543 -G$8)</f>
        <v>0</v>
      </c>
      <c r="H84" t="str">
        <f>H$9 * (12.01319026947021 -H$8)</f>
        <v>0</v>
      </c>
      <c r="I84" t="str">
        <f>I$9 * (0.03440701961517334 -I$8)</f>
        <v>0</v>
      </c>
    </row>
    <row r="85" spans="1:11">
      <c r="A85" t="str">
        <f>A$9 * (18.50003242492676 -A$8)</f>
        <v>0</v>
      </c>
      <c r="B85" t="str">
        <f>B$9 * (18.50003242492676 -B$8)</f>
        <v>0</v>
      </c>
      <c r="C85" t="str">
        <f>C$9 * (18.50003242492676 -C$8)</f>
        <v>0</v>
      </c>
      <c r="D85" t="str">
        <f>D$9 * (18.50003242492676 -D$8)</f>
        <v>0</v>
      </c>
      <c r="F85" t="str">
        <f>F$9 * (0.009878101758658886 -F$8)</f>
        <v>0</v>
      </c>
      <c r="G85" t="str">
        <f>G$9 * (5.813442230224609 -G$8)</f>
        <v>0</v>
      </c>
      <c r="H85" t="str">
        <f>H$9 * (12.01366996765137 -H$8)</f>
        <v>0</v>
      </c>
      <c r="I85" t="str">
        <f>I$9 * (0.03441029042005539 -I$8)</f>
        <v>0</v>
      </c>
    </row>
    <row r="86" spans="1:11">
      <c r="A86" t="str">
        <f>A$9 * (18.75026321411133 -A$8)</f>
        <v>0</v>
      </c>
      <c r="B86" t="str">
        <f>B$9 * (18.75026321411133 -B$8)</f>
        <v>0</v>
      </c>
      <c r="C86" t="str">
        <f>C$9 * (18.75026321411133 -C$8)</f>
        <v>0</v>
      </c>
      <c r="D86" t="str">
        <f>D$9 * (18.75026321411133 -D$8)</f>
        <v>0</v>
      </c>
      <c r="F86" t="str">
        <f>F$9 * (0.009876680560410023 -F$8)</f>
        <v>0</v>
      </c>
      <c r="G86" t="str">
        <f>G$9 * (5.81297779083252 -G$8)</f>
        <v>0</v>
      </c>
      <c r="H86" t="str">
        <f>H$9 * (12.01381015777588 -H$8)</f>
        <v>0</v>
      </c>
      <c r="I86" t="str">
        <f>I$9 * (0.03440809994935989 -I$8)</f>
        <v>0</v>
      </c>
    </row>
    <row r="87" spans="1:11">
      <c r="A87" t="str">
        <f>A$9 * (19.00008583068848 -A$8)</f>
        <v>0</v>
      </c>
      <c r="B87" t="str">
        <f>B$9 * (19.00008583068848 -B$8)</f>
        <v>0</v>
      </c>
      <c r="C87" t="str">
        <f>C$9 * (19.00008583068848 -C$8)</f>
        <v>0</v>
      </c>
      <c r="D87" t="str">
        <f>D$9 * (19.00008583068848 -D$8)</f>
        <v>0</v>
      </c>
      <c r="F87" t="str">
        <f>F$9 * (0.009878414683043957 -F$8)</f>
        <v>0</v>
      </c>
      <c r="G87" t="str">
        <f>G$9 * (5.813325881958008 -G$8)</f>
        <v>0</v>
      </c>
      <c r="H87" t="str">
        <f>H$9 * (12.01315021514893 -H$8)</f>
        <v>0</v>
      </c>
      <c r="I87" t="str">
        <f>I$9 * (0.03440868854522705 -I$8)</f>
        <v>0</v>
      </c>
    </row>
    <row r="88" spans="1:11">
      <c r="A88" t="str">
        <f>A$9 * (19.25031661987305 -A$8)</f>
        <v>0</v>
      </c>
      <c r="B88" t="str">
        <f>B$9 * (19.25031661987305 -B$8)</f>
        <v>0</v>
      </c>
      <c r="C88" t="str">
        <f>C$9 * (19.25031661987305 -C$8)</f>
        <v>0</v>
      </c>
      <c r="D88" t="str">
        <f>D$9 * (19.25031661987305 -D$8)</f>
        <v>0</v>
      </c>
      <c r="F88" t="str">
        <f>F$9 * (0.009878739714622498 -F$8)</f>
        <v>0</v>
      </c>
      <c r="G88" t="str">
        <f>G$9 * (5.813713073730469 -G$8)</f>
        <v>0</v>
      </c>
      <c r="H88" t="str">
        <f>H$9 * (12.01377010345459 -H$8)</f>
        <v>0</v>
      </c>
      <c r="I88" t="str">
        <f>I$9 * (0.03441201150417328 -I$8)</f>
        <v>0</v>
      </c>
    </row>
    <row r="89" spans="1:11">
      <c r="A89" t="str">
        <f>A$9 * (19.50014114379883 -A$8)</f>
        <v>0</v>
      </c>
      <c r="B89" t="str">
        <f>B$9 * (19.50014114379883 -B$8)</f>
        <v>0</v>
      </c>
      <c r="C89" t="str">
        <f>C$9 * (19.50014114379883 -C$8)</f>
        <v>0</v>
      </c>
      <c r="D89" t="str">
        <f>D$9 * (19.50014114379883 -D$8)</f>
        <v>0</v>
      </c>
      <c r="F89" t="str">
        <f>F$9 * (0.00987707544118166 -F$8)</f>
        <v>0</v>
      </c>
      <c r="G89" t="str">
        <f>G$9 * (5.813026905059814 -G$8)</f>
        <v>0</v>
      </c>
      <c r="H89" t="str">
        <f>H$9 * (12.01360034942627 -H$8)</f>
        <v>0</v>
      </c>
      <c r="I89" t="str">
        <f>I$9 * (0.03440799936652184 -I$8)</f>
        <v>0</v>
      </c>
    </row>
    <row r="90" spans="1:11">
      <c r="A90" t="str">
        <f>A$9 * (19.7503719329834 -A$8)</f>
        <v>0</v>
      </c>
      <c r="B90" t="str">
        <f>B$9 * (19.7503719329834 -B$8)</f>
        <v>0</v>
      </c>
      <c r="C90" t="str">
        <f>C$9 * (19.7503719329834 -C$8)</f>
        <v>0</v>
      </c>
      <c r="D90" t="str">
        <f>D$9 * (19.7503719329834 -D$8)</f>
        <v>0</v>
      </c>
      <c r="F90" t="str">
        <f>F$9 * (0.00987738836556673 -F$8)</f>
        <v>0</v>
      </c>
      <c r="G90" t="str">
        <f>G$9 * (5.813210010528564 -G$8)</f>
        <v>0</v>
      </c>
      <c r="H90" t="str">
        <f>H$9 * (12.01375961303711 -H$8)</f>
        <v>0</v>
      </c>
      <c r="I90" t="str">
        <f>I$9 * (0.03440928086638451 -I$8)</f>
        <v>0</v>
      </c>
    </row>
    <row r="91" spans="1:11">
      <c r="A91" t="str">
        <f>A$9 * (20.00019454956055 -A$8)</f>
        <v>0</v>
      </c>
      <c r="B91" t="str">
        <f>B$9 * (20.00019454956055 -B$8)</f>
        <v>0</v>
      </c>
      <c r="C91" t="str">
        <f>C$9 * (20.00019454956055 -C$8)</f>
        <v>0</v>
      </c>
      <c r="D91" t="str">
        <f>D$9 * (20.00019454956055 -D$8)</f>
        <v>0</v>
      </c>
      <c r="F91" t="str">
        <f>F$9 * (0.009876294992864132 -F$8)</f>
        <v>0</v>
      </c>
      <c r="G91" t="str">
        <f>G$9 * (5.812725067138672 -G$8)</f>
        <v>0</v>
      </c>
      <c r="H91" t="str">
        <f>H$9 * (12.0135498046875 -H$8)</f>
        <v>0</v>
      </c>
      <c r="I91" t="str">
        <f>I$9 * (0.03440617024898529 -I$8)</f>
        <v>0</v>
      </c>
    </row>
    <row r="92" spans="1:11">
      <c r="A92" t="str">
        <f>A$9 * (20.2500171661377 -A$8)</f>
        <v>0</v>
      </c>
      <c r="B92" t="str">
        <f>B$9 * (20.2500171661377 -B$8)</f>
        <v>0</v>
      </c>
      <c r="C92" t="str">
        <f>C$9 * (20.2500171661377 -C$8)</f>
        <v>0</v>
      </c>
      <c r="D92" t="str">
        <f>D$9 * (20.2500171661377 -D$8)</f>
        <v>0</v>
      </c>
      <c r="F92" t="str">
        <f>F$9 * (0.009879316203296185 -F$8)</f>
        <v>0</v>
      </c>
      <c r="G92" t="str">
        <f>G$9 * (5.81387186050415 -G$8)</f>
        <v>0</v>
      </c>
      <c r="H92" t="str">
        <f>H$9 * (12.01366996765137 -H$8)</f>
        <v>0</v>
      </c>
      <c r="I92" t="str">
        <f>I$9 * (0.03441274911165237 -I$8)</f>
        <v>0</v>
      </c>
    </row>
    <row r="93" spans="1:11">
      <c r="A93" t="str">
        <f>A$9 * (20.50024795532227 -A$8)</f>
        <v>0</v>
      </c>
      <c r="B93" t="str">
        <f>B$9 * (20.50024795532227 -B$8)</f>
        <v>0</v>
      </c>
      <c r="C93" t="str">
        <f>C$9 * (20.50024795532227 -C$8)</f>
        <v>0</v>
      </c>
      <c r="D93" t="str">
        <f>D$9 * (20.50024795532227 -D$8)</f>
        <v>0</v>
      </c>
      <c r="F93" t="str">
        <f>F$9 * (0.009877229109406471 -F$8)</f>
        <v>0</v>
      </c>
      <c r="G93" t="str">
        <f>G$9 * (5.813371181488037 -G$8)</f>
        <v>0</v>
      </c>
      <c r="H93" t="str">
        <f>H$9 * (12.01426982879639 -H$8)</f>
        <v>0</v>
      </c>
      <c r="I93" t="str">
        <f>I$9 * (0.03441115841269493 -I$8)</f>
        <v>0</v>
      </c>
    </row>
    <row r="94" spans="1:11">
      <c r="A94" t="str">
        <f>A$9 * (20.75006866455078 -A$8)</f>
        <v>0</v>
      </c>
      <c r="B94" t="str">
        <f>B$9 * (20.75006866455078 -B$8)</f>
        <v>0</v>
      </c>
      <c r="C94" t="str">
        <f>C$9 * (20.75006866455078 -C$8)</f>
        <v>0</v>
      </c>
      <c r="D94" t="str">
        <f>D$9 * (20.75006866455078 -D$8)</f>
        <v>0</v>
      </c>
      <c r="F94" t="str">
        <f>F$9 * (0.009877933189272881 -F$8)</f>
        <v>0</v>
      </c>
      <c r="G94" t="str">
        <f>G$9 * (5.813711166381836 -G$8)</f>
        <v>0</v>
      </c>
      <c r="H94" t="str">
        <f>H$9 * (12.01447010040283 -H$8)</f>
        <v>0</v>
      </c>
      <c r="I94" t="str">
        <f>I$9 * (0.03441347926855087 -I$8)</f>
        <v>0</v>
      </c>
    </row>
    <row r="95" spans="1:11">
      <c r="A95" t="str">
        <f>A$9 * (21.00029945373535 -A$8)</f>
        <v>0</v>
      </c>
      <c r="B95" t="str">
        <f>B$9 * (21.00029945373535 -B$8)</f>
        <v>0</v>
      </c>
      <c r="C95" t="str">
        <f>C$9 * (21.00029945373535 -C$8)</f>
        <v>0</v>
      </c>
      <c r="D95" t="str">
        <f>D$9 * (21.00029945373535 -D$8)</f>
        <v>0</v>
      </c>
      <c r="F95" t="str">
        <f>F$9 * (0.009877430275082588 -F$8)</f>
        <v>0</v>
      </c>
      <c r="G95" t="str">
        <f>G$9 * (5.813478946685791 -G$8)</f>
        <v>0</v>
      </c>
      <c r="H95" t="str">
        <f>H$9 * (12.01436042785645 -H$8)</f>
        <v>0</v>
      </c>
      <c r="I95" t="str">
        <f>I$9 * (0.03441197052598 -I$8)</f>
        <v>0</v>
      </c>
    </row>
    <row r="96" spans="1:11">
      <c r="A96" t="str">
        <f>A$9 * (21.2501220703125 -A$8)</f>
        <v>0</v>
      </c>
      <c r="B96" t="str">
        <f>B$9 * (21.2501220703125 -B$8)</f>
        <v>0</v>
      </c>
      <c r="C96" t="str">
        <f>C$9 * (21.2501220703125 -C$8)</f>
        <v>0</v>
      </c>
      <c r="D96" t="str">
        <f>D$9 * (21.2501220703125 -D$8)</f>
        <v>0</v>
      </c>
      <c r="F96" t="str">
        <f>F$9 * (0.009877595119178295 -F$8)</f>
        <v>0</v>
      </c>
      <c r="G96" t="str">
        <f>G$9 * (5.813692092895508 -G$8)</f>
        <v>0</v>
      </c>
      <c r="H96" t="str">
        <f>H$9 * (12.01471996307373 -H$8)</f>
        <v>0</v>
      </c>
      <c r="I96" t="str">
        <f>I$9 * (0.03441388159990311 -I$8)</f>
        <v>0</v>
      </c>
    </row>
    <row r="97" spans="1:11">
      <c r="A97" t="str">
        <f>A$9 * (21.50035285949707 -A$8)</f>
        <v>0</v>
      </c>
      <c r="B97" t="str">
        <f>B$9 * (21.50035285949707 -B$8)</f>
        <v>0</v>
      </c>
      <c r="C97" t="str">
        <f>C$9 * (21.50035285949707 -C$8)</f>
        <v>0</v>
      </c>
      <c r="D97" t="str">
        <f>D$9 * (21.50035285949707 -D$8)</f>
        <v>0</v>
      </c>
      <c r="F97" t="str">
        <f>F$9 * (0.009878385812044144 -F$8)</f>
        <v>0</v>
      </c>
      <c r="G97" t="str">
        <f>G$9 * (5.813467979431152 -G$8)</f>
        <v>0</v>
      </c>
      <c r="H97" t="str">
        <f>H$9 * (12.01350975036621 -H$8)</f>
        <v>0</v>
      </c>
      <c r="I97" t="str">
        <f>I$9 * (0.03441017866134644 -I$8)</f>
        <v>0</v>
      </c>
    </row>
    <row r="98" spans="1:11">
      <c r="A98" t="str">
        <f>A$9 * (21.75017547607422 -A$8)</f>
        <v>0</v>
      </c>
      <c r="B98" t="str">
        <f>B$9 * (21.75017547607422 -B$8)</f>
        <v>0</v>
      </c>
      <c r="C98" t="str">
        <f>C$9 * (21.75017547607422 -C$8)</f>
        <v>0</v>
      </c>
      <c r="D98" t="str">
        <f>D$9 * (21.75017547607422 -D$8)</f>
        <v>0</v>
      </c>
      <c r="F98" t="str">
        <f>F$9 * (0.009876755066215992 -F$8)</f>
        <v>0</v>
      </c>
      <c r="G98" t="str">
        <f>G$9 * (5.813549995422363 -G$8)</f>
        <v>0</v>
      </c>
      <c r="H98" t="str">
        <f>H$9 * (12.01509952545166 -H$8)</f>
        <v>0</v>
      </c>
      <c r="I98" t="str">
        <f>I$9 * (0.03441378846764565 -I$8)</f>
        <v>0</v>
      </c>
    </row>
    <row r="99" spans="1:11">
      <c r="A99" t="str">
        <f>A$9 * (22.00040626525879 -A$8)</f>
        <v>0</v>
      </c>
      <c r="B99" t="str">
        <f>B$9 * (22.00040626525879 -B$8)</f>
        <v>0</v>
      </c>
      <c r="C99" t="str">
        <f>C$9 * (22.00040626525879 -C$8)</f>
        <v>0</v>
      </c>
      <c r="D99" t="str">
        <f>D$9 * (22.00040626525879 -D$8)</f>
        <v>0</v>
      </c>
      <c r="F99" t="str">
        <f>F$9 * (0.009878148324787617 -F$8)</f>
        <v>0</v>
      </c>
      <c r="G99" t="str">
        <f>G$9 * (5.813604831695557 -G$8)</f>
        <v>0</v>
      </c>
      <c r="H99" t="str">
        <f>H$9 * (12.01403999328613 -H$8)</f>
        <v>0</v>
      </c>
      <c r="I99" t="str">
        <f>I$9 * (0.03441208973526955 -I$8)</f>
        <v>0</v>
      </c>
    </row>
    <row r="100" spans="1:11">
      <c r="A100" t="str">
        <f>A$9 * (22.2502269744873 -A$8)</f>
        <v>0</v>
      </c>
      <c r="B100" t="str">
        <f>B$9 * (22.2502269744873 -B$8)</f>
        <v>0</v>
      </c>
      <c r="C100" t="str">
        <f>C$9 * (22.2502269744873 -C$8)</f>
        <v>0</v>
      </c>
      <c r="D100" t="str">
        <f>D$9 * (22.2502269744873 -D$8)</f>
        <v>0</v>
      </c>
      <c r="F100" t="str">
        <f>F$9 * (0.009878951124846935 -F$8)</f>
        <v>0</v>
      </c>
      <c r="G100" t="str">
        <f>G$9 * (5.814261913299561 -G$8)</f>
        <v>0</v>
      </c>
      <c r="H100" t="str">
        <f>H$9 * (12.01488018035889 -H$8)</f>
        <v>0</v>
      </c>
      <c r="I100" t="str">
        <f>I$9 * (0.03441721946001053 -I$8)</f>
        <v>0</v>
      </c>
    </row>
    <row r="101" spans="1:11">
      <c r="A101" t="str">
        <f>A$9 * (22.50004959106445 -A$8)</f>
        <v>0</v>
      </c>
      <c r="B101" t="str">
        <f>B$9 * (22.50004959106445 -B$8)</f>
        <v>0</v>
      </c>
      <c r="C101" t="str">
        <f>C$9 * (22.50004959106445 -C$8)</f>
        <v>0</v>
      </c>
      <c r="D101" t="str">
        <f>D$9 * (22.50004959106445 -D$8)</f>
        <v>0</v>
      </c>
      <c r="F101" t="str">
        <f>F$9 * (0.009875397197902203 -F$8)</f>
        <v>0</v>
      </c>
      <c r="G101" t="str">
        <f>G$9 * (5.813058853149414 -G$8)</f>
        <v>0</v>
      </c>
      <c r="H101" t="str">
        <f>H$9 * (12.01513004302979 -H$8)</f>
        <v>0</v>
      </c>
      <c r="I101" t="str">
        <f>I$9 * (0.03441122174263 -I$8)</f>
        <v>0</v>
      </c>
    </row>
    <row r="102" spans="1:11">
      <c r="A102" t="str">
        <f>A$9 * (22.75028419494629 -A$8)</f>
        <v>0</v>
      </c>
      <c r="B102" t="str">
        <f>B$9 * (22.75028419494629 -B$8)</f>
        <v>0</v>
      </c>
      <c r="C102" t="str">
        <f>C$9 * (22.75028419494629 -C$8)</f>
        <v>0</v>
      </c>
      <c r="D102" t="str">
        <f>D$9 * (22.75028419494629 -D$8)</f>
        <v>0</v>
      </c>
      <c r="F102" t="str">
        <f>F$9 * (0.00987765658646822 -F$8)</f>
        <v>0</v>
      </c>
      <c r="G102" t="str">
        <f>G$9 * (5.813327789306641 -G$8)</f>
        <v>0</v>
      </c>
      <c r="H102" t="str">
        <f>H$9 * (12.01381969451904 -H$8)</f>
        <v>0</v>
      </c>
      <c r="I102" t="str">
        <f>I$9 * (0.03441007062792778 -I$8)</f>
        <v>0</v>
      </c>
    </row>
    <row r="103" spans="1:11">
      <c r="A103" t="str">
        <f>A$9 * (23.0001049041748 -A$8)</f>
        <v>0</v>
      </c>
      <c r="B103" t="str">
        <f>B$9 * (23.0001049041748 -B$8)</f>
        <v>0</v>
      </c>
      <c r="C103" t="str">
        <f>C$9 * (23.0001049041748 -C$8)</f>
        <v>0</v>
      </c>
      <c r="D103" t="str">
        <f>D$9 * (23.0001049041748 -D$8)</f>
        <v>0</v>
      </c>
      <c r="F103" t="str">
        <f>F$9 * (0.009876535274088383 -F$8)</f>
        <v>0</v>
      </c>
      <c r="G103" t="str">
        <f>G$9 * (5.813305854797363 -G$8)</f>
        <v>0</v>
      </c>
      <c r="H103" t="str">
        <f>H$9 * (12.01469039916992 -H$8)</f>
        <v>0</v>
      </c>
      <c r="I103" t="str">
        <f>I$9 * (0.03441156074404716 -I$8)</f>
        <v>0</v>
      </c>
    </row>
    <row r="104" spans="1:11">
      <c r="A104" t="str">
        <f>A$9 * (23.25033569335938 -A$8)</f>
        <v>0</v>
      </c>
      <c r="B104" t="str">
        <f>B$9 * (23.25033569335938 -B$8)</f>
        <v>0</v>
      </c>
      <c r="C104" t="str">
        <f>C$9 * (23.25033569335938 -C$8)</f>
        <v>0</v>
      </c>
      <c r="D104" t="str">
        <f>D$9 * (23.25033569335938 -D$8)</f>
        <v>0</v>
      </c>
      <c r="F104" t="str">
        <f>F$9 * (0.009874941781163216 -F$8)</f>
        <v>0</v>
      </c>
      <c r="G104" t="str">
        <f>G$9 * (5.812498092651367 -G$8)</f>
        <v>0</v>
      </c>
      <c r="H104" t="str">
        <f>H$9 * (12.01420021057129 -H$8)</f>
        <v>0</v>
      </c>
      <c r="I104" t="str">
        <f>I$9 * (0.03440624848008156 -I$8)</f>
        <v>0</v>
      </c>
    </row>
    <row r="105" spans="1:11">
      <c r="A105" t="str">
        <f>A$9 * (23.50015830993652 -A$8)</f>
        <v>0</v>
      </c>
      <c r="B105" t="str">
        <f>B$9 * (23.50015830993652 -B$8)</f>
        <v>0</v>
      </c>
      <c r="C105" t="str">
        <f>C$9 * (23.50015830993652 -C$8)</f>
        <v>0</v>
      </c>
      <c r="D105" t="str">
        <f>D$9 * (23.50015830993652 -D$8)</f>
        <v>0</v>
      </c>
      <c r="F105" t="str">
        <f>F$9 * (0.009878893382847309 -F$8)</f>
        <v>0</v>
      </c>
      <c r="G105" t="str">
        <f>G$9 * (5.814136981964111 -G$8)</f>
        <v>0</v>
      </c>
      <c r="H105" t="str">
        <f>H$9 * (12.01463985443115 -H$8)</f>
        <v>0</v>
      </c>
      <c r="I105" t="str">
        <f>I$9 * (0.03441609814763069 -I$8)</f>
        <v>0</v>
      </c>
    </row>
    <row r="106" spans="1:11">
      <c r="A106" t="str">
        <f>A$9 * (23.75038909912109 -A$8)</f>
        <v>0</v>
      </c>
      <c r="B106" t="str">
        <f>B$9 * (23.75038909912109 -B$8)</f>
        <v>0</v>
      </c>
      <c r="C106" t="str">
        <f>C$9 * (23.75038909912109 -C$8)</f>
        <v>0</v>
      </c>
      <c r="D106" t="str">
        <f>D$9 * (23.75038909912109 -D$8)</f>
        <v>0</v>
      </c>
      <c r="F106" t="str">
        <f>F$9 * (0.009878304786980152 -F$8)</f>
        <v>0</v>
      </c>
      <c r="G106" t="str">
        <f>G$9 * (5.81427001953125 -G$8)</f>
        <v>0</v>
      </c>
      <c r="H106" t="str">
        <f>H$9 * (12.01544952392578 -H$8)</f>
        <v>0</v>
      </c>
      <c r="I106" t="str">
        <f>I$9 * (0.03441841900348663 -I$8)</f>
        <v>0</v>
      </c>
    </row>
    <row r="107" spans="1:11">
      <c r="A107" t="str">
        <f>A$9 * (24.00021171569824 -A$8)</f>
        <v>0</v>
      </c>
      <c r="B107" t="str">
        <f>B$9 * (24.00021171569824 -B$8)</f>
        <v>0</v>
      </c>
      <c r="C107" t="str">
        <f>C$9 * (24.00021171569824 -C$8)</f>
        <v>0</v>
      </c>
      <c r="D107" t="str">
        <f>D$9 * (24.00021171569824 -D$8)</f>
        <v>0</v>
      </c>
      <c r="F107" t="str">
        <f>F$9 * (0.00987801980227232 -F$8)</f>
        <v>0</v>
      </c>
      <c r="G107" t="str">
        <f>G$9 * (5.814091205596924 -G$8)</f>
        <v>0</v>
      </c>
      <c r="H107" t="str">
        <f>H$9 * (12.01531028747559 -H$8)</f>
        <v>0</v>
      </c>
      <c r="I107" t="str">
        <f>I$9 * (0.03441730141639709 -I$8)</f>
        <v>0</v>
      </c>
    </row>
    <row r="108" spans="1:11">
      <c r="A108" t="str">
        <f>A$9 * (24.25003242492676 -A$8)</f>
        <v>0</v>
      </c>
      <c r="B108" t="str">
        <f>B$9 * (24.25003242492676 -B$8)</f>
        <v>0</v>
      </c>
      <c r="C108" t="str">
        <f>C$9 * (24.25003242492676 -C$8)</f>
        <v>0</v>
      </c>
      <c r="D108" t="str">
        <f>D$9 * (24.25003242492676 -D$8)</f>
        <v>0</v>
      </c>
      <c r="F108" t="str">
        <f>F$9 * (0.009877581149339676 -F$8)</f>
        <v>0</v>
      </c>
      <c r="G108" t="str">
        <f>G$9 * (5.813714027404785 -G$8)</f>
        <v>0</v>
      </c>
      <c r="H108" t="str">
        <f>H$9 * (12.01478004455566 -H$8)</f>
        <v>0</v>
      </c>
      <c r="I108" t="str">
        <f>I$9 * (0.0344141498208046 -I$8)</f>
        <v>0</v>
      </c>
    </row>
    <row r="109" spans="1:11">
      <c r="A109" t="str">
        <f>A$9 * (24.50026321411133 -A$8)</f>
        <v>0</v>
      </c>
      <c r="B109" t="str">
        <f>B$9 * (24.50026321411133 -B$8)</f>
        <v>0</v>
      </c>
      <c r="C109" t="str">
        <f>C$9 * (24.50026321411133 -C$8)</f>
        <v>0</v>
      </c>
      <c r="D109" t="str">
        <f>D$9 * (24.50026321411133 -D$8)</f>
        <v>0</v>
      </c>
      <c r="F109" t="str">
        <f>F$9 * (0.009875573217868805 -F$8)</f>
        <v>0</v>
      </c>
      <c r="G109" t="str">
        <f>G$9 * (5.813348770141602 -G$8)</f>
        <v>0</v>
      </c>
      <c r="H109" t="str">
        <f>H$9 * (12.01566028594971 -H$8)</f>
        <v>0</v>
      </c>
      <c r="I109" t="str">
        <f>I$9 * (0.03441387042403221 -I$8)</f>
        <v>0</v>
      </c>
    </row>
    <row r="110" spans="1:11">
      <c r="A110" t="str">
        <f>A$9 * (24.75008583068848 -A$8)</f>
        <v>0</v>
      </c>
      <c r="B110" t="str">
        <f>B$9 * (24.75008583068848 -B$8)</f>
        <v>0</v>
      </c>
      <c r="C110" t="str">
        <f>C$9 * (24.75008583068848 -C$8)</f>
        <v>0</v>
      </c>
      <c r="D110" t="str">
        <f>D$9 * (24.75008583068848 -D$8)</f>
        <v>0</v>
      </c>
      <c r="F110" t="str">
        <f>F$9 * (0.009876620955765247 -F$8)</f>
        <v>0</v>
      </c>
      <c r="G110" t="str">
        <f>G$9 * (5.813531875610352 -G$8)</f>
        <v>0</v>
      </c>
      <c r="H110" t="str">
        <f>H$9 * (12.01519012451172 -H$8)</f>
        <v>0</v>
      </c>
      <c r="I110" t="str">
        <f>I$9 * (0.03441394865512848 -I$8)</f>
        <v>0</v>
      </c>
    </row>
    <row r="111" spans="1:11">
      <c r="A111" t="str">
        <f>A$9 * (25.00031661987305 -A$8)</f>
        <v>0</v>
      </c>
      <c r="B111" t="str">
        <f>B$9 * (25.00031661987305 -B$8)</f>
        <v>0</v>
      </c>
      <c r="C111" t="str">
        <f>C$9 * (25.00031661987305 -C$8)</f>
        <v>0</v>
      </c>
      <c r="D111" t="str">
        <f>D$9 * (25.00031661987305 -D$8)</f>
        <v>0</v>
      </c>
      <c r="F111" t="str">
        <f>F$9 * (0.009879358112812042 -F$8)</f>
        <v>0</v>
      </c>
      <c r="G111" t="str">
        <f>G$9 * (5.81475305557251 -G$8)</f>
        <v>0</v>
      </c>
      <c r="H111" t="str">
        <f>H$9 * (12.01568984985352 -H$8)</f>
        <v>0</v>
      </c>
      <c r="I111" t="str">
        <f>I$9 * (0.03442152962088585 -I$8)</f>
        <v>0</v>
      </c>
    </row>
    <row r="112" spans="1:11">
      <c r="A112" t="str">
        <f>A$9 * (25.2501392364502 -A$8)</f>
        <v>0</v>
      </c>
      <c r="B112" t="str">
        <f>B$9 * (25.2501392364502 -B$8)</f>
        <v>0</v>
      </c>
      <c r="C112" t="str">
        <f>C$9 * (25.2501392364502 -C$8)</f>
        <v>0</v>
      </c>
      <c r="D112" t="str">
        <f>D$9 * (25.2501392364502 -D$8)</f>
        <v>0</v>
      </c>
      <c r="F112" t="str">
        <f>F$9 * (0.009875859133899212 -F$8)</f>
        <v>0</v>
      </c>
      <c r="G112" t="str">
        <f>G$9 * (5.813549041748047 -G$8)</f>
        <v>0</v>
      </c>
      <c r="H112" t="str">
        <f>H$9 * (12.01587963104248 -H$8)</f>
        <v>0</v>
      </c>
      <c r="I112" t="str">
        <f>I$9 * (0.03441537916660309 -I$8)</f>
        <v>0</v>
      </c>
    </row>
    <row r="113" spans="1:11">
      <c r="A113" t="str">
        <f>A$9 * (25.50037002563477 -A$8)</f>
        <v>0</v>
      </c>
      <c r="B113" t="str">
        <f>B$9 * (25.50037002563477 -B$8)</f>
        <v>0</v>
      </c>
      <c r="C113" t="str">
        <f>C$9 * (25.50037002563477 -C$8)</f>
        <v>0</v>
      </c>
      <c r="D113" t="str">
        <f>D$9 * (25.50037002563477 -D$8)</f>
        <v>0</v>
      </c>
      <c r="F113" t="str">
        <f>F$9 * (0.009879427962005138 -F$8)</f>
        <v>0</v>
      </c>
      <c r="G113" t="str">
        <f>G$9 * (5.814435958862305 -G$8)</f>
        <v>0</v>
      </c>
      <c r="H113" t="str">
        <f>H$9 * (12.0149097442627 -H$8)</f>
        <v>0</v>
      </c>
      <c r="I113" t="str">
        <f>I$9 * (0.03441838175058365 -I$8)</f>
        <v>0</v>
      </c>
    </row>
    <row r="114" spans="1:11">
      <c r="A114" t="str">
        <f>A$9 * (25.75019073486328 -A$8)</f>
        <v>0</v>
      </c>
      <c r="B114" t="str">
        <f>B$9 * (25.75019073486328 -B$8)</f>
        <v>0</v>
      </c>
      <c r="C114" t="str">
        <f>C$9 * (25.75019073486328 -C$8)</f>
        <v>0</v>
      </c>
      <c r="D114" t="str">
        <f>D$9 * (25.75019073486328 -D$8)</f>
        <v>0</v>
      </c>
      <c r="F114" t="str">
        <f>F$9 * (0.009876484051346779 -F$8)</f>
        <v>0</v>
      </c>
      <c r="G114" t="str">
        <f>G$9 * (5.81367301940918 -G$8)</f>
        <v>0</v>
      </c>
      <c r="H114" t="str">
        <f>H$9 * (12.01560974121094 -H$8)</f>
        <v>0</v>
      </c>
      <c r="I114" t="str">
        <f>I$9 * (0.03441543877124786 -I$8)</f>
        <v>0</v>
      </c>
    </row>
    <row r="115" spans="1:11">
      <c r="A115" t="str">
        <f>A$9 * (26.0000171661377 -A$8)</f>
        <v>0</v>
      </c>
      <c r="B115" t="str">
        <f>B$9 * (26.0000171661377 -B$8)</f>
        <v>0</v>
      </c>
      <c r="C115" t="str">
        <f>C$9 * (26.0000171661377 -C$8)</f>
        <v>0</v>
      </c>
      <c r="D115" t="str">
        <f>D$9 * (26.0000171661377 -D$8)</f>
        <v>0</v>
      </c>
      <c r="F115" t="str">
        <f>F$9 * (0.009875369258224964 -F$8)</f>
        <v>0</v>
      </c>
      <c r="G115" t="str">
        <f>G$9 * (5.813202857971191 -G$8)</f>
        <v>0</v>
      </c>
      <c r="H115" t="str">
        <f>H$9 * (12.01548004150391 -H$8)</f>
        <v>0</v>
      </c>
      <c r="I115" t="str">
        <f>I$9 * (0.03441274166107178 -I$8)</f>
        <v>0</v>
      </c>
    </row>
    <row r="116" spans="1:11">
      <c r="A116" t="str">
        <f>A$9 * (26.25024795532227 -A$8)</f>
        <v>0</v>
      </c>
      <c r="B116" t="str">
        <f>B$9 * (26.25024795532227 -B$8)</f>
        <v>0</v>
      </c>
      <c r="C116" t="str">
        <f>C$9 * (26.25024795532227 -C$8)</f>
        <v>0</v>
      </c>
      <c r="D116" t="str">
        <f>D$9 * (26.25024795532227 -D$8)</f>
        <v>0</v>
      </c>
      <c r="F116" t="str">
        <f>F$9 * (0.009879269637167454 -F$8)</f>
        <v>0</v>
      </c>
      <c r="G116" t="str">
        <f>G$9 * (5.814480781555176 -G$8)</f>
        <v>0</v>
      </c>
      <c r="H116" t="str">
        <f>H$9 * (12.01515007019043 -H$8)</f>
        <v>0</v>
      </c>
      <c r="I116" t="str">
        <f>I$9 * (0.03441907092928886 -I$8)</f>
        <v>0</v>
      </c>
    </row>
    <row r="117" spans="1:11">
      <c r="A117" t="str">
        <f>A$9 * (26.50006866455078 -A$8)</f>
        <v>0</v>
      </c>
      <c r="B117" t="str">
        <f>B$9 * (26.50006866455078 -B$8)</f>
        <v>0</v>
      </c>
      <c r="C117" t="str">
        <f>C$9 * (26.50006866455078 -C$8)</f>
        <v>0</v>
      </c>
      <c r="D117" t="str">
        <f>D$9 * (26.50006866455078 -D$8)</f>
        <v>0</v>
      </c>
      <c r="F117" t="str">
        <f>F$9 * (0.009876662865281105 -F$8)</f>
        <v>0</v>
      </c>
      <c r="G117" t="str">
        <f>G$9 * (5.813865184783936 -G$8)</f>
        <v>0</v>
      </c>
      <c r="H117" t="str">
        <f>H$9 * (12.01591968536377 -H$8)</f>
        <v>0</v>
      </c>
      <c r="I117" t="str">
        <f>I$9 * (0.03441715985536575 -I$8)</f>
        <v>0</v>
      </c>
    </row>
    <row r="118" spans="1:11">
      <c r="A118" t="str">
        <f>A$9 * (26.75029945373535 -A$8)</f>
        <v>0</v>
      </c>
      <c r="B118" t="str">
        <f>B$9 * (26.75029945373535 -B$8)</f>
        <v>0</v>
      </c>
      <c r="C118" t="str">
        <f>C$9 * (26.75029945373535 -C$8)</f>
        <v>0</v>
      </c>
      <c r="D118" t="str">
        <f>D$9 * (26.75029945373535 -D$8)</f>
        <v>0</v>
      </c>
      <c r="F118" t="str">
        <f>F$9 * (0.009877819567918777 -F$8)</f>
        <v>0</v>
      </c>
      <c r="G118" t="str">
        <f>G$9 * (5.81426477432251 -G$8)</f>
        <v>0</v>
      </c>
      <c r="H118" t="str">
        <f>H$9 * (12.01589012145996 -H$8)</f>
        <v>0</v>
      </c>
      <c r="I118" t="str">
        <f>I$9 * (0.03441942110657692 -I$8)</f>
        <v>0</v>
      </c>
    </row>
    <row r="119" spans="1:11">
      <c r="A119" t="str">
        <f>A$9 * (27.0001220703125 -A$8)</f>
        <v>0</v>
      </c>
      <c r="B119" t="str">
        <f>B$9 * (27.0001220703125 -B$8)</f>
        <v>0</v>
      </c>
      <c r="C119" t="str">
        <f>C$9 * (27.0001220703125 -C$8)</f>
        <v>0</v>
      </c>
      <c r="D119" t="str">
        <f>D$9 * (27.0001220703125 -D$8)</f>
        <v>0</v>
      </c>
      <c r="F119" t="str">
        <f>F$9 * (0.00987759605050087 -F$8)</f>
        <v>0</v>
      </c>
      <c r="G119" t="str">
        <f>G$9 * (5.814191818237305 -G$8)</f>
        <v>0</v>
      </c>
      <c r="H119" t="str">
        <f>H$9 * (12.01589965820312 -H$8)</f>
        <v>0</v>
      </c>
      <c r="I119" t="str">
        <f>I$9 * (0.03441904112696648 -I$8)</f>
        <v>0</v>
      </c>
    </row>
    <row r="120" spans="1:11">
      <c r="A120" t="str">
        <f>A$9 * (27.25035285949707 -A$8)</f>
        <v>0</v>
      </c>
      <c r="B120" t="str">
        <f>B$9 * (27.25035285949707 -B$8)</f>
        <v>0</v>
      </c>
      <c r="C120" t="str">
        <f>C$9 * (27.25035285949707 -C$8)</f>
        <v>0</v>
      </c>
      <c r="D120" t="str">
        <f>D$9 * (27.25035285949707 -D$8)</f>
        <v>0</v>
      </c>
      <c r="F120" t="str">
        <f>F$9 * (0.00987641979008913 -F$8)</f>
        <v>0</v>
      </c>
      <c r="G120" t="str">
        <f>G$9 * (5.813776969909668 -G$8)</f>
        <v>0</v>
      </c>
      <c r="H120" t="str">
        <f>H$9 * (12.01595020294189 -H$8)</f>
        <v>0</v>
      </c>
      <c r="I120" t="str">
        <f>I$9 * (0.03441683948040009 -I$8)</f>
        <v>0</v>
      </c>
    </row>
    <row r="121" spans="1:11">
      <c r="A121" t="str">
        <f>A$9 * (27.50017547607422 -A$8)</f>
        <v>0</v>
      </c>
      <c r="B121" t="str">
        <f>B$9 * (27.50017547607422 -B$8)</f>
        <v>0</v>
      </c>
      <c r="C121" t="str">
        <f>C$9 * (27.50017547607422 -C$8)</f>
        <v>0</v>
      </c>
      <c r="D121" t="str">
        <f>D$9 * (27.50017547607422 -D$8)</f>
        <v>0</v>
      </c>
      <c r="F121" t="str">
        <f>F$9 * (0.009877283126115799 -F$8)</f>
        <v>0</v>
      </c>
      <c r="G121" t="str">
        <f>G$9 * (5.814104080200195 -G$8)</f>
        <v>0</v>
      </c>
      <c r="H121" t="str">
        <f>H$9 * (12.01597023010254 -H$8)</f>
        <v>0</v>
      </c>
      <c r="I121" t="str">
        <f>I$9 * (0.03441866114735603 -I$8)</f>
        <v>0</v>
      </c>
    </row>
    <row r="122" spans="1:11">
      <c r="A122" t="str">
        <f>A$9 * (27.75040626525879 -A$8)</f>
        <v>0</v>
      </c>
      <c r="B122" t="str">
        <f>B$9 * (27.75040626525879 -B$8)</f>
        <v>0</v>
      </c>
      <c r="C122" t="str">
        <f>C$9 * (27.75040626525879 -C$8)</f>
        <v>0</v>
      </c>
      <c r="D122" t="str">
        <f>D$9 * (27.75040626525879 -D$8)</f>
        <v>0</v>
      </c>
      <c r="F122" t="str">
        <f>F$9 * (0.009877179749310017 -F$8)</f>
        <v>0</v>
      </c>
      <c r="G122" t="str">
        <f>G$9 * (5.813983917236328 -G$8)</f>
        <v>0</v>
      </c>
      <c r="H122" t="str">
        <f>H$9 * (12.01576995849609 -H$8)</f>
        <v>0</v>
      </c>
      <c r="I122" t="str">
        <f>I$9 * (0.03441758826375008 -I$8)</f>
        <v>0</v>
      </c>
    </row>
    <row r="123" spans="1:11">
      <c r="A123" t="str">
        <f>A$9 * (28.00022315979004 -A$8)</f>
        <v>0</v>
      </c>
      <c r="B123" t="str">
        <f>B$9 * (28.00022315979004 -B$8)</f>
        <v>0</v>
      </c>
      <c r="C123" t="str">
        <f>C$9 * (28.00022315979004 -C$8)</f>
        <v>0</v>
      </c>
      <c r="D123" t="str">
        <f>D$9 * (28.00022315979004 -D$8)</f>
        <v>0</v>
      </c>
      <c r="F123" t="str">
        <f>F$9 * (0.009877301752567291 -F$8)</f>
        <v>0</v>
      </c>
      <c r="G123" t="str">
        <f>G$9 * (5.814125061035156 -G$8)</f>
        <v>0</v>
      </c>
      <c r="H123" t="str">
        <f>H$9 * (12.01601028442383 -H$8)</f>
        <v>0</v>
      </c>
      <c r="I123" t="str">
        <f>I$9 * (0.03441882878541946 -I$8)</f>
        <v>0</v>
      </c>
    </row>
    <row r="124" spans="1:11">
      <c r="A124" t="str">
        <f>A$9 * (28.25005531311035 -A$8)</f>
        <v>0</v>
      </c>
      <c r="B124" t="str">
        <f>B$9 * (28.25005531311035 -B$8)</f>
        <v>0</v>
      </c>
      <c r="C124" t="str">
        <f>C$9 * (28.25005531311035 -C$8)</f>
        <v>0</v>
      </c>
      <c r="D124" t="str">
        <f>D$9 * (28.25005531311035 -D$8)</f>
        <v>0</v>
      </c>
      <c r="F124" t="str">
        <f>F$9 * (0.009877355769276619 -F$8)</f>
        <v>0</v>
      </c>
      <c r="G124" t="str">
        <f>G$9 * (5.814096927642822 -G$8)</f>
        <v>0</v>
      </c>
      <c r="H124" t="str">
        <f>H$9 * (12.01589012145996 -H$8)</f>
        <v>0</v>
      </c>
      <c r="I124" t="str">
        <f>I$9 * (0.03441840037703514 -I$8)</f>
        <v>0</v>
      </c>
    </row>
    <row r="125" spans="1:11">
      <c r="A125" t="str">
        <f>A$9 * (28.50027847290039 -A$8)</f>
        <v>0</v>
      </c>
      <c r="B125" t="str">
        <f>B$9 * (28.50027847290039 -B$8)</f>
        <v>0</v>
      </c>
      <c r="C125" t="str">
        <f>C$9 * (28.50027847290039 -C$8)</f>
        <v>0</v>
      </c>
      <c r="D125" t="str">
        <f>D$9 * (28.50027847290039 -D$8)</f>
        <v>0</v>
      </c>
      <c r="F125" t="str">
        <f>F$9 * (0.00987737625837326 -F$8)</f>
        <v>0</v>
      </c>
      <c r="G125" t="str">
        <f>G$9 * (5.814236164093018 -G$8)</f>
        <v>0</v>
      </c>
      <c r="H125" t="str">
        <f>H$9 * (12.01618957519531 -H$8)</f>
        <v>0</v>
      </c>
      <c r="I125" t="str">
        <f>I$9 * (0.03441980108618736 -I$8)</f>
        <v>0</v>
      </c>
    </row>
    <row r="126" spans="1:11">
      <c r="A126" t="str">
        <f>A$9 * (28.7501106262207 -A$8)</f>
        <v>0</v>
      </c>
      <c r="B126" t="str">
        <f>B$9 * (28.7501106262207 -B$8)</f>
        <v>0</v>
      </c>
      <c r="C126" t="str">
        <f>C$9 * (28.7501106262207 -C$8)</f>
        <v>0</v>
      </c>
      <c r="D126" t="str">
        <f>D$9 * (28.7501106262207 -D$8)</f>
        <v>0</v>
      </c>
      <c r="F126" t="str">
        <f>F$9 * (0.009879078716039658 -F$8)</f>
        <v>0</v>
      </c>
      <c r="G126" t="str">
        <f>G$9 * (5.81444787979126 -G$8)</f>
        <v>0</v>
      </c>
      <c r="H126" t="str">
        <f>H$9 * (12.01523971557617 -H$8)</f>
        <v>0</v>
      </c>
      <c r="I126" t="str">
        <f>I$9 * (0.03441910073161125 -I$8)</f>
        <v>0</v>
      </c>
    </row>
    <row r="127" spans="1:11">
      <c r="A127" t="str">
        <f>A$9 * (29.00033378601074 -A$8)</f>
        <v>0</v>
      </c>
      <c r="B127" t="str">
        <f>B$9 * (29.00033378601074 -B$8)</f>
        <v>0</v>
      </c>
      <c r="C127" t="str">
        <f>C$9 * (29.00033378601074 -C$8)</f>
        <v>0</v>
      </c>
      <c r="D127" t="str">
        <f>D$9 * (29.00033378601074 -D$8)</f>
        <v>0</v>
      </c>
      <c r="F127" t="str">
        <f>F$9 * (0.009876481257379055 -F$8)</f>
        <v>0</v>
      </c>
      <c r="G127" t="str">
        <f>G$9 * (5.813860893249512 -G$8)</f>
        <v>0</v>
      </c>
      <c r="H127" t="str">
        <f>H$9 * (12.01607990264893 -H$8)</f>
        <v>0</v>
      </c>
      <c r="I127" t="str">
        <f>I$9 * (0.03441751003265381 -I$8)</f>
        <v>0</v>
      </c>
    </row>
    <row r="128" spans="1:11">
      <c r="A128" t="str">
        <f>A$9 * (29.25016593933105 -A$8)</f>
        <v>0</v>
      </c>
      <c r="B128" t="str">
        <f>B$9 * (29.25016593933105 -B$8)</f>
        <v>0</v>
      </c>
      <c r="C128" t="str">
        <f>C$9 * (29.25016593933105 -C$8)</f>
        <v>0</v>
      </c>
      <c r="D128" t="str">
        <f>D$9 * (29.25016593933105 -D$8)</f>
        <v>0</v>
      </c>
      <c r="F128" t="str">
        <f>F$9 * (0.009876337833702564 -F$8)</f>
        <v>0</v>
      </c>
      <c r="G128" t="str">
        <f>G$9 * (5.81387186050415 -G$8)</f>
        <v>0</v>
      </c>
      <c r="H128" t="str">
        <f>H$9 * (12.01624011993408 -H$8)</f>
        <v>0</v>
      </c>
      <c r="I128" t="str">
        <f>I$9 * (0.03441800177097321 -I$8)</f>
        <v>0</v>
      </c>
    </row>
    <row r="129" spans="1:11">
      <c r="A129" t="str">
        <f>A$9 * (29.50038909912109 -A$8)</f>
        <v>0</v>
      </c>
      <c r="B129" t="str">
        <f>B$9 * (29.50038909912109 -B$8)</f>
        <v>0</v>
      </c>
      <c r="C129" t="str">
        <f>C$9 * (29.50038909912109 -C$8)</f>
        <v>0</v>
      </c>
      <c r="D129" t="str">
        <f>D$9 * (29.50038909912109 -D$8)</f>
        <v>0</v>
      </c>
      <c r="F129" t="str">
        <f>F$9 * (0.009878416545689106 -F$8)</f>
        <v>0</v>
      </c>
      <c r="G129" t="str">
        <f>G$9 * (5.814576148986816 -G$8)</f>
        <v>0</v>
      </c>
      <c r="H129" t="str">
        <f>H$9 * (12.01611042022705 -H$8)</f>
        <v>0</v>
      </c>
      <c r="I129" t="str">
        <f>I$9 * (0.03442151844501495 -I$8)</f>
        <v>0</v>
      </c>
    </row>
    <row r="130" spans="1:11">
      <c r="A130" t="str">
        <f>A$9 * (29.75022315979004 -A$8)</f>
        <v>0</v>
      </c>
      <c r="B130" t="str">
        <f>B$9 * (29.75022315979004 -B$8)</f>
        <v>0</v>
      </c>
      <c r="C130" t="str">
        <f>C$9 * (29.75022315979004 -C$8)</f>
        <v>0</v>
      </c>
      <c r="D130" t="str">
        <f>D$9 * (29.75022315979004 -D$8)</f>
        <v>0</v>
      </c>
      <c r="F130" t="str">
        <f>F$9 * (0.009877124801278114 -F$8)</f>
        <v>0</v>
      </c>
      <c r="G130" t="str">
        <f>G$9 * (5.814324855804443 -G$8)</f>
        <v>0</v>
      </c>
      <c r="H130" t="str">
        <f>H$9 * (12.01663017272949 -H$8)</f>
        <v>0</v>
      </c>
      <c r="I130" t="str">
        <f>I$9 * (0.0344211682677269 -I$8)</f>
        <v>0</v>
      </c>
    </row>
    <row r="131" spans="1:11">
      <c r="A131" t="str">
        <f>A$9 * (30.00002861022949 -A$8)</f>
        <v>0</v>
      </c>
      <c r="B131" t="str">
        <f>B$9 * (30.00002861022949 -B$8)</f>
        <v>0</v>
      </c>
      <c r="C131" t="str">
        <f>C$9 * (30.00002861022949 -C$8)</f>
        <v>0</v>
      </c>
      <c r="D131" t="str">
        <f>D$9 * (30.00002861022949 -D$8)</f>
        <v>0</v>
      </c>
      <c r="F131" t="str">
        <f>F$9 * (0.009876665659248829 -F$8)</f>
        <v>0</v>
      </c>
      <c r="G131" t="str">
        <f>G$9 * (5.813820838928223 -G$8)</f>
        <v>0</v>
      </c>
      <c r="H131" t="str">
        <f>H$9 * (12.01583957672119 -H$8)</f>
        <v>0</v>
      </c>
      <c r="I131" t="str">
        <f>I$9 * (0.03441692143678665 -I$8)</f>
        <v>0</v>
      </c>
    </row>
    <row r="132" spans="1:11">
      <c r="A132" t="str">
        <f>A$9 * (30.2502498626709 -A$8)</f>
        <v>0</v>
      </c>
      <c r="B132" t="str">
        <f>B$9 * (30.2502498626709 -B$8)</f>
        <v>0</v>
      </c>
      <c r="C132" t="str">
        <f>C$9 * (30.2502498626709 -C$8)</f>
        <v>0</v>
      </c>
      <c r="D132" t="str">
        <f>D$9 * (30.2502498626709 -D$8)</f>
        <v>0</v>
      </c>
      <c r="F132" t="str">
        <f>F$9 * (0.009877325035631657 -F$8)</f>
        <v>0</v>
      </c>
      <c r="G132" t="str">
        <f>G$9 * (5.814247131347656 -G$8)</f>
        <v>0</v>
      </c>
      <c r="H132" t="str">
        <f>H$9 * (12.01626014709473 -H$8)</f>
        <v>0</v>
      </c>
      <c r="I132" t="str">
        <f>I$9 * (0.03442002832889557 -I$8)</f>
        <v>0</v>
      </c>
    </row>
    <row r="133" spans="1:11">
      <c r="A133" t="str">
        <f>A$9 * (30.50008392333984 -A$8)</f>
        <v>0</v>
      </c>
      <c r="B133" t="str">
        <f>B$9 * (30.50008392333984 -B$8)</f>
        <v>0</v>
      </c>
      <c r="C133" t="str">
        <f>C$9 * (30.50008392333984 -C$8)</f>
        <v>0</v>
      </c>
      <c r="D133" t="str">
        <f>D$9 * (30.50008392333984 -D$8)</f>
        <v>0</v>
      </c>
      <c r="F133" t="str">
        <f>F$9 * (0.009876462630927563 -F$8)</f>
        <v>0</v>
      </c>
      <c r="G133" t="str">
        <f>G$9 * (5.8139967918396 -G$8)</f>
        <v>0</v>
      </c>
      <c r="H133" t="str">
        <f>H$9 * (12.01642990112305 -H$8)</f>
        <v>0</v>
      </c>
      <c r="I133" t="str">
        <f>I$9 * (0.03441900014877319 -I$8)</f>
        <v>0</v>
      </c>
    </row>
    <row r="134" spans="1:11">
      <c r="A134" t="str">
        <f>A$9 * (30.75030517578125 -A$8)</f>
        <v>0</v>
      </c>
      <c r="B134" t="str">
        <f>B$9 * (30.75030517578125 -B$8)</f>
        <v>0</v>
      </c>
      <c r="C134" t="str">
        <f>C$9 * (30.75030517578125 -C$8)</f>
        <v>0</v>
      </c>
      <c r="D134" t="str">
        <f>D$9 * (30.75030517578125 -D$8)</f>
        <v>0</v>
      </c>
      <c r="F134" t="str">
        <f>F$9 * (0.009876382537186146 -F$8)</f>
        <v>0</v>
      </c>
      <c r="G134" t="str">
        <f>G$9 * (5.813922882080078 -G$8)</f>
        <v>0</v>
      </c>
      <c r="H134" t="str">
        <f>H$9 * (12.01630973815918 -H$8)</f>
        <v>0</v>
      </c>
      <c r="I134" t="str">
        <f>I$9 * (0.03441834822297096 -I$8)</f>
        <v>0</v>
      </c>
    </row>
    <row r="135" spans="1:11">
      <c r="A135" t="str">
        <f>A$9 * (31.0001392364502 -A$8)</f>
        <v>0</v>
      </c>
      <c r="B135" t="str">
        <f>B$9 * (31.0001392364502 -B$8)</f>
        <v>0</v>
      </c>
      <c r="C135" t="str">
        <f>C$9 * (31.0001392364502 -C$8)</f>
        <v>0</v>
      </c>
      <c r="D135" t="str">
        <f>D$9 * (31.0001392364502 -D$8)</f>
        <v>0</v>
      </c>
      <c r="F135" t="str">
        <f>F$9 * (0.009877745993435383 -F$8)</f>
        <v>0</v>
      </c>
      <c r="G135" t="str">
        <f>G$9 * (5.81447696685791 -G$8)</f>
        <v>0</v>
      </c>
      <c r="H135" t="str">
        <f>H$9 * (12.01644039154053 -H$8)</f>
        <v>0</v>
      </c>
      <c r="I135" t="str">
        <f>I$9 * (0.03442161902785301 -I$8)</f>
        <v>0</v>
      </c>
    </row>
    <row r="136" spans="1:11">
      <c r="A136" t="str">
        <f>A$9 * (31.2503604888916 -A$8)</f>
        <v>0</v>
      </c>
      <c r="B136" t="str">
        <f>B$9 * (31.2503604888916 -B$8)</f>
        <v>0</v>
      </c>
      <c r="C136" t="str">
        <f>C$9 * (31.2503604888916 -C$8)</f>
        <v>0</v>
      </c>
      <c r="D136" t="str">
        <f>D$9 * (31.2503604888916 -D$8)</f>
        <v>0</v>
      </c>
      <c r="F136" t="str">
        <f>F$9 * (0.009877381846308708 -F$8)</f>
        <v>0</v>
      </c>
      <c r="G136" t="str">
        <f>G$9 * (5.814273834228516 -G$8)</f>
        <v>0</v>
      </c>
      <c r="H136" t="str">
        <f>H$9 * (12.01628971099854 -H$8)</f>
        <v>0</v>
      </c>
      <c r="I136" t="str">
        <f>I$9 * (0.03442021831870079 -I$8)</f>
        <v>0</v>
      </c>
    </row>
    <row r="137" spans="1:11">
      <c r="A137" t="str">
        <f>A$9 * (31.50019454956055 -A$8)</f>
        <v>0</v>
      </c>
      <c r="B137" t="str">
        <f>B$9 * (31.50019454956055 -B$8)</f>
        <v>0</v>
      </c>
      <c r="C137" t="str">
        <f>C$9 * (31.50019454956055 -C$8)</f>
        <v>0</v>
      </c>
      <c r="D137" t="str">
        <f>D$9 * (31.50019454956055 -D$8)</f>
        <v>0</v>
      </c>
      <c r="F137" t="str">
        <f>F$9 * (0.009876728057861328 -F$8)</f>
        <v>0</v>
      </c>
      <c r="G137" t="str">
        <f>G$9 * (5.814073085784912 -G$8)</f>
        <v>0</v>
      </c>
      <c r="H137" t="str">
        <f>H$9 * (12.01636981964111 -H$8)</f>
        <v>0</v>
      </c>
      <c r="I137" t="str">
        <f>I$9 * (0.03441929817199707 -I$8)</f>
        <v>0</v>
      </c>
    </row>
    <row r="138" spans="1:11">
      <c r="A138" t="str">
        <f>A$9 * (31.75002861022949 -A$8)</f>
        <v>0</v>
      </c>
      <c r="B138" t="str">
        <f>B$9 * (31.75002861022949 -B$8)</f>
        <v>0</v>
      </c>
      <c r="C138" t="str">
        <f>C$9 * (31.75002861022949 -C$8)</f>
        <v>0</v>
      </c>
      <c r="D138" t="str">
        <f>D$9 * (31.75002861022949 -D$8)</f>
        <v>0</v>
      </c>
      <c r="F138" t="str">
        <f>F$9 * (0.0098767951130867 -F$8)</f>
        <v>0</v>
      </c>
      <c r="G138" t="str">
        <f>G$9 * (5.814334869384766 -G$8)</f>
        <v>0</v>
      </c>
      <c r="H138" t="str">
        <f>H$9 * (12.01692962646484 -H$8)</f>
        <v>0</v>
      </c>
      <c r="I138" t="str">
        <f>I$9 * (0.03442183881998062 -I$8)</f>
        <v>0</v>
      </c>
    </row>
    <row r="139" spans="1:11">
      <c r="A139" t="str">
        <f>A$9 * (32.00025177001953 -A$8)</f>
        <v>0</v>
      </c>
      <c r="B139" t="str">
        <f>B$9 * (32.00025177001953 -B$8)</f>
        <v>0</v>
      </c>
      <c r="C139" t="str">
        <f>C$9 * (32.00025177001953 -C$8)</f>
        <v>0</v>
      </c>
      <c r="D139" t="str">
        <f>D$9 * (32.00025177001953 -D$8)</f>
        <v>0</v>
      </c>
      <c r="F139" t="str">
        <f>F$9 * (0.00987763237208128 -F$8)</f>
        <v>0</v>
      </c>
      <c r="G139" t="str">
        <f>G$9 * (5.814401149749756 -G$8)</f>
        <v>0</v>
      </c>
      <c r="H139" t="str">
        <f>H$9 * (12.01636981964111 -H$8)</f>
        <v>0</v>
      </c>
      <c r="I139" t="str">
        <f>I$9 * (0.03442113101482391 -I$8)</f>
        <v>0</v>
      </c>
    </row>
    <row r="140" spans="1:11">
      <c r="A140" t="str">
        <f>A$9 * (32.25005722045898 -A$8)</f>
        <v>0</v>
      </c>
      <c r="B140" t="str">
        <f>B$9 * (32.25005722045898 -B$8)</f>
        <v>0</v>
      </c>
      <c r="C140" t="str">
        <f>C$9 * (32.25005722045898 -C$8)</f>
        <v>0</v>
      </c>
      <c r="D140" t="str">
        <f>D$9 * (32.25005722045898 -D$8)</f>
        <v>0</v>
      </c>
      <c r="F140" t="str">
        <f>F$9 * (0.009877143427729607 -F$8)</f>
        <v>0</v>
      </c>
      <c r="G140" t="str">
        <f>G$9 * (5.814324855804443 -G$8)</f>
        <v>0</v>
      </c>
      <c r="H140" t="str">
        <f>H$9 * (12.01659965515137 -H$8)</f>
        <v>0</v>
      </c>
      <c r="I140" t="str">
        <f>I$9 * (0.03442114964127541 -I$8)</f>
        <v>0</v>
      </c>
    </row>
    <row r="141" spans="1:11">
      <c r="A141" t="str">
        <f>A$9 * (32.50030517578125 -A$8)</f>
        <v>0</v>
      </c>
      <c r="B141" t="str">
        <f>B$9 * (32.50030517578125 -B$8)</f>
        <v>0</v>
      </c>
      <c r="C141" t="str">
        <f>C$9 * (32.50030517578125 -C$8)</f>
        <v>0</v>
      </c>
      <c r="D141" t="str">
        <f>D$9 * (32.50030517578125 -D$8)</f>
        <v>0</v>
      </c>
      <c r="F141" t="str">
        <f>F$9 * (0.009877126663923264 -F$8)</f>
        <v>0</v>
      </c>
      <c r="G141" t="str">
        <f>G$9 * (5.814474105834961 -G$8)</f>
        <v>0</v>
      </c>
      <c r="H141" t="str">
        <f>H$9 * (12.01698017120361 -H$8)</f>
        <v>0</v>
      </c>
      <c r="I141" t="str">
        <f>I$9 * (0.03442275896668434 -I$8)</f>
        <v>0</v>
      </c>
    </row>
    <row r="142" spans="1:11">
      <c r="A142" t="str">
        <f>A$9 * (32.7501106262207 -A$8)</f>
        <v>0</v>
      </c>
      <c r="B142" t="str">
        <f>B$9 * (32.7501106262207 -B$8)</f>
        <v>0</v>
      </c>
      <c r="C142" t="str">
        <f>C$9 * (32.7501106262207 -C$8)</f>
        <v>0</v>
      </c>
      <c r="D142" t="str">
        <f>D$9 * (32.7501106262207 -D$8)</f>
        <v>0</v>
      </c>
      <c r="F142" t="str">
        <f>F$9 * (0.009876890107989311 -F$8)</f>
        <v>0</v>
      </c>
      <c r="G142" t="str">
        <f>G$9 * (5.81429386138916 -G$8)</f>
        <v>0</v>
      </c>
      <c r="H142" t="str">
        <f>H$9 * (12.01675033569336 -H$8)</f>
        <v>0</v>
      </c>
      <c r="I142" t="str">
        <f>I$9 * (0.03442128002643585 -I$8)</f>
        <v>0</v>
      </c>
    </row>
    <row r="143" spans="1:11">
      <c r="A143" t="str">
        <f>A$9 * (33.00036239624023 -A$8)</f>
        <v>0</v>
      </c>
      <c r="B143" t="str">
        <f>B$9 * (33.00036239624023 -B$8)</f>
        <v>0</v>
      </c>
      <c r="C143" t="str">
        <f>C$9 * (33.00036239624023 -C$8)</f>
        <v>0</v>
      </c>
      <c r="D143" t="str">
        <f>D$9 * (33.00036239624023 -D$8)</f>
        <v>0</v>
      </c>
      <c r="F143" t="str">
        <f>F$9 * (0.009877139702439308 -F$8)</f>
        <v>0</v>
      </c>
      <c r="G143" t="str">
        <f>G$9 * (5.814597129821777 -G$8)</f>
        <v>0</v>
      </c>
      <c r="H143" t="str">
        <f>H$9 * (12.01725959777832 -H$8)</f>
        <v>0</v>
      </c>
      <c r="I143" t="str">
        <f>I$9 * (0.03442392870783806 -I$8)</f>
        <v>0</v>
      </c>
    </row>
    <row r="144" spans="1:11">
      <c r="A144" t="str">
        <f>A$9 * (33.25016784667969 -A$8)</f>
        <v>0</v>
      </c>
      <c r="B144" t="str">
        <f>B$9 * (33.25016784667969 -B$8)</f>
        <v>0</v>
      </c>
      <c r="C144" t="str">
        <f>C$9 * (33.25016784667969 -C$8)</f>
        <v>0</v>
      </c>
      <c r="D144" t="str">
        <f>D$9 * (33.25016784667969 -D$8)</f>
        <v>0</v>
      </c>
      <c r="F144" t="str">
        <f>F$9 * (0.009878781624138355 -F$8)</f>
        <v>0</v>
      </c>
      <c r="G144" t="str">
        <f>G$9 * (5.814504146575928 -G$8)</f>
        <v>0</v>
      </c>
      <c r="H144" t="str">
        <f>H$9 * (12.01564025878906 -H$8)</f>
        <v>0</v>
      </c>
      <c r="I144" t="str">
        <f>I$9 * (0.03442022949457169 -I$8)</f>
        <v>0</v>
      </c>
    </row>
    <row r="145" spans="1:11">
      <c r="A145" t="str">
        <f>A$9 * (33.50041580200195 -A$8)</f>
        <v>0</v>
      </c>
      <c r="B145" t="str">
        <f>B$9 * (33.50041580200195 -B$8)</f>
        <v>0</v>
      </c>
      <c r="C145" t="str">
        <f>C$9 * (33.50041580200195 -C$8)</f>
        <v>0</v>
      </c>
      <c r="D145" t="str">
        <f>D$9 * (33.50041580200195 -D$8)</f>
        <v>0</v>
      </c>
      <c r="F145" t="str">
        <f>F$9 * (0.009876674972474575 -F$8)</f>
        <v>0</v>
      </c>
      <c r="G145" t="str">
        <f>G$9 * (5.814406871795654 -G$8)</f>
        <v>0</v>
      </c>
      <c r="H145" t="str">
        <f>H$9 * (12.0172004699707 -H$8)</f>
        <v>0</v>
      </c>
      <c r="I145" t="str">
        <f>I$9 * (0.03442278131842613 -I$8)</f>
        <v>0</v>
      </c>
    </row>
    <row r="146" spans="1:11">
      <c r="A146" t="str">
        <f>A$9 * (33.75022125244141 -A$8)</f>
        <v>0</v>
      </c>
      <c r="B146" t="str">
        <f>B$9 * (33.75022125244141 -B$8)</f>
        <v>0</v>
      </c>
      <c r="C146" t="str">
        <f>C$9 * (33.75022125244141 -C$8)</f>
        <v>0</v>
      </c>
      <c r="D146" t="str">
        <f>D$9 * (33.75022125244141 -D$8)</f>
        <v>0</v>
      </c>
      <c r="F146" t="str">
        <f>F$9 * (0.009876392781734467 -F$8)</f>
        <v>0</v>
      </c>
      <c r="G146" t="str">
        <f>G$9 * (5.814058780670166 -G$8)</f>
        <v>0</v>
      </c>
      <c r="H146" t="str">
        <f>H$9 * (12.01663970947266 -H$8)</f>
        <v>0</v>
      </c>
      <c r="I146" t="str">
        <f>I$9 * (0.03441983833909035 -I$8)</f>
        <v>0</v>
      </c>
    </row>
    <row r="147" spans="1:11">
      <c r="A147" t="str">
        <f>A$9 * (34.00005722045898 -A$8)</f>
        <v>0</v>
      </c>
      <c r="B147" t="str">
        <f>B$9 * (34.00005722045898 -B$8)</f>
        <v>0</v>
      </c>
      <c r="C147" t="str">
        <f>C$9 * (34.00005722045898 -C$8)</f>
        <v>0</v>
      </c>
      <c r="D147" t="str">
        <f>D$9 * (34.00005722045898 -D$8)</f>
        <v>0</v>
      </c>
      <c r="F147" t="str">
        <f>F$9 * (0.009878111071884632 -F$8)</f>
        <v>0</v>
      </c>
      <c r="G147" t="str">
        <f>G$9 * (5.814700126647949 -G$8)</f>
        <v>0</v>
      </c>
      <c r="H147" t="str">
        <f>H$9 * (12.0166597366333 -H$8)</f>
        <v>0</v>
      </c>
      <c r="I147" t="str">
        <f>I$9 * (0.03442329168319702 -I$8)</f>
        <v>0</v>
      </c>
    </row>
    <row r="148" spans="1:11">
      <c r="A148" t="str">
        <f>A$9 * (34.25027847290039 -A$8)</f>
        <v>0</v>
      </c>
      <c r="B148" t="str">
        <f>B$9 * (34.25027847290039 -B$8)</f>
        <v>0</v>
      </c>
      <c r="C148" t="str">
        <f>C$9 * (34.25027847290039 -C$8)</f>
        <v>0</v>
      </c>
      <c r="D148" t="str">
        <f>D$9 * (34.25027847290039 -D$8)</f>
        <v>0</v>
      </c>
      <c r="F148" t="str">
        <f>F$9 * (0.009876490570604801 -F$8)</f>
        <v>0</v>
      </c>
      <c r="G148" t="str">
        <f>G$9 * (5.814314842224121 -G$8)</f>
        <v>0</v>
      </c>
      <c r="H148" t="str">
        <f>H$9 * (12.01716041564941 -H$8)</f>
        <v>0</v>
      </c>
      <c r="I148" t="str">
        <f>I$9 * (0.03442222997546196 -I$8)</f>
        <v>0</v>
      </c>
    </row>
    <row r="149" spans="1:11">
      <c r="A149" t="str">
        <f>A$9 * (34.5001106262207 -A$8)</f>
        <v>0</v>
      </c>
      <c r="B149" t="str">
        <f>B$9 * (34.5001106262207 -B$8)</f>
        <v>0</v>
      </c>
      <c r="C149" t="str">
        <f>C$9 * (34.5001106262207 -C$8)</f>
        <v>0</v>
      </c>
      <c r="D149" t="str">
        <f>D$9 * (34.5001106262207 -D$8)</f>
        <v>0</v>
      </c>
      <c r="F149" t="str">
        <f>F$9 * (0.009876902215182781 -F$8)</f>
        <v>0</v>
      </c>
      <c r="G149" t="str">
        <f>G$9 * (5.814211845397949 -G$8)</f>
        <v>0</v>
      </c>
      <c r="H149" t="str">
        <f>H$9 * (12.01655960083008 -H$8)</f>
        <v>0</v>
      </c>
      <c r="I149" t="str">
        <f>I$9 * (0.03442049026489258 -I$8)</f>
        <v>0</v>
      </c>
    </row>
    <row r="150" spans="1:11">
      <c r="A150" t="str">
        <f>A$9 * (34.75033187866211 -A$8)</f>
        <v>0</v>
      </c>
      <c r="B150" t="str">
        <f>B$9 * (34.75033187866211 -B$8)</f>
        <v>0</v>
      </c>
      <c r="C150" t="str">
        <f>C$9 * (34.75033187866211 -C$8)</f>
        <v>0</v>
      </c>
      <c r="D150" t="str">
        <f>D$9 * (34.75033187866211 -D$8)</f>
        <v>0</v>
      </c>
      <c r="F150" t="str">
        <f>F$9 * (0.009876706637442112 -F$8)</f>
        <v>0</v>
      </c>
      <c r="G150" t="str">
        <f>G$9 * (5.814478874206543 -G$8)</f>
        <v>0</v>
      </c>
      <c r="H150" t="str">
        <f>H$9 * (12.0173397064209 -H$8)</f>
        <v>0</v>
      </c>
      <c r="I150" t="str">
        <f>I$9 * (0.03442341834306717 -I$8)</f>
        <v>0</v>
      </c>
    </row>
    <row r="151" spans="1:11">
      <c r="A151" t="str">
        <f>A$9 * (35.00016784667969 -A$8)</f>
        <v>0</v>
      </c>
      <c r="B151" t="str">
        <f>B$9 * (35.00016784667969 -B$8)</f>
        <v>0</v>
      </c>
      <c r="C151" t="str">
        <f>C$9 * (35.00016784667969 -C$8)</f>
        <v>0</v>
      </c>
      <c r="D151" t="str">
        <f>D$9 * (35.00016784667969 -D$8)</f>
        <v>0</v>
      </c>
      <c r="F151" t="str">
        <f>F$9 * (0.009876128286123276 -F$8)</f>
        <v>0</v>
      </c>
      <c r="G151" t="str">
        <f>G$9 * (5.813933849334717 -G$8)</f>
        <v>0</v>
      </c>
      <c r="H151" t="str">
        <f>H$9 * (12.01655960083008 -H$8)</f>
        <v>0</v>
      </c>
      <c r="I151" t="str">
        <f>I$9 * (0.03441895917057991 -I$8)</f>
        <v>0</v>
      </c>
    </row>
    <row r="152" spans="1:11">
      <c r="A152" t="str">
        <f>A$9 * (35.25038909912109 -A$8)</f>
        <v>0</v>
      </c>
      <c r="B152" t="str">
        <f>B$9 * (35.25038909912109 -B$8)</f>
        <v>0</v>
      </c>
      <c r="C152" t="str">
        <f>C$9 * (35.25038909912109 -C$8)</f>
        <v>0</v>
      </c>
      <c r="D152" t="str">
        <f>D$9 * (35.25038909912109 -D$8)</f>
        <v>0</v>
      </c>
      <c r="F152" t="str">
        <f>F$9 * (0.00987694039940834 -F$8)</f>
        <v>0</v>
      </c>
      <c r="G152" t="str">
        <f>G$9 * (5.814383983612061 -G$8)</f>
        <v>0</v>
      </c>
      <c r="H152" t="str">
        <f>H$9 * (12.01692008972168 -H$8)</f>
        <v>0</v>
      </c>
      <c r="I152" t="str">
        <f>I$9 * (0.03442209959030151 -I$8)</f>
        <v>0</v>
      </c>
    </row>
    <row r="153" spans="1:11">
      <c r="A153" t="str">
        <f>A$9 * (35.50022125244141 -A$8)</f>
        <v>0</v>
      </c>
      <c r="B153" t="str">
        <f>B$9 * (35.50022125244141 -B$8)</f>
        <v>0</v>
      </c>
      <c r="C153" t="str">
        <f>C$9 * (35.50022125244141 -C$8)</f>
        <v>0</v>
      </c>
      <c r="D153" t="str">
        <f>D$9 * (35.50022125244141 -D$8)</f>
        <v>0</v>
      </c>
      <c r="F153" t="str">
        <f>F$9 * (0.009876701980829239 -F$8)</f>
        <v>0</v>
      </c>
      <c r="G153" t="str">
        <f>G$9 * (5.814333915710449 -G$8)</f>
        <v>0</v>
      </c>
      <c r="H153" t="str">
        <f>H$9 * (12.0170202255249 -H$8)</f>
        <v>0</v>
      </c>
      <c r="I153" t="str">
        <f>I$9 * (0.03442199155688286 -I$8)</f>
        <v>0</v>
      </c>
    </row>
    <row r="154" spans="1:11">
      <c r="A154" t="str">
        <f>A$9 * (35.75002670288086 -A$8)</f>
        <v>0</v>
      </c>
      <c r="B154" t="str">
        <f>B$9 * (35.75002670288086 -B$8)</f>
        <v>0</v>
      </c>
      <c r="C154" t="str">
        <f>C$9 * (35.75002670288086 -C$8)</f>
        <v>0</v>
      </c>
      <c r="D154" t="str">
        <f>D$9 * (35.75002670288086 -D$8)</f>
        <v>0</v>
      </c>
      <c r="F154" t="str">
        <f>F$9 * (0.009877190925180912 -F$8)</f>
        <v>0</v>
      </c>
      <c r="G154" t="str">
        <f>G$9 * (5.814466953277588 -G$8)</f>
        <v>0</v>
      </c>
      <c r="H154" t="str">
        <f>H$9 * (12.0169095993042 -H$8)</f>
        <v>0</v>
      </c>
      <c r="I154" t="str">
        <f>I$9 * (0.03442253917455673 -I$8)</f>
        <v>0</v>
      </c>
    </row>
    <row r="155" spans="1:11">
      <c r="A155" t="str">
        <f>A$9 * (36.00025177001953 -A$8)</f>
        <v>0</v>
      </c>
      <c r="B155" t="str">
        <f>B$9 * (36.00025177001953 -B$8)</f>
        <v>0</v>
      </c>
      <c r="C155" t="str">
        <f>C$9 * (36.00025177001953 -C$8)</f>
        <v>0</v>
      </c>
      <c r="D155" t="str">
        <f>D$9 * (36.00025177001953 -D$8)</f>
        <v>0</v>
      </c>
      <c r="F155" t="str">
        <f>F$9 * (0.00987737812101841 -F$8)</f>
        <v>0</v>
      </c>
      <c r="G155" t="str">
        <f>G$9 * (5.814662933349609 -G$8)</f>
        <v>0</v>
      </c>
      <c r="H155" t="str">
        <f>H$9 * (12.01721000671387 -H$8)</f>
        <v>0</v>
      </c>
      <c r="I155" t="str">
        <f>I$9 * (0.03442421928048134 -I$8)</f>
        <v>0</v>
      </c>
    </row>
    <row r="156" spans="1:11">
      <c r="A156" t="str">
        <f>A$9 * (36.25008392333984 -A$8)</f>
        <v>0</v>
      </c>
      <c r="B156" t="str">
        <f>B$9 * (36.25008392333984 -B$8)</f>
        <v>0</v>
      </c>
      <c r="C156" t="str">
        <f>C$9 * (36.25008392333984 -C$8)</f>
        <v>0</v>
      </c>
      <c r="D156" t="str">
        <f>D$9 * (36.25008392333984 -D$8)</f>
        <v>0</v>
      </c>
      <c r="F156" t="str">
        <f>F$9 * (0.009878076612949371 -F$8)</f>
        <v>0</v>
      </c>
      <c r="G156" t="str">
        <f>G$9 * (5.814809799194336 -G$8)</f>
        <v>0</v>
      </c>
      <c r="H156" t="str">
        <f>H$9 * (12.01696014404297 -H$8)</f>
        <v>0</v>
      </c>
      <c r="I156" t="str">
        <f>I$9 * (0.03442456945776939 -I$8)</f>
        <v>0</v>
      </c>
    </row>
    <row r="157" spans="1:11">
      <c r="A157" t="str">
        <f>A$9 * (36.50030517578125 -A$8)</f>
        <v>0</v>
      </c>
      <c r="B157" t="str">
        <f>B$9 * (36.50030517578125 -B$8)</f>
        <v>0</v>
      </c>
      <c r="C157" t="str">
        <f>C$9 * (36.50030517578125 -C$8)</f>
        <v>0</v>
      </c>
      <c r="D157" t="str">
        <f>D$9 * (36.50030517578125 -D$8)</f>
        <v>0</v>
      </c>
      <c r="F157" t="str">
        <f>F$9 * (0.009877018630504608 -F$8)</f>
        <v>0</v>
      </c>
      <c r="G157" t="str">
        <f>G$9 * (5.814536094665527 -G$8)</f>
        <v>0</v>
      </c>
      <c r="H157" t="str">
        <f>H$9 * (12.01721000671387 -H$8)</f>
        <v>0</v>
      </c>
      <c r="I157" t="str">
        <f>I$9 * (0.03442351147532463 -I$8)</f>
        <v>0</v>
      </c>
    </row>
    <row r="158" spans="1:11">
      <c r="A158" t="str">
        <f>A$9 * (36.75013732910156 -A$8)</f>
        <v>0</v>
      </c>
      <c r="B158" t="str">
        <f>B$9 * (36.75013732910156 -B$8)</f>
        <v>0</v>
      </c>
      <c r="C158" t="str">
        <f>C$9 * (36.75013732910156 -C$8)</f>
        <v>0</v>
      </c>
      <c r="D158" t="str">
        <f>D$9 * (36.75013732910156 -D$8)</f>
        <v>0</v>
      </c>
      <c r="F158" t="str">
        <f>F$9 * (0.00987700093537569 -F$8)</f>
        <v>0</v>
      </c>
      <c r="G158" t="str">
        <f>G$9 * (5.814587116241455 -G$8)</f>
        <v>0</v>
      </c>
      <c r="H158" t="str">
        <f>H$9 * (12.01735973358154 -H$8)</f>
        <v>0</v>
      </c>
      <c r="I158" t="str">
        <f>I$9 * (0.03442417830228806 -I$8)</f>
        <v>0</v>
      </c>
    </row>
    <row r="159" spans="1:11">
      <c r="A159" t="str">
        <f>A$9 * (37.00036239624023 -A$8)</f>
        <v>0</v>
      </c>
      <c r="B159" t="str">
        <f>B$9 * (37.00036239624023 -B$8)</f>
        <v>0</v>
      </c>
      <c r="C159" t="str">
        <f>C$9 * (37.00036239624023 -C$8)</f>
        <v>0</v>
      </c>
      <c r="D159" t="str">
        <f>D$9 * (37.00036239624023 -D$8)</f>
        <v>0</v>
      </c>
      <c r="F159" t="str">
        <f>F$9 * (0.009876826778054237 -F$8)</f>
        <v>0</v>
      </c>
      <c r="G159" t="str">
        <f>G$9 * (5.814425945281982 -G$8)</f>
        <v>0</v>
      </c>
      <c r="H159" t="str">
        <f>H$9 * (12.01712989807129 -H$8)</f>
        <v>0</v>
      </c>
      <c r="I159" t="str">
        <f>I$9 * (0.03442281857132912 -I$8)</f>
        <v>0</v>
      </c>
    </row>
    <row r="160" spans="1:11">
      <c r="A160" t="str">
        <f>A$9 * (37.25019454956055 -A$8)</f>
        <v>0</v>
      </c>
      <c r="B160" t="str">
        <f>B$9 * (37.25019454956055 -B$8)</f>
        <v>0</v>
      </c>
      <c r="C160" t="str">
        <f>C$9 * (37.25019454956055 -C$8)</f>
        <v>0</v>
      </c>
      <c r="D160" t="str">
        <f>D$9 * (37.25019454956055 -D$8)</f>
        <v>0</v>
      </c>
      <c r="F160" t="str">
        <f>F$9 * (0.009876442141830921 -F$8)</f>
        <v>0</v>
      </c>
      <c r="G160" t="str">
        <f>G$9 * (5.814346790313721 -G$8)</f>
        <v>0</v>
      </c>
      <c r="H160" t="str">
        <f>H$9 * (12.0172700881958 -H$8)</f>
        <v>0</v>
      </c>
      <c r="I160" t="str">
        <f>I$9 * (0.03442258015275002 -I$8)</f>
        <v>0</v>
      </c>
    </row>
    <row r="161" spans="1:11">
      <c r="A161" t="str">
        <f>A$9 * (37.50002670288086 -A$8)</f>
        <v>0</v>
      </c>
      <c r="B161" t="str">
        <f>B$9 * (37.50002670288086 -B$8)</f>
        <v>0</v>
      </c>
      <c r="C161" t="str">
        <f>C$9 * (37.50002670288086 -C$8)</f>
        <v>0</v>
      </c>
      <c r="D161" t="str">
        <f>D$9 * (37.50002670288086 -D$8)</f>
        <v>0</v>
      </c>
      <c r="F161" t="str">
        <f>F$9 * (0.009877309203147888 -F$8)</f>
        <v>0</v>
      </c>
      <c r="G161" t="str">
        <f>G$9 * (5.814688205718994 -G$8)</f>
        <v>0</v>
      </c>
      <c r="H161" t="str">
        <f>H$9 * (12.01733016967773 -H$8)</f>
        <v>0</v>
      </c>
      <c r="I161" t="str">
        <f>I$9 * (0.03442461043596268 -I$8)</f>
        <v>0</v>
      </c>
    </row>
    <row r="162" spans="1:11">
      <c r="A162" t="str">
        <f>A$9 * (37.75025177001953 -A$8)</f>
        <v>0</v>
      </c>
      <c r="B162" t="str">
        <f>B$9 * (37.75025177001953 -B$8)</f>
        <v>0</v>
      </c>
      <c r="C162" t="str">
        <f>C$9 * (37.75025177001953 -C$8)</f>
        <v>0</v>
      </c>
      <c r="D162" t="str">
        <f>D$9 * (37.75025177001953 -D$8)</f>
        <v>0</v>
      </c>
      <c r="F162" t="str">
        <f>F$9 * (0.009876402094960213 -F$8)</f>
        <v>0</v>
      </c>
      <c r="G162" t="str">
        <f>G$9 * (5.814412117004395 -G$8)</f>
        <v>0</v>
      </c>
      <c r="H162" t="str">
        <f>H$9 * (12.01745986938477 -H$8)</f>
        <v>0</v>
      </c>
      <c r="I162" t="str">
        <f>I$9 * (0.03442332893610001 -I$8)</f>
        <v>0</v>
      </c>
    </row>
    <row r="163" spans="1:11">
      <c r="A163" t="str">
        <f>A$9 * (38.00005722045898 -A$8)</f>
        <v>0</v>
      </c>
      <c r="B163" t="str">
        <f>B$9 * (38.00005722045898 -B$8)</f>
        <v>0</v>
      </c>
      <c r="C163" t="str">
        <f>C$9 * (38.00005722045898 -C$8)</f>
        <v>0</v>
      </c>
      <c r="D163" t="str">
        <f>D$9 * (38.00005722045898 -D$8)</f>
        <v>0</v>
      </c>
      <c r="F163" t="str">
        <f>F$9 * (0.009877408854663372 -F$8)</f>
        <v>0</v>
      </c>
      <c r="G163" t="str">
        <f>G$9 * (5.81462287902832 -G$8)</f>
        <v>0</v>
      </c>
      <c r="H163" t="str">
        <f>H$9 * (12.01708984375 -H$8)</f>
        <v>0</v>
      </c>
      <c r="I163" t="str">
        <f>I$9 * (0.03442372009158134 -I$8)</f>
        <v>0</v>
      </c>
    </row>
    <row r="164" spans="1:11">
      <c r="A164" t="str">
        <f>A$9 * (38.25030517578125 -A$8)</f>
        <v>0</v>
      </c>
      <c r="B164" t="str">
        <f>B$9 * (38.25030517578125 -B$8)</f>
        <v>0</v>
      </c>
      <c r="C164" t="str">
        <f>C$9 * (38.25030517578125 -C$8)</f>
        <v>0</v>
      </c>
      <c r="D164" t="str">
        <f>D$9 * (38.25030517578125 -D$8)</f>
        <v>0</v>
      </c>
      <c r="F164" t="str">
        <f>F$9 * (0.009877437725663185 -F$8)</f>
        <v>0</v>
      </c>
      <c r="G164" t="str">
        <f>G$9 * (5.814714908599854 -G$8)</f>
        <v>0</v>
      </c>
      <c r="H164" t="str">
        <f>H$9 * (12.01727962493896 -H$8)</f>
        <v>0</v>
      </c>
      <c r="I164" t="str">
        <f>I$9 * (0.03442461043596268 -I$8)</f>
        <v>0</v>
      </c>
    </row>
    <row r="165" spans="1:11">
      <c r="A165" t="str">
        <f>A$9 * (38.5001106262207 -A$8)</f>
        <v>0</v>
      </c>
      <c r="B165" t="str">
        <f>B$9 * (38.5001106262207 -B$8)</f>
        <v>0</v>
      </c>
      <c r="C165" t="str">
        <f>C$9 * (38.5001106262207 -C$8)</f>
        <v>0</v>
      </c>
      <c r="D165" t="str">
        <f>D$9 * (38.5001106262207 -D$8)</f>
        <v>0</v>
      </c>
      <c r="F165" t="str">
        <f>F$9 * (0.009876582771539688 -F$8)</f>
        <v>0</v>
      </c>
      <c r="G165" t="str">
        <f>G$9 * (5.814534187316895 -G$8)</f>
        <v>0</v>
      </c>
      <c r="H165" t="str">
        <f>H$9 * (12.01760005950928 -H$8)</f>
        <v>0</v>
      </c>
      <c r="I165" t="str">
        <f>I$9 * (0.0344243012368679 -I$8)</f>
        <v>0</v>
      </c>
    </row>
    <row r="166" spans="1:11">
      <c r="A166" t="str">
        <f>A$9 * (38.75036239624023 -A$8)</f>
        <v>0</v>
      </c>
      <c r="B166" t="str">
        <f>B$9 * (38.75036239624023 -B$8)</f>
        <v>0</v>
      </c>
      <c r="C166" t="str">
        <f>C$9 * (38.75036239624023 -C$8)</f>
        <v>0</v>
      </c>
      <c r="D166" t="str">
        <f>D$9 * (38.75036239624023 -D$8)</f>
        <v>0</v>
      </c>
      <c r="F166" t="str">
        <f>F$9 * (0.009877328760921955 -F$8)</f>
        <v>0</v>
      </c>
      <c r="G166" t="str">
        <f>G$9 * (5.814661026000977 -G$8)</f>
        <v>0</v>
      </c>
      <c r="H166" t="str">
        <f>H$9 * (12.01725006103516 -H$8)</f>
        <v>0</v>
      </c>
      <c r="I166" t="str">
        <f>I$9 * (0.03442427143454552 -I$8)</f>
        <v>0</v>
      </c>
    </row>
    <row r="167" spans="1:11">
      <c r="A167" t="str">
        <f>A$9 * (39.00016784667969 -A$8)</f>
        <v>0</v>
      </c>
      <c r="B167" t="str">
        <f>B$9 * (39.00016784667969 -B$8)</f>
        <v>0</v>
      </c>
      <c r="C167" t="str">
        <f>C$9 * (39.00016784667969 -C$8)</f>
        <v>0</v>
      </c>
      <c r="D167" t="str">
        <f>D$9 * (39.00016784667969 -D$8)</f>
        <v>0</v>
      </c>
      <c r="F167" t="str">
        <f>F$9 * (0.009877884760499001 -F$8)</f>
        <v>0</v>
      </c>
      <c r="G167" t="str">
        <f>G$9 * (5.814905166625977 -G$8)</f>
        <v>0</v>
      </c>
      <c r="H167" t="str">
        <f>H$9 * (12.0173397064209 -H$8)</f>
        <v>0</v>
      </c>
      <c r="I167" t="str">
        <f>I$9 * (0.03442579135298729 -I$8)</f>
        <v>0</v>
      </c>
    </row>
    <row r="168" spans="1:11">
      <c r="A168" t="str">
        <f>A$9 * (39.25041580200195 -A$8)</f>
        <v>0</v>
      </c>
      <c r="B168" t="str">
        <f>B$9 * (39.25041580200195 -B$8)</f>
        <v>0</v>
      </c>
      <c r="C168" t="str">
        <f>C$9 * (39.25041580200195 -C$8)</f>
        <v>0</v>
      </c>
      <c r="D168" t="str">
        <f>D$9 * (39.25041580200195 -D$8)</f>
        <v>0</v>
      </c>
      <c r="F168" t="str">
        <f>F$9 * (0.00987664982676506 -F$8)</f>
        <v>0</v>
      </c>
      <c r="G168" t="str">
        <f>G$9 * (5.814526081085205 -G$8)</f>
        <v>0</v>
      </c>
      <c r="H168" t="str">
        <f>H$9 * (12.0175199508667 -H$8)</f>
        <v>0</v>
      </c>
      <c r="I168" t="str">
        <f>I$9 * (0.03442410007119179 -I$8)</f>
        <v>0</v>
      </c>
    </row>
    <row r="169" spans="1:11">
      <c r="A169" t="str">
        <f>A$9 * (39.50022125244141 -A$8)</f>
        <v>0</v>
      </c>
      <c r="B169" t="str">
        <f>B$9 * (39.50022125244141 -B$8)</f>
        <v>0</v>
      </c>
      <c r="C169" t="str">
        <f>C$9 * (39.50022125244141 -C$8)</f>
        <v>0</v>
      </c>
      <c r="D169" t="str">
        <f>D$9 * (39.50022125244141 -D$8)</f>
        <v>0</v>
      </c>
      <c r="F169" t="str">
        <f>F$9 * (0.009877107106149197 -F$8)</f>
        <v>0</v>
      </c>
      <c r="G169" t="str">
        <f>G$9 * (5.814585208892822 -G$8)</f>
        <v>0</v>
      </c>
      <c r="H169" t="str">
        <f>H$9 * (12.01725959777832 -H$8)</f>
        <v>0</v>
      </c>
      <c r="I169" t="str">
        <f>I$9 * (0.03442391008138657 -I$8)</f>
        <v>0</v>
      </c>
    </row>
    <row r="170" spans="1:11">
      <c r="A170" t="str">
        <f>A$9 * (39.75005722045898 -A$8)</f>
        <v>0</v>
      </c>
      <c r="B170" t="str">
        <f>B$9 * (39.75005722045898 -B$8)</f>
        <v>0</v>
      </c>
      <c r="C170" t="str">
        <f>C$9 * (39.75005722045898 -C$8)</f>
        <v>0</v>
      </c>
      <c r="D170" t="str">
        <f>D$9 * (39.75005722045898 -D$8)</f>
        <v>0</v>
      </c>
      <c r="F170" t="str">
        <f>F$9 * (0.009877249598503113 -F$8)</f>
        <v>0</v>
      </c>
      <c r="G170" t="str">
        <f>G$9 * (5.814774036407471 -G$8)</f>
        <v>0</v>
      </c>
      <c r="H170" t="str">
        <f>H$9 * (12.01758003234863 -H$8)</f>
        <v>0</v>
      </c>
      <c r="I170" t="str">
        <f>I$9 * (0.03442554175853729 -I$8)</f>
        <v>0</v>
      </c>
    </row>
    <row r="171" spans="1:11">
      <c r="A171" t="str">
        <f>A$9 * (40.00027847290039 -A$8)</f>
        <v>0</v>
      </c>
      <c r="B171" t="str">
        <f>B$9 * (40.00027847290039 -B$8)</f>
        <v>0</v>
      </c>
      <c r="C171" t="str">
        <f>C$9 * (40.00027847290039 -C$8)</f>
        <v>0</v>
      </c>
      <c r="D171" t="str">
        <f>D$9 * (40.00027847290039 -D$8)</f>
        <v>0</v>
      </c>
      <c r="F171" t="str">
        <f>F$9 * (0.009876891039311886 -F$8)</f>
        <v>0</v>
      </c>
      <c r="G171" t="str">
        <f>G$9 * (5.814705848693848 -G$8)</f>
        <v>0</v>
      </c>
      <c r="H171" t="str">
        <f>H$9 * (12.01772975921631 -H$8)</f>
        <v>0</v>
      </c>
      <c r="I171" t="str">
        <f>I$9 * (0.03442550823092461 -I$8)</f>
        <v>0</v>
      </c>
    </row>
    <row r="172" spans="1:11">
      <c r="A172" t="str">
        <f>A$9 * (40.2501106262207 -A$8)</f>
        <v>0</v>
      </c>
      <c r="B172" t="str">
        <f>B$9 * (40.2501106262207 -B$8)</f>
        <v>0</v>
      </c>
      <c r="C172" t="str">
        <f>C$9 * (40.2501106262207 -C$8)</f>
        <v>0</v>
      </c>
      <c r="D172" t="str">
        <f>D$9 * (40.2501106262207 -D$8)</f>
        <v>0</v>
      </c>
      <c r="F172" t="str">
        <f>F$9 * (0.009877664037048817 -F$8)</f>
        <v>0</v>
      </c>
      <c r="G172" t="str">
        <f>G$9 * (5.814986228942871 -G$8)</f>
        <v>0</v>
      </c>
      <c r="H172" t="str">
        <f>H$9 * (12.01772975921631 -H$8)</f>
        <v>0</v>
      </c>
      <c r="I172" t="str">
        <f>I$9 * (0.03442703932523727 -I$8)</f>
        <v>0</v>
      </c>
    </row>
    <row r="173" spans="1:11">
      <c r="A173" t="str">
        <f>A$9 * (40.50033187866211 -A$8)</f>
        <v>0</v>
      </c>
      <c r="B173" t="str">
        <f>B$9 * (40.50033187866211 -B$8)</f>
        <v>0</v>
      </c>
      <c r="C173" t="str">
        <f>C$9 * (40.50033187866211 -C$8)</f>
        <v>0</v>
      </c>
      <c r="D173" t="str">
        <f>D$9 * (40.50033187866211 -D$8)</f>
        <v>0</v>
      </c>
      <c r="F173" t="str">
        <f>F$9 * (0.009876856580376625 -F$8)</f>
        <v>0</v>
      </c>
      <c r="G173" t="str">
        <f>G$9 * (5.814580917358398 -G$8)</f>
        <v>0</v>
      </c>
      <c r="H173" t="str">
        <f>H$9 * (12.01747035980225 -H$8)</f>
        <v>0</v>
      </c>
      <c r="I173" t="str">
        <f>I$9 * (0.03442426025867462 -I$8)</f>
        <v>0</v>
      </c>
    </row>
    <row r="174" spans="1:11">
      <c r="A174" t="str">
        <f>A$9 * (40.75016784667969 -A$8)</f>
        <v>0</v>
      </c>
      <c r="B174" t="str">
        <f>B$9 * (40.75016784667969 -B$8)</f>
        <v>0</v>
      </c>
      <c r="C174" t="str">
        <f>C$9 * (40.75016784667969 -C$8)</f>
        <v>0</v>
      </c>
      <c r="D174" t="str">
        <f>D$9 * (40.75016784667969 -D$8)</f>
        <v>0</v>
      </c>
      <c r="F174" t="str">
        <f>F$9 * (0.009876588359475136 -F$8)</f>
        <v>0</v>
      </c>
      <c r="G174" t="str">
        <f>G$9 * (5.814478874206543 -G$8)</f>
        <v>0</v>
      </c>
      <c r="H174" t="str">
        <f>H$9 * (12.01745986938477 -H$8)</f>
        <v>0</v>
      </c>
      <c r="I174" t="str">
        <f>I$9 * (0.03442370891571045 -I$8)</f>
        <v>0</v>
      </c>
    </row>
    <row r="175" spans="1:11">
      <c r="A175" t="str">
        <f>A$9 * (41.00038909912109 -A$8)</f>
        <v>0</v>
      </c>
      <c r="B175" t="str">
        <f>B$9 * (41.00038909912109 -B$8)</f>
        <v>0</v>
      </c>
      <c r="C175" t="str">
        <f>C$9 * (41.00038909912109 -C$8)</f>
        <v>0</v>
      </c>
      <c r="D175" t="str">
        <f>D$9 * (41.00038909912109 -D$8)</f>
        <v>0</v>
      </c>
      <c r="F175" t="str">
        <f>F$9 * (0.009876835159957409 -F$8)</f>
        <v>0</v>
      </c>
      <c r="G175" t="str">
        <f>G$9 * (5.814667224884033 -G$8)</f>
        <v>0</v>
      </c>
      <c r="H175" t="str">
        <f>H$9 * (12.01768970489502 -H$8)</f>
        <v>0</v>
      </c>
      <c r="I175" t="str">
        <f>I$9 * (0.03442516922950745 -I$8)</f>
        <v>0</v>
      </c>
    </row>
    <row r="176" spans="1:11">
      <c r="A176" t="str">
        <f>A$9 * (41.25022125244141 -A$8)</f>
        <v>0</v>
      </c>
      <c r="B176" t="str">
        <f>B$9 * (41.25022125244141 -B$8)</f>
        <v>0</v>
      </c>
      <c r="C176" t="str">
        <f>C$9 * (41.25022125244141 -C$8)</f>
        <v>0</v>
      </c>
      <c r="D176" t="str">
        <f>D$9 * (41.25022125244141 -D$8)</f>
        <v>0</v>
      </c>
      <c r="F176" t="str">
        <f>F$9 * (0.009876982308924198 -F$8)</f>
        <v>0</v>
      </c>
      <c r="G176" t="str">
        <f>G$9 * (5.814645767211914 -G$8)</f>
        <v>0</v>
      </c>
      <c r="H176" t="str">
        <f>H$9 * (12.01751041412354 -H$8)</f>
        <v>0</v>
      </c>
      <c r="I176" t="str">
        <f>I$9 * (0.03442468121647835 -I$8)</f>
        <v>0</v>
      </c>
    </row>
    <row r="177" spans="1:11">
      <c r="A177" t="str">
        <f>A$9 * (41.50002670288086 -A$8)</f>
        <v>0</v>
      </c>
      <c r="B177" t="str">
        <f>B$9 * (41.50002670288086 -B$8)</f>
        <v>0</v>
      </c>
      <c r="C177" t="str">
        <f>C$9 * (41.50002670288086 -C$8)</f>
        <v>0</v>
      </c>
      <c r="D177" t="str">
        <f>D$9 * (41.50002670288086 -D$8)</f>
        <v>0</v>
      </c>
      <c r="F177" t="str">
        <f>F$9 * (0.009878008626401424 -F$8)</f>
        <v>0</v>
      </c>
      <c r="G177" t="str">
        <f>G$9 * (5.815098762512207 -G$8)</f>
        <v>0</v>
      </c>
      <c r="H177" t="str">
        <f>H$9 * (12.01768970489502 -H$8)</f>
        <v>0</v>
      </c>
      <c r="I177" t="str">
        <f>I$9 * (0.03442753851413727 -I$8)</f>
        <v>0</v>
      </c>
    </row>
    <row r="178" spans="1:11">
      <c r="A178" t="str">
        <f>A$9 * (41.75025177001953 -A$8)</f>
        <v>0</v>
      </c>
      <c r="B178" t="str">
        <f>B$9 * (41.75025177001953 -B$8)</f>
        <v>0</v>
      </c>
      <c r="C178" t="str">
        <f>C$9 * (41.75025177001953 -C$8)</f>
        <v>0</v>
      </c>
      <c r="D178" t="str">
        <f>D$9 * (41.75025177001953 -D$8)</f>
        <v>0</v>
      </c>
      <c r="F178" t="str">
        <f>F$9 * (0.00987698882818222 -F$8)</f>
        <v>0</v>
      </c>
      <c r="G178" t="str">
        <f>G$9 * (5.814667224884033 -G$8)</f>
        <v>0</v>
      </c>
      <c r="H178" t="str">
        <f>H$9 * (12.01756000518799 -H$8)</f>
        <v>0</v>
      </c>
      <c r="I178" t="str">
        <f>I$9 * (0.03442493826150894 -I$8)</f>
        <v>0</v>
      </c>
    </row>
    <row r="179" spans="1:11">
      <c r="A179" t="str">
        <f>A$9 * (42.00008392333984 -A$8)</f>
        <v>0</v>
      </c>
      <c r="B179" t="str">
        <f>B$9 * (42.00008392333984 -B$8)</f>
        <v>0</v>
      </c>
      <c r="C179" t="str">
        <f>C$9 * (42.00008392333984 -C$8)</f>
        <v>0</v>
      </c>
      <c r="D179" t="str">
        <f>D$9 * (42.00008392333984 -D$8)</f>
        <v>0</v>
      </c>
      <c r="F179" t="str">
        <f>F$9 * (0.009876811876893044 -F$8)</f>
        <v>0</v>
      </c>
      <c r="G179" t="str">
        <f>G$9 * (5.81451416015625 -G$8)</f>
        <v>0</v>
      </c>
      <c r="H179" t="str">
        <f>H$9 * (12.01735019683838 -H$8)</f>
        <v>0</v>
      </c>
      <c r="I179" t="str">
        <f>I$9 * (0.03442367166280746 -I$8)</f>
        <v>0</v>
      </c>
    </row>
    <row r="180" spans="1:11">
      <c r="A180" t="str">
        <f>A$9 * (42.25030517578125 -A$8)</f>
        <v>0</v>
      </c>
      <c r="B180" t="str">
        <f>B$9 * (42.25030517578125 -B$8)</f>
        <v>0</v>
      </c>
      <c r="C180" t="str">
        <f>C$9 * (42.25030517578125 -C$8)</f>
        <v>0</v>
      </c>
      <c r="D180" t="str">
        <f>D$9 * (42.25030517578125 -D$8)</f>
        <v>0</v>
      </c>
      <c r="F180" t="str">
        <f>F$9 * (0.009877090342342854 -F$8)</f>
        <v>0</v>
      </c>
      <c r="G180" t="str">
        <f>G$9 * (5.814723968505859 -G$8)</f>
        <v>0</v>
      </c>
      <c r="H180" t="str">
        <f>H$9 * (12.01760005950928 -H$8)</f>
        <v>0</v>
      </c>
      <c r="I180" t="str">
        <f>I$9 * (0.03442531824111938 -I$8)</f>
        <v>0</v>
      </c>
    </row>
    <row r="181" spans="1:11">
      <c r="A181" t="str">
        <f>A$9 * (42.50013732910156 -A$8)</f>
        <v>0</v>
      </c>
      <c r="B181" t="str">
        <f>B$9 * (42.50013732910156 -B$8)</f>
        <v>0</v>
      </c>
      <c r="C181" t="str">
        <f>C$9 * (42.50013732910156 -C$8)</f>
        <v>0</v>
      </c>
      <c r="D181" t="str">
        <f>D$9 * (42.50013732910156 -D$8)</f>
        <v>0</v>
      </c>
      <c r="F181" t="str">
        <f>F$9 * (0.009876689873635769 -F$8)</f>
        <v>0</v>
      </c>
      <c r="G181" t="str">
        <f>G$9 * (5.814658164978027 -G$8)</f>
        <v>0</v>
      </c>
      <c r="H181" t="str">
        <f>H$9 * (12.01778984069824 -H$8)</f>
        <v>0</v>
      </c>
      <c r="I181" t="str">
        <f>I$9 * (0.03442535176873207 -I$8)</f>
        <v>0</v>
      </c>
    </row>
    <row r="182" spans="1:11">
      <c r="A182" t="str">
        <f>A$9 * (42.75036239624023 -A$8)</f>
        <v>0</v>
      </c>
      <c r="B182" t="str">
        <f>B$9 * (42.75036239624023 -B$8)</f>
        <v>0</v>
      </c>
      <c r="C182" t="str">
        <f>C$9 * (42.75036239624023 -C$8)</f>
        <v>0</v>
      </c>
      <c r="D182" t="str">
        <f>D$9 * (42.75036239624023 -D$8)</f>
        <v>0</v>
      </c>
      <c r="F182" t="str">
        <f>F$9 * (0.009876308031380177 -F$8)</f>
        <v>0</v>
      </c>
      <c r="G182" t="str">
        <f>G$9 * (5.814589977264404 -G$8)</f>
        <v>0</v>
      </c>
      <c r="H182" t="str">
        <f>H$9 * (12.01795959472656 -H$8)</f>
        <v>0</v>
      </c>
      <c r="I182" t="str">
        <f>I$9 * (0.034425288438797 -I$8)</f>
        <v>0</v>
      </c>
    </row>
    <row r="183" spans="1:11">
      <c r="A183" t="str">
        <f>A$9 * (43.00019454956055 -A$8)</f>
        <v>0</v>
      </c>
      <c r="B183" t="str">
        <f>B$9 * (43.00019454956055 -B$8)</f>
        <v>0</v>
      </c>
      <c r="C183" t="str">
        <f>C$9 * (43.00019454956055 -C$8)</f>
        <v>0</v>
      </c>
      <c r="D183" t="str">
        <f>D$9 * (43.00019454956055 -D$8)</f>
        <v>0</v>
      </c>
      <c r="F183" t="str">
        <f>F$9 * (0.009877288714051247 -F$8)</f>
        <v>0</v>
      </c>
      <c r="G183" t="str">
        <f>G$9 * (5.814650058746338 -G$8)</f>
        <v>0</v>
      </c>
      <c r="H183" t="str">
        <f>H$9 * (12.01725006103516 -H$8)</f>
        <v>0</v>
      </c>
      <c r="I183" t="str">
        <f>I$9 * (0.03442424163222313 -I$8)</f>
        <v>0</v>
      </c>
    </row>
    <row r="184" spans="1:11">
      <c r="A184" t="str">
        <f>A$9 * (43.25 -A$8)</f>
        <v>0</v>
      </c>
      <c r="B184" t="str">
        <f>B$9 * (43.25 -B$8)</f>
        <v>0</v>
      </c>
      <c r="C184" t="str">
        <f>C$9 * (43.25 -C$8)</f>
        <v>0</v>
      </c>
      <c r="D184" t="str">
        <f>D$9 * (43.25 -D$8)</f>
        <v>0</v>
      </c>
      <c r="F184" t="str">
        <f>F$9 * (0.009876388125121593 -F$8)</f>
        <v>0</v>
      </c>
      <c r="G184" t="str">
        <f>G$9 * (5.8146071434021 -G$8)</f>
        <v>0</v>
      </c>
      <c r="H184" t="str">
        <f>H$9 * (12.01791954040527 -H$8)</f>
        <v>0</v>
      </c>
      <c r="I184" t="str">
        <f>I$9 * (0.0344252698123455 -I$8)</f>
        <v>0</v>
      </c>
    </row>
    <row r="185" spans="1:11">
      <c r="A185" t="str">
        <f>A$9 * (43.50025177001953 -A$8)</f>
        <v>0</v>
      </c>
      <c r="B185" t="str">
        <f>B$9 * (43.50025177001953 -B$8)</f>
        <v>0</v>
      </c>
      <c r="C185" t="str">
        <f>C$9 * (43.50025177001953 -C$8)</f>
        <v>0</v>
      </c>
      <c r="D185" t="str">
        <f>D$9 * (43.50025177001953 -D$8)</f>
        <v>0</v>
      </c>
      <c r="F185" t="str">
        <f>F$9 * (0.009876471944153309 -F$8)</f>
        <v>0</v>
      </c>
      <c r="G185" t="str">
        <f>G$9 * (5.814405918121338 -G$8)</f>
        <v>0</v>
      </c>
      <c r="H185" t="str">
        <f>H$9 * (12.01737976074219 -H$8)</f>
        <v>0</v>
      </c>
      <c r="I185" t="str">
        <f>I$9 * (0.03442313894629478 -I$8)</f>
        <v>0</v>
      </c>
    </row>
    <row r="186" spans="1:11">
      <c r="A186" t="str">
        <f>A$9 * (43.75005722045898 -A$8)</f>
        <v>0</v>
      </c>
      <c r="B186" t="str">
        <f>B$9 * (43.75005722045898 -B$8)</f>
        <v>0</v>
      </c>
      <c r="C186" t="str">
        <f>C$9 * (43.75005722045898 -C$8)</f>
        <v>0</v>
      </c>
      <c r="D186" t="str">
        <f>D$9 * (43.75005722045898 -D$8)</f>
        <v>0</v>
      </c>
      <c r="F186" t="str">
        <f>F$9 * (0.009877543896436691 -F$8)</f>
        <v>0</v>
      </c>
      <c r="G186" t="str">
        <f>G$9 * (5.814925193786621 -G$8)</f>
        <v>0</v>
      </c>
      <c r="H186" t="str">
        <f>H$9 * (12.01768016815186 -H$8)</f>
        <v>0</v>
      </c>
      <c r="I186" t="str">
        <f>I$9 * (0.03442658111453056 -I$8)</f>
        <v>0</v>
      </c>
    </row>
    <row r="187" spans="1:11">
      <c r="A187" t="str">
        <f>A$9 * (44.00030517578125 -A$8)</f>
        <v>0</v>
      </c>
      <c r="B187" t="str">
        <f>B$9 * (44.00030517578125 -B$8)</f>
        <v>0</v>
      </c>
      <c r="C187" t="str">
        <f>C$9 * (44.00030517578125 -C$8)</f>
        <v>0</v>
      </c>
      <c r="D187" t="str">
        <f>D$9 * (44.00030517578125 -D$8)</f>
        <v>0</v>
      </c>
      <c r="F187" t="str">
        <f>F$9 * (0.009876856580376625 -F$8)</f>
        <v>0</v>
      </c>
      <c r="G187" t="str">
        <f>G$9 * (5.81468677520752 -G$8)</f>
        <v>0</v>
      </c>
      <c r="H187" t="str">
        <f>H$9 * (12.01770973205566 -H$8)</f>
        <v>0</v>
      </c>
      <c r="I187" t="str">
        <f>I$9 * (0.03442534059286118 -I$8)</f>
        <v>0</v>
      </c>
    </row>
    <row r="188" spans="1:11">
      <c r="A188" t="str">
        <f>A$9 * (44.2501106262207 -A$8)</f>
        <v>0</v>
      </c>
      <c r="B188" t="str">
        <f>B$9 * (44.2501106262207 -B$8)</f>
        <v>0</v>
      </c>
      <c r="C188" t="str">
        <f>C$9 * (44.2501106262207 -C$8)</f>
        <v>0</v>
      </c>
      <c r="D188" t="str">
        <f>D$9 * (44.2501106262207 -D$8)</f>
        <v>0</v>
      </c>
      <c r="F188" t="str">
        <f>F$9 * (0.009877363219857216 -F$8)</f>
        <v>0</v>
      </c>
      <c r="G188" t="str">
        <f>G$9 * (5.814865112304688 -G$8)</f>
        <v>0</v>
      </c>
      <c r="H188" t="str">
        <f>H$9 * (12.01770973205566 -H$8)</f>
        <v>0</v>
      </c>
      <c r="I188" t="str">
        <f>I$9 * (0.03442630171775818 -I$8)</f>
        <v>0</v>
      </c>
    </row>
    <row r="189" spans="1:11">
      <c r="A189" t="str">
        <f>A$9 * (44.50036239624023 -A$8)</f>
        <v>0</v>
      </c>
      <c r="B189" t="str">
        <f>B$9 * (44.50036239624023 -B$8)</f>
        <v>0</v>
      </c>
      <c r="C189" t="str">
        <f>C$9 * (44.50036239624023 -C$8)</f>
        <v>0</v>
      </c>
      <c r="D189" t="str">
        <f>D$9 * (44.50036239624023 -D$8)</f>
        <v>0</v>
      </c>
      <c r="F189" t="str">
        <f>F$9 * (0.009876786731183529 -F$8)</f>
        <v>0</v>
      </c>
      <c r="G189" t="str">
        <f>G$9 * (5.814589977264404 -G$8)</f>
        <v>0</v>
      </c>
      <c r="H189" t="str">
        <f>H$9 * (12.01755046844482 -H$8)</f>
        <v>0</v>
      </c>
      <c r="I189" t="str">
        <f>I$9 * (0.03442448005080223 -I$8)</f>
        <v>0</v>
      </c>
    </row>
    <row r="190" spans="1:11">
      <c r="A190" t="str">
        <f>A$9 * (44.75016784667969 -A$8)</f>
        <v>0</v>
      </c>
      <c r="B190" t="str">
        <f>B$9 * (44.75016784667969 -B$8)</f>
        <v>0</v>
      </c>
      <c r="C190" t="str">
        <f>C$9 * (44.75016784667969 -C$8)</f>
        <v>0</v>
      </c>
      <c r="D190" t="str">
        <f>D$9 * (44.75016784667969 -D$8)</f>
        <v>0</v>
      </c>
      <c r="F190" t="str">
        <f>F$9 * (0.009876660071313381 -F$8)</f>
        <v>0</v>
      </c>
      <c r="G190" t="str">
        <f>G$9 * (5.81463623046875 -G$8)</f>
        <v>0</v>
      </c>
      <c r="H190" t="str">
        <f>H$9 * (12.0177698135376 -H$8)</f>
        <v>0</v>
      </c>
      <c r="I190" t="str">
        <f>I$9 * (0.03442518040537834 -I$8)</f>
        <v>0</v>
      </c>
    </row>
    <row r="191" spans="1:11">
      <c r="A191" t="str">
        <f>A$9 * (45.00041580200195 -A$8)</f>
        <v>0</v>
      </c>
      <c r="B191" t="str">
        <f>B$9 * (45.00041580200195 -B$8)</f>
        <v>0</v>
      </c>
      <c r="C191" t="str">
        <f>C$9 * (45.00041580200195 -C$8)</f>
        <v>0</v>
      </c>
      <c r="D191" t="str">
        <f>D$9 * (45.00041580200195 -D$8)</f>
        <v>0</v>
      </c>
      <c r="F191" t="str">
        <f>F$9 * (0.009877434000372887 -F$8)</f>
        <v>0</v>
      </c>
      <c r="G191" t="str">
        <f>G$9 * (5.814909934997559 -G$8)</f>
        <v>0</v>
      </c>
      <c r="H191" t="str">
        <f>H$9 * (12.01774024963379 -H$8)</f>
        <v>0</v>
      </c>
      <c r="I191" t="str">
        <f>I$9 * (0.03442664071917534 -I$8)</f>
        <v>0</v>
      </c>
    </row>
    <row r="192" spans="1:11">
      <c r="A192" t="str">
        <f>A$9 * (45.25022125244141 -A$8)</f>
        <v>0</v>
      </c>
      <c r="B192" t="str">
        <f>B$9 * (45.25022125244141 -B$8)</f>
        <v>0</v>
      </c>
      <c r="C192" t="str">
        <f>C$9 * (45.25022125244141 -C$8)</f>
        <v>0</v>
      </c>
      <c r="D192" t="str">
        <f>D$9 * (45.25022125244141 -D$8)</f>
        <v>0</v>
      </c>
      <c r="F192" t="str">
        <f>F$9 * (0.009877646341919899 -F$8)</f>
        <v>0</v>
      </c>
      <c r="G192" t="str">
        <f>G$9 * (5.814937114715576 -G$8)</f>
        <v>0</v>
      </c>
      <c r="H192" t="str">
        <f>H$9 * (12.01762008666992 -H$8)</f>
        <v>0</v>
      </c>
      <c r="I192" t="str">
        <f>I$9 * (0.03442652150988579 -I$8)</f>
        <v>0</v>
      </c>
    </row>
    <row r="193" spans="1:11">
      <c r="A193" t="str">
        <f>A$9 * (45.50005722045898 -A$8)</f>
        <v>0</v>
      </c>
      <c r="B193" t="str">
        <f>B$9 * (45.50005722045898 -B$8)</f>
        <v>0</v>
      </c>
      <c r="C193" t="str">
        <f>C$9 * (45.50005722045898 -C$8)</f>
        <v>0</v>
      </c>
      <c r="D193" t="str">
        <f>D$9 * (45.50005722045898 -D$8)</f>
        <v>0</v>
      </c>
      <c r="F193" t="str">
        <f>F$9 * (0.009875078685581684 -F$8)</f>
        <v>0</v>
      </c>
      <c r="G193" t="str">
        <f>G$9 * (5.814334869384766 -G$8)</f>
        <v>0</v>
      </c>
      <c r="H193" t="str">
        <f>H$9 * (12.01842021942139 -H$8)</f>
        <v>0</v>
      </c>
      <c r="I193" t="str">
        <f>I$9 * (0.03442483022809029 -I$8)</f>
        <v>0</v>
      </c>
    </row>
    <row r="194" spans="1:11">
      <c r="A194" t="str">
        <f>A$9 * (45.75027847290039 -A$8)</f>
        <v>0</v>
      </c>
      <c r="B194" t="str">
        <f>B$9 * (45.75027847290039 -B$8)</f>
        <v>0</v>
      </c>
      <c r="C194" t="str">
        <f>C$9 * (45.75027847290039 -C$8)</f>
        <v>0</v>
      </c>
      <c r="D194" t="str">
        <f>D$9 * (45.75027847290039 -D$8)</f>
        <v>0</v>
      </c>
      <c r="F194" t="str">
        <f>F$9 * (0.009876481257379055 -F$8)</f>
        <v>0</v>
      </c>
      <c r="G194" t="str">
        <f>G$9 * (5.814435958862305 -G$8)</f>
        <v>0</v>
      </c>
      <c r="H194" t="str">
        <f>H$9 * (12.0174503326416 -H$8)</f>
        <v>0</v>
      </c>
      <c r="I194" t="str">
        <f>I$9 * (0.03442348912358284 -I$8)</f>
        <v>0</v>
      </c>
    </row>
    <row r="195" spans="1:11">
      <c r="A195" t="str">
        <f>A$9 * (46.0001106262207 -A$8)</f>
        <v>0</v>
      </c>
      <c r="B195" t="str">
        <f>B$9 * (46.0001106262207 -B$8)</f>
        <v>0</v>
      </c>
      <c r="C195" t="str">
        <f>C$9 * (46.0001106262207 -C$8)</f>
        <v>0</v>
      </c>
      <c r="D195" t="str">
        <f>D$9 * (46.0001106262207 -D$8)</f>
        <v>0</v>
      </c>
      <c r="F195" t="str">
        <f>F$9 * (0.009877230040729046 -F$8)</f>
        <v>0</v>
      </c>
      <c r="G195" t="str">
        <f>G$9 * (5.814949989318848 -G$8)</f>
        <v>0</v>
      </c>
      <c r="H195" t="str">
        <f>H$9 * (12.01799964904785 -H$8)</f>
        <v>0</v>
      </c>
      <c r="I195" t="str">
        <f>I$9 * (0.03442731127142906 -I$8)</f>
        <v>0</v>
      </c>
    </row>
    <row r="196" spans="1:11">
      <c r="A196" t="str">
        <f>A$9 * (46.25033187866211 -A$8)</f>
        <v>0</v>
      </c>
      <c r="B196" t="str">
        <f>B$9 * (46.25033187866211 -B$8)</f>
        <v>0</v>
      </c>
      <c r="C196" t="str">
        <f>C$9 * (46.25033187866211 -C$8)</f>
        <v>0</v>
      </c>
      <c r="D196" t="str">
        <f>D$9 * (46.25033187866211 -D$8)</f>
        <v>0</v>
      </c>
      <c r="F196" t="str">
        <f>F$9 * (0.009875948540866375 -F$8)</f>
        <v>0</v>
      </c>
      <c r="G196" t="str">
        <f>G$9 * (5.814301013946533 -G$8)</f>
        <v>0</v>
      </c>
      <c r="H196" t="str">
        <f>H$9 * (12.01758003234863 -H$8)</f>
        <v>0</v>
      </c>
      <c r="I196" t="str">
        <f>I$9 * (0.03442294895648956 -I$8)</f>
        <v>0</v>
      </c>
    </row>
    <row r="197" spans="1:11">
      <c r="A197" t="str">
        <f>A$9 * (46.50016784667969 -A$8)</f>
        <v>0</v>
      </c>
      <c r="B197" t="str">
        <f>B$9 * (46.50016784667969 -B$8)</f>
        <v>0</v>
      </c>
      <c r="C197" t="str">
        <f>C$9 * (46.50016784667969 -C$8)</f>
        <v>0</v>
      </c>
      <c r="D197" t="str">
        <f>D$9 * (46.50016784667969 -D$8)</f>
        <v>0</v>
      </c>
      <c r="F197" t="str">
        <f>F$9 * (0.009877181611955166 -F$8)</f>
        <v>0</v>
      </c>
      <c r="G197" t="str">
        <f>G$9 * (5.814796924591064 -G$8)</f>
        <v>0</v>
      </c>
      <c r="H197" t="str">
        <f>H$9 * (12.01768970489502 -H$8)</f>
        <v>0</v>
      </c>
      <c r="I197" t="str">
        <f>I$9 * (0.03442585095763206 -I$8)</f>
        <v>0</v>
      </c>
    </row>
    <row r="198" spans="1:11">
      <c r="A198" t="str">
        <f>A$9 * (46.75038909912109 -A$8)</f>
        <v>0</v>
      </c>
      <c r="B198" t="str">
        <f>B$9 * (46.75038909912109 -B$8)</f>
        <v>0</v>
      </c>
      <c r="C198" t="str">
        <f>C$9 * (46.75038909912109 -C$8)</f>
        <v>0</v>
      </c>
      <c r="D198" t="str">
        <f>D$9 * (46.75038909912109 -D$8)</f>
        <v>0</v>
      </c>
      <c r="F198" t="str">
        <f>F$9 * (0.009876258671283722 -F$8)</f>
        <v>0</v>
      </c>
      <c r="G198" t="str">
        <f>G$9 * (5.814530849456787 -G$8)</f>
        <v>0</v>
      </c>
      <c r="H198" t="str">
        <f>H$9 * (12.01786041259766 -H$8)</f>
        <v>0</v>
      </c>
      <c r="I198" t="str">
        <f>I$9 * (0.03442471846938133 -I$8)</f>
        <v>0</v>
      </c>
    </row>
    <row r="199" spans="1:11">
      <c r="A199" t="str">
        <f>A$9 * (47.00022125244141 -A$8)</f>
        <v>0</v>
      </c>
      <c r="B199" t="str">
        <f>B$9 * (47.00022125244141 -B$8)</f>
        <v>0</v>
      </c>
      <c r="C199" t="str">
        <f>C$9 * (47.00022125244141 -C$8)</f>
        <v>0</v>
      </c>
      <c r="D199" t="str">
        <f>D$9 * (47.00022125244141 -D$8)</f>
        <v>0</v>
      </c>
      <c r="F199" t="str">
        <f>F$9 * (0.009876779280602932 -F$8)</f>
        <v>0</v>
      </c>
      <c r="G199" t="str">
        <f>G$9 * (5.814746856689453 -G$8)</f>
        <v>0</v>
      </c>
      <c r="H199" t="str">
        <f>H$9 * (12.01791954040527 -H$8)</f>
        <v>0</v>
      </c>
      <c r="I199" t="str">
        <f>I$9 * (0.03442610055208206 -I$8)</f>
        <v>0</v>
      </c>
    </row>
    <row r="200" spans="1:11">
      <c r="A200" t="str">
        <f>A$9 * (47.25002670288086 -A$8)</f>
        <v>0</v>
      </c>
      <c r="B200" t="str">
        <f>B$9 * (47.25002670288086 -B$8)</f>
        <v>0</v>
      </c>
      <c r="C200" t="str">
        <f>C$9 * (47.25002670288086 -C$8)</f>
        <v>0</v>
      </c>
      <c r="D200" t="str">
        <f>D$9 * (47.25002670288086 -D$8)</f>
        <v>0</v>
      </c>
      <c r="F200" t="str">
        <f>F$9 * (0.009878047741949558 -F$8)</f>
        <v>0</v>
      </c>
      <c r="G200" t="str">
        <f>G$9 * (5.815132141113281 -G$8)</f>
        <v>0</v>
      </c>
      <c r="H200" t="str">
        <f>H$9 * (12.01772975921631 -H$8)</f>
        <v>0</v>
      </c>
      <c r="I200" t="str">
        <f>I$9 * (0.03442776948213577 -I$8)</f>
        <v>0</v>
      </c>
    </row>
    <row r="201" spans="1:11">
      <c r="A201" t="str">
        <f>A$9 * (47.50025177001953 -A$8)</f>
        <v>0</v>
      </c>
      <c r="B201" t="str">
        <f>B$9 * (47.50025177001953 -B$8)</f>
        <v>0</v>
      </c>
      <c r="C201" t="str">
        <f>C$9 * (47.50025177001953 -C$8)</f>
        <v>0</v>
      </c>
      <c r="D201" t="str">
        <f>D$9 * (47.50025177001953 -D$8)</f>
        <v>0</v>
      </c>
      <c r="F201" t="str">
        <f>F$9 * (0.009876891039311886 -F$8)</f>
        <v>0</v>
      </c>
      <c r="G201" t="str">
        <f>G$9 * (5.814948081970215 -G$8)</f>
        <v>0</v>
      </c>
      <c r="H201" t="str">
        <f>H$9 * (12.01830005645752 -H$8)</f>
        <v>0</v>
      </c>
      <c r="I201" t="str">
        <f>I$9 * (0.03442792966961861 -I$8)</f>
        <v>0</v>
      </c>
    </row>
    <row r="202" spans="1:11">
      <c r="A202" t="str">
        <f>A$9 * (47.75008392333984 -A$8)</f>
        <v>0</v>
      </c>
      <c r="B202" t="str">
        <f>B$9 * (47.75008392333984 -B$8)</f>
        <v>0</v>
      </c>
      <c r="C202" t="str">
        <f>C$9 * (47.75008392333984 -C$8)</f>
        <v>0</v>
      </c>
      <c r="D202" t="str">
        <f>D$9 * (47.75008392333984 -D$8)</f>
        <v>0</v>
      </c>
      <c r="F202" t="str">
        <f>F$9 * (0.009876848198473454 -F$8)</f>
        <v>0</v>
      </c>
      <c r="G202" t="str">
        <f>G$9 * (5.814570903778076 -G$8)</f>
        <v>0</v>
      </c>
      <c r="H202" t="str">
        <f>H$9 * (12.0174503326416 -H$8)</f>
        <v>0</v>
      </c>
      <c r="I202" t="str">
        <f>I$9 * (0.03442421182990074 -I$8)</f>
        <v>0</v>
      </c>
    </row>
    <row r="203" spans="1:11">
      <c r="A203" t="str">
        <f>A$9 * (48.00030517578125 -A$8)</f>
        <v>0</v>
      </c>
      <c r="B203" t="str">
        <f>B$9 * (48.00030517578125 -B$8)</f>
        <v>0</v>
      </c>
      <c r="C203" t="str">
        <f>C$9 * (48.00030517578125 -C$8)</f>
        <v>0</v>
      </c>
      <c r="D203" t="str">
        <f>D$9 * (48.00030517578125 -D$8)</f>
        <v>0</v>
      </c>
      <c r="F203" t="str">
        <f>F$9 * (0.009876281954348087 -F$8)</f>
        <v>0</v>
      </c>
      <c r="G203" t="str">
        <f>G$9 * (5.814538955688477 -G$8)</f>
        <v>0</v>
      </c>
      <c r="H203" t="str">
        <f>H$9 * (12.01784992218018 -H$8)</f>
        <v>0</v>
      </c>
      <c r="I203" t="str">
        <f>I$9 * (0.03442474827170372 -I$8)</f>
        <v>0</v>
      </c>
    </row>
    <row r="204" spans="1:11">
      <c r="A204" t="str">
        <f>A$9 * (48.25013732910156 -A$8)</f>
        <v>0</v>
      </c>
      <c r="B204" t="str">
        <f>B$9 * (48.25013732910156 -B$8)</f>
        <v>0</v>
      </c>
      <c r="C204" t="str">
        <f>C$9 * (48.25013732910156 -C$8)</f>
        <v>0</v>
      </c>
      <c r="D204" t="str">
        <f>D$9 * (48.25013732910156 -D$8)</f>
        <v>0</v>
      </c>
      <c r="F204" t="str">
        <f>F$9 * (0.009876382537186146 -F$8)</f>
        <v>0</v>
      </c>
      <c r="G204" t="str">
        <f>G$9 * (5.814309120178223 -G$8)</f>
        <v>0</v>
      </c>
      <c r="H204" t="str">
        <f>H$9 * (12.01723003387451 -H$8)</f>
        <v>0</v>
      </c>
      <c r="I204" t="str">
        <f>I$9 * (0.03442228958010674 -I$8)</f>
        <v>0</v>
      </c>
    </row>
    <row r="205" spans="1:11">
      <c r="A205" t="str">
        <f>A$9 * (48.50036239624023 -A$8)</f>
        <v>0</v>
      </c>
      <c r="B205" t="str">
        <f>B$9 * (48.50036239624023 -B$8)</f>
        <v>0</v>
      </c>
      <c r="C205" t="str">
        <f>C$9 * (48.50036239624023 -C$8)</f>
        <v>0</v>
      </c>
      <c r="D205" t="str">
        <f>D$9 * (48.50036239624023 -D$8)</f>
        <v>0</v>
      </c>
      <c r="F205" t="str">
        <f>F$9 * (0.009876254945993423 -F$8)</f>
        <v>0</v>
      </c>
      <c r="G205" t="str">
        <f>G$9 * (5.814515113830566 -G$8)</f>
        <v>0</v>
      </c>
      <c r="H205" t="str">
        <f>H$9 * (12.01782035827637 -H$8)</f>
        <v>0</v>
      </c>
      <c r="I205" t="str">
        <f>I$9 * (0.03442453965544701 -I$8)</f>
        <v>0</v>
      </c>
    </row>
    <row r="206" spans="1:11">
      <c r="A206" t="str">
        <f>A$9 * (48.75019454956055 -A$8)</f>
        <v>0</v>
      </c>
      <c r="B206" t="str">
        <f>B$9 * (48.75019454956055 -B$8)</f>
        <v>0</v>
      </c>
      <c r="C206" t="str">
        <f>C$9 * (48.75019454956055 -C$8)</f>
        <v>0</v>
      </c>
      <c r="D206" t="str">
        <f>D$9 * (48.75019454956055 -D$8)</f>
        <v>0</v>
      </c>
      <c r="F206" t="str">
        <f>F$9 * (0.00987718440592289 -F$8)</f>
        <v>0</v>
      </c>
      <c r="G206" t="str">
        <f>G$9 * (5.81481409072876 -G$8)</f>
        <v>0</v>
      </c>
      <c r="H206" t="str">
        <f>H$9 * (12.01772975921631 -H$8)</f>
        <v>0</v>
      </c>
      <c r="I206" t="str">
        <f>I$9 * (0.03442602977156639 -I$8)</f>
        <v>0</v>
      </c>
    </row>
    <row r="207" spans="1:11">
      <c r="A207" t="str">
        <f>A$9 * (49 -A$8)</f>
        <v>0</v>
      </c>
      <c r="B207" t="str">
        <f>B$9 * (49 -B$8)</f>
        <v>0</v>
      </c>
      <c r="C207" t="str">
        <f>C$9 * (49 -C$8)</f>
        <v>0</v>
      </c>
      <c r="D207" t="str">
        <f>D$9 * (49 -D$8)</f>
        <v>0</v>
      </c>
      <c r="F207" t="str">
        <f>F$9 * (0.009877849370241165 -F$8)</f>
        <v>0</v>
      </c>
      <c r="G207" t="str">
        <f>G$9 * (5.815261840820312 -G$8)</f>
        <v>0</v>
      </c>
      <c r="H207" t="str">
        <f>H$9 * (12.01821041107178 -H$8)</f>
        <v>0</v>
      </c>
      <c r="I207" t="str">
        <f>I$9 * (0.03442947939038277 -I$8)</f>
        <v>0</v>
      </c>
    </row>
    <row r="208" spans="1:11">
      <c r="A208" t="str">
        <f>A$9 * (49.25025177001953 -A$8)</f>
        <v>0</v>
      </c>
      <c r="B208" t="str">
        <f>B$9 * (49.25025177001953 -B$8)</f>
        <v>0</v>
      </c>
      <c r="C208" t="str">
        <f>C$9 * (49.25025177001953 -C$8)</f>
        <v>0</v>
      </c>
      <c r="D208" t="str">
        <f>D$9 * (49.25025177001953 -D$8)</f>
        <v>0</v>
      </c>
      <c r="F208" t="str">
        <f>F$9 * (0.009877175092697144 -F$8)</f>
        <v>0</v>
      </c>
      <c r="G208" t="str">
        <f>G$9 * (5.814897060394287 -G$8)</f>
        <v>0</v>
      </c>
      <c r="H208" t="str">
        <f>H$9 * (12.01793956756592 -H$8)</f>
        <v>0</v>
      </c>
      <c r="I208" t="str">
        <f>I$9 * (0.03442696109414101 -I$8)</f>
        <v>0</v>
      </c>
    </row>
    <row r="209" spans="1:11">
      <c r="A209" t="str">
        <f>A$9 * (49.50005722045898 -A$8)</f>
        <v>0</v>
      </c>
      <c r="B209" t="str">
        <f>B$9 * (49.50005722045898 -B$8)</f>
        <v>0</v>
      </c>
      <c r="C209" t="str">
        <f>C$9 * (49.50005722045898 -C$8)</f>
        <v>0</v>
      </c>
      <c r="D209" t="str">
        <f>D$9 * (49.50005722045898 -D$8)</f>
        <v>0</v>
      </c>
      <c r="F209" t="str">
        <f>F$9 * (0.009876145981252193 -F$8)</f>
        <v>0</v>
      </c>
      <c r="G209" t="str">
        <f>G$9 * (5.814521789550781 -G$8)</f>
        <v>0</v>
      </c>
      <c r="H209" t="str">
        <f>H$9 * (12.01793956756592 -H$8)</f>
        <v>0</v>
      </c>
      <c r="I209" t="str">
        <f>I$9 * (0.03442488983273506 -I$8)</f>
        <v>0</v>
      </c>
    </row>
    <row r="210" spans="1:11">
      <c r="A210" t="str">
        <f>A$9 * (49.75030517578125 -A$8)</f>
        <v>0</v>
      </c>
      <c r="B210" t="str">
        <f>B$9 * (49.75030517578125 -B$8)</f>
        <v>0</v>
      </c>
      <c r="C210" t="str">
        <f>C$9 * (49.75030517578125 -C$8)</f>
        <v>0</v>
      </c>
      <c r="D210" t="str">
        <f>D$9 * (49.75030517578125 -D$8)</f>
        <v>0</v>
      </c>
      <c r="F210" t="str">
        <f>F$9 * (0.009876257739961147 -F$8)</f>
        <v>0</v>
      </c>
      <c r="G210" t="str">
        <f>G$9 * (5.814564228057861 -G$8)</f>
        <v>0</v>
      </c>
      <c r="H210" t="str">
        <f>H$9 * (12.01793956756592 -H$8)</f>
        <v>0</v>
      </c>
      <c r="I210" t="str">
        <f>I$9 * (0.03442513942718506 -I$8)</f>
        <v>0</v>
      </c>
    </row>
    <row r="211" spans="1:11">
      <c r="A211" t="str">
        <f>A$9 * (50.0001106262207 -A$8)</f>
        <v>0</v>
      </c>
      <c r="B211" t="str">
        <f>B$9 * (50.0001106262207 -B$8)</f>
        <v>0</v>
      </c>
      <c r="C211" t="str">
        <f>C$9 * (50.0001106262207 -C$8)</f>
        <v>0</v>
      </c>
      <c r="D211" t="str">
        <f>D$9 * (50.0001106262207 -D$8)</f>
        <v>0</v>
      </c>
      <c r="F211" t="str">
        <f>F$9 * (0.009876581840217113 -F$8)</f>
        <v>0</v>
      </c>
      <c r="G211" t="str">
        <f>G$9 * (5.814590930938721 -G$8)</f>
        <v>0</v>
      </c>
      <c r="H211" t="str">
        <f>H$9 * (12.01772022247314 -H$8)</f>
        <v>0</v>
      </c>
      <c r="I211" t="str">
        <f>I$9 * (0.03442481160163879 -I$8)</f>
        <v>0</v>
      </c>
    </row>
    <row r="212" spans="1:11">
      <c r="A212" t="str">
        <f>A$9 * (50.25036239624023 -A$8)</f>
        <v>0</v>
      </c>
      <c r="B212" t="str">
        <f>B$9 * (50.25036239624023 -B$8)</f>
        <v>0</v>
      </c>
      <c r="C212" t="str">
        <f>C$9 * (50.25036239624023 -C$8)</f>
        <v>0</v>
      </c>
      <c r="D212" t="str">
        <f>D$9 * (50.25036239624023 -D$8)</f>
        <v>0</v>
      </c>
      <c r="F212" t="str">
        <f>F$9 * (0.009876970201730728 -F$8)</f>
        <v>0</v>
      </c>
      <c r="G212" t="str">
        <f>G$9 * (5.814818859100342 -G$8)</f>
        <v>0</v>
      </c>
      <c r="H212" t="str">
        <f>H$9 * (12.01793003082275 -H$8)</f>
        <v>0</v>
      </c>
      <c r="I212" t="str">
        <f>I$9 * (0.0344264805316925 -I$8)</f>
        <v>0</v>
      </c>
    </row>
    <row r="213" spans="1:11">
      <c r="A213" t="str">
        <f>A$9 * (50.50016784667969 -A$8)</f>
        <v>0</v>
      </c>
      <c r="B213" t="str">
        <f>B$9 * (50.50016784667969 -B$8)</f>
        <v>0</v>
      </c>
      <c r="C213" t="str">
        <f>C$9 * (50.50016784667969 -C$8)</f>
        <v>0</v>
      </c>
      <c r="D213" t="str">
        <f>D$9 * (50.50016784667969 -D$8)</f>
        <v>0</v>
      </c>
      <c r="F213" t="str">
        <f>F$9 * (0.009877337142825127 -F$8)</f>
        <v>0</v>
      </c>
      <c r="G213" t="str">
        <f>G$9 * (5.814824104309082 -G$8)</f>
        <v>0</v>
      </c>
      <c r="H213" t="str">
        <f>H$9 * (12.01762962341309 -H$8)</f>
        <v>0</v>
      </c>
      <c r="I213" t="str">
        <f>I$9 * (0.03442586958408356 -I$8)</f>
        <v>0</v>
      </c>
    </row>
    <row r="214" spans="1:11">
      <c r="A214" t="str">
        <f>A$9 * (50.75041580200195 -A$8)</f>
        <v>0</v>
      </c>
      <c r="B214" t="str">
        <f>B$9 * (50.75041580200195 -B$8)</f>
        <v>0</v>
      </c>
      <c r="C214" t="str">
        <f>C$9 * (50.75041580200195 -C$8)</f>
        <v>0</v>
      </c>
      <c r="D214" t="str">
        <f>D$9 * (50.75041580200195 -D$8)</f>
        <v>0</v>
      </c>
      <c r="F214" t="str">
        <f>F$9 * (0.009876973927021027 -F$8)</f>
        <v>0</v>
      </c>
      <c r="G214" t="str">
        <f>G$9 * (5.814899921417236 -G$8)</f>
        <v>0</v>
      </c>
      <c r="H214" t="str">
        <f>H$9 * (12.01811027526855 -H$8)</f>
        <v>0</v>
      </c>
      <c r="I214" t="str">
        <f>I$9 * (0.03442728146910667 -I$8)</f>
        <v>0</v>
      </c>
    </row>
    <row r="215" spans="1:11">
      <c r="A215" t="str">
        <f>A$9 * (51.00022125244141 -A$8)</f>
        <v>0</v>
      </c>
      <c r="B215" t="str">
        <f>B$9 * (51.00022125244141 -B$8)</f>
        <v>0</v>
      </c>
      <c r="C215" t="str">
        <f>C$9 * (51.00022125244141 -C$8)</f>
        <v>0</v>
      </c>
      <c r="D215" t="str">
        <f>D$9 * (51.00022125244141 -D$8)</f>
        <v>0</v>
      </c>
      <c r="F215" t="str">
        <f>F$9 * (0.009877003729343414 -F$8)</f>
        <v>0</v>
      </c>
      <c r="G215" t="str">
        <f>G$9 * (5.814599990844727 -G$8)</f>
        <v>0</v>
      </c>
      <c r="H215" t="str">
        <f>H$9 * (12.01737976074219 -H$8)</f>
        <v>0</v>
      </c>
      <c r="I215" t="str">
        <f>I$9 * (0.03442420065402985 -I$8)</f>
        <v>0</v>
      </c>
    </row>
    <row r="216" spans="1:11">
      <c r="A216" t="str">
        <f>A$9 * (51.25005722045898 -A$8)</f>
        <v>0</v>
      </c>
      <c r="B216" t="str">
        <f>B$9 * (51.25005722045898 -B$8)</f>
        <v>0</v>
      </c>
      <c r="C216" t="str">
        <f>C$9 * (51.25005722045898 -C$8)</f>
        <v>0</v>
      </c>
      <c r="D216" t="str">
        <f>D$9 * (51.25005722045898 -D$8)</f>
        <v>0</v>
      </c>
      <c r="F216" t="str">
        <f>F$9 * (0.009876859374344349 -F$8)</f>
        <v>0</v>
      </c>
      <c r="G216" t="str">
        <f>G$9 * (5.814920902252197 -G$8)</f>
        <v>0</v>
      </c>
      <c r="H216" t="str">
        <f>H$9 * (12.01826000213623 -H$8)</f>
        <v>0</v>
      </c>
      <c r="I216" t="str">
        <f>I$9 * (0.03442769125103951 -I$8)</f>
        <v>0</v>
      </c>
    </row>
    <row r="217" spans="1:11">
      <c r="A217" t="str">
        <f>A$9 * (51.50027847290039 -A$8)</f>
        <v>0</v>
      </c>
      <c r="B217" t="str">
        <f>B$9 * (51.50027847290039 -B$8)</f>
        <v>0</v>
      </c>
      <c r="C217" t="str">
        <f>C$9 * (51.50027847290039 -C$8)</f>
        <v>0</v>
      </c>
      <c r="D217" t="str">
        <f>D$9 * (51.50027847290039 -D$8)</f>
        <v>0</v>
      </c>
      <c r="F217" t="str">
        <f>F$9 * (0.009877709671854973 -F$8)</f>
        <v>0</v>
      </c>
      <c r="G217" t="str">
        <f>G$9 * (5.815412044525146 -G$8)</f>
        <v>0</v>
      </c>
      <c r="H217" t="str">
        <f>H$9 * (12.01869010925293 -H$8)</f>
        <v>0</v>
      </c>
      <c r="I217" t="str">
        <f>I$9 * (0.03443128988146782 -I$8)</f>
        <v>0</v>
      </c>
    </row>
    <row r="218" spans="1:11">
      <c r="A218" t="str">
        <f>A$9 * (51.7501106262207 -A$8)</f>
        <v>0</v>
      </c>
      <c r="B218" t="str">
        <f>B$9 * (51.7501106262207 -B$8)</f>
        <v>0</v>
      </c>
      <c r="C218" t="str">
        <f>C$9 * (51.7501106262207 -C$8)</f>
        <v>0</v>
      </c>
      <c r="D218" t="str">
        <f>D$9 * (51.7501106262207 -D$8)</f>
        <v>0</v>
      </c>
      <c r="F218" t="str">
        <f>F$9 * (0.009877313859760761 -F$8)</f>
        <v>0</v>
      </c>
      <c r="G218" t="str">
        <f>G$9 * (5.814925193786621 -G$8)</f>
        <v>0</v>
      </c>
      <c r="H218" t="str">
        <f>H$9 * (12.0178804397583 -H$8)</f>
        <v>0</v>
      </c>
      <c r="I218" t="str">
        <f>I$9 * (0.03442693874239922 -I$8)</f>
        <v>0</v>
      </c>
    </row>
    <row r="219" spans="1:11">
      <c r="A219" t="str">
        <f>A$9 * (52.00033187866211 -A$8)</f>
        <v>0</v>
      </c>
      <c r="B219" t="str">
        <f>B$9 * (52.00033187866211 -B$8)</f>
        <v>0</v>
      </c>
      <c r="C219" t="str">
        <f>C$9 * (52.00033187866211 -C$8)</f>
        <v>0</v>
      </c>
      <c r="D219" t="str">
        <f>D$9 * (52.00033187866211 -D$8)</f>
        <v>0</v>
      </c>
      <c r="F219" t="str">
        <f>F$9 * (0.009876245632767677 -F$8)</f>
        <v>0</v>
      </c>
      <c r="G219" t="str">
        <f>G$9 * (5.814888954162598 -G$8)</f>
        <v>0</v>
      </c>
      <c r="H219" t="str">
        <f>H$9 * (12.01871967315674 -H$8)</f>
        <v>0</v>
      </c>
      <c r="I219" t="str">
        <f>I$9 * (0.0344284400343895 -I$8)</f>
        <v>0</v>
      </c>
    </row>
    <row r="220" spans="1:11">
      <c r="A220" t="str">
        <f>A$9 * (52.25016784667969 -A$8)</f>
        <v>0</v>
      </c>
      <c r="B220" t="str">
        <f>B$9 * (52.25016784667969 -B$8)</f>
        <v>0</v>
      </c>
      <c r="C220" t="str">
        <f>C$9 * (52.25016784667969 -C$8)</f>
        <v>0</v>
      </c>
      <c r="D220" t="str">
        <f>D$9 * (52.25016784667969 -D$8)</f>
        <v>0</v>
      </c>
      <c r="F220" t="str">
        <f>F$9 * (0.00987693015486002 -F$8)</f>
        <v>0</v>
      </c>
      <c r="G220" t="str">
        <f>G$9 * (5.814891815185547 -G$8)</f>
        <v>0</v>
      </c>
      <c r="H220" t="str">
        <f>H$9 * (12.01815032958984 -H$8)</f>
        <v>0</v>
      </c>
      <c r="I220" t="str">
        <f>I$9 * (0.03442738950252533 -I$8)</f>
        <v>0</v>
      </c>
    </row>
    <row r="221" spans="1:11">
      <c r="A221" t="str">
        <f>A$9 * (52.50038909912109 -A$8)</f>
        <v>0</v>
      </c>
      <c r="B221" t="str">
        <f>B$9 * (52.50038909912109 -B$8)</f>
        <v>0</v>
      </c>
      <c r="C221" t="str">
        <f>C$9 * (52.50038909912109 -C$8)</f>
        <v>0</v>
      </c>
      <c r="D221" t="str">
        <f>D$9 * (52.50038909912109 -D$8)</f>
        <v>0</v>
      </c>
      <c r="F221" t="str">
        <f>F$9 * (0.009878910146653652 -F$8)</f>
        <v>0</v>
      </c>
      <c r="G221" t="str">
        <f>G$9 * (5.815810203552246 -G$8)</f>
        <v>0</v>
      </c>
      <c r="H221" t="str">
        <f>H$9 * (12.01858043670654 -H$8)</f>
        <v>0</v>
      </c>
      <c r="I221" t="str">
        <f>I$9 * (0.03443314880132675 -I$8)</f>
        <v>0</v>
      </c>
    </row>
    <row r="222" spans="1:11">
      <c r="A222" t="str">
        <f>A$9 * (52.75019454956055 -A$8)</f>
        <v>0</v>
      </c>
      <c r="B222" t="str">
        <f>B$9 * (52.75019454956055 -B$8)</f>
        <v>0</v>
      </c>
      <c r="C222" t="str">
        <f>C$9 * (52.75019454956055 -C$8)</f>
        <v>0</v>
      </c>
      <c r="D222" t="str">
        <f>D$9 * (52.75019454956055 -D$8)</f>
        <v>0</v>
      </c>
      <c r="F222" t="str">
        <f>F$9 * (0.009876931086182594 -F$8)</f>
        <v>0</v>
      </c>
      <c r="G222" t="str">
        <f>G$9 * (5.815157890319824 -G$8)</f>
        <v>0</v>
      </c>
      <c r="H222" t="str">
        <f>H$9 * (12.01875019073486 -H$8)</f>
        <v>0</v>
      </c>
      <c r="I222" t="str">
        <f>I$9 * (0.03442994877696037 -I$8)</f>
        <v>0</v>
      </c>
    </row>
    <row r="223" spans="1:11">
      <c r="A223" t="str">
        <f>A$9 * (53.00002670288086 -A$8)</f>
        <v>0</v>
      </c>
      <c r="B223" t="str">
        <f>B$9 * (53.00002670288086 -B$8)</f>
        <v>0</v>
      </c>
      <c r="C223" t="str">
        <f>C$9 * (53.00002670288086 -C$8)</f>
        <v>0</v>
      </c>
      <c r="D223" t="str">
        <f>D$9 * (53.00002670288086 -D$8)</f>
        <v>0</v>
      </c>
      <c r="F223" t="str">
        <f>F$9 * (0.009875564835965633 -F$8)</f>
        <v>0</v>
      </c>
      <c r="G223" t="str">
        <f>G$9 * (5.814342975616455 -G$8)</f>
        <v>0</v>
      </c>
      <c r="H223" t="str">
        <f>H$9 * (12.0180196762085 -H$8)</f>
        <v>0</v>
      </c>
      <c r="I223" t="str">
        <f>I$9 * (0.0344240814447403 -I$8)</f>
        <v>0</v>
      </c>
    </row>
    <row r="224" spans="1:11">
      <c r="A224" t="str">
        <f>A$9 * (53.25025177001953 -A$8)</f>
        <v>0</v>
      </c>
      <c r="B224" t="str">
        <f>B$9 * (53.25025177001953 -B$8)</f>
        <v>0</v>
      </c>
      <c r="C224" t="str">
        <f>C$9 * (53.25025177001953 -C$8)</f>
        <v>0</v>
      </c>
      <c r="D224" t="str">
        <f>D$9 * (53.25025177001953 -D$8)</f>
        <v>0</v>
      </c>
      <c r="F224" t="str">
        <f>F$9 * (0.009876137599349022 -F$8)</f>
        <v>0</v>
      </c>
      <c r="G224" t="str">
        <f>G$9 * (5.814345836639404 -G$8)</f>
        <v>0</v>
      </c>
      <c r="H224" t="str">
        <f>H$9 * (12.0175199508667 -H$8)</f>
        <v>0</v>
      </c>
      <c r="I224" t="str">
        <f>I$9 * (0.03442298993468285 -I$8)</f>
        <v>0</v>
      </c>
    </row>
    <row r="225" spans="1:11">
      <c r="A225" t="str">
        <f>A$9 * (53.50008392333984 -A$8)</f>
        <v>0</v>
      </c>
      <c r="B225" t="str">
        <f>B$9 * (53.50008392333984 -B$8)</f>
        <v>0</v>
      </c>
      <c r="C225" t="str">
        <f>C$9 * (53.50008392333984 -C$8)</f>
        <v>0</v>
      </c>
      <c r="D225" t="str">
        <f>D$9 * (53.50008392333984 -D$8)</f>
        <v>0</v>
      </c>
      <c r="F225" t="str">
        <f>F$9 * (0.009876413270831108 -F$8)</f>
        <v>0</v>
      </c>
      <c r="G225" t="str">
        <f>G$9 * (5.814695835113525 -G$8)</f>
        <v>0</v>
      </c>
      <c r="H225" t="str">
        <f>H$9 * (12.01811981201172 -H$8)</f>
        <v>0</v>
      </c>
      <c r="I225" t="str">
        <f>I$9 * (0.03442608937621117 -I$8)</f>
        <v>0</v>
      </c>
    </row>
    <row r="226" spans="1:11">
      <c r="A226" t="str">
        <f>A$9 * (53.75030517578125 -A$8)</f>
        <v>0</v>
      </c>
      <c r="B226" t="str">
        <f>B$9 * (53.75030517578125 -B$8)</f>
        <v>0</v>
      </c>
      <c r="C226" t="str">
        <f>C$9 * (53.75030517578125 -C$8)</f>
        <v>0</v>
      </c>
      <c r="D226" t="str">
        <f>D$9 * (53.75030517578125 -D$8)</f>
        <v>0</v>
      </c>
      <c r="F226" t="str">
        <f>F$9 * (0.009878059849143028 -F$8)</f>
        <v>0</v>
      </c>
      <c r="G226" t="str">
        <f>G$9 * (5.815281867980957 -G$8)</f>
        <v>0</v>
      </c>
      <c r="H226" t="str">
        <f>H$9 * (12.01807022094727 -H$8)</f>
        <v>0</v>
      </c>
      <c r="I226" t="str">
        <f>I$9 * (0.03442924842238426 -I$8)</f>
        <v>0</v>
      </c>
    </row>
    <row r="227" spans="1:11">
      <c r="A227" t="str">
        <f>A$9 * (54.00013732910156 -A$8)</f>
        <v>0</v>
      </c>
      <c r="B227" t="str">
        <f>B$9 * (54.00013732910156 -B$8)</f>
        <v>0</v>
      </c>
      <c r="C227" t="str">
        <f>C$9 * (54.00013732910156 -C$8)</f>
        <v>0</v>
      </c>
      <c r="D227" t="str">
        <f>D$9 * (54.00013732910156 -D$8)</f>
        <v>0</v>
      </c>
      <c r="F227" t="str">
        <f>F$9 * (0.009878198616206646 -F$8)</f>
        <v>0</v>
      </c>
      <c r="G227" t="str">
        <f>G$9 * (5.815330982208252 -G$8)</f>
        <v>0</v>
      </c>
      <c r="H227" t="str">
        <f>H$9 * (12.01805973052979 -H$8)</f>
        <v>0</v>
      </c>
      <c r="I227" t="str">
        <f>I$9 * (0.03442943841218948 -I$8)</f>
        <v>0</v>
      </c>
    </row>
    <row r="228" spans="1:11">
      <c r="A228" t="str">
        <f>A$9 * (54.25036239624023 -A$8)</f>
        <v>0</v>
      </c>
      <c r="B228" t="str">
        <f>B$9 * (54.25036239624023 -B$8)</f>
        <v>0</v>
      </c>
      <c r="C228" t="str">
        <f>C$9 * (54.25036239624023 -C$8)</f>
        <v>0</v>
      </c>
      <c r="D228" t="str">
        <f>D$9 * (54.25036239624023 -D$8)</f>
        <v>0</v>
      </c>
      <c r="F228" t="str">
        <f>F$9 * (0.009875870309770107 -F$8)</f>
        <v>0</v>
      </c>
      <c r="G228" t="str">
        <f>G$9 * (5.814672946929932 -G$8)</f>
        <v>0</v>
      </c>
      <c r="H228" t="str">
        <f>H$9 * (12.01852989196777 -H$8)</f>
        <v>0</v>
      </c>
      <c r="I228" t="str">
        <f>I$9 * (0.03442687913775444 -I$8)</f>
        <v>0</v>
      </c>
    </row>
    <row r="229" spans="1:11">
      <c r="A229" t="str">
        <f>A$9 * (54.50019454956055 -A$8)</f>
        <v>0</v>
      </c>
      <c r="B229" t="str">
        <f>B$9 * (54.50019454956055 -B$8)</f>
        <v>0</v>
      </c>
      <c r="C229" t="str">
        <f>C$9 * (54.50019454956055 -C$8)</f>
        <v>0</v>
      </c>
      <c r="D229" t="str">
        <f>D$9 * (54.50019454956055 -D$8)</f>
        <v>0</v>
      </c>
      <c r="F229" t="str">
        <f>F$9 * (0.009877650998532772 -F$8)</f>
        <v>0</v>
      </c>
      <c r="G229" t="str">
        <f>G$9 * (5.814773082733154 -G$8)</f>
        <v>0</v>
      </c>
      <c r="H229" t="str">
        <f>H$9 * (12.01723003387451 -H$8)</f>
        <v>0</v>
      </c>
      <c r="I229" t="str">
        <f>I$9 * (0.03442484140396118 -I$8)</f>
        <v>0</v>
      </c>
    </row>
    <row r="230" spans="1:11">
      <c r="A230" t="str">
        <f>A$9 * (54.75 -A$8)</f>
        <v>0</v>
      </c>
      <c r="B230" t="str">
        <f>B$9 * (54.75 -B$8)</f>
        <v>0</v>
      </c>
      <c r="C230" t="str">
        <f>C$9 * (54.75 -C$8)</f>
        <v>0</v>
      </c>
      <c r="D230" t="str">
        <f>D$9 * (54.75 -D$8)</f>
        <v>0</v>
      </c>
      <c r="F230" t="str">
        <f>F$9 * (0.009877057746052742 -F$8)</f>
        <v>0</v>
      </c>
      <c r="G230" t="str">
        <f>G$9 * (5.81481409072876 -G$8)</f>
        <v>0</v>
      </c>
      <c r="H230" t="str">
        <f>H$9 * (12.01782035827637 -H$8)</f>
        <v>0</v>
      </c>
      <c r="I230" t="str">
        <f>I$9 * (0.03442611172795296 -I$8)</f>
        <v>0</v>
      </c>
    </row>
    <row r="231" spans="1:11">
      <c r="A231" t="str">
        <f>A$9 * (55.00025177001953 -A$8)</f>
        <v>0</v>
      </c>
      <c r="B231" t="str">
        <f>B$9 * (55.00025177001953 -B$8)</f>
        <v>0</v>
      </c>
      <c r="C231" t="str">
        <f>C$9 * (55.00025177001953 -C$8)</f>
        <v>0</v>
      </c>
      <c r="D231" t="str">
        <f>D$9 * (55.00025177001953 -D$8)</f>
        <v>0</v>
      </c>
      <c r="F231" t="str">
        <f>F$9 * (0.009874304756522179 -F$8)</f>
        <v>0</v>
      </c>
      <c r="G231" t="str">
        <f>G$9 * (5.81417179107666 -G$8)</f>
        <v>0</v>
      </c>
      <c r="H231" t="str">
        <f>H$9 * (12.01871013641357 -H$8)</f>
        <v>0</v>
      </c>
      <c r="I231" t="str">
        <f>I$9 * (0.03442450985312462 -I$8)</f>
        <v>0</v>
      </c>
    </row>
    <row r="232" spans="1:11">
      <c r="A232" t="str">
        <f>A$9 * (55.25005722045898 -A$8)</f>
        <v>0</v>
      </c>
      <c r="B232" t="str">
        <f>B$9 * (55.25005722045898 -B$8)</f>
        <v>0</v>
      </c>
      <c r="C232" t="str">
        <f>C$9 * (55.25005722045898 -C$8)</f>
        <v>0</v>
      </c>
      <c r="D232" t="str">
        <f>D$9 * (55.25005722045898 -D$8)</f>
        <v>0</v>
      </c>
      <c r="F232" t="str">
        <f>F$9 * (0.009878604672849178 -F$8)</f>
        <v>0</v>
      </c>
      <c r="G232" t="str">
        <f>G$9 * (5.815035820007324 -G$8)</f>
        <v>0</v>
      </c>
      <c r="H232" t="str">
        <f>H$9 * (12.01704025268555 -H$8)</f>
        <v>0</v>
      </c>
      <c r="I232" t="str">
        <f>I$9 * (0.03442585840821266 -I$8)</f>
        <v>0</v>
      </c>
    </row>
    <row r="233" spans="1:11">
      <c r="A233" t="str">
        <f>A$9 * (55.50030517578125 -A$8)</f>
        <v>0</v>
      </c>
      <c r="B233" t="str">
        <f>B$9 * (55.50030517578125 -B$8)</f>
        <v>0</v>
      </c>
      <c r="C233" t="str">
        <f>C$9 * (55.50030517578125 -C$8)</f>
        <v>0</v>
      </c>
      <c r="D233" t="str">
        <f>D$9 * (55.50030517578125 -D$8)</f>
        <v>0</v>
      </c>
      <c r="F233" t="str">
        <f>F$9 * (0.009879173710942268 -F$8)</f>
        <v>0</v>
      </c>
      <c r="G233" t="str">
        <f>G$9 * (5.815979957580566 -G$8)</f>
        <v>0</v>
      </c>
      <c r="H233" t="str">
        <f>H$9 * (12.01875019073486 -H$8)</f>
        <v>0</v>
      </c>
      <c r="I233" t="str">
        <f>I$9 * (0.03443435952067375 -I$8)</f>
        <v>0</v>
      </c>
    </row>
    <row r="234" spans="1:11">
      <c r="A234" t="str">
        <f>A$9 * (55.7501106262207 -A$8)</f>
        <v>0</v>
      </c>
      <c r="B234" t="str">
        <f>B$9 * (55.7501106262207 -B$8)</f>
        <v>0</v>
      </c>
      <c r="C234" t="str">
        <f>C$9 * (55.7501106262207 -C$8)</f>
        <v>0</v>
      </c>
      <c r="D234" t="str">
        <f>D$9 * (55.7501106262207 -D$8)</f>
        <v>0</v>
      </c>
      <c r="F234" t="str">
        <f>F$9 * (0.009874530136585236 -F$8)</f>
        <v>0</v>
      </c>
      <c r="G234" t="str">
        <f>G$9 * (5.813847064971924 -G$8)</f>
        <v>0</v>
      </c>
      <c r="H234" t="str">
        <f>H$9 * (12.01774024963379 -H$8)</f>
        <v>0</v>
      </c>
      <c r="I234" t="str">
        <f>I$9 * (0.03442079946398735 -I$8)</f>
        <v>0</v>
      </c>
    </row>
    <row r="235" spans="1:11">
      <c r="A235" t="str">
        <f>A$9 * (56.00036239624023 -A$8)</f>
        <v>0</v>
      </c>
      <c r="B235" t="str">
        <f>B$9 * (56.00036239624023 -B$8)</f>
        <v>0</v>
      </c>
      <c r="C235" t="str">
        <f>C$9 * (56.00036239624023 -C$8)</f>
        <v>0</v>
      </c>
      <c r="D235" t="str">
        <f>D$9 * (56.00036239624023 -D$8)</f>
        <v>0</v>
      </c>
      <c r="F235" t="str">
        <f>F$9 * (0.009876075200736523 -F$8)</f>
        <v>0</v>
      </c>
      <c r="G235" t="str">
        <f>G$9 * (5.81486988067627 -G$8)</f>
        <v>0</v>
      </c>
      <c r="H235" t="str">
        <f>H$9 * (12.01881980895996 -H$8)</f>
        <v>0</v>
      </c>
      <c r="I235" t="str">
        <f>I$9 * (0.03442851081490517 -I$8)</f>
        <v>0</v>
      </c>
    </row>
    <row r="236" spans="1:11">
      <c r="A236" t="str">
        <f>A$9 * (56.25016784667969 -A$8)</f>
        <v>0</v>
      </c>
      <c r="B236" t="str">
        <f>B$9 * (56.25016784667969 -B$8)</f>
        <v>0</v>
      </c>
      <c r="C236" t="str">
        <f>C$9 * (56.25016784667969 -C$8)</f>
        <v>0</v>
      </c>
      <c r="D236" t="str">
        <f>D$9 * (56.25016784667969 -D$8)</f>
        <v>0</v>
      </c>
      <c r="F236" t="str">
        <f>F$9 * (0.009876019321382046 -F$8)</f>
        <v>0</v>
      </c>
      <c r="G236" t="str">
        <f>G$9 * (5.814348220825195 -G$8)</f>
        <v>0</v>
      </c>
      <c r="H236" t="str">
        <f>H$9 * (12.01762008666992 -H$8)</f>
        <v>0</v>
      </c>
      <c r="I236" t="str">
        <f>I$9 * (0.03442316129803658 -I$8)</f>
        <v>0</v>
      </c>
    </row>
    <row r="237" spans="1:11">
      <c r="A237" t="str">
        <f>A$9 * (56.50038909912109 -A$8)</f>
        <v>0</v>
      </c>
      <c r="B237" t="str">
        <f>B$9 * (56.50038909912109 -B$8)</f>
        <v>0</v>
      </c>
      <c r="C237" t="str">
        <f>C$9 * (56.50038909912109 -C$8)</f>
        <v>0</v>
      </c>
      <c r="D237" t="str">
        <f>D$9 * (56.50038909912109 -D$8)</f>
        <v>0</v>
      </c>
      <c r="F237" t="str">
        <f>F$9 * (0.00987737812101841 -F$8)</f>
        <v>0</v>
      </c>
      <c r="G237" t="str">
        <f>G$9 * (5.815192222595215 -G$8)</f>
        <v>0</v>
      </c>
      <c r="H237" t="str">
        <f>H$9 * (12.01842975616455 -H$8)</f>
        <v>0</v>
      </c>
      <c r="I237" t="str">
        <f>I$9 * (0.0344293899834156 -I$8)</f>
        <v>0</v>
      </c>
    </row>
    <row r="238" spans="1:11">
      <c r="A238" t="str">
        <f>A$9 * (56.75022125244141 -A$8)</f>
        <v>0</v>
      </c>
      <c r="B238" t="str">
        <f>B$9 * (56.75022125244141 -B$8)</f>
        <v>0</v>
      </c>
      <c r="C238" t="str">
        <f>C$9 * (56.75022125244141 -C$8)</f>
        <v>0</v>
      </c>
      <c r="D238" t="str">
        <f>D$9 * (56.75022125244141 -D$8)</f>
        <v>0</v>
      </c>
      <c r="F238" t="str">
        <f>F$9 * (0.009876074269413948 -F$8)</f>
        <v>0</v>
      </c>
      <c r="G238" t="str">
        <f>G$9 * (5.814416885375977 -G$8)</f>
        <v>0</v>
      </c>
      <c r="H238" t="str">
        <f>H$9 * (12.01774024963379 -H$8)</f>
        <v>0</v>
      </c>
      <c r="I238" t="str">
        <f>I$9 * (0.0344238318502903 -I$8)</f>
        <v>0</v>
      </c>
    </row>
    <row r="239" spans="1:11">
      <c r="A239" t="str">
        <f>A$9 * (57.00005722045898 -A$8)</f>
        <v>0</v>
      </c>
      <c r="B239" t="str">
        <f>B$9 * (57.00005722045898 -B$8)</f>
        <v>0</v>
      </c>
      <c r="C239" t="str">
        <f>C$9 * (57.00005722045898 -C$8)</f>
        <v>0</v>
      </c>
      <c r="D239" t="str">
        <f>D$9 * (57.00005722045898 -D$8)</f>
        <v>0</v>
      </c>
      <c r="F239" t="str">
        <f>F$9 * (0.009877658449113369 -F$8)</f>
        <v>0</v>
      </c>
      <c r="G239" t="str">
        <f>G$9 * (5.815086841583252 -G$8)</f>
        <v>0</v>
      </c>
      <c r="H239" t="str">
        <f>H$9 * (12.01795959472656 -H$8)</f>
        <v>0</v>
      </c>
      <c r="I239" t="str">
        <f>I$9 * (0.0344279408454895 -I$8)</f>
        <v>0</v>
      </c>
    </row>
    <row r="240" spans="1:11">
      <c r="A240" t="str">
        <f>A$9 * (57.25027847290039 -A$8)</f>
        <v>0</v>
      </c>
      <c r="B240" t="str">
        <f>B$9 * (57.25027847290039 -B$8)</f>
        <v>0</v>
      </c>
      <c r="C240" t="str">
        <f>C$9 * (57.25027847290039 -C$8)</f>
        <v>0</v>
      </c>
      <c r="D240" t="str">
        <f>D$9 * (57.25027847290039 -D$8)</f>
        <v>0</v>
      </c>
      <c r="F240" t="str">
        <f>F$9 * (0.00987735390663147 -F$8)</f>
        <v>0</v>
      </c>
      <c r="G240" t="str">
        <f>G$9 * (5.81493616104126 -G$8)</f>
        <v>0</v>
      </c>
      <c r="H240" t="str">
        <f>H$9 * (12.01786041259766 -H$8)</f>
        <v>0</v>
      </c>
      <c r="I240" t="str">
        <f>I$9 * (0.03442690894007683 -I$8)</f>
        <v>0</v>
      </c>
    </row>
    <row r="241" spans="1:11">
      <c r="A241" t="str">
        <f>A$9 * (57.5001106262207 -A$8)</f>
        <v>0</v>
      </c>
      <c r="B241" t="str">
        <f>B$9 * (57.5001106262207 -B$8)</f>
        <v>0</v>
      </c>
      <c r="C241" t="str">
        <f>C$9 * (57.5001106262207 -C$8)</f>
        <v>0</v>
      </c>
      <c r="D241" t="str">
        <f>D$9 * (57.5001106262207 -D$8)</f>
        <v>0</v>
      </c>
      <c r="F241" t="str">
        <f>F$9 * (0.009876435622572899 -F$8)</f>
        <v>0</v>
      </c>
      <c r="G241" t="str">
        <f>G$9 * (5.814839839935303 -G$8)</f>
        <v>0</v>
      </c>
      <c r="H241" t="str">
        <f>H$9 * (12.0184497833252 -H$8)</f>
        <v>0</v>
      </c>
      <c r="I241" t="str">
        <f>I$9 * (0.03442760929465294 -I$8)</f>
        <v>0</v>
      </c>
    </row>
    <row r="242" spans="1:11">
      <c r="A242" t="str">
        <f>A$9 * (57.75033187866211 -A$8)</f>
        <v>0</v>
      </c>
      <c r="B242" t="str">
        <f>B$9 * (57.75033187866211 -B$8)</f>
        <v>0</v>
      </c>
      <c r="C242" t="str">
        <f>C$9 * (57.75033187866211 -C$8)</f>
        <v>0</v>
      </c>
      <c r="D242" t="str">
        <f>D$9 * (57.75033187866211 -D$8)</f>
        <v>0</v>
      </c>
      <c r="F242" t="str">
        <f>F$9 * (0.009877197444438934 -F$8)</f>
        <v>0</v>
      </c>
      <c r="G242" t="str">
        <f>G$9 * (5.815021991729736 -G$8)</f>
        <v>0</v>
      </c>
      <c r="H242" t="str">
        <f>H$9 * (12.01821994781494 -H$8)</f>
        <v>0</v>
      </c>
      <c r="I242" t="str">
        <f>I$9 * (0.0344281792640686 -I$8)</f>
        <v>0</v>
      </c>
    </row>
    <row r="243" spans="1:11">
      <c r="A243" t="str">
        <f>A$9 * (58.00016784667969 -A$8)</f>
        <v>0</v>
      </c>
      <c r="B243" t="str">
        <f>B$9 * (58.00016784667969 -B$8)</f>
        <v>0</v>
      </c>
      <c r="C243" t="str">
        <f>C$9 * (58.00016784667969 -C$8)</f>
        <v>0</v>
      </c>
      <c r="D243" t="str">
        <f>D$9 * (58.00016784667969 -D$8)</f>
        <v>0</v>
      </c>
      <c r="F243" t="str">
        <f>F$9 * (0.009877645410597324 -F$8)</f>
        <v>0</v>
      </c>
      <c r="G243" t="str">
        <f>G$9 * (5.815301895141602 -G$8)</f>
        <v>0</v>
      </c>
      <c r="H243" t="str">
        <f>H$9 * (12.01848030090332 -H$8)</f>
        <v>0</v>
      </c>
      <c r="I243" t="str">
        <f>I$9 * (0.03443016856908798 -I$8)</f>
        <v>0</v>
      </c>
    </row>
    <row r="244" spans="1:11">
      <c r="A244" t="str">
        <f>A$9 * (58.25038909912109 -A$8)</f>
        <v>0</v>
      </c>
      <c r="B244" t="str">
        <f>B$9 * (58.25038909912109 -B$8)</f>
        <v>0</v>
      </c>
      <c r="C244" t="str">
        <f>C$9 * (58.25038909912109 -C$8)</f>
        <v>0</v>
      </c>
      <c r="D244" t="str">
        <f>D$9 * (58.25038909912109 -D$8)</f>
        <v>0</v>
      </c>
      <c r="F244" t="str">
        <f>F$9 * (0.00987690594047308 -F$8)</f>
        <v>0</v>
      </c>
      <c r="G244" t="str">
        <f>G$9 * (5.815151214599609 -G$8)</f>
        <v>0</v>
      </c>
      <c r="H244" t="str">
        <f>H$9 * (12.01877021789551 -H$8)</f>
        <v>0</v>
      </c>
      <c r="I244" t="str">
        <f>I$9 * (0.03442993015050888 -I$8)</f>
        <v>0</v>
      </c>
    </row>
    <row r="245" spans="1:11">
      <c r="A245" t="str">
        <f>A$9 * (58.50019454956055 -A$8)</f>
        <v>0</v>
      </c>
      <c r="B245" t="str">
        <f>B$9 * (58.50019454956055 -B$8)</f>
        <v>0</v>
      </c>
      <c r="C245" t="str">
        <f>C$9 * (58.50019454956055 -C$8)</f>
        <v>0</v>
      </c>
      <c r="D245" t="str">
        <f>D$9 * (58.50019454956055 -D$8)</f>
        <v>0</v>
      </c>
      <c r="F245" t="str">
        <f>F$9 * (0.009877651929855347 -F$8)</f>
        <v>0</v>
      </c>
      <c r="G245" t="str">
        <f>G$9 * (5.814879894256592 -G$8)</f>
        <v>0</v>
      </c>
      <c r="H245" t="str">
        <f>H$9 * (12.01747989654541 -H$8)</f>
        <v>0</v>
      </c>
      <c r="I245" t="str">
        <f>I$9 * (0.03442585095763206 -I$8)</f>
        <v>0</v>
      </c>
    </row>
    <row r="246" spans="1:11">
      <c r="A246" t="str">
        <f>A$9 * (58.75002670288086 -A$8)</f>
        <v>0</v>
      </c>
      <c r="B246" t="str">
        <f>B$9 * (58.75002670288086 -B$8)</f>
        <v>0</v>
      </c>
      <c r="C246" t="str">
        <f>C$9 * (58.75002670288086 -C$8)</f>
        <v>0</v>
      </c>
      <c r="D246" t="str">
        <f>D$9 * (58.75002670288086 -D$8)</f>
        <v>0</v>
      </c>
      <c r="F246" t="str">
        <f>F$9 * (0.009877181611955166 -F$8)</f>
        <v>0</v>
      </c>
      <c r="G246" t="str">
        <f>G$9 * (5.815355777740479 -G$8)</f>
        <v>0</v>
      </c>
      <c r="H246" t="str">
        <f>H$9 * (12.01900959014893 -H$8)</f>
        <v>0</v>
      </c>
      <c r="I246" t="str">
        <f>I$9 * (0.03443150967359543 -I$8)</f>
        <v>0</v>
      </c>
    </row>
    <row r="247" spans="1:11">
      <c r="A247" t="str">
        <f>A$9 * (59.00025177001953 -A$8)</f>
        <v>0</v>
      </c>
      <c r="B247" t="str">
        <f>B$9 * (59.00025177001953 -B$8)</f>
        <v>0</v>
      </c>
      <c r="C247" t="str">
        <f>C$9 * (59.00025177001953 -C$8)</f>
        <v>0</v>
      </c>
      <c r="D247" t="str">
        <f>D$9 * (59.00025177001953 -D$8)</f>
        <v>0</v>
      </c>
      <c r="F247" t="str">
        <f>F$9 * (0.009875581599771976 -F$8)</f>
        <v>0</v>
      </c>
      <c r="G247" t="str">
        <f>G$9 * (5.814219951629639 -G$8)</f>
        <v>0</v>
      </c>
      <c r="H247" t="str">
        <f>H$9 * (12.01772022247314 -H$8)</f>
        <v>0</v>
      </c>
      <c r="I247" t="str">
        <f>I$9 * (0.03442278131842613 -I$8)</f>
        <v>0</v>
      </c>
    </row>
    <row r="248" spans="1:11">
      <c r="A248" t="str">
        <f>A$9 * (59.25008392333984 -A$8)</f>
        <v>0</v>
      </c>
      <c r="B248" t="str">
        <f>B$9 * (59.25008392333984 -B$8)</f>
        <v>0</v>
      </c>
      <c r="C248" t="str">
        <f>C$9 * (59.25008392333984 -C$8)</f>
        <v>0</v>
      </c>
      <c r="D248" t="str">
        <f>D$9 * (59.25008392333984 -D$8)</f>
        <v>0</v>
      </c>
      <c r="F248" t="str">
        <f>F$9 * (0.009879034943878651 -F$8)</f>
        <v>0</v>
      </c>
      <c r="G248" t="str">
        <f>G$9 * (5.815718173980713 -G$8)</f>
        <v>0</v>
      </c>
      <c r="H248" t="str">
        <f>H$9 * (12.01825046539307 -H$8)</f>
        <v>0</v>
      </c>
      <c r="I248" t="str">
        <f>I$9 * (0.03443191945552826 -I$8)</f>
        <v>0</v>
      </c>
    </row>
    <row r="249" spans="1:11">
      <c r="A249" t="str">
        <f>A$9 * (59.50030517578125 -A$8)</f>
        <v>0</v>
      </c>
      <c r="B249" t="str">
        <f>B$9 * (59.50030517578125 -B$8)</f>
        <v>0</v>
      </c>
      <c r="C249" t="str">
        <f>C$9 * (59.50030517578125 -C$8)</f>
        <v>0</v>
      </c>
      <c r="D249" t="str">
        <f>D$9 * (59.50030517578125 -D$8)</f>
        <v>0</v>
      </c>
      <c r="F249" t="str">
        <f>F$9 * (0.009872970171272755 -F$8)</f>
        <v>0</v>
      </c>
      <c r="G249" t="str">
        <f>G$9 * (5.813953876495361 -G$8)</f>
        <v>0</v>
      </c>
      <c r="H249" t="str">
        <f>H$9 * (12.01933002471924 -H$8)</f>
        <v>0</v>
      </c>
      <c r="I249" t="str">
        <f>I$9 * (0.03442446887493134 -I$8)</f>
        <v>0</v>
      </c>
    </row>
    <row r="250" spans="1:11">
      <c r="A250" t="str">
        <f>A$9 * (59.75013732910156 -A$8)</f>
        <v>0</v>
      </c>
      <c r="B250" t="str">
        <f>B$9 * (59.75013732910156 -B$8)</f>
        <v>0</v>
      </c>
      <c r="C250" t="str">
        <f>C$9 * (59.75013732910156 -C$8)</f>
        <v>0</v>
      </c>
      <c r="D250" t="str">
        <f>D$9 * (59.75013732910156 -D$8)</f>
        <v>0</v>
      </c>
      <c r="F250" t="str">
        <f>F$9 * (0.009877736680209637 -F$8)</f>
        <v>0</v>
      </c>
      <c r="G250" t="str">
        <f>G$9 * (5.815032958984375 -G$8)</f>
        <v>0</v>
      </c>
      <c r="H250" t="str">
        <f>H$9 * (12.01778030395508 -H$8)</f>
        <v>0</v>
      </c>
      <c r="I250" t="str">
        <f>I$9 * (0.03442737832665443 -I$8)</f>
        <v>0</v>
      </c>
    </row>
    <row r="251" spans="1:11">
      <c r="A251" t="str">
        <f>A$9 * (60.00036239624023 -A$8)</f>
        <v>0</v>
      </c>
      <c r="B251" t="str">
        <f>B$9 * (60.00036239624023 -B$8)</f>
        <v>0</v>
      </c>
      <c r="C251" t="str">
        <f>C$9 * (60.00036239624023 -C$8)</f>
        <v>0</v>
      </c>
      <c r="D251" t="str">
        <f>D$9 * (60.00036239624023 -D$8)</f>
        <v>0</v>
      </c>
      <c r="F251" t="str">
        <f>F$9 * (0.009877651929855347 -F$8)</f>
        <v>0</v>
      </c>
      <c r="G251" t="str">
        <f>G$9 * (5.815423011779785 -G$8)</f>
        <v>0</v>
      </c>
      <c r="H251" t="str">
        <f>H$9 * (12.01873016357422 -H$8)</f>
        <v>0</v>
      </c>
      <c r="I251" t="str">
        <f>I$9 * (0.03443115949630737 -I$8)</f>
        <v>0</v>
      </c>
    </row>
    <row r="252" spans="1:11">
      <c r="A252" t="str">
        <f>A$9 * (60.25019454956055 -A$8)</f>
        <v>0</v>
      </c>
      <c r="B252" t="str">
        <f>B$9 * (60.25019454956055 -B$8)</f>
        <v>0</v>
      </c>
      <c r="C252" t="str">
        <f>C$9 * (60.25019454956055 -C$8)</f>
        <v>0</v>
      </c>
      <c r="D252" t="str">
        <f>D$9 * (60.25019454956055 -D$8)</f>
        <v>0</v>
      </c>
      <c r="F252" t="str">
        <f>F$9 * (0.009875052608549595 -F$8)</f>
        <v>0</v>
      </c>
      <c r="G252" t="str">
        <f>G$9 * (5.814228057861328 -G$8)</f>
        <v>0</v>
      </c>
      <c r="H252" t="str">
        <f>H$9 * (12.01817989349365 -H$8)</f>
        <v>0</v>
      </c>
      <c r="I252" t="str">
        <f>I$9 * (0.03442373871803284 -I$8)</f>
        <v>0</v>
      </c>
    </row>
    <row r="253" spans="1:11">
      <c r="A253" t="str">
        <f>A$9 * (60.5 -A$8)</f>
        <v>0</v>
      </c>
      <c r="B253" t="str">
        <f>B$9 * (60.5 -B$8)</f>
        <v>0</v>
      </c>
      <c r="C253" t="str">
        <f>C$9 * (60.5 -C$8)</f>
        <v>0</v>
      </c>
      <c r="D253" t="str">
        <f>D$9 * (60.5 -D$8)</f>
        <v>0</v>
      </c>
      <c r="F253" t="str">
        <f>F$9 * (0.009877311997115612 -F$8)</f>
        <v>0</v>
      </c>
      <c r="G253" t="str">
        <f>G$9 * (5.81492280960083 -G$8)</f>
        <v>0</v>
      </c>
      <c r="H253" t="str">
        <f>H$9 * (12.0178804397583 -H$8)</f>
        <v>0</v>
      </c>
      <c r="I253" t="str">
        <f>I$9 * (0.03442690148949623 -I$8)</f>
        <v>0</v>
      </c>
    </row>
    <row r="254" spans="1:11">
      <c r="A254" t="str">
        <f>A$9 * (60.75025177001953 -A$8)</f>
        <v>0</v>
      </c>
      <c r="B254" t="str">
        <f>B$9 * (60.75025177001953 -B$8)</f>
        <v>0</v>
      </c>
      <c r="C254" t="str">
        <f>C$9 * (60.75025177001953 -C$8)</f>
        <v>0</v>
      </c>
      <c r="D254" t="str">
        <f>D$9 * (60.75025177001953 -D$8)</f>
        <v>0</v>
      </c>
      <c r="F254" t="str">
        <f>F$9 * (0.00987702701240778 -F$8)</f>
        <v>0</v>
      </c>
      <c r="G254" t="str">
        <f>G$9 * (5.81483793258667 -G$8)</f>
        <v>0</v>
      </c>
      <c r="H254" t="str">
        <f>H$9 * (12.01790046691895 -H$8)</f>
        <v>0</v>
      </c>
      <c r="I254" t="str">
        <f>I$9 * (0.03442639112472534 -I$8)</f>
        <v>0</v>
      </c>
    </row>
    <row r="255" spans="1:11">
      <c r="A255" t="str">
        <f>A$9 * (61.00005722045898 -A$8)</f>
        <v>0</v>
      </c>
      <c r="B255" t="str">
        <f>B$9 * (61.00005722045898 -B$8)</f>
        <v>0</v>
      </c>
      <c r="C255" t="str">
        <f>C$9 * (61.00005722045898 -C$8)</f>
        <v>0</v>
      </c>
      <c r="D255" t="str">
        <f>D$9 * (61.00005722045898 -D$8)</f>
        <v>0</v>
      </c>
      <c r="F255" t="str">
        <f>F$9 * (0.009875484742224216 -F$8)</f>
        <v>0</v>
      </c>
      <c r="G255" t="str">
        <f>G$9 * (5.81421422958374 -G$8)</f>
        <v>0</v>
      </c>
      <c r="H255" t="str">
        <f>H$9 * (12.0177698135376 -H$8)</f>
        <v>0</v>
      </c>
      <c r="I255" t="str">
        <f>I$9 * (0.03442278876900673 -I$8)</f>
        <v>0</v>
      </c>
    </row>
    <row r="256" spans="1:11">
      <c r="A256" t="str">
        <f>A$9 * (61.25030517578125 -A$8)</f>
        <v>0</v>
      </c>
      <c r="B256" t="str">
        <f>B$9 * (61.25030517578125 -B$8)</f>
        <v>0</v>
      </c>
      <c r="C256" t="str">
        <f>C$9 * (61.25030517578125 -C$8)</f>
        <v>0</v>
      </c>
      <c r="D256" t="str">
        <f>D$9 * (61.25030517578125 -D$8)</f>
        <v>0</v>
      </c>
      <c r="F256" t="str">
        <f>F$9 * (0.009874969720840454 -F$8)</f>
        <v>0</v>
      </c>
      <c r="G256" t="str">
        <f>G$9 * (5.814139842987061 -G$8)</f>
        <v>0</v>
      </c>
      <c r="H256" t="str">
        <f>H$9 * (12.01803970336914 -H$8)</f>
        <v>0</v>
      </c>
      <c r="I256" t="str">
        <f>I$9 * (0.03442293033003807 -I$8)</f>
        <v>0</v>
      </c>
    </row>
    <row r="257" spans="1:11">
      <c r="A257" t="str">
        <f>A$9 * (61.5001106262207 -A$8)</f>
        <v>0</v>
      </c>
      <c r="B257" t="str">
        <f>B$9 * (61.5001106262207 -B$8)</f>
        <v>0</v>
      </c>
      <c r="C257" t="str">
        <f>C$9 * (61.5001106262207 -C$8)</f>
        <v>0</v>
      </c>
      <c r="D257" t="str">
        <f>D$9 * (61.5001106262207 -D$8)</f>
        <v>0</v>
      </c>
      <c r="F257" t="str">
        <f>F$9 * (0.009877827018499374 -F$8)</f>
        <v>0</v>
      </c>
      <c r="G257" t="str">
        <f>G$9 * (5.814976215362549 -G$8)</f>
        <v>0</v>
      </c>
      <c r="H257" t="str">
        <f>H$9 * (12.01753997802734 -H$8)</f>
        <v>0</v>
      </c>
      <c r="I257" t="str">
        <f>I$9 * (0.03442645817995071 -I$8)</f>
        <v>0</v>
      </c>
    </row>
    <row r="258" spans="1:11">
      <c r="A258" t="str">
        <f>A$9 * (61.75036239624023 -A$8)</f>
        <v>0</v>
      </c>
      <c r="B258" t="str">
        <f>B$9 * (61.75036239624023 -B$8)</f>
        <v>0</v>
      </c>
      <c r="C258" t="str">
        <f>C$9 * (61.75036239624023 -C$8)</f>
        <v>0</v>
      </c>
      <c r="D258" t="str">
        <f>D$9 * (61.75036239624023 -D$8)</f>
        <v>0</v>
      </c>
      <c r="F258" t="str">
        <f>F$9 * (0.009876454249024391 -F$8)</f>
        <v>0</v>
      </c>
      <c r="G258" t="str">
        <f>G$9 * (5.814838886260986 -G$8)</f>
        <v>0</v>
      </c>
      <c r="H258" t="str">
        <f>H$9 * (12.01840019226074 -H$8)</f>
        <v>0</v>
      </c>
      <c r="I258" t="str">
        <f>I$9 * (0.03442737087607384 -I$8)</f>
        <v>0</v>
      </c>
    </row>
    <row r="259" spans="1:11">
      <c r="A259" t="str">
        <f>A$9 * (62.00016784667969 -A$8)</f>
        <v>0</v>
      </c>
      <c r="B259" t="str">
        <f>B$9 * (62.00016784667969 -B$8)</f>
        <v>0</v>
      </c>
      <c r="C259" t="str">
        <f>C$9 * (62.00016784667969 -C$8)</f>
        <v>0</v>
      </c>
      <c r="D259" t="str">
        <f>D$9 * (62.00016784667969 -D$8)</f>
        <v>0</v>
      </c>
      <c r="F259" t="str">
        <f>F$9 * (0.009876472875475883 -F$8)</f>
        <v>0</v>
      </c>
      <c r="G259" t="str">
        <f>G$9 * (5.814626216888428 -G$8)</f>
        <v>0</v>
      </c>
      <c r="H259" t="str">
        <f>H$9 * (12.01790046691895 -H$8)</f>
        <v>0</v>
      </c>
      <c r="I259" t="str">
        <f>I$9 * (0.03442535176873207 -I$8)</f>
        <v>0</v>
      </c>
    </row>
    <row r="260" spans="1:11">
      <c r="A260" t="str">
        <f>A$9 * (62.25038909912109 -A$8)</f>
        <v>0</v>
      </c>
      <c r="B260" t="str">
        <f>B$9 * (62.25038909912109 -B$8)</f>
        <v>0</v>
      </c>
      <c r="C260" t="str">
        <f>C$9 * (62.25038909912109 -C$8)</f>
        <v>0</v>
      </c>
      <c r="D260" t="str">
        <f>D$9 * (62.25038909912109 -D$8)</f>
        <v>0</v>
      </c>
      <c r="F260" t="str">
        <f>F$9 * (0.009877594187855721 -F$8)</f>
        <v>0</v>
      </c>
      <c r="G260" t="str">
        <f>G$9 * (5.815007209777832 -G$8)</f>
        <v>0</v>
      </c>
      <c r="H260" t="str">
        <f>H$9 * (12.01782989501953 -H$8)</f>
        <v>0</v>
      </c>
      <c r="I260" t="str">
        <f>I$9 * (0.0344272293150425 -I$8)</f>
        <v>0</v>
      </c>
    </row>
    <row r="261" spans="1:11">
      <c r="A261" t="str">
        <f>A$9 * (62.50022125244141 -A$8)</f>
        <v>0</v>
      </c>
      <c r="B261" t="str">
        <f>B$9 * (62.50022125244141 -B$8)</f>
        <v>0</v>
      </c>
      <c r="C261" t="str">
        <f>C$9 * (62.50022125244141 -C$8)</f>
        <v>0</v>
      </c>
      <c r="D261" t="str">
        <f>D$9 * (62.50022125244141 -D$8)</f>
        <v>0</v>
      </c>
      <c r="F261" t="str">
        <f>F$9 * (0.0098765529692173 -F$8)</f>
        <v>0</v>
      </c>
      <c r="G261" t="str">
        <f>G$9 * (5.815008163452148 -G$8)</f>
        <v>0</v>
      </c>
      <c r="H261" t="str">
        <f>H$9 * (12.01873016357422 -H$8)</f>
        <v>0</v>
      </c>
      <c r="I261" t="str">
        <f>I$9 * (0.03442903980612755 -I$8)</f>
        <v>0</v>
      </c>
    </row>
    <row r="262" spans="1:11">
      <c r="A262" t="str">
        <f>A$9 * (62.75005722045898 -A$8)</f>
        <v>0</v>
      </c>
      <c r="B262" t="str">
        <f>B$9 * (62.75005722045898 -B$8)</f>
        <v>0</v>
      </c>
      <c r="C262" t="str">
        <f>C$9 * (62.75005722045898 -C$8)</f>
        <v>0</v>
      </c>
      <c r="D262" t="str">
        <f>D$9 * (62.75005722045898 -D$8)</f>
        <v>0</v>
      </c>
      <c r="F262" t="str">
        <f>F$9 * (0.009879454039037228 -F$8)</f>
        <v>0</v>
      </c>
      <c r="G262" t="str">
        <f>G$9 * (5.815938949584961 -G$8)</f>
        <v>0</v>
      </c>
      <c r="H262" t="str">
        <f>H$9 * (12.01844024658203 -H$8)</f>
        <v>0</v>
      </c>
      <c r="I262" t="str">
        <f>I$9 * (0.03443368896842003 -I$8)</f>
        <v>0</v>
      </c>
    </row>
    <row r="263" spans="1:11">
      <c r="A263" t="str">
        <f>A$9 * (63.00027847290039 -A$8)</f>
        <v>0</v>
      </c>
      <c r="B263" t="str">
        <f>B$9 * (63.00027847290039 -B$8)</f>
        <v>0</v>
      </c>
      <c r="C263" t="str">
        <f>C$9 * (63.00027847290039 -C$8)</f>
        <v>0</v>
      </c>
      <c r="D263" t="str">
        <f>D$9 * (63.00027847290039 -D$8)</f>
        <v>0</v>
      </c>
      <c r="F263" t="str">
        <f>F$9 * (0.009879636578261852 -F$8)</f>
        <v>0</v>
      </c>
      <c r="G263" t="str">
        <f>G$9 * (5.815622806549072 -G$8)</f>
        <v>0</v>
      </c>
      <c r="H263" t="str">
        <f>H$9 * (12.0175199508667 -H$8)</f>
        <v>0</v>
      </c>
      <c r="I263" t="str">
        <f>I$9 * (0.03443003818392754 -I$8)</f>
        <v>0</v>
      </c>
    </row>
    <row r="264" spans="1:11">
      <c r="A264" t="str">
        <f>A$9 * (63.2501106262207 -A$8)</f>
        <v>0</v>
      </c>
      <c r="B264" t="str">
        <f>B$9 * (63.2501106262207 -B$8)</f>
        <v>0</v>
      </c>
      <c r="C264" t="str">
        <f>C$9 * (63.2501106262207 -C$8)</f>
        <v>0</v>
      </c>
      <c r="D264" t="str">
        <f>D$9 * (63.2501106262207 -D$8)</f>
        <v>0</v>
      </c>
      <c r="F264" t="str">
        <f>F$9 * (0.00987232755869627 -F$8)</f>
        <v>0</v>
      </c>
      <c r="G264" t="str">
        <f>G$9 * (5.813680171966553 -G$8)</f>
        <v>0</v>
      </c>
      <c r="H264" t="str">
        <f>H$9 * (12.01924991607666 -H$8)</f>
        <v>0</v>
      </c>
      <c r="I264" t="str">
        <f>I$9 * (0.03442288935184479 -I$8)</f>
        <v>0</v>
      </c>
    </row>
    <row r="265" spans="1:11">
      <c r="A265" t="str">
        <f>A$9 * (63.50033187866211 -A$8)</f>
        <v>0</v>
      </c>
      <c r="B265" t="str">
        <f>B$9 * (63.50033187866211 -B$8)</f>
        <v>0</v>
      </c>
      <c r="C265" t="str">
        <f>C$9 * (63.50033187866211 -C$8)</f>
        <v>0</v>
      </c>
      <c r="D265" t="str">
        <f>D$9 * (63.50033187866211 -D$8)</f>
        <v>0</v>
      </c>
      <c r="F265" t="str">
        <f>F$9 * (0.009875656105577946 -F$8)</f>
        <v>0</v>
      </c>
      <c r="G265" t="str">
        <f>G$9 * (5.813989162445068 -G$8)</f>
        <v>0</v>
      </c>
      <c r="H265" t="str">
        <f>H$9 * (12.01712036132812 -H$8)</f>
        <v>0</v>
      </c>
      <c r="I265" t="str">
        <f>I$9 * (0.03442038968205452 -I$8)</f>
        <v>0</v>
      </c>
    </row>
    <row r="266" spans="1:11">
      <c r="A266" t="str">
        <f>A$9 * (63.75016784667969 -A$8)</f>
        <v>0</v>
      </c>
      <c r="B266" t="str">
        <f>B$9 * (63.75016784667969 -B$8)</f>
        <v>0</v>
      </c>
      <c r="C266" t="str">
        <f>C$9 * (63.75016784667969 -C$8)</f>
        <v>0</v>
      </c>
      <c r="D266" t="str">
        <f>D$9 * (63.75016784667969 -D$8)</f>
        <v>0</v>
      </c>
      <c r="F266" t="str">
        <f>F$9 * (0.009879080578684807 -F$8)</f>
        <v>0</v>
      </c>
      <c r="G266" t="str">
        <f>G$9 * (5.815924167633057 -G$8)</f>
        <v>0</v>
      </c>
      <c r="H266" t="str">
        <f>H$9 * (12.01867961883545 -H$8)</f>
        <v>0</v>
      </c>
      <c r="I266" t="str">
        <f>I$9 * (0.03443383052945137 -I$8)</f>
        <v>0</v>
      </c>
    </row>
    <row r="267" spans="1:11">
      <c r="A267" t="str">
        <f>A$9 * (64.00038909912109 -A$8)</f>
        <v>0</v>
      </c>
      <c r="B267" t="str">
        <f>B$9 * (64.00038909912109 -B$8)</f>
        <v>0</v>
      </c>
      <c r="C267" t="str">
        <f>C$9 * (64.00038909912109 -C$8)</f>
        <v>0</v>
      </c>
      <c r="D267" t="str">
        <f>D$9 * (64.00038909912109 -D$8)</f>
        <v>0</v>
      </c>
      <c r="F267" t="str">
        <f>F$9 * (0.009875889867544174 -F$8)</f>
        <v>0</v>
      </c>
      <c r="G267" t="str">
        <f>G$9 * (5.81469202041626 -G$8)</f>
        <v>0</v>
      </c>
      <c r="H267" t="str">
        <f>H$9 * (12.0185604095459 -H$8)</f>
        <v>0</v>
      </c>
      <c r="I267" t="str">
        <f>I$9 * (0.0344269685447216 -I$8)</f>
        <v>0</v>
      </c>
    </row>
    <row r="268" spans="1:11">
      <c r="A268" t="str">
        <f>A$9 * (64.25019073486328 -A$8)</f>
        <v>0</v>
      </c>
      <c r="B268" t="str">
        <f>B$9 * (64.25019073486328 -B$8)</f>
        <v>0</v>
      </c>
      <c r="C268" t="str">
        <f>C$9 * (64.25019073486328 -C$8)</f>
        <v>0</v>
      </c>
      <c r="D268" t="str">
        <f>D$9 * (64.25019073486328 -D$8)</f>
        <v>0</v>
      </c>
      <c r="F268" t="str">
        <f>F$9 * (0.00987737812101841 -F$8)</f>
        <v>0</v>
      </c>
      <c r="G268" t="str">
        <f>G$9 * (5.814949035644531 -G$8)</f>
        <v>0</v>
      </c>
      <c r="H268" t="str">
        <f>H$9 * (12.0178804397583 -H$8)</f>
        <v>0</v>
      </c>
      <c r="I268" t="str">
        <f>I$9 * (0.03442708030343056 -I$8)</f>
        <v>0</v>
      </c>
    </row>
    <row r="269" spans="1:11">
      <c r="A269" t="str">
        <f>A$9 * (64.50003051757812 -A$8)</f>
        <v>0</v>
      </c>
      <c r="B269" t="str">
        <f>B$9 * (64.50003051757812 -B$8)</f>
        <v>0</v>
      </c>
      <c r="C269" t="str">
        <f>C$9 * (64.50003051757812 -C$8)</f>
        <v>0</v>
      </c>
      <c r="D269" t="str">
        <f>D$9 * (64.50003051757812 -D$8)</f>
        <v>0</v>
      </c>
      <c r="F269" t="str">
        <f>F$9 * (0.009877691045403481 -F$8)</f>
        <v>0</v>
      </c>
      <c r="G269" t="str">
        <f>G$9 * (5.815339088439941 -G$8)</f>
        <v>0</v>
      </c>
      <c r="H269" t="str">
        <f>H$9 * (12.01852035522461 -H$8)</f>
        <v>0</v>
      </c>
      <c r="I269" t="str">
        <f>I$9 * (0.03443042933940887 -I$8)</f>
        <v>0</v>
      </c>
    </row>
    <row r="270" spans="1:11">
      <c r="A270" t="str">
        <f>A$9 * (64.75025177001953 -A$8)</f>
        <v>0</v>
      </c>
      <c r="B270" t="str">
        <f>B$9 * (64.75025177001953 -B$8)</f>
        <v>0</v>
      </c>
      <c r="C270" t="str">
        <f>C$9 * (64.75025177001953 -C$8)</f>
        <v>0</v>
      </c>
      <c r="D270" t="str">
        <f>D$9 * (64.75025177001953 -D$8)</f>
        <v>0</v>
      </c>
      <c r="F270" t="str">
        <f>F$9 * (0.009875360876321793 -F$8)</f>
        <v>0</v>
      </c>
      <c r="G270" t="str">
        <f>G$9 * (5.814135074615479 -G$8)</f>
        <v>0</v>
      </c>
      <c r="H270" t="str">
        <f>H$9 * (12.01768970489502 -H$8)</f>
        <v>0</v>
      </c>
      <c r="I270" t="str">
        <f>I$9 * (0.03442217037081718 -I$8)</f>
        <v>0</v>
      </c>
    </row>
    <row r="271" spans="1:11">
      <c r="A271" t="str">
        <f>A$9 * (65.00008392333984 -A$8)</f>
        <v>0</v>
      </c>
      <c r="B271" t="str">
        <f>B$9 * (65.00008392333984 -B$8)</f>
        <v>0</v>
      </c>
      <c r="C271" t="str">
        <f>C$9 * (65.00008392333984 -C$8)</f>
        <v>0</v>
      </c>
      <c r="D271" t="str">
        <f>D$9 * (65.00008392333984 -D$8)</f>
        <v>0</v>
      </c>
      <c r="F271" t="str">
        <f>F$9 * (0.009875951334834099 -F$8)</f>
        <v>0</v>
      </c>
      <c r="G271" t="str">
        <f>G$9 * (5.81480884552002 -G$8)</f>
        <v>0</v>
      </c>
      <c r="H271" t="str">
        <f>H$9 * (12.01877021789551 -H$8)</f>
        <v>0</v>
      </c>
      <c r="I271" t="str">
        <f>I$9 * (0.03442798182368279 -I$8)</f>
        <v>0</v>
      </c>
    </row>
    <row r="272" spans="1:11">
      <c r="A272" t="str">
        <f>A$9 * (65.25030517578125 -A$8)</f>
        <v>0</v>
      </c>
      <c r="B272" t="str">
        <f>B$9 * (65.25030517578125 -B$8)</f>
        <v>0</v>
      </c>
      <c r="C272" t="str">
        <f>C$9 * (65.25030517578125 -C$8)</f>
        <v>0</v>
      </c>
      <c r="D272" t="str">
        <f>D$9 * (65.25030517578125 -D$8)</f>
        <v>0</v>
      </c>
      <c r="F272" t="str">
        <f>F$9 * (0.00987648032605648 -F$8)</f>
        <v>0</v>
      </c>
      <c r="G272" t="str">
        <f>G$9 * (5.814517021179199 -G$8)</f>
        <v>0</v>
      </c>
      <c r="H272" t="str">
        <f>H$9 * (12.01762962341309 -H$8)</f>
        <v>0</v>
      </c>
      <c r="I272" t="str">
        <f>I$9 * (0.03442417085170746 -I$8)</f>
        <v>0</v>
      </c>
    </row>
    <row r="273" spans="1:11">
      <c r="A273" t="str">
        <f>A$9 * (65.50013732910156 -A$8)</f>
        <v>0</v>
      </c>
      <c r="B273" t="str">
        <f>B$9 * (65.50013732910156 -B$8)</f>
        <v>0</v>
      </c>
      <c r="C273" t="str">
        <f>C$9 * (65.50013732910156 -C$8)</f>
        <v>0</v>
      </c>
      <c r="D273" t="str">
        <f>D$9 * (65.50013732910156 -D$8)</f>
        <v>0</v>
      </c>
      <c r="F273" t="str">
        <f>F$9 * (0.009878640063107014 -F$8)</f>
        <v>0</v>
      </c>
      <c r="G273" t="str">
        <f>G$9 * (5.815081119537354 -G$8)</f>
        <v>0</v>
      </c>
      <c r="H273" t="str">
        <f>H$9 * (12.01708984375 -H$8)</f>
        <v>0</v>
      </c>
      <c r="I273" t="str">
        <f>I$9 * (0.03442607074975967 -I$8)</f>
        <v>0</v>
      </c>
    </row>
    <row r="274" spans="1:11">
      <c r="A274" t="str">
        <f>A$9 * (65.75035858154297 -A$8)</f>
        <v>0</v>
      </c>
      <c r="B274" t="str">
        <f>B$9 * (65.75035858154297 -B$8)</f>
        <v>0</v>
      </c>
      <c r="C274" t="str">
        <f>C$9 * (65.75035858154297 -C$8)</f>
        <v>0</v>
      </c>
      <c r="D274" t="str">
        <f>D$9 * (65.75035858154297 -D$8)</f>
        <v>0</v>
      </c>
      <c r="F274" t="str">
        <f>F$9 * (0.009874238632619381 -F$8)</f>
        <v>0</v>
      </c>
      <c r="G274" t="str">
        <f>G$9 * (5.814732074737549 -G$8)</f>
        <v>0</v>
      </c>
      <c r="H274" t="str">
        <f>H$9 * (12.02007007598877 -H$8)</f>
        <v>0</v>
      </c>
      <c r="I274" t="str">
        <f>I$9 * (0.03443016856908798 -I$8)</f>
        <v>0</v>
      </c>
    </row>
    <row r="275" spans="1:11">
      <c r="A275" t="str">
        <f>A$9 * (66.00019073486328 -A$8)</f>
        <v>0</v>
      </c>
      <c r="B275" t="str">
        <f>B$9 * (66.00019073486328 -B$8)</f>
        <v>0</v>
      </c>
      <c r="C275" t="str">
        <f>C$9 * (66.00019073486328 -C$8)</f>
        <v>0</v>
      </c>
      <c r="D275" t="str">
        <f>D$9 * (66.00019073486328 -D$8)</f>
        <v>0</v>
      </c>
      <c r="F275" t="str">
        <f>F$9 * (0.009879750199615955 -F$8)</f>
        <v>0</v>
      </c>
      <c r="G275" t="str">
        <f>G$9 * (5.815738201141357 -G$8)</f>
        <v>0</v>
      </c>
      <c r="H275" t="str">
        <f>H$9 * (12.01772022247314 -H$8)</f>
        <v>0</v>
      </c>
      <c r="I275" t="str">
        <f>I$9 * (0.03443114832043648 -I$8)</f>
        <v>0</v>
      </c>
    </row>
    <row r="276" spans="1:11">
      <c r="A276" t="str">
        <f>A$9 * (66.25 -A$8)</f>
        <v>0</v>
      </c>
      <c r="B276" t="str">
        <f>B$9 * (66.25 -B$8)</f>
        <v>0</v>
      </c>
      <c r="C276" t="str">
        <f>C$9 * (66.25 -C$8)</f>
        <v>0</v>
      </c>
      <c r="D276" t="str">
        <f>D$9 * (66.25 -D$8)</f>
        <v>0</v>
      </c>
      <c r="F276" t="str">
        <f>F$9 * (0.009880930185317993 -F$8)</f>
        <v>0</v>
      </c>
      <c r="G276" t="str">
        <f>G$9 * (5.816695213317871 -G$8)</f>
        <v>0</v>
      </c>
      <c r="H276" t="str">
        <f>H$9 * (12.01891040802002 -H$8)</f>
        <v>0</v>
      </c>
      <c r="I276" t="str">
        <f>I$9 * (0.03443853929638863 -I$8)</f>
        <v>0</v>
      </c>
    </row>
    <row r="277" spans="1:11">
      <c r="A277" t="str">
        <f>A$9 * (66.50025177001953 -A$8)</f>
        <v>0</v>
      </c>
      <c r="B277" t="str">
        <f>B$9 * (66.50025177001953 -B$8)</f>
        <v>0</v>
      </c>
      <c r="C277" t="str">
        <f>C$9 * (66.50025177001953 -C$8)</f>
        <v>0</v>
      </c>
      <c r="D277" t="str">
        <f>D$9 * (66.50025177001953 -D$8)</f>
        <v>0</v>
      </c>
      <c r="F277" t="str">
        <f>F$9 * (0.009875449351966381 -F$8)</f>
        <v>0</v>
      </c>
      <c r="G277" t="str">
        <f>G$9 * (5.814659118652344 -G$8)</f>
        <v>0</v>
      </c>
      <c r="H277" t="str">
        <f>H$9 * (12.01889038085938 -H$8)</f>
        <v>0</v>
      </c>
      <c r="I277" t="str">
        <f>I$9 * (0.03442766144871712 -I$8)</f>
        <v>0</v>
      </c>
    </row>
    <row r="278" spans="1:11">
      <c r="A278" t="str">
        <f>A$9 * (66.75005340576172 -A$8)</f>
        <v>0</v>
      </c>
      <c r="B278" t="str">
        <f>B$9 * (66.75005340576172 -B$8)</f>
        <v>0</v>
      </c>
      <c r="C278" t="str">
        <f>C$9 * (66.75005340576172 -C$8)</f>
        <v>0</v>
      </c>
      <c r="D278" t="str">
        <f>D$9 * (66.75005340576172 -D$8)</f>
        <v>0</v>
      </c>
      <c r="F278" t="str">
        <f>F$9 * (0.009877312928438187 -F$8)</f>
        <v>0</v>
      </c>
      <c r="G278" t="str">
        <f>G$9 * (5.814980030059814 -G$8)</f>
        <v>0</v>
      </c>
      <c r="H278" t="str">
        <f>H$9 * (12.01803970336914 -H$8)</f>
        <v>0</v>
      </c>
      <c r="I278" t="str">
        <f>I$9 * (0.03442765027284622 -I$8)</f>
        <v>0</v>
      </c>
    </row>
    <row r="279" spans="1:11">
      <c r="A279" t="str">
        <f>A$9 * (67.00030517578125 -A$8)</f>
        <v>0</v>
      </c>
      <c r="B279" t="str">
        <f>B$9 * (67.00030517578125 -B$8)</f>
        <v>0</v>
      </c>
      <c r="C279" t="str">
        <f>C$9 * (67.00030517578125 -C$8)</f>
        <v>0</v>
      </c>
      <c r="D279" t="str">
        <f>D$9 * (67.00030517578125 -D$8)</f>
        <v>0</v>
      </c>
      <c r="F279" t="str">
        <f>F$9 * (0.00987648218870163 -F$8)</f>
        <v>0</v>
      </c>
      <c r="G279" t="str">
        <f>G$9 * (5.81519889831543 -G$8)</f>
        <v>0</v>
      </c>
      <c r="H279" t="str">
        <f>H$9 * (12.01922988891602 -H$8)</f>
        <v>0</v>
      </c>
      <c r="I279" t="str">
        <f>I$9 * (0.03443102166056633 -I$8)</f>
        <v>0</v>
      </c>
    </row>
    <row r="280" spans="1:11">
      <c r="A280" t="str">
        <f>A$9 * (67.25011444091797 -A$8)</f>
        <v>0</v>
      </c>
      <c r="B280" t="str">
        <f>B$9 * (67.25011444091797 -B$8)</f>
        <v>0</v>
      </c>
      <c r="C280" t="str">
        <f>C$9 * (67.25011444091797 -C$8)</f>
        <v>0</v>
      </c>
      <c r="D280" t="str">
        <f>D$9 * (67.25011444091797 -D$8)</f>
        <v>0</v>
      </c>
      <c r="F280" t="str">
        <f>F$9 * (0.009875859133899212 -F$8)</f>
        <v>0</v>
      </c>
      <c r="G280" t="str">
        <f>G$9 * (5.81463098526001 -G$8)</f>
        <v>0</v>
      </c>
      <c r="H280" t="str">
        <f>H$9 * (12.01846027374268 -H$8)</f>
        <v>0</v>
      </c>
      <c r="I280" t="str">
        <f>I$9 * (0.03442651033401489 -I$8)</f>
        <v>0</v>
      </c>
    </row>
    <row r="281" spans="1:11">
      <c r="A281" t="str">
        <f>A$9 * (67.50035858154297 -A$8)</f>
        <v>0</v>
      </c>
      <c r="B281" t="str">
        <f>B$9 * (67.50035858154297 -B$8)</f>
        <v>0</v>
      </c>
      <c r="C281" t="str">
        <f>C$9 * (67.50035858154297 -C$8)</f>
        <v>0</v>
      </c>
      <c r="D281" t="str">
        <f>D$9 * (67.50035858154297 -D$8)</f>
        <v>0</v>
      </c>
      <c r="F281" t="str">
        <f>F$9 * (0.009877663105726242 -F$8)</f>
        <v>0</v>
      </c>
      <c r="G281" t="str">
        <f>G$9 * (5.815299034118652 -G$8)</f>
        <v>0</v>
      </c>
      <c r="H281" t="str">
        <f>H$9 * (12.01846027374268 -H$8)</f>
        <v>0</v>
      </c>
      <c r="I281" t="str">
        <f>I$9 * (0.03443006053566933 -I$8)</f>
        <v>0</v>
      </c>
    </row>
    <row r="282" spans="1:11">
      <c r="A282" t="str">
        <f>A$9 * (67.75016784667969 -A$8)</f>
        <v>0</v>
      </c>
      <c r="B282" t="str">
        <f>B$9 * (67.75016784667969 -B$8)</f>
        <v>0</v>
      </c>
      <c r="C282" t="str">
        <f>C$9 * (67.75016784667969 -C$8)</f>
        <v>0</v>
      </c>
      <c r="D282" t="str">
        <f>D$9 * (67.75016784667969 -D$8)</f>
        <v>0</v>
      </c>
      <c r="F282" t="str">
        <f>F$9 * (0.009875805117189884 -F$8)</f>
        <v>0</v>
      </c>
      <c r="G282" t="str">
        <f>G$9 * (5.815031051635742 -G$8)</f>
        <v>0</v>
      </c>
      <c r="H282" t="str">
        <f>H$9 * (12.01941967010498 -H$8)</f>
        <v>0</v>
      </c>
      <c r="I282" t="str">
        <f>I$9 * (0.03443045169115067 -I$8)</f>
        <v>0</v>
      </c>
    </row>
    <row r="283" spans="1:11">
      <c r="A283" t="str">
        <f>A$9 * (68.00038909912109 -A$8)</f>
        <v>0</v>
      </c>
      <c r="B283" t="str">
        <f>B$9 * (68.00038909912109 -B$8)</f>
        <v>0</v>
      </c>
      <c r="C283" t="str">
        <f>C$9 * (68.00038909912109 -C$8)</f>
        <v>0</v>
      </c>
      <c r="D283" t="str">
        <f>D$9 * (68.00038909912109 -D$8)</f>
        <v>0</v>
      </c>
      <c r="F283" t="str">
        <f>F$9 * (0.009877361357212067 -F$8)</f>
        <v>0</v>
      </c>
      <c r="G283" t="str">
        <f>G$9 * (5.815144062042236 -G$8)</f>
        <v>0</v>
      </c>
      <c r="H283" t="str">
        <f>H$9 * (12.01834964752197 -H$8)</f>
        <v>0</v>
      </c>
      <c r="I283" t="str">
        <f>I$9 * (0.03442903980612755 -I$8)</f>
        <v>0</v>
      </c>
    </row>
    <row r="284" spans="1:11">
      <c r="A284" t="str">
        <f>A$9 * (68.25022125244141 -A$8)</f>
        <v>0</v>
      </c>
      <c r="B284" t="str">
        <f>B$9 * (68.25022125244141 -B$8)</f>
        <v>0</v>
      </c>
      <c r="C284" t="str">
        <f>C$9 * (68.25022125244141 -C$8)</f>
        <v>0</v>
      </c>
      <c r="D284" t="str">
        <f>D$9 * (68.25022125244141 -D$8)</f>
        <v>0</v>
      </c>
      <c r="F284" t="str">
        <f>F$9 * (0.00987723097205162 -F$8)</f>
        <v>0</v>
      </c>
      <c r="G284" t="str">
        <f>G$9 * (5.815289974212646 -G$8)</f>
        <v>0</v>
      </c>
      <c r="H284" t="str">
        <f>H$9 * (12.01879024505615 -H$8)</f>
        <v>0</v>
      </c>
      <c r="I284" t="str">
        <f>I$9 * (0.0344306007027626 -I$8)</f>
        <v>0</v>
      </c>
    </row>
    <row r="285" spans="1:11">
      <c r="A285" t="str">
        <f>A$9 * (68.50005340576172 -A$8)</f>
        <v>0</v>
      </c>
      <c r="B285" t="str">
        <f>B$9 * (68.50005340576172 -B$8)</f>
        <v>0</v>
      </c>
      <c r="C285" t="str">
        <f>C$9 * (68.50005340576172 -C$8)</f>
        <v>0</v>
      </c>
      <c r="D285" t="str">
        <f>D$9 * (68.50005340576172 -D$8)</f>
        <v>0</v>
      </c>
      <c r="F285" t="str">
        <f>F$9 * (0.009874923154711723 -F$8)</f>
        <v>0</v>
      </c>
      <c r="G285" t="str">
        <f>G$9 * (5.814291000366211 -G$8)</f>
        <v>0</v>
      </c>
      <c r="H285" t="str">
        <f>H$9 * (12.01844024658203 -H$8)</f>
        <v>0</v>
      </c>
      <c r="I285" t="str">
        <f>I$9 * (0.03442449122667313 -I$8)</f>
        <v>0</v>
      </c>
    </row>
    <row r="286" spans="1:11">
      <c r="A286" t="str">
        <f>A$9 * (68.75027465820312 -A$8)</f>
        <v>0</v>
      </c>
      <c r="B286" t="str">
        <f>B$9 * (68.75027465820312 -B$8)</f>
        <v>0</v>
      </c>
      <c r="C286" t="str">
        <f>C$9 * (68.75027465820312 -C$8)</f>
        <v>0</v>
      </c>
      <c r="D286" t="str">
        <f>D$9 * (68.75027465820312 -D$8)</f>
        <v>0</v>
      </c>
      <c r="F286" t="str">
        <f>F$9 * (0.009876937605440617 -F$8)</f>
        <v>0</v>
      </c>
      <c r="G286" t="str">
        <f>G$9 * (5.815096855163574 -G$8)</f>
        <v>0</v>
      </c>
      <c r="H286" t="str">
        <f>H$9 * (12.01860046386719 -H$8)</f>
        <v>0</v>
      </c>
      <c r="I286" t="str">
        <f>I$9 * (0.03442919999361038 -I$8)</f>
        <v>0</v>
      </c>
    </row>
    <row r="287" spans="1:11">
      <c r="A287" t="str">
        <f>A$9 * (69.00011444091797 -A$8)</f>
        <v>0</v>
      </c>
      <c r="B287" t="str">
        <f>B$9 * (69.00011444091797 -B$8)</f>
        <v>0</v>
      </c>
      <c r="C287" t="str">
        <f>C$9 * (69.00011444091797 -C$8)</f>
        <v>0</v>
      </c>
      <c r="D287" t="str">
        <f>D$9 * (69.00011444091797 -D$8)</f>
        <v>0</v>
      </c>
      <c r="F287" t="str">
        <f>F$9 * (0.009876849129796028 -F$8)</f>
        <v>0</v>
      </c>
      <c r="G287" t="str">
        <f>G$9 * (5.815165042877197 -G$8)</f>
        <v>0</v>
      </c>
      <c r="H287" t="str">
        <f>H$9 * (12.01883029937744 -H$8)</f>
        <v>0</v>
      </c>
      <c r="I287" t="str">
        <f>I$9 * (0.03443000838160515 -I$8)</f>
        <v>0</v>
      </c>
    </row>
    <row r="288" spans="1:11">
      <c r="A288" t="str">
        <f>A$9 * (69.25033569335938 -A$8)</f>
        <v>0</v>
      </c>
      <c r="B288" t="str">
        <f>B$9 * (69.25033569335938 -B$8)</f>
        <v>0</v>
      </c>
      <c r="C288" t="str">
        <f>C$9 * (69.25033569335938 -C$8)</f>
        <v>0</v>
      </c>
      <c r="D288" t="str">
        <f>D$9 * (69.25033569335938 -D$8)</f>
        <v>0</v>
      </c>
      <c r="F288" t="str">
        <f>F$9 * (0.009877496398985386 -F$8)</f>
        <v>0</v>
      </c>
      <c r="G288" t="str">
        <f>G$9 * (5.815337181091309 -G$8)</f>
        <v>0</v>
      </c>
      <c r="H288" t="str">
        <f>H$9 * (12.01869010925293 -H$8)</f>
        <v>0</v>
      </c>
      <c r="I288" t="str">
        <f>I$9 * (0.03443074971437454 -I$8)</f>
        <v>0</v>
      </c>
    </row>
    <row r="289" spans="1:11">
      <c r="A289" t="str">
        <f>A$9 * (69.50016784667969 -A$8)</f>
        <v>0</v>
      </c>
      <c r="B289" t="str">
        <f>B$9 * (69.50016784667969 -B$8)</f>
        <v>0</v>
      </c>
      <c r="C289" t="str">
        <f>C$9 * (69.50016784667969 -C$8)</f>
        <v>0</v>
      </c>
      <c r="D289" t="str">
        <f>D$9 * (69.50016784667969 -D$8)</f>
        <v>0</v>
      </c>
      <c r="F289" t="str">
        <f>F$9 * (0.00987749919295311 -F$8)</f>
        <v>0</v>
      </c>
      <c r="G289" t="str">
        <f>G$9 * (5.815560817718506 -G$8)</f>
        <v>0</v>
      </c>
      <c r="H289" t="str">
        <f>H$9 * (12.01920986175537 -H$8)</f>
        <v>0</v>
      </c>
      <c r="I289" t="str">
        <f>I$9 * (0.0344330407679081 -I$8)</f>
        <v>0</v>
      </c>
    </row>
    <row r="290" spans="1:11">
      <c r="A290" t="str">
        <f>A$9 * (69.75038909912109 -A$8)</f>
        <v>0</v>
      </c>
      <c r="B290" t="str">
        <f>B$9 * (69.75038909912109 -B$8)</f>
        <v>0</v>
      </c>
      <c r="C290" t="str">
        <f>C$9 * (69.75038909912109 -C$8)</f>
        <v>0</v>
      </c>
      <c r="D290" t="str">
        <f>D$9 * (69.75038909912109 -D$8)</f>
        <v>0</v>
      </c>
      <c r="F290" t="str">
        <f>F$9 * (0.009875987656414509 -F$8)</f>
        <v>0</v>
      </c>
      <c r="G290" t="str">
        <f>G$9 * (5.814603805541992 -G$8)</f>
        <v>0</v>
      </c>
      <c r="H290" t="str">
        <f>H$9 * (12.01825046539307 -H$8)</f>
        <v>0</v>
      </c>
      <c r="I290" t="str">
        <f>I$9 * (0.03442586958408356 -I$8)</f>
        <v>0</v>
      </c>
    </row>
    <row r="291" spans="1:11">
      <c r="A291" t="str">
        <f>A$9 * (70.00019073486328 -A$8)</f>
        <v>0</v>
      </c>
      <c r="B291" t="str">
        <f>B$9 * (70.00019073486328 -B$8)</f>
        <v>0</v>
      </c>
      <c r="C291" t="str">
        <f>C$9 * (70.00019073486328 -C$8)</f>
        <v>0</v>
      </c>
      <c r="D291" t="str">
        <f>D$9 * (70.00019073486328 -D$8)</f>
        <v>0</v>
      </c>
      <c r="F291" t="str">
        <f>F$9 * (0.009874545969069004 -F$8)</f>
        <v>0</v>
      </c>
      <c r="G291" t="str">
        <f>G$9 * (5.814188957214355 -G$8)</f>
        <v>0</v>
      </c>
      <c r="H291" t="str">
        <f>H$9 * (12.01852035522461 -H$8)</f>
        <v>0</v>
      </c>
      <c r="I291" t="str">
        <f>I$9 * (0.0344240814447403 -I$8)</f>
        <v>0</v>
      </c>
    </row>
    <row r="292" spans="1:11">
      <c r="A292" t="str">
        <f>A$9 * (70.25003051757812 -A$8)</f>
        <v>0</v>
      </c>
      <c r="B292" t="str">
        <f>B$9 * (70.25003051757812 -B$8)</f>
        <v>0</v>
      </c>
      <c r="C292" t="str">
        <f>C$9 * (70.25003051757812 -C$8)</f>
        <v>0</v>
      </c>
      <c r="D292" t="str">
        <f>D$9 * (70.25003051757812 -D$8)</f>
        <v>0</v>
      </c>
      <c r="F292" t="str">
        <f>F$9 * (0.009875782765448093 -F$8)</f>
        <v>0</v>
      </c>
      <c r="G292" t="str">
        <f>G$9 * (5.814764976501465 -G$8)</f>
        <v>0</v>
      </c>
      <c r="H292" t="str">
        <f>H$9 * (12.01881980895996 -H$8)</f>
        <v>0</v>
      </c>
      <c r="I292" t="str">
        <f>I$9 * (0.03442792966961861 -I$8)</f>
        <v>0</v>
      </c>
    </row>
    <row r="293" spans="1:11">
      <c r="A293" t="str">
        <f>A$9 * (70.50025177001953 -A$8)</f>
        <v>0</v>
      </c>
      <c r="B293" t="str">
        <f>B$9 * (70.50025177001953 -B$8)</f>
        <v>0</v>
      </c>
      <c r="C293" t="str">
        <f>C$9 * (70.50025177001953 -C$8)</f>
        <v>0</v>
      </c>
      <c r="D293" t="str">
        <f>D$9 * (70.50025177001953 -D$8)</f>
        <v>0</v>
      </c>
      <c r="F293" t="str">
        <f>F$9 * (0.0098801264539361 -F$8)</f>
        <v>0</v>
      </c>
      <c r="G293" t="str">
        <f>G$9 * (5.815877914428711 -G$8)</f>
        <v>0</v>
      </c>
      <c r="H293" t="str">
        <f>H$9 * (12.01768970489502 -H$8)</f>
        <v>0</v>
      </c>
      <c r="I293" t="str">
        <f>I$9 * (0.03443162888288498 -I$8)</f>
        <v>0</v>
      </c>
    </row>
    <row r="294" spans="1:11">
      <c r="A294" t="str">
        <f>A$9 * (70.75008392333984 -A$8)</f>
        <v>0</v>
      </c>
      <c r="B294" t="str">
        <f>B$9 * (70.75008392333984 -B$8)</f>
        <v>0</v>
      </c>
      <c r="C294" t="str">
        <f>C$9 * (70.75008392333984 -C$8)</f>
        <v>0</v>
      </c>
      <c r="D294" t="str">
        <f>D$9 * (70.75008392333984 -D$8)</f>
        <v>0</v>
      </c>
      <c r="F294" t="str">
        <f>F$9 * (0.009874898009002209 -F$8)</f>
        <v>0</v>
      </c>
      <c r="G294" t="str">
        <f>G$9 * (5.814719200134277 -G$8)</f>
        <v>0</v>
      </c>
      <c r="H294" t="str">
        <f>H$9 * (12.01945018768311 -H$8)</f>
        <v>0</v>
      </c>
      <c r="I294" t="str">
        <f>I$9 * (0.03442880883812904 -I$8)</f>
        <v>0</v>
      </c>
    </row>
    <row r="295" spans="1:11">
      <c r="A295" t="str">
        <f>A$9 * (71.00030517578125 -A$8)</f>
        <v>0</v>
      </c>
      <c r="B295" t="str">
        <f>B$9 * (71.00030517578125 -B$8)</f>
        <v>0</v>
      </c>
      <c r="C295" t="str">
        <f>C$9 * (71.00030517578125 -C$8)</f>
        <v>0</v>
      </c>
      <c r="D295" t="str">
        <f>D$9 * (71.00030517578125 -D$8)</f>
        <v>0</v>
      </c>
      <c r="F295" t="str">
        <f>F$9 * (0.009874842129647732 -F$8)</f>
        <v>0</v>
      </c>
      <c r="G295" t="str">
        <f>G$9 * (5.813793182373047 -G$8)</f>
        <v>0</v>
      </c>
      <c r="H295" t="str">
        <f>H$9 * (12.01735973358154 -H$8)</f>
        <v>0</v>
      </c>
      <c r="I295" t="str">
        <f>I$9 * (0.03441981971263885 -I$8)</f>
        <v>0</v>
      </c>
    </row>
    <row r="296" spans="1:11">
      <c r="A296" t="str">
        <f>A$9 * (71.25013732910156 -A$8)</f>
        <v>0</v>
      </c>
      <c r="B296" t="str">
        <f>B$9 * (71.25013732910156 -B$8)</f>
        <v>0</v>
      </c>
      <c r="C296" t="str">
        <f>C$9 * (71.25013732910156 -C$8)</f>
        <v>0</v>
      </c>
      <c r="D296" t="str">
        <f>D$9 * (71.25013732910156 -D$8)</f>
        <v>0</v>
      </c>
      <c r="F296" t="str">
        <f>F$9 * (0.009876123629510403 -F$8)</f>
        <v>0</v>
      </c>
      <c r="G296" t="str">
        <f>G$9 * (5.814355850219727 -G$8)</f>
        <v>0</v>
      </c>
      <c r="H296" t="str">
        <f>H$9 * (12.01753997802734 -H$8)</f>
        <v>0</v>
      </c>
      <c r="I296" t="str">
        <f>I$9 * (0.03442297130823135 -I$8)</f>
        <v>0</v>
      </c>
    </row>
    <row r="297" spans="1:11">
      <c r="A297" t="str">
        <f>A$9 * (71.50035858154297 -A$8)</f>
        <v>0</v>
      </c>
      <c r="B297" t="str">
        <f>B$9 * (71.50035858154297 -B$8)</f>
        <v>0</v>
      </c>
      <c r="C297" t="str">
        <f>C$9 * (71.50035858154297 -C$8)</f>
        <v>0</v>
      </c>
      <c r="D297" t="str">
        <f>D$9 * (71.50035858154297 -D$8)</f>
        <v>0</v>
      </c>
      <c r="F297" t="str">
        <f>F$9 * (0.009875457733869553 -F$8)</f>
        <v>0</v>
      </c>
      <c r="G297" t="str">
        <f>G$9 * (5.814459800720215 -G$8)</f>
        <v>0</v>
      </c>
      <c r="H297" t="str">
        <f>H$9 * (12.01836013793945 -H$8)</f>
        <v>0</v>
      </c>
      <c r="I297" t="str">
        <f>I$9 * (0.03442524001002312 -I$8)</f>
        <v>0</v>
      </c>
    </row>
    <row r="298" spans="1:11">
      <c r="A298" t="str">
        <f>A$9 * (71.75019073486328 -A$8)</f>
        <v>0</v>
      </c>
      <c r="B298" t="str">
        <f>B$9 * (71.75019073486328 -B$8)</f>
        <v>0</v>
      </c>
      <c r="C298" t="str">
        <f>C$9 * (71.75019073486328 -C$8)</f>
        <v>0</v>
      </c>
      <c r="D298" t="str">
        <f>D$9 * (71.75019073486328 -D$8)</f>
        <v>0</v>
      </c>
      <c r="F298" t="str">
        <f>F$9 * (0.009877277538180351 -F$8)</f>
        <v>0</v>
      </c>
      <c r="G298" t="str">
        <f>G$9 * (5.814733028411865 -G$8)</f>
        <v>0</v>
      </c>
      <c r="H298" t="str">
        <f>H$9 * (12.0174503326416 -H$8)</f>
        <v>0</v>
      </c>
      <c r="I298" t="str">
        <f>I$9 * (0.034425038844347 -I$8)</f>
        <v>0</v>
      </c>
    </row>
    <row r="299" spans="1:11">
      <c r="A299" t="str">
        <f>A$9 * (72 -A$8)</f>
        <v>0</v>
      </c>
      <c r="B299" t="str">
        <f>B$9 * (72 -B$8)</f>
        <v>0</v>
      </c>
      <c r="C299" t="str">
        <f>C$9 * (72 -C$8)</f>
        <v>0</v>
      </c>
      <c r="D299" t="str">
        <f>D$9 * (72 -D$8)</f>
        <v>0</v>
      </c>
      <c r="F299" t="str">
        <f>F$9 * (0.009876459836959839 -F$8)</f>
        <v>0</v>
      </c>
      <c r="G299" t="str">
        <f>G$9 * (5.814766883850098 -G$8)</f>
        <v>0</v>
      </c>
      <c r="H299" t="str">
        <f>H$9 * (12.01823043823242 -H$8)</f>
        <v>0</v>
      </c>
      <c r="I299" t="str">
        <f>I$9 * (0.03442670032382011 -I$8)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9"/>
  <sheetViews>
    <sheetView tabSelected="0" workbookViewId="0" showGridLines="true" showRowColHeaders="1">
      <selection activeCell="I10" sqref="I10"/>
    </sheetView>
  </sheetViews>
  <sheetFormatPr defaultRowHeight="14.4" outlineLevelRow="0" outlineLevelCol="0"/>
  <sheetData>
    <row r="1" spans="1:11">
      <c r="A1" s="2" t="s">
        <v>10</v>
      </c>
      <c r="B1" s="2" t="s">
        <v>10</v>
      </c>
      <c r="C1" s="2" t="s">
        <v>10</v>
      </c>
      <c r="D1" s="2" t="s">
        <v>10</v>
      </c>
      <c r="E1" s="1"/>
      <c r="F1" s="2" t="s">
        <v>11</v>
      </c>
      <c r="G1" s="2" t="s">
        <v>12</v>
      </c>
      <c r="H1" s="2" t="s">
        <v>12</v>
      </c>
      <c r="I1" s="2" t="s">
        <v>13</v>
      </c>
    </row>
    <row r="2" spans="1:11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tr">
        <f>'Legends'!B2</f>
        <v>0</v>
      </c>
      <c r="G2" s="1" t="str">
        <f>'Legends'!B3</f>
        <v>0</v>
      </c>
      <c r="H2" s="1" t="str">
        <f>'Legends'!B4</f>
        <v>0</v>
      </c>
      <c r="I2" s="1" t="str">
        <f>'Legends'!B5</f>
        <v>0</v>
      </c>
      <c r="K2" s="3" t="s">
        <v>25</v>
      </c>
    </row>
    <row r="3" spans="1:11">
      <c r="A3" t="str">
        <f>MIN($A$11:$A$299)</f>
        <v>0</v>
      </c>
      <c r="B3" t="str">
        <f>MIN($B$11:$B$299)</f>
        <v>0</v>
      </c>
      <c r="C3" t="str">
        <f>MIN($C$11:$C$299)</f>
        <v>0</v>
      </c>
      <c r="D3" t="str">
        <f>MIN($D$11:$D$299)</f>
        <v>0</v>
      </c>
      <c r="E3" s="1" t="s">
        <v>19</v>
      </c>
      <c r="F3" t="str">
        <f>MIN($F$11:$F$299)</f>
        <v>0</v>
      </c>
      <c r="G3" t="str">
        <f>MIN($G$11:$G$299)</f>
        <v>0</v>
      </c>
      <c r="H3" t="str">
        <f>MIN($H$11:$H$299)</f>
        <v>0</v>
      </c>
      <c r="I3" t="str">
        <f>MIN($I$11:$I$299)</f>
        <v>0</v>
      </c>
    </row>
    <row r="4" spans="1:11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t="str">
        <f>MEDIAN($D$11:$D$299)</f>
        <v>0</v>
      </c>
      <c r="E4" s="1" t="s">
        <v>20</v>
      </c>
      <c r="F4" t="str">
        <f>MEDIAN($F$11:$F$299)</f>
        <v>0</v>
      </c>
      <c r="G4" t="str">
        <f>MEDIAN($G$11:$G$299)</f>
        <v>0</v>
      </c>
      <c r="H4" t="str">
        <f>MEDIAN($H$11:$H$299)</f>
        <v>0</v>
      </c>
      <c r="I4" t="str">
        <f>MEDIAN($I$11:$I$299)</f>
        <v>0</v>
      </c>
    </row>
    <row r="5" spans="1:11">
      <c r="A5" t="str">
        <f>MAX($A$11:$A$299)</f>
        <v>0</v>
      </c>
      <c r="B5" t="str">
        <f>MAX($B$11:$B$299)</f>
        <v>0</v>
      </c>
      <c r="C5" t="str">
        <f>MAX($C$11:$C$299)</f>
        <v>0</v>
      </c>
      <c r="D5" t="str">
        <f>MAX($D$11:$D$299)</f>
        <v>0</v>
      </c>
      <c r="E5" s="1" t="s">
        <v>21</v>
      </c>
      <c r="F5" t="str">
        <f>MAX($F$11:$F$299)</f>
        <v>0</v>
      </c>
      <c r="G5" t="str">
        <f>MAX($G$11:$G$299)</f>
        <v>0</v>
      </c>
      <c r="H5" t="str">
        <f>MAX($H$11:$H$299)</f>
        <v>0</v>
      </c>
      <c r="I5" t="str">
        <f>MAX($I$11:$I$299)</f>
        <v>0</v>
      </c>
    </row>
    <row r="6" spans="1:11">
      <c r="A6" t="str">
        <f>$A5-$A3</f>
        <v>0</v>
      </c>
      <c r="B6" t="str">
        <f>$B5-$B3</f>
        <v>0</v>
      </c>
      <c r="C6" t="str">
        <f>$C5-$C3</f>
        <v>0</v>
      </c>
      <c r="D6" t="str">
        <f>$D5-$D3</f>
        <v>0</v>
      </c>
      <c r="E6" s="1" t="s">
        <v>22</v>
      </c>
      <c r="F6" t="str">
        <f>$F5-$F3</f>
        <v>0</v>
      </c>
      <c r="G6" t="str">
        <f>$G5-$G3</f>
        <v>0</v>
      </c>
      <c r="H6" t="str">
        <f>$H5-$H3</f>
        <v>0</v>
      </c>
      <c r="I6" t="str">
        <f>$I5-$I3</f>
        <v>0</v>
      </c>
    </row>
    <row r="7" spans="1:11">
      <c r="A7" s="2" t="s">
        <v>10</v>
      </c>
      <c r="B7" s="2" t="s">
        <v>10</v>
      </c>
      <c r="C7" s="2" t="s">
        <v>10</v>
      </c>
      <c r="D7" s="2" t="s">
        <v>10</v>
      </c>
      <c r="E7" s="1"/>
      <c r="F7" s="2" t="s">
        <v>11</v>
      </c>
      <c r="G7" s="2" t="s">
        <v>12</v>
      </c>
      <c r="H7" s="2" t="s">
        <v>12</v>
      </c>
      <c r="I7" s="2" t="s">
        <v>13</v>
      </c>
    </row>
    <row r="8" spans="1:11">
      <c r="A8">
        <v>0</v>
      </c>
      <c r="B8">
        <v>0</v>
      </c>
      <c r="C8">
        <v>0</v>
      </c>
      <c r="D8">
        <v>0</v>
      </c>
      <c r="E8" s="1" t="s">
        <v>23</v>
      </c>
      <c r="F8">
        <v>0</v>
      </c>
      <c r="G8">
        <v>0</v>
      </c>
      <c r="H8">
        <v>0</v>
      </c>
      <c r="I8">
        <v>0</v>
      </c>
    </row>
    <row r="9" spans="1:11">
      <c r="A9">
        <v>1</v>
      </c>
      <c r="B9">
        <v>1</v>
      </c>
      <c r="C9">
        <v>1</v>
      </c>
      <c r="D9">
        <v>1</v>
      </c>
      <c r="E9" s="1" t="s">
        <v>24</v>
      </c>
      <c r="F9">
        <v>1</v>
      </c>
      <c r="G9">
        <v>1</v>
      </c>
      <c r="H9">
        <v>1</v>
      </c>
      <c r="I9">
        <v>1</v>
      </c>
    </row>
    <row r="10" spans="1:11">
      <c r="A10" s="1" t="s">
        <v>14</v>
      </c>
      <c r="B10" s="1" t="s">
        <v>15</v>
      </c>
      <c r="C10" s="1" t="s">
        <v>16</v>
      </c>
      <c r="D10" s="1" t="s">
        <v>17</v>
      </c>
      <c r="E10" s="1"/>
      <c r="F10" s="1" t="str">
        <f>'Legends'!B2</f>
        <v>0</v>
      </c>
      <c r="G10" s="1" t="str">
        <f>'Legends'!B3</f>
        <v>0</v>
      </c>
      <c r="H10" s="1" t="str">
        <f>'Legends'!B4</f>
        <v>0</v>
      </c>
      <c r="I10" s="1" t="str">
        <f>'Legends'!B5</f>
        <v>0</v>
      </c>
    </row>
    <row r="11" spans="1:11">
      <c r="A11" t="str">
        <f>A$9 * (0 -A$8)</f>
        <v>0</v>
      </c>
      <c r="B11" t="str">
        <f>B$9 * (0 -B$8)</f>
        <v>0</v>
      </c>
      <c r="C11" t="str">
        <f>C$9 * (0 -C$8)</f>
        <v>0</v>
      </c>
      <c r="D11" t="str">
        <f>D$9 * (0 -D$8)</f>
        <v>0</v>
      </c>
      <c r="F11" t="str">
        <f>F$9 * (0.01899014040827751 -F$8)</f>
        <v>0</v>
      </c>
      <c r="G11" t="str">
        <f>G$9 * (6.976023197174072 -G$8)</f>
        <v>0</v>
      </c>
      <c r="H11" t="str">
        <f>H$9 * (9.87746524810791 -H$8)</f>
        <v>0</v>
      </c>
      <c r="I11" t="str">
        <f>I$9 * (0.04023474827408791 -I$8)</f>
        <v>0</v>
      </c>
    </row>
    <row r="12" spans="1:11">
      <c r="A12" t="str">
        <f>A$9 * (0.2503923773765564 -A$8)</f>
        <v>0</v>
      </c>
      <c r="B12" t="str">
        <f>B$9 * (0.2503923773765564 -B$8)</f>
        <v>0</v>
      </c>
      <c r="C12" t="str">
        <f>C$9 * (0.2503923773765564 -C$8)</f>
        <v>0</v>
      </c>
      <c r="D12" t="str">
        <f>D$9 * (0.2503923773765564 -D$8)</f>
        <v>0</v>
      </c>
      <c r="F12" t="str">
        <f>F$9 * (0.0130656398832798 -F$8)</f>
        <v>0</v>
      </c>
      <c r="G12" t="str">
        <f>G$9 * (6.005105018615723 -G$8)</f>
        <v>0</v>
      </c>
      <c r="H12" t="str">
        <f>H$9 * (10.26500034332275 -H$8)</f>
        <v>0</v>
      </c>
      <c r="I12" t="str">
        <f>I$9 * (0.03208952024579048 -I$8)</f>
        <v>0</v>
      </c>
    </row>
    <row r="13" spans="1:11">
      <c r="A13" t="str">
        <f>A$9 * (0.5000028014183044 -A$8)</f>
        <v>0</v>
      </c>
      <c r="B13" t="str">
        <f>B$9 * (0.5000028014183044 -B$8)</f>
        <v>0</v>
      </c>
      <c r="C13" t="str">
        <f>C$9 * (0.5000028014183044 -C$8)</f>
        <v>0</v>
      </c>
      <c r="D13" t="str">
        <f>D$9 * (0.5000028014183044 -D$8)</f>
        <v>0</v>
      </c>
      <c r="F13" t="str">
        <f>F$9 * (0.009224898181855679 -F$8)</f>
        <v>0</v>
      </c>
      <c r="G13" t="str">
        <f>G$9 * (4.252870082855225 -G$8)</f>
        <v>0</v>
      </c>
      <c r="H13" t="str">
        <f>H$9 * (8.758434295654297 -H$8)</f>
        <v>0</v>
      </c>
      <c r="I13" t="str">
        <f>I$9 * (0.02026757970452309 -I$8)</f>
        <v>0</v>
      </c>
    </row>
    <row r="14" spans="1:11">
      <c r="A14" t="str">
        <f>A$9 * (0.7500805258750916 -A$8)</f>
        <v>0</v>
      </c>
      <c r="B14" t="str">
        <f>B$9 * (0.7500805258750916 -B$8)</f>
        <v>0</v>
      </c>
      <c r="C14" t="str">
        <f>C$9 * (0.7500805258750916 -C$8)</f>
        <v>0</v>
      </c>
      <c r="D14" t="str">
        <f>D$9 * (0.7500805258750916 -D$8)</f>
        <v>0</v>
      </c>
      <c r="F14" t="str">
        <f>F$9 * (0.01388760004192591 -F$8)</f>
        <v>0</v>
      </c>
      <c r="G14" t="str">
        <f>G$9 * (4.405671119689941 -G$8)</f>
        <v>0</v>
      </c>
      <c r="H14" t="str">
        <f>H$9 * (7.069362163543701 -H$8)</f>
        <v>0</v>
      </c>
      <c r="I14" t="str">
        <f>I$9 * (0.02031189016997814 -I$8)</f>
        <v>0</v>
      </c>
    </row>
    <row r="15" spans="1:11">
      <c r="A15" t="str">
        <f>A$9 * (1.00001060962677 -A$8)</f>
        <v>0</v>
      </c>
      <c r="B15" t="str">
        <f>B$9 * (1.00001060962677 -B$8)</f>
        <v>0</v>
      </c>
      <c r="C15" t="str">
        <f>C$9 * (1.00001060962677 -C$8)</f>
        <v>0</v>
      </c>
      <c r="D15" t="str">
        <f>D$9 * (1.00001060962677 -D$8)</f>
        <v>0</v>
      </c>
      <c r="F15" t="str">
        <f>F$9 * (0.008046560920774937 -F$8)</f>
        <v>0</v>
      </c>
      <c r="G15" t="str">
        <f>G$9 * (3.715637922286987 -G$8)</f>
        <v>0</v>
      </c>
      <c r="H15" t="str">
        <f>H$9 * (8.319994926452637 -H$8)</f>
        <v>0</v>
      </c>
      <c r="I15" t="str">
        <f>I$9 * (0.01728381961584091 -I$8)</f>
        <v>0</v>
      </c>
    </row>
    <row r="16" spans="1:11">
      <c r="A16" t="str">
        <f>A$9 * (1.250362277030945 -A$8)</f>
        <v>0</v>
      </c>
      <c r="B16" t="str">
        <f>B$9 * (1.250362277030945 -B$8)</f>
        <v>0</v>
      </c>
      <c r="C16" t="str">
        <f>C$9 * (1.250362277030945 -C$8)</f>
        <v>0</v>
      </c>
      <c r="D16" t="str">
        <f>D$9 * (1.250362277030945 -D$8)</f>
        <v>0</v>
      </c>
      <c r="F16" t="str">
        <f>F$9 * (0.006253426894545555 -F$8)</f>
        <v>0</v>
      </c>
      <c r="G16" t="str">
        <f>G$9 * (2.63515305519104 -G$8)</f>
        <v>0</v>
      </c>
      <c r="H16" t="str">
        <f>H$9 * (6.88732385635376 -H$8)</f>
        <v>0</v>
      </c>
      <c r="I16" t="str">
        <f>I$9 * (0.0112347798421979 -I$8)</f>
        <v>0</v>
      </c>
    </row>
    <row r="17" spans="1:11">
      <c r="A17" t="str">
        <f>A$9 * (1.500348329544067 -A$8)</f>
        <v>0</v>
      </c>
      <c r="B17" t="str">
        <f>B$9 * (1.500348329544067 -B$8)</f>
        <v>0</v>
      </c>
      <c r="C17" t="str">
        <f>C$9 * (1.500348329544067 -C$8)</f>
        <v>0</v>
      </c>
      <c r="D17" t="str">
        <f>D$9 * (1.500348329544067 -D$8)</f>
        <v>0</v>
      </c>
      <c r="F17" t="str">
        <f>F$9 * (0.01099324971437454 -F$8)</f>
        <v>0</v>
      </c>
      <c r="G17" t="str">
        <f>G$9 * (4.916737079620361 -G$8)</f>
        <v>0</v>
      </c>
      <c r="H17" t="str">
        <f>H$9 * (9.149863243103027 -H$8)</f>
        <v>0</v>
      </c>
      <c r="I17" t="str">
        <f>I$9 * (0.02428581938147545 -I$8)</f>
        <v>0</v>
      </c>
    </row>
    <row r="18" spans="1:11">
      <c r="A18" t="str">
        <f>A$9 * (1.750333905220032 -A$8)</f>
        <v>0</v>
      </c>
      <c r="B18" t="str">
        <f>B$9 * (1.750333905220032 -B$8)</f>
        <v>0</v>
      </c>
      <c r="C18" t="str">
        <f>C$9 * (1.750333905220032 -C$8)</f>
        <v>0</v>
      </c>
      <c r="D18" t="str">
        <f>D$9 * (1.750333905220032 -D$8)</f>
        <v>0</v>
      </c>
      <c r="F18" t="str">
        <f>F$9 * (0.007645462173968554 -F$8)</f>
        <v>0</v>
      </c>
      <c r="G18" t="str">
        <f>G$9 * (3.215632915496826 -G$8)</f>
        <v>0</v>
      </c>
      <c r="H18" t="str">
        <f>H$9 * (7.37236213684082 -H$8)</f>
        <v>0</v>
      </c>
      <c r="I18" t="str">
        <f>I$9 * (0.0140394801273942 -I$8)</f>
        <v>0</v>
      </c>
    </row>
    <row r="19" spans="1:11">
      <c r="A19" t="str">
        <f>A$9 * (2.000319480895996 -A$8)</f>
        <v>0</v>
      </c>
      <c r="B19" t="str">
        <f>B$9 * (2.000319480895996 -B$8)</f>
        <v>0</v>
      </c>
      <c r="C19" t="str">
        <f>C$9 * (2.000319480895996 -C$8)</f>
        <v>0</v>
      </c>
      <c r="D19" t="str">
        <f>D$9 * (2.000319480895996 -D$8)</f>
        <v>0</v>
      </c>
      <c r="F19" t="str">
        <f>F$9 * (0.008920475840568542 -F$8)</f>
        <v>0</v>
      </c>
      <c r="G19" t="str">
        <f>G$9 * (2.615137100219727 -G$8)</f>
        <v>0</v>
      </c>
      <c r="H19" t="str">
        <f>H$9 * (5.323991775512695 -H$8)</f>
        <v>0</v>
      </c>
      <c r="I19" t="str">
        <f>I$9 * (0.009964051656424999 -I$8)</f>
        <v>0</v>
      </c>
    </row>
    <row r="20" spans="1:11">
      <c r="A20" t="str">
        <f>A$9 * (2.250304937362671 -A$8)</f>
        <v>0</v>
      </c>
      <c r="B20" t="str">
        <f>B$9 * (2.250304937362671 -B$8)</f>
        <v>0</v>
      </c>
      <c r="C20" t="str">
        <f>C$9 * (2.250304937362671 -C$8)</f>
        <v>0</v>
      </c>
      <c r="D20" t="str">
        <f>D$9 * (2.250304937362671 -D$8)</f>
        <v>0</v>
      </c>
      <c r="F20" t="str">
        <f>F$9 * (0.008142299018800259 -F$8)</f>
        <v>0</v>
      </c>
      <c r="G20" t="str">
        <f>G$9 * (3.766031980514526 -G$8)</f>
        <v>0</v>
      </c>
      <c r="H20" t="str">
        <f>H$9 * (8.366021156311035 -H$8)</f>
        <v>0</v>
      </c>
      <c r="I20" t="str">
        <f>I$9 * (0.0175566803663969 -I$8)</f>
        <v>0</v>
      </c>
    </row>
    <row r="21" spans="1:11">
      <c r="A21" t="str">
        <f>A$9 * (2.500290632247925 -A$8)</f>
        <v>0</v>
      </c>
      <c r="B21" t="str">
        <f>B$9 * (2.500290632247925 -B$8)</f>
        <v>0</v>
      </c>
      <c r="C21" t="str">
        <f>C$9 * (2.500290632247925 -C$8)</f>
        <v>0</v>
      </c>
      <c r="D21" t="str">
        <f>D$9 * (2.500290632247925 -D$8)</f>
        <v>0</v>
      </c>
      <c r="F21" t="str">
        <f>F$9 * (0.007999487221240997 -F$8)</f>
        <v>0</v>
      </c>
      <c r="G21" t="str">
        <f>G$9 * (3.323729991912842 -G$8)</f>
        <v>0</v>
      </c>
      <c r="H21" t="str">
        <f>H$9 * (7.393245220184326 -H$8)</f>
        <v>0</v>
      </c>
      <c r="I21" t="str">
        <f>I$9 * (0.01456431020051241 -I$8)</f>
        <v>0</v>
      </c>
    </row>
    <row r="22" spans="1:11">
      <c r="A22" t="str">
        <f>A$9 * (2.7502760887146 -A$8)</f>
        <v>0</v>
      </c>
      <c r="B22" t="str">
        <f>B$9 * (2.7502760887146 -B$8)</f>
        <v>0</v>
      </c>
      <c r="C22" t="str">
        <f>C$9 * (2.7502760887146 -C$8)</f>
        <v>0</v>
      </c>
      <c r="D22" t="str">
        <f>D$9 * (2.7502760887146 -D$8)</f>
        <v>0</v>
      </c>
      <c r="F22" t="str">
        <f>F$9 * (0.01836380921304226 -F$8)</f>
        <v>0</v>
      </c>
      <c r="G22" t="str">
        <f>G$9 * (5.241350173950195 -G$8)</f>
        <v>0</v>
      </c>
      <c r="H22" t="str">
        <f>H$9 * (7.365799903869629 -H$8)</f>
        <v>0</v>
      </c>
      <c r="I22" t="str">
        <f>I$9 * (0.02680592983961105 -I$8)</f>
        <v>0</v>
      </c>
    </row>
    <row r="23" spans="1:11">
      <c r="A23" t="str">
        <f>A$9 * (3.000097274780273 -A$8)</f>
        <v>0</v>
      </c>
      <c r="B23" t="str">
        <f>B$9 * (3.000097274780273 -B$8)</f>
        <v>0</v>
      </c>
      <c r="C23" t="str">
        <f>C$9 * (3.000097274780273 -C$8)</f>
        <v>0</v>
      </c>
      <c r="D23" t="str">
        <f>D$9 * (3.000097274780273 -D$8)</f>
        <v>0</v>
      </c>
      <c r="F23" t="str">
        <f>F$9 * (0.007615745067596436 -F$8)</f>
        <v>0</v>
      </c>
      <c r="G23" t="str">
        <f>G$9 * (3.456604957580566 -G$8)</f>
        <v>0</v>
      </c>
      <c r="H23" t="str">
        <f>H$9 * (8.01375675201416 -H$8)</f>
        <v>0</v>
      </c>
      <c r="I23" t="str">
        <f>I$9 * (0.0158767607063055 -I$8)</f>
        <v>0</v>
      </c>
    </row>
    <row r="24" spans="1:11">
      <c r="A24" t="str">
        <f>A$9 * (3.25011944770813 -A$8)</f>
        <v>0</v>
      </c>
      <c r="B24" t="str">
        <f>B$9 * (3.25011944770813 -B$8)</f>
        <v>0</v>
      </c>
      <c r="C24" t="str">
        <f>C$9 * (3.25011944770813 -C$8)</f>
        <v>0</v>
      </c>
      <c r="D24" t="str">
        <f>D$9 * (3.25011944770813 -D$8)</f>
        <v>0</v>
      </c>
      <c r="F24" t="str">
        <f>F$9 * (0.005757988896220922 -F$8)</f>
        <v>0</v>
      </c>
      <c r="G24" t="str">
        <f>G$9 * (1.466423988342285 -G$8)</f>
        <v>0</v>
      </c>
      <c r="H24" t="str">
        <f>H$9 * (3.980041980743408 -H$8)</f>
        <v>0</v>
      </c>
      <c r="I24" t="str">
        <f>I$9 * (2.264000045215653E-7 -I$8)</f>
        <v>0</v>
      </c>
    </row>
    <row r="25" spans="1:11">
      <c r="A25" t="str">
        <f>A$9 * (3.500241756439209 -A$8)</f>
        <v>0</v>
      </c>
      <c r="B25" t="str">
        <f>B$9 * (3.500241756439209 -B$8)</f>
        <v>0</v>
      </c>
      <c r="C25" t="str">
        <f>C$9 * (3.500241756439209 -C$8)</f>
        <v>0</v>
      </c>
      <c r="D25" t="str">
        <f>D$9 * (3.500241756439209 -D$8)</f>
        <v>0</v>
      </c>
      <c r="F25" t="str">
        <f>F$9 * (0.0128260999917984 -F$8)</f>
        <v>0</v>
      </c>
      <c r="G25" t="str">
        <f>G$9 * (7.714497089385986 -G$8)</f>
        <v>0</v>
      </c>
      <c r="H25" t="str">
        <f>H$9 * (13.99660968780518 -H$8)</f>
        <v>0</v>
      </c>
      <c r="I25" t="str">
        <f>I$9 * (0.05035063996911049 -I$8)</f>
        <v>0</v>
      </c>
    </row>
    <row r="26" spans="1:11">
      <c r="A26" t="str">
        <f>A$9 * (3.750241756439209 -A$8)</f>
        <v>0</v>
      </c>
      <c r="B26" t="str">
        <f>B$9 * (3.750241756439209 -B$8)</f>
        <v>0</v>
      </c>
      <c r="C26" t="str">
        <f>C$9 * (3.750241756439209 -C$8)</f>
        <v>0</v>
      </c>
      <c r="D26" t="str">
        <f>D$9 * (3.750241756439209 -D$8)</f>
        <v>0</v>
      </c>
      <c r="F26" t="str">
        <f>F$9 * (0.009497069753706455 -F$8)</f>
        <v>0</v>
      </c>
      <c r="G26" t="str">
        <f>G$9 * (3.955521106719971 -G$8)</f>
        <v>0</v>
      </c>
      <c r="H26" t="str">
        <f>H$9 * (8.004570960998535 -H$8)</f>
        <v>0</v>
      </c>
      <c r="I26" t="str">
        <f>I$9 * (0.0184132494032383 -I$8)</f>
        <v>0</v>
      </c>
    </row>
    <row r="27" spans="1:11">
      <c r="A27" t="str">
        <f>A$9 * (4.000097274780273 -A$8)</f>
        <v>0</v>
      </c>
      <c r="B27" t="str">
        <f>B$9 * (4.000097274780273 -B$8)</f>
        <v>0</v>
      </c>
      <c r="C27" t="str">
        <f>C$9 * (4.000097274780273 -C$8)</f>
        <v>0</v>
      </c>
      <c r="D27" t="str">
        <f>D$9 * (4.000097274780273 -D$8)</f>
        <v>0</v>
      </c>
      <c r="F27" t="str">
        <f>F$9 * (-0.0003748451999854296 -F$8)</f>
        <v>0</v>
      </c>
      <c r="G27" t="str">
        <f>G$9 * (-0.9890316128730774 -G$8)</f>
        <v>0</v>
      </c>
      <c r="H27" t="str">
        <f>H$9 * (0.6646957993507385 -H$8)</f>
        <v>0</v>
      </c>
      <c r="I27" t="str">
        <f>I$9 * (1.314000002139437E-7 -I$8)</f>
        <v>0</v>
      </c>
    </row>
    <row r="28" spans="1:11">
      <c r="A28" t="str">
        <f>A$9 * (4.250372409820557 -A$8)</f>
        <v>0</v>
      </c>
      <c r="B28" t="str">
        <f>B$9 * (4.250372409820557 -B$8)</f>
        <v>0</v>
      </c>
      <c r="C28" t="str">
        <f>C$9 * (4.250372409820557 -C$8)</f>
        <v>0</v>
      </c>
      <c r="D28" t="str">
        <f>D$9 * (4.250372409820557 -D$8)</f>
        <v>0</v>
      </c>
      <c r="F28" t="str">
        <f>F$9 * (-0.001041476032696664 -F$8)</f>
        <v>0</v>
      </c>
      <c r="G28" t="str">
        <f>G$9 * (-0.6794130206108093 -G$8)</f>
        <v>0</v>
      </c>
      <c r="H28" t="str">
        <f>H$9 * (-0.05409051850438118 -H$8)</f>
        <v>0</v>
      </c>
      <c r="I28" t="str">
        <f>I$9 * (0.002414763905107975 -I$8)</f>
        <v>0</v>
      </c>
    </row>
    <row r="29" spans="1:11">
      <c r="A29" t="str">
        <f>A$9 * (4.500458240509033 -A$8)</f>
        <v>0</v>
      </c>
      <c r="B29" t="str">
        <f>B$9 * (4.500458240509033 -B$8)</f>
        <v>0</v>
      </c>
      <c r="C29" t="str">
        <f>C$9 * (4.500458240509033 -C$8)</f>
        <v>0</v>
      </c>
      <c r="D29" t="str">
        <f>D$9 * (4.500458240509033 -D$8)</f>
        <v>0</v>
      </c>
      <c r="F29" t="str">
        <f>F$9 * (-0.0007887210813350976 -F$8)</f>
        <v>0</v>
      </c>
      <c r="G29" t="str">
        <f>G$9 * (-1.047322988510132 -G$8)</f>
        <v>0</v>
      </c>
      <c r="H29" t="str">
        <f>H$9 * (0.9475120902061462 -H$8)</f>
        <v>0</v>
      </c>
      <c r="I29" t="str">
        <f>I$9 * (0.0002378169010626152 -I$8)</f>
        <v>0</v>
      </c>
    </row>
    <row r="30" spans="1:11">
      <c r="A30" t="str">
        <f>A$9 * (4.750261306762695 -A$8)</f>
        <v>0</v>
      </c>
      <c r="B30" t="str">
        <f>B$9 * (4.750261306762695 -B$8)</f>
        <v>0</v>
      </c>
      <c r="C30" t="str">
        <f>C$9 * (4.750261306762695 -C$8)</f>
        <v>0</v>
      </c>
      <c r="D30" t="str">
        <f>D$9 * (4.750261306762695 -D$8)</f>
        <v>0</v>
      </c>
      <c r="F30" t="str">
        <f>F$9 * (0.1061370968818665 -F$8)</f>
        <v>0</v>
      </c>
      <c r="G30" t="str">
        <f>G$9 * (25.68881988525391 -G$8)</f>
        <v>0</v>
      </c>
      <c r="H30" t="str">
        <f>H$9 * (27.84515953063965 -H$8)</f>
        <v>0</v>
      </c>
      <c r="I30" t="str">
        <f>I$9 * (0.7688395977020264 -I$8)</f>
        <v>0</v>
      </c>
    </row>
    <row r="31" spans="1:11">
      <c r="A31" t="str">
        <f>A$9 * (5.000511169433594 -A$8)</f>
        <v>0</v>
      </c>
      <c r="B31" t="str">
        <f>B$9 * (5.000511169433594 -B$8)</f>
        <v>0</v>
      </c>
      <c r="C31" t="str">
        <f>C$9 * (5.000511169433594 -C$8)</f>
        <v>0</v>
      </c>
      <c r="D31" t="str">
        <f>D$9 * (5.000511169433594 -D$8)</f>
        <v>0</v>
      </c>
      <c r="F31" t="str">
        <f>F$9 * (0.003650814993306994 -F$8)</f>
        <v>0</v>
      </c>
      <c r="G31" t="str">
        <f>G$9 * (0.474639505147934 -G$8)</f>
        <v>0</v>
      </c>
      <c r="H31" t="str">
        <f>H$9 * (1.767848968505859 -H$8)</f>
        <v>0</v>
      </c>
      <c r="I31" t="str">
        <f>I$9 * (1.720000000204891E-7 -I$8)</f>
        <v>0</v>
      </c>
    </row>
    <row r="32" spans="1:11">
      <c r="A32" t="str">
        <f>A$9 * (5.250458240509033 -A$8)</f>
        <v>0</v>
      </c>
      <c r="B32" t="str">
        <f>B$9 * (5.250458240509033 -B$8)</f>
        <v>0</v>
      </c>
      <c r="C32" t="str">
        <f>C$9 * (5.250458240509033 -C$8)</f>
        <v>0</v>
      </c>
      <c r="D32" t="str">
        <f>D$9 * (5.250458240509033 -D$8)</f>
        <v>0</v>
      </c>
      <c r="F32" t="str">
        <f>F$9 * (-0.0005991857033222914 -F$8)</f>
        <v>0</v>
      </c>
      <c r="G32" t="str">
        <f>G$9 * (-1.005172967910767 -G$8)</f>
        <v>0</v>
      </c>
      <c r="H32" t="str">
        <f>H$9 * (0.6231549978256226 -H$8)</f>
        <v>0</v>
      </c>
      <c r="I32" t="str">
        <f>I$9 * (4.929999875002977E-8 -I$8)</f>
        <v>0</v>
      </c>
    </row>
    <row r="33" spans="1:11">
      <c r="A33" t="str">
        <f>A$9 * (5.500708103179932 -A$8)</f>
        <v>0</v>
      </c>
      <c r="B33" t="str">
        <f>B$9 * (5.500708103179932 -B$8)</f>
        <v>0</v>
      </c>
      <c r="C33" t="str">
        <f>C$9 * (5.500708103179932 -C$8)</f>
        <v>0</v>
      </c>
      <c r="D33" t="str">
        <f>D$9 * (5.500708103179932 -D$8)</f>
        <v>0</v>
      </c>
      <c r="F33" t="str">
        <f>F$9 * (-0.001275021000765264 -F$8)</f>
        <v>0</v>
      </c>
      <c r="G33" t="str">
        <f>G$9 * (-1.732679009437561 -G$8)</f>
        <v>0</v>
      </c>
      <c r="H33" t="str">
        <f>H$9 * (1.102659940719604 -H$8)</f>
        <v>0</v>
      </c>
      <c r="I33" t="str">
        <f>I$9 * (1.96000002006258E-7 -I$8)</f>
        <v>0</v>
      </c>
    </row>
    <row r="34" spans="1:11">
      <c r="A34" t="str">
        <f>A$9 * (5.750102996826172 -A$8)</f>
        <v>0</v>
      </c>
      <c r="B34" t="str">
        <f>B$9 * (5.750102996826172 -B$8)</f>
        <v>0</v>
      </c>
      <c r="C34" t="str">
        <f>C$9 * (5.750102996826172 -C$8)</f>
        <v>0</v>
      </c>
      <c r="D34" t="str">
        <f>D$9 * (5.750102996826172 -D$8)</f>
        <v>0</v>
      </c>
      <c r="F34" t="str">
        <f>F$9 * (0.137664794921875 -F$8)</f>
        <v>0</v>
      </c>
      <c r="G34" t="str">
        <f>G$9 * (10.02826976776123 -G$8)</f>
        <v>0</v>
      </c>
      <c r="H34" t="str">
        <f>H$9 * (10.36571979522705 -H$8)</f>
        <v>0</v>
      </c>
      <c r="I34" t="str">
        <f>I$9 * (0.2527644038200378 -I$8)</f>
        <v>0</v>
      </c>
    </row>
    <row r="35" spans="1:11">
      <c r="A35" t="str">
        <f>A$9 * (6.000141620635986 -A$8)</f>
        <v>0</v>
      </c>
      <c r="B35" t="str">
        <f>B$9 * (6.000141620635986 -B$8)</f>
        <v>0</v>
      </c>
      <c r="C35" t="str">
        <f>C$9 * (6.000141620635986 -C$8)</f>
        <v>0</v>
      </c>
      <c r="D35" t="str">
        <f>D$9 * (6.000141620635986 -D$8)</f>
        <v>0</v>
      </c>
      <c r="F35" t="str">
        <f>F$9 * (0.03853410854935646 -F$8)</f>
        <v>0</v>
      </c>
      <c r="G35" t="str">
        <f>G$9 * (6.687821865081787 -G$8)</f>
        <v>0</v>
      </c>
      <c r="H35" t="str">
        <f>H$9 * (7.165358066558838 -H$8)</f>
        <v>0</v>
      </c>
      <c r="I35" t="str">
        <f>I$9 * (0.05159810930490494 -I$8)</f>
        <v>0</v>
      </c>
    </row>
    <row r="36" spans="1:11">
      <c r="A36" t="str">
        <f>A$9 * (6.250077724456787 -A$8)</f>
        <v>0</v>
      </c>
      <c r="B36" t="str">
        <f>B$9 * (6.250077724456787 -B$8)</f>
        <v>0</v>
      </c>
      <c r="C36" t="str">
        <f>C$9 * (6.250077724456787 -C$8)</f>
        <v>0</v>
      </c>
      <c r="D36" t="str">
        <f>D$9 * (6.250077724456787 -D$8)</f>
        <v>0</v>
      </c>
      <c r="F36" t="str">
        <f>F$9 * (0.01381864957511425 -F$8)</f>
        <v>0</v>
      </c>
      <c r="G36" t="str">
        <f>G$9 * (8.080621719360352 -G$8)</f>
        <v>0</v>
      </c>
      <c r="H36" t="str">
        <f>H$9 * (14.33267021179199 -H$8)</f>
        <v>0</v>
      </c>
      <c r="I36" t="str">
        <f>I$9 * (0.05436401814222336 -I$8)</f>
        <v>0</v>
      </c>
    </row>
    <row r="37" spans="1:11">
      <c r="A37" t="str">
        <f>A$9 * (6.500152587890625 -A$8)</f>
        <v>0</v>
      </c>
      <c r="B37" t="str">
        <f>B$9 * (6.500152587890625 -B$8)</f>
        <v>0</v>
      </c>
      <c r="C37" t="str">
        <f>C$9 * (6.500152587890625 -C$8)</f>
        <v>0</v>
      </c>
      <c r="D37" t="str">
        <f>D$9 * (6.500152587890625 -D$8)</f>
        <v>0</v>
      </c>
      <c r="F37" t="str">
        <f>F$9 * (0.005012299865484238 -F$8)</f>
        <v>0</v>
      </c>
      <c r="G37" t="str">
        <f>G$9 * (2.963341951370239 -G$8)</f>
        <v>0</v>
      </c>
      <c r="H37" t="str">
        <f>H$9 * (9.477082252502441 -H$8)</f>
        <v>0</v>
      </c>
      <c r="I37" t="str">
        <f>I$9 * (0.01652489043772221 -I$8)</f>
        <v>0</v>
      </c>
    </row>
    <row r="38" spans="1:11">
      <c r="A38" t="str">
        <f>A$9 * (6.750280380249023 -A$8)</f>
        <v>0</v>
      </c>
      <c r="B38" t="str">
        <f>B$9 * (6.750280380249023 -B$8)</f>
        <v>0</v>
      </c>
      <c r="C38" t="str">
        <f>C$9 * (6.750280380249023 -C$8)</f>
        <v>0</v>
      </c>
      <c r="D38" t="str">
        <f>D$9 * (6.750280380249023 -D$8)</f>
        <v>0</v>
      </c>
      <c r="F38" t="str">
        <f>F$9 * (0.006646659225225449 -F$8)</f>
        <v>0</v>
      </c>
      <c r="G38" t="str">
        <f>G$9 * (3.028903007507324 -G$8)</f>
        <v>0</v>
      </c>
      <c r="H38" t="str">
        <f>H$9 * (7.74265718460083 -H$8)</f>
        <v>0</v>
      </c>
      <c r="I38" t="str">
        <f>I$9 * (0.01404414046555758 -I$8)</f>
        <v>0</v>
      </c>
    </row>
    <row r="39" spans="1:11">
      <c r="A39" t="str">
        <f>A$9 * (7.000197410583496 -A$8)</f>
        <v>0</v>
      </c>
      <c r="B39" t="str">
        <f>B$9 * (7.000197410583496 -B$8)</f>
        <v>0</v>
      </c>
      <c r="C39" t="str">
        <f>C$9 * (7.000197410583496 -C$8)</f>
        <v>0</v>
      </c>
      <c r="D39" t="str">
        <f>D$9 * (7.000197410583496 -D$8)</f>
        <v>0</v>
      </c>
      <c r="F39" t="str">
        <f>F$9 * (0.004747910890728235 -F$8)</f>
        <v>0</v>
      </c>
      <c r="G39" t="str">
        <f>G$9 * (2.366934061050415 -G$8)</f>
        <v>0</v>
      </c>
      <c r="H39" t="str">
        <f>H$9 * (7.745597839355469 -H$8)</f>
        <v>0</v>
      </c>
      <c r="I39" t="str">
        <f>I$9 * (0.01167813967913389 -I$8)</f>
        <v>0</v>
      </c>
    </row>
    <row r="40" spans="1:11">
      <c r="A40" t="str">
        <f>A$9 * (7.250205516815186 -A$8)</f>
        <v>0</v>
      </c>
      <c r="B40" t="str">
        <f>B$9 * (7.250205516815186 -B$8)</f>
        <v>0</v>
      </c>
      <c r="C40" t="str">
        <f>C$9 * (7.250205516815186 -C$8)</f>
        <v>0</v>
      </c>
      <c r="D40" t="str">
        <f>D$9 * (7.250205516815186 -D$8)</f>
        <v>0</v>
      </c>
      <c r="F40" t="str">
        <f>F$9 * (0.004248705226927996 -F$8)</f>
        <v>0</v>
      </c>
      <c r="G40" t="str">
        <f>G$9 * (1.919296026229858 -G$8)</f>
        <v>0</v>
      </c>
      <c r="H40" t="str">
        <f>H$9 * (6.772552967071533 -H$8)</f>
        <v>0</v>
      </c>
      <c r="I40" t="str">
        <f>I$9 * (3.965000132666319E-7 -I$8)</f>
        <v>0</v>
      </c>
    </row>
    <row r="41" spans="1:11">
      <c r="A41" t="str">
        <f>A$9 * (7.500277996063232 -A$8)</f>
        <v>0</v>
      </c>
      <c r="B41" t="str">
        <f>B$9 * (7.500277996063232 -B$8)</f>
        <v>0</v>
      </c>
      <c r="C41" t="str">
        <f>C$9 * (7.500277996063232 -C$8)</f>
        <v>0</v>
      </c>
      <c r="D41" t="str">
        <f>D$9 * (7.500277996063232 -D$8)</f>
        <v>0</v>
      </c>
      <c r="F41" t="str">
        <f>F$9 * (0.01221065036952496 -F$8)</f>
        <v>0</v>
      </c>
      <c r="G41" t="str">
        <f>G$9 * (3.419640064239502 -G$8)</f>
        <v>0</v>
      </c>
      <c r="H41" t="str">
        <f>H$9 * (5.851851940155029 -H$8)</f>
        <v>0</v>
      </c>
      <c r="I41" t="str">
        <f>I$9 * (0.01450322009623051 -I$8)</f>
        <v>0</v>
      </c>
    </row>
    <row r="42" spans="1:11">
      <c r="A42" t="str">
        <f>A$9 * (7.750138759613037 -A$8)</f>
        <v>0</v>
      </c>
      <c r="B42" t="str">
        <f>B$9 * (7.750138759613037 -B$8)</f>
        <v>0</v>
      </c>
      <c r="C42" t="str">
        <f>C$9 * (7.750138759613037 -C$8)</f>
        <v>0</v>
      </c>
      <c r="D42" t="str">
        <f>D$9 * (7.750138759613037 -D$8)</f>
        <v>0</v>
      </c>
      <c r="F42" t="str">
        <f>F$9 * (0.006391381844878197 -F$8)</f>
        <v>0</v>
      </c>
      <c r="G42" t="str">
        <f>G$9 * (2.942280054092407 -G$8)</f>
        <v>0</v>
      </c>
      <c r="H42" t="str">
        <f>H$9 * (7.705772876739502 -H$8)</f>
        <v>0</v>
      </c>
      <c r="I42" t="str">
        <f>I$9 * (0.01359030045568943 -I$8)</f>
        <v>0</v>
      </c>
    </row>
    <row r="43" spans="1:11">
      <c r="A43" t="str">
        <f>A$9 * (8.000371932983398 -A$8)</f>
        <v>0</v>
      </c>
      <c r="B43" t="str">
        <f>B$9 * (8.000371932983398 -B$8)</f>
        <v>0</v>
      </c>
      <c r="C43" t="str">
        <f>C$9 * (8.000371932983398 -C$8)</f>
        <v>0</v>
      </c>
      <c r="D43" t="str">
        <f>D$9 * (8.000371932983398 -D$8)</f>
        <v>0</v>
      </c>
      <c r="F43" t="str">
        <f>F$9 * (0.004099986050277948 -F$8)</f>
        <v>0</v>
      </c>
      <c r="G43" t="str">
        <f>G$9 * (1.102023005485535 -G$8)</f>
        <v>0</v>
      </c>
      <c r="H43" t="str">
        <f>H$9 * (3.876046895980835 -H$8)</f>
        <v>0</v>
      </c>
      <c r="I43" t="str">
        <f>I$9 * (6.250999717849481E-7 -I$8)</f>
        <v>0</v>
      </c>
    </row>
    <row r="44" spans="1:11">
      <c r="A44" t="str">
        <f>A$9 * (8.250127792358398 -A$8)</f>
        <v>0</v>
      </c>
      <c r="B44" t="str">
        <f>B$9 * (8.250127792358398 -B$8)</f>
        <v>0</v>
      </c>
      <c r="C44" t="str">
        <f>C$9 * (8.250127792358398 -C$8)</f>
        <v>0</v>
      </c>
      <c r="D44" t="str">
        <f>D$9 * (8.250127792358398 -D$8)</f>
        <v>0</v>
      </c>
      <c r="F44" t="str">
        <f>F$9 * (-0.0005198799190111458 -F$8)</f>
        <v>0</v>
      </c>
      <c r="G44" t="str">
        <f>G$9 * (-1.279404997825623 -G$8)</f>
        <v>0</v>
      </c>
      <c r="H44" t="str">
        <f>H$9 * (1.375887036323547 -H$8)</f>
        <v>0</v>
      </c>
      <c r="I44" t="str">
        <f>I$9 * (3.568000011000549E-7 -I$8)</f>
        <v>0</v>
      </c>
    </row>
    <row r="45" spans="1:11">
      <c r="A45" t="str">
        <f>A$9 * (8.500100135803223 -A$8)</f>
        <v>0</v>
      </c>
      <c r="B45" t="str">
        <f>B$9 * (8.500100135803223 -B$8)</f>
        <v>0</v>
      </c>
      <c r="C45" t="str">
        <f>C$9 * (8.500100135803223 -C$8)</f>
        <v>0</v>
      </c>
      <c r="D45" t="str">
        <f>D$9 * (8.500100135803223 -D$8)</f>
        <v>0</v>
      </c>
      <c r="F45" t="str">
        <f>F$9 * (-0.0008030513999983668 -F$8)</f>
        <v>0</v>
      </c>
      <c r="G45" t="str">
        <f>G$9 * (-1.564044952392578 -G$8)</f>
        <v>0</v>
      </c>
      <c r="H45" t="str">
        <f>H$9 * (1.425675988197327 -H$8)</f>
        <v>0</v>
      </c>
      <c r="I45" t="str">
        <f>I$9 * (6.028000143487589E-7 -I$8)</f>
        <v>0</v>
      </c>
    </row>
    <row r="46" spans="1:11">
      <c r="A46" t="str">
        <f>A$9 * (8.750033378601074 -A$8)</f>
        <v>0</v>
      </c>
      <c r="B46" t="str">
        <f>B$9 * (8.750033378601074 -B$8)</f>
        <v>0</v>
      </c>
      <c r="C46" t="str">
        <f>C$9 * (8.750033378601074 -C$8)</f>
        <v>0</v>
      </c>
      <c r="D46" t="str">
        <f>D$9 * (8.750033378601074 -D$8)</f>
        <v>0</v>
      </c>
      <c r="F46" t="str">
        <f>F$9 * (-3.065040073124692E-5 -F$8)</f>
        <v>0</v>
      </c>
      <c r="G46" t="str">
        <f>G$9 * (-1.311691999435425 -G$8)</f>
        <v>0</v>
      </c>
      <c r="H46" t="str">
        <f>H$9 * (0.8125017881393433 -H$8)</f>
        <v>0</v>
      </c>
      <c r="I46" t="str">
        <f>I$9 * (1.91599994536773E-7 -I$8)</f>
        <v>0</v>
      </c>
    </row>
    <row r="47" spans="1:11">
      <c r="A47" t="str">
        <f>A$9 * (9.000444412231445 -A$8)</f>
        <v>0</v>
      </c>
      <c r="B47" t="str">
        <f>B$9 * (9.000444412231445 -B$8)</f>
        <v>0</v>
      </c>
      <c r="C47" t="str">
        <f>C$9 * (9.000444412231445 -C$8)</f>
        <v>0</v>
      </c>
      <c r="D47" t="str">
        <f>D$9 * (9.000444412231445 -D$8)</f>
        <v>0</v>
      </c>
      <c r="F47" t="str">
        <f>F$9 * (0.001112784957513213 -F$8)</f>
        <v>0</v>
      </c>
      <c r="G47" t="str">
        <f>G$9 * (-0.0124237397685647 -G$8)</f>
        <v>0</v>
      </c>
      <c r="H47" t="str">
        <f>H$9 * (8.072714805603027 -H$8)</f>
        <v>0</v>
      </c>
      <c r="I47" t="str">
        <f>I$9 * (0.008159971795976162 -I$8)</f>
        <v>0</v>
      </c>
    </row>
    <row r="48" spans="1:11">
      <c r="A48" t="str">
        <f>A$9 * (9.250080108642578 -A$8)</f>
        <v>0</v>
      </c>
      <c r="B48" t="str">
        <f>B$9 * (9.250080108642578 -B$8)</f>
        <v>0</v>
      </c>
      <c r="C48" t="str">
        <f>C$9 * (9.250080108642578 -C$8)</f>
        <v>0</v>
      </c>
      <c r="D48" t="str">
        <f>D$9 * (9.250080108642578 -D$8)</f>
        <v>0</v>
      </c>
      <c r="F48" t="str">
        <f>F$9 * (0.0001492525043431669 -F$8)</f>
        <v>0</v>
      </c>
      <c r="G48" t="str">
        <f>G$9 * (-0.6259157061576843 -G$8)</f>
        <v>0</v>
      </c>
      <c r="H48" t="str">
        <f>H$9 * (0.8829571008682251 -H$8)</f>
        <v>0</v>
      </c>
      <c r="I48" t="str">
        <f>I$9 * (2.049999991982077E-8 -I$8)</f>
        <v>0</v>
      </c>
    </row>
    <row r="49" spans="1:11">
      <c r="A49" t="str">
        <f>A$9 * (9.500617027282715 -A$8)</f>
        <v>0</v>
      </c>
      <c r="B49" t="str">
        <f>B$9 * (9.500617027282715 -B$8)</f>
        <v>0</v>
      </c>
      <c r="C49" t="str">
        <f>C$9 * (9.500617027282715 -C$8)</f>
        <v>0</v>
      </c>
      <c r="D49" t="str">
        <f>D$9 * (9.500617027282715 -D$8)</f>
        <v>0</v>
      </c>
      <c r="F49" t="str">
        <f>F$9 * (0.000394556496758014 -F$8)</f>
        <v>0</v>
      </c>
      <c r="G49" t="str">
        <f>G$9 * (-0.6095122098922729 -G$8)</f>
        <v>0</v>
      </c>
      <c r="H49" t="str">
        <f>H$9 * (0.9747636914253235 -H$8)</f>
        <v>0</v>
      </c>
      <c r="I49" t="str">
        <f>I$9 * (2.109999996946499E-8 -I$8)</f>
        <v>0</v>
      </c>
    </row>
    <row r="50" spans="1:11">
      <c r="A50" t="str">
        <f>A$9 * (9.75078010559082 -A$8)</f>
        <v>0</v>
      </c>
      <c r="B50" t="str">
        <f>B$9 * (9.75078010559082 -B$8)</f>
        <v>0</v>
      </c>
      <c r="C50" t="str">
        <f>C$9 * (9.75078010559082 -C$8)</f>
        <v>0</v>
      </c>
      <c r="D50" t="str">
        <f>D$9 * (9.75078010559082 -D$8)</f>
        <v>0</v>
      </c>
      <c r="F50" t="str">
        <f>F$9 * (-0.0010599410161376 -F$8)</f>
        <v>0</v>
      </c>
      <c r="G50" t="str">
        <f>G$9 * (-1.291968941688538 -G$8)</f>
        <v>0</v>
      </c>
      <c r="H50" t="str">
        <f>H$9 * (1.444102048873901 -H$8)</f>
        <v>0</v>
      </c>
      <c r="I50" t="str">
        <f>I$9 * (2.1760000379345E-7 -I$8)</f>
        <v>0</v>
      </c>
    </row>
    <row r="51" spans="1:11">
      <c r="A51" t="str">
        <f>A$9 * (10.00001907348633 -A$8)</f>
        <v>0</v>
      </c>
      <c r="B51" t="str">
        <f>B$9 * (10.00001907348633 -B$8)</f>
        <v>0</v>
      </c>
      <c r="C51" t="str">
        <f>C$9 * (10.00001907348633 -C$8)</f>
        <v>0</v>
      </c>
      <c r="D51" t="str">
        <f>D$9 * (10.00001907348633 -D$8)</f>
        <v>0</v>
      </c>
      <c r="F51" t="str">
        <f>F$9 * (0.006617133971303701 -F$8)</f>
        <v>0</v>
      </c>
      <c r="G51" t="str">
        <f>G$9 * (0.2750112116336823 -G$8)</f>
        <v>0</v>
      </c>
      <c r="H51" t="str">
        <f>H$9 * (23.62397956848145 -H$8)</f>
        <v>0</v>
      </c>
      <c r="I51" t="str">
        <f>I$9 * (0.09030947089195251 -I$8)</f>
        <v>0</v>
      </c>
    </row>
    <row r="52" spans="1:11">
      <c r="A52" t="str">
        <f>A$9 * (10.25024700164795 -A$8)</f>
        <v>0</v>
      </c>
      <c r="B52" t="str">
        <f>B$9 * (10.25024700164795 -B$8)</f>
        <v>0</v>
      </c>
      <c r="C52" t="str">
        <f>C$9 * (10.25024700164795 -C$8)</f>
        <v>0</v>
      </c>
      <c r="D52" t="str">
        <f>D$9 * (10.25024700164795 -D$8)</f>
        <v>0</v>
      </c>
      <c r="F52" t="str">
        <f>F$9 * (0.0326506607234478 -F$8)</f>
        <v>0</v>
      </c>
      <c r="G52" t="str">
        <f>G$9 * (14.56657981872559 -G$8)</f>
        <v>0</v>
      </c>
      <c r="H52" t="str">
        <f>H$9 * (19.6618595123291 -H$8)</f>
        <v>0</v>
      </c>
      <c r="I52" t="str">
        <f>I$9 * (0.1566223055124283 -I$8)</f>
        <v>0</v>
      </c>
    </row>
    <row r="53" spans="1:11">
      <c r="A53" t="str">
        <f>A$9 * (10.50033092498779 -A$8)</f>
        <v>0</v>
      </c>
      <c r="B53" t="str">
        <f>B$9 * (10.50033092498779 -B$8)</f>
        <v>0</v>
      </c>
      <c r="C53" t="str">
        <f>C$9 * (10.50033092498779 -C$8)</f>
        <v>0</v>
      </c>
      <c r="D53" t="str">
        <f>D$9 * (10.50033092498779 -D$8)</f>
        <v>0</v>
      </c>
      <c r="F53" t="str">
        <f>F$9 * (0.009029592387378216 -F$8)</f>
        <v>0</v>
      </c>
      <c r="G53" t="str">
        <f>G$9 * (5.940992832183838 -G$8)</f>
        <v>0</v>
      </c>
      <c r="H53" t="str">
        <f>H$9 * (13.10616016387939 -H$8)</f>
        <v>0</v>
      </c>
      <c r="I53" t="str">
        <f>I$9 * (0.03720472007989883 -I$8)</f>
        <v>0</v>
      </c>
    </row>
    <row r="54" spans="1:11">
      <c r="A54" t="str">
        <f>A$9 * (10.75027179718018 -A$8)</f>
        <v>0</v>
      </c>
      <c r="B54" t="str">
        <f>B$9 * (10.75027179718018 -B$8)</f>
        <v>0</v>
      </c>
      <c r="C54" t="str">
        <f>C$9 * (10.75027179718018 -C$8)</f>
        <v>0</v>
      </c>
      <c r="D54" t="str">
        <f>D$9 * (10.75027179718018 -D$8)</f>
        <v>0</v>
      </c>
      <c r="F54" t="str">
        <f>F$9 * (0.00702108396217227 -F$8)</f>
        <v>0</v>
      </c>
      <c r="G54" t="str">
        <f>G$9 * (3.06354808807373 -G$8)</f>
        <v>0</v>
      </c>
      <c r="H54" t="str">
        <f>H$9 * (7.548855781555176 -H$8)</f>
        <v>0</v>
      </c>
      <c r="I54" t="str">
        <f>I$9 * (0.01402010954916477 -I$8)</f>
        <v>0</v>
      </c>
    </row>
    <row r="55" spans="1:11">
      <c r="A55" t="str">
        <f>A$9 * (11.00011920928955 -A$8)</f>
        <v>0</v>
      </c>
      <c r="B55" t="str">
        <f>B$9 * (11.00011920928955 -B$8)</f>
        <v>0</v>
      </c>
      <c r="C55" t="str">
        <f>C$9 * (11.00011920928955 -C$8)</f>
        <v>0</v>
      </c>
      <c r="D55" t="str">
        <f>D$9 * (11.00011920928955 -D$8)</f>
        <v>0</v>
      </c>
      <c r="F55" t="str">
        <f>F$9 * (0.005500460974872112 -F$8)</f>
        <v>0</v>
      </c>
      <c r="G55" t="str">
        <f>G$9 * (2.683267116546631 -G$8)</f>
        <v>0</v>
      </c>
      <c r="H55" t="str">
        <f>H$9 * (7.881991863250732 -H$8)</f>
        <v>0</v>
      </c>
      <c r="I55" t="str">
        <f>I$9 * (0.01298447977751493 -I$8)</f>
        <v>0</v>
      </c>
    </row>
    <row r="56" spans="1:11">
      <c r="A56" t="str">
        <f>A$9 * (11.25021934509277 -A$8)</f>
        <v>0</v>
      </c>
      <c r="B56" t="str">
        <f>B$9 * (11.25021934509277 -B$8)</f>
        <v>0</v>
      </c>
      <c r="C56" t="str">
        <f>C$9 * (11.25021934509277 -C$8)</f>
        <v>0</v>
      </c>
      <c r="D56" t="str">
        <f>D$9 * (11.25021934509277 -D$8)</f>
        <v>0</v>
      </c>
      <c r="F56" t="str">
        <f>F$9 * (0.004566628951579332 -F$8)</f>
        <v>0</v>
      </c>
      <c r="G56" t="str">
        <f>G$9 * (2.223283052444458 -G$8)</f>
        <v>0</v>
      </c>
      <c r="H56" t="str">
        <f>H$9 * (7.491014957427979 -H$8)</f>
        <v>0</v>
      </c>
      <c r="I56" t="str">
        <f>I$9 * (0.01088808011263609 -I$8)</f>
        <v>0</v>
      </c>
    </row>
    <row r="57" spans="1:11">
      <c r="A57" t="str">
        <f>A$9 * (11.5001859664917 -A$8)</f>
        <v>0</v>
      </c>
      <c r="B57" t="str">
        <f>B$9 * (11.5001859664917 -B$8)</f>
        <v>0</v>
      </c>
      <c r="C57" t="str">
        <f>C$9 * (11.5001859664917 -C$8)</f>
        <v>0</v>
      </c>
      <c r="D57" t="str">
        <f>D$9 * (11.5001859664917 -D$8)</f>
        <v>0</v>
      </c>
      <c r="F57" t="str">
        <f>F$9 * (0.004893558099865913 -F$8)</f>
        <v>0</v>
      </c>
      <c r="G57" t="str">
        <f>G$9 * (1.602781057357788 -G$8)</f>
        <v>0</v>
      </c>
      <c r="H57" t="str">
        <f>H$9 * (5.001891136169434 -H$8)</f>
        <v>0</v>
      </c>
      <c r="I57" t="str">
        <f>I$9 * (2.705999975205486E-7 -I$8)</f>
        <v>0</v>
      </c>
    </row>
    <row r="58" spans="1:11">
      <c r="A58" t="str">
        <f>A$9 * (11.75002765655518 -A$8)</f>
        <v>0</v>
      </c>
      <c r="B58" t="str">
        <f>B$9 * (11.75002765655518 -B$8)</f>
        <v>0</v>
      </c>
      <c r="C58" t="str">
        <f>C$9 * (11.75002765655518 -C$8)</f>
        <v>0</v>
      </c>
      <c r="D58" t="str">
        <f>D$9 * (11.75002765655518 -D$8)</f>
        <v>0</v>
      </c>
      <c r="F58" t="str">
        <f>F$9 * (0.00831142533570528 -F$8)</f>
        <v>0</v>
      </c>
      <c r="G58" t="str">
        <f>G$9 * (4.075256824493408 -G$8)</f>
        <v>0</v>
      </c>
      <c r="H58" t="str">
        <f>H$9 * (9.062353134155273 -H$8)</f>
        <v>0</v>
      </c>
      <c r="I58" t="str">
        <f>I$9 * (0.0203064102679491 -I$8)</f>
        <v>0</v>
      </c>
    </row>
    <row r="59" spans="1:11">
      <c r="A59" t="str">
        <f>A$9 * (12.00011348724365 -A$8)</f>
        <v>0</v>
      </c>
      <c r="B59" t="str">
        <f>B$9 * (12.00011348724365 -B$8)</f>
        <v>0</v>
      </c>
      <c r="C59" t="str">
        <f>C$9 * (12.00011348724365 -C$8)</f>
        <v>0</v>
      </c>
      <c r="D59" t="str">
        <f>D$9 * (12.00011348724365 -D$8)</f>
        <v>0</v>
      </c>
      <c r="F59" t="str">
        <f>F$9 * (0.007675514090806246 -F$8)</f>
        <v>0</v>
      </c>
      <c r="G59" t="str">
        <f>G$9 * (3.184714078903198 -G$8)</f>
        <v>0</v>
      </c>
      <c r="H59" t="str">
        <f>H$9 * (7.334950923919678 -H$8)</f>
        <v>0</v>
      </c>
      <c r="I59" t="str">
        <f>I$9 * (0.01415146980434656 -I$8)</f>
        <v>0</v>
      </c>
    </row>
    <row r="60" spans="1:11">
      <c r="A60" t="str">
        <f>A$9 * (12.2503719329834 -A$8)</f>
        <v>0</v>
      </c>
      <c r="B60" t="str">
        <f>B$9 * (12.2503719329834 -B$8)</f>
        <v>0</v>
      </c>
      <c r="C60" t="str">
        <f>C$9 * (12.2503719329834 -C$8)</f>
        <v>0</v>
      </c>
      <c r="D60" t="str">
        <f>D$9 * (12.2503719329834 -D$8)</f>
        <v>0</v>
      </c>
      <c r="F60" t="str">
        <f>F$9 * (0.0007922840886749327 -F$8)</f>
        <v>0</v>
      </c>
      <c r="G60" t="str">
        <f>G$9 * (0.1482362002134323 -G$8)</f>
        <v>0</v>
      </c>
      <c r="H60" t="str">
        <f>H$9 * (2.112140893936157 -H$8)</f>
        <v>0</v>
      </c>
      <c r="I60" t="str">
        <f>I$9 * (4.349999827013562E-8 -I$8)</f>
        <v>0</v>
      </c>
    </row>
    <row r="61" spans="1:11">
      <c r="A61" t="str">
        <f>A$9 * (12.50043869018555 -A$8)</f>
        <v>0</v>
      </c>
      <c r="B61" t="str">
        <f>B$9 * (12.50043869018555 -B$8)</f>
        <v>0</v>
      </c>
      <c r="C61" t="str">
        <f>C$9 * (12.50043869018555 -C$8)</f>
        <v>0</v>
      </c>
      <c r="D61" t="str">
        <f>D$9 * (12.50043869018555 -D$8)</f>
        <v>0</v>
      </c>
      <c r="F61" t="str">
        <f>F$9 * (-0.00379423308186233 -F$8)</f>
        <v>0</v>
      </c>
      <c r="G61" t="str">
        <f>G$9 * (-0.1887764036655426 -G$8)</f>
        <v>0</v>
      </c>
      <c r="H61" t="str">
        <f>H$9 * (-2.181539058685303 -H$8)</f>
        <v>0</v>
      </c>
      <c r="I61" t="str">
        <f>I$9 * (5.549999926302007E-8 -I$8)</f>
        <v>0</v>
      </c>
    </row>
    <row r="62" spans="1:11">
      <c r="A62" t="str">
        <f>A$9 * (12.75056648254395 -A$8)</f>
        <v>0</v>
      </c>
      <c r="B62" t="str">
        <f>B$9 * (12.75056648254395 -B$8)</f>
        <v>0</v>
      </c>
      <c r="C62" t="str">
        <f>C$9 * (12.75056648254395 -C$8)</f>
        <v>0</v>
      </c>
      <c r="D62" t="str">
        <f>D$9 * (12.75056648254395 -D$8)</f>
        <v>0</v>
      </c>
      <c r="F62" t="str">
        <f>F$9 * (-0.0007580395904369652 -F$8)</f>
        <v>0</v>
      </c>
      <c r="G62" t="str">
        <f>G$9 * (-1.302849054336548 -G$8)</f>
        <v>0</v>
      </c>
      <c r="H62" t="str">
        <f>H$9 * (1.310423016548157 -H$8)</f>
        <v>0</v>
      </c>
      <c r="I62" t="str">
        <f>I$9 * (4.448999959549838E-7 -I$8)</f>
        <v>0</v>
      </c>
    </row>
    <row r="63" spans="1:11">
      <c r="A63" t="str">
        <f>A$9 * (13.00006675720215 -A$8)</f>
        <v>0</v>
      </c>
      <c r="B63" t="str">
        <f>B$9 * (13.00006675720215 -B$8)</f>
        <v>0</v>
      </c>
      <c r="C63" t="str">
        <f>C$9 * (13.00006675720215 -C$8)</f>
        <v>0</v>
      </c>
      <c r="D63" t="str">
        <f>D$9 * (13.00006675720215 -D$8)</f>
        <v>0</v>
      </c>
      <c r="F63" t="str">
        <f>F$9 * (0.01546690985560417 -F$8)</f>
        <v>0</v>
      </c>
      <c r="G63" t="str">
        <f>G$9 * (13.5888204574585 -G$8)</f>
        <v>0</v>
      </c>
      <c r="H63" t="str">
        <f>H$9 * (42.47193145751953 -H$8)</f>
        <v>0</v>
      </c>
      <c r="I63" t="str">
        <f>I$9 * (0.3829891979694366 -I$8)</f>
        <v>0</v>
      </c>
    </row>
    <row r="64" spans="1:11">
      <c r="A64" t="str">
        <f>A$9 * (13.2501916885376 -A$8)</f>
        <v>0</v>
      </c>
      <c r="B64" t="str">
        <f>B$9 * (13.2501916885376 -B$8)</f>
        <v>0</v>
      </c>
      <c r="C64" t="str">
        <f>C$9 * (13.2501916885376 -C$8)</f>
        <v>0</v>
      </c>
      <c r="D64" t="str">
        <f>D$9 * (13.2501916885376 -D$8)</f>
        <v>0</v>
      </c>
      <c r="F64" t="str">
        <f>F$9 * (-0.0003110273100901395 -F$8)</f>
        <v>0</v>
      </c>
      <c r="G64" t="str">
        <f>G$9 * (-0.06850536912679672 -G$8)</f>
        <v>0</v>
      </c>
      <c r="H64" t="str">
        <f>H$9 * (1.919422030448914 -H$8)</f>
        <v>0</v>
      </c>
      <c r="I64" t="str">
        <f>I$9 * (5.849999951124119E-8 -I$8)</f>
        <v>0</v>
      </c>
    </row>
    <row r="65" spans="1:11">
      <c r="A65" t="str">
        <f>A$9 * (13.5005054473877 -A$8)</f>
        <v>0</v>
      </c>
      <c r="B65" t="str">
        <f>B$9 * (13.5005054473877 -B$8)</f>
        <v>0</v>
      </c>
      <c r="C65" t="str">
        <f>C$9 * (13.5005054473877 -C$8)</f>
        <v>0</v>
      </c>
      <c r="D65" t="str">
        <f>D$9 * (13.5005054473877 -D$8)</f>
        <v>0</v>
      </c>
      <c r="F65" t="str">
        <f>F$9 * (-0.001348149031400681 -F$8)</f>
        <v>0</v>
      </c>
      <c r="G65" t="str">
        <f>G$9 * (-0.2331795990467072 -G$8)</f>
        <v>0</v>
      </c>
      <c r="H65" t="str">
        <f>H$9 * (-0.6869742870330811 -H$8)</f>
        <v>0</v>
      </c>
      <c r="I65" t="str">
        <f>I$9 * (4.960000055120872E-8 -I$8)</f>
        <v>0</v>
      </c>
    </row>
    <row r="66" spans="1:11">
      <c r="A66" t="str">
        <f>A$9 * (13.75016117095947 -A$8)</f>
        <v>0</v>
      </c>
      <c r="B66" t="str">
        <f>B$9 * (13.75016117095947 -B$8)</f>
        <v>0</v>
      </c>
      <c r="C66" t="str">
        <f>C$9 * (13.75016117095947 -C$8)</f>
        <v>0</v>
      </c>
      <c r="D66" t="str">
        <f>D$9 * (13.75016117095947 -D$8)</f>
        <v>0</v>
      </c>
      <c r="F66" t="str">
        <f>F$9 * (-0.0009716441272757947 -F$8)</f>
        <v>0</v>
      </c>
      <c r="G66" t="str">
        <f>G$9 * (-1.546869039535522 -G$8)</f>
        <v>0</v>
      </c>
      <c r="H66" t="str">
        <f>H$9 * (0.5749549865722656 -H$8)</f>
        <v>0</v>
      </c>
      <c r="I66" t="str">
        <f>I$9 * (2.095000013468962E-7 -I$8)</f>
        <v>0</v>
      </c>
    </row>
    <row r="67" spans="1:11">
      <c r="A67" t="str">
        <f>A$9 * (14.00051689147949 -A$8)</f>
        <v>0</v>
      </c>
      <c r="B67" t="str">
        <f>B$9 * (14.00051689147949 -B$8)</f>
        <v>0</v>
      </c>
      <c r="C67" t="str">
        <f>C$9 * (14.00051689147949 -C$8)</f>
        <v>0</v>
      </c>
      <c r="D67" t="str">
        <f>D$9 * (14.00051689147949 -D$8)</f>
        <v>0</v>
      </c>
      <c r="F67" t="str">
        <f>F$9 * (0.07384085655212402 -F$8)</f>
        <v>0</v>
      </c>
      <c r="G67" t="str">
        <f>G$9 * (2.875849008560181 -G$8)</f>
        <v>0</v>
      </c>
      <c r="H67" t="str">
        <f>H$9 * (3.037049055099487 -H$8)</f>
        <v>0</v>
      </c>
      <c r="I67" t="str">
        <f>I$9 * (0.0316915400326252 -I$8)</f>
        <v>0</v>
      </c>
    </row>
    <row r="68" spans="1:11">
      <c r="A68" t="str">
        <f>A$9 * (14.25014972686768 -A$8)</f>
        <v>0</v>
      </c>
      <c r="B68" t="str">
        <f>B$9 * (14.25014972686768 -B$8)</f>
        <v>0</v>
      </c>
      <c r="C68" t="str">
        <f>C$9 * (14.25014972686768 -C$8)</f>
        <v>0</v>
      </c>
      <c r="D68" t="str">
        <f>D$9 * (14.25014972686768 -D$8)</f>
        <v>0</v>
      </c>
      <c r="F68" t="str">
        <f>F$9 * (0.01090988982468843 -F$8)</f>
        <v>0</v>
      </c>
      <c r="G68" t="str">
        <f>G$9 * (5.841464042663574 -G$8)</f>
        <v>0</v>
      </c>
      <c r="H68" t="str">
        <f>H$9 * (11.22406005859375 -H$8)</f>
        <v>0</v>
      </c>
      <c r="I68" t="str">
        <f>I$9 * (0.0343623086810112 -I$8)</f>
        <v>0</v>
      </c>
    </row>
    <row r="69" spans="1:11">
      <c r="A69" t="str">
        <f>A$9 * (14.50046920776367 -A$8)</f>
        <v>0</v>
      </c>
      <c r="B69" t="str">
        <f>B$9 * (14.50046920776367 -B$8)</f>
        <v>0</v>
      </c>
      <c r="C69" t="str">
        <f>C$9 * (14.50046920776367 -C$8)</f>
        <v>0</v>
      </c>
      <c r="D69" t="str">
        <f>D$9 * (14.50046920776367 -D$8)</f>
        <v>0</v>
      </c>
      <c r="F69" t="str">
        <f>F$9 * (0.01847703941166401 -F$8)</f>
        <v>0</v>
      </c>
      <c r="G69" t="str">
        <f>G$9 * (10.16104030609131 -G$8)</f>
        <v>0</v>
      </c>
      <c r="H69" t="str">
        <f>H$9 * (16.5955696105957 -H$8)</f>
        <v>0</v>
      </c>
      <c r="I69" t="str">
        <f>I$9 * (0.08144740015268326 -I$8)</f>
        <v>0</v>
      </c>
    </row>
    <row r="70" spans="1:11">
      <c r="A70" t="str">
        <f>A$9 * (14.75034713745117 -A$8)</f>
        <v>0</v>
      </c>
      <c r="B70" t="str">
        <f>B$9 * (14.75034713745117 -B$8)</f>
        <v>0</v>
      </c>
      <c r="C70" t="str">
        <f>C$9 * (14.75034713745117 -C$8)</f>
        <v>0</v>
      </c>
      <c r="D70" t="str">
        <f>D$9 * (14.75034713745117 -D$8)</f>
        <v>0</v>
      </c>
      <c r="F70" t="str">
        <f>F$9 * (0.005588488187640905 -F$8)</f>
        <v>0</v>
      </c>
      <c r="G70" t="str">
        <f>G$9 * (3.717721939086914 -G$8)</f>
        <v>0</v>
      </c>
      <c r="H70" t="str">
        <f>H$9 * (11.19254016876221 -H$8)</f>
        <v>0</v>
      </c>
      <c r="I70" t="str">
        <f>I$9 * (0.02284315973520279 -I$8)</f>
        <v>0</v>
      </c>
    </row>
    <row r="71" spans="1:11">
      <c r="A71" t="str">
        <f>A$9 * (15.00014400482178 -A$8)</f>
        <v>0</v>
      </c>
      <c r="B71" t="str">
        <f>B$9 * (15.00014400482178 -B$8)</f>
        <v>0</v>
      </c>
      <c r="C71" t="str">
        <f>C$9 * (15.00014400482178 -C$8)</f>
        <v>0</v>
      </c>
      <c r="D71" t="str">
        <f>D$9 * (15.00014400482178 -D$8)</f>
        <v>0</v>
      </c>
      <c r="F71" t="str">
        <f>F$9 * (0.007812809199094772 -F$8)</f>
        <v>0</v>
      </c>
      <c r="G71" t="str">
        <f>G$9 * (3.48077392578125 -G$8)</f>
        <v>0</v>
      </c>
      <c r="H71" t="str">
        <f>H$9 * (8.005851745605469 -H$8)</f>
        <v>0</v>
      </c>
      <c r="I71" t="str">
        <f>I$9 * (0.01631695032119751 -I$8)</f>
        <v>0</v>
      </c>
    </row>
    <row r="72" spans="1:11">
      <c r="A72" t="str">
        <f>A$9 * (15.25021076202393 -A$8)</f>
        <v>0</v>
      </c>
      <c r="B72" t="str">
        <f>B$9 * (15.25021076202393 -B$8)</f>
        <v>0</v>
      </c>
      <c r="C72" t="str">
        <f>C$9 * (15.25021076202393 -C$8)</f>
        <v>0</v>
      </c>
      <c r="D72" t="str">
        <f>D$9 * (15.25021076202393 -D$8)</f>
        <v>0</v>
      </c>
      <c r="F72" t="str">
        <f>F$9 * (0.004891919903457165 -F$8)</f>
        <v>0</v>
      </c>
      <c r="G72" t="str">
        <f>G$9 * (2.437530994415283 -G$8)</f>
        <v>0</v>
      </c>
      <c r="H72" t="str">
        <f>H$9 * (7.818875789642334 -H$8)</f>
        <v>0</v>
      </c>
      <c r="I72" t="str">
        <f>I$9 * (0.01206894032657146 -I$8)</f>
        <v>0</v>
      </c>
    </row>
    <row r="73" spans="1:11">
      <c r="A73" t="str">
        <f>A$9 * (15.50024700164795 -A$8)</f>
        <v>0</v>
      </c>
      <c r="B73" t="str">
        <f>B$9 * (15.50024700164795 -B$8)</f>
        <v>0</v>
      </c>
      <c r="C73" t="str">
        <f>C$9 * (15.50024700164795 -C$8)</f>
        <v>0</v>
      </c>
      <c r="D73" t="str">
        <f>D$9 * (15.50024700164795 -D$8)</f>
        <v>0</v>
      </c>
      <c r="F73" t="str">
        <f>F$9 * (0.004196906927973032 -F$8)</f>
        <v>0</v>
      </c>
      <c r="G73" t="str">
        <f>G$9 * (2.021578073501587 -G$8)</f>
        <v>0</v>
      </c>
      <c r="H73" t="str">
        <f>H$9 * (7.253254890441895 -H$8)</f>
        <v>0</v>
      </c>
      <c r="I73" t="str">
        <f>I$9 * (0.009926409460604191 -I$8)</f>
        <v>0</v>
      </c>
    </row>
    <row r="74" spans="1:11">
      <c r="A74" t="str">
        <f>A$9 * (15.75032234191895 -A$8)</f>
        <v>0</v>
      </c>
      <c r="B74" t="str">
        <f>B$9 * (15.75032234191895 -B$8)</f>
        <v>0</v>
      </c>
      <c r="C74" t="str">
        <f>C$9 * (15.75032234191895 -C$8)</f>
        <v>0</v>
      </c>
      <c r="D74" t="str">
        <f>D$9 * (15.75032234191895 -D$8)</f>
        <v>0</v>
      </c>
      <c r="F74" t="str">
        <f>F$9 * (0.008658421225845814 -F$8)</f>
        <v>0</v>
      </c>
      <c r="G74" t="str">
        <f>G$9 * (2.470264911651611 -G$8)</f>
        <v>0</v>
      </c>
      <c r="H74" t="str">
        <f>H$9 * (5.166894912719727 -H$8)</f>
        <v>0</v>
      </c>
      <c r="I74" t="str">
        <f>I$9 * (0.009460576809942722 -I$8)</f>
        <v>0</v>
      </c>
    </row>
    <row r="75" spans="1:11">
      <c r="A75" t="str">
        <f>A$9 * (16.00037574768066 -A$8)</f>
        <v>0</v>
      </c>
      <c r="B75" t="str">
        <f>B$9 * (16.00037574768066 -B$8)</f>
        <v>0</v>
      </c>
      <c r="C75" t="str">
        <f>C$9 * (16.00037574768066 -C$8)</f>
        <v>0</v>
      </c>
      <c r="D75" t="str">
        <f>D$9 * (16.00037574768066 -D$8)</f>
        <v>0</v>
      </c>
      <c r="F75" t="str">
        <f>F$9 * (0.006406820844858885 -F$8)</f>
        <v>0</v>
      </c>
      <c r="G75" t="str">
        <f>G$9 * (2.968909978866577 -G$8)</f>
        <v>0</v>
      </c>
      <c r="H75" t="str">
        <f>H$9 * (7.774093151092529 -H$8)</f>
        <v>0</v>
      </c>
      <c r="I75" t="str">
        <f>I$9 * (0.01381462998688221 -I$8)</f>
        <v>0</v>
      </c>
    </row>
    <row r="76" spans="1:11">
      <c r="A76" t="str">
        <f>A$9 * (16.2500057220459 -A$8)</f>
        <v>0</v>
      </c>
      <c r="B76" t="str">
        <f>B$9 * (16.2500057220459 -B$8)</f>
        <v>0</v>
      </c>
      <c r="C76" t="str">
        <f>C$9 * (16.2500057220459 -C$8)</f>
        <v>0</v>
      </c>
      <c r="D76" t="str">
        <f>D$9 * (16.2500057220459 -D$8)</f>
        <v>0</v>
      </c>
      <c r="F76" t="str">
        <f>F$9 * (0.005872236099094152 -F$8)</f>
        <v>0</v>
      </c>
      <c r="G76" t="str">
        <f>G$9 * (2.181004047393799 -G$8)</f>
        <v>0</v>
      </c>
      <c r="H76" t="str">
        <f>H$9 * (5.961288928985596 -H$8)</f>
        <v>0</v>
      </c>
      <c r="I76" t="str">
        <f>I$9 * (4.338999985975533E-7 -I$8)</f>
        <v>0</v>
      </c>
    </row>
    <row r="77" spans="1:11">
      <c r="A77" t="str">
        <f>A$9 * (16.50015258789062 -A$8)</f>
        <v>0</v>
      </c>
      <c r="B77" t="str">
        <f>B$9 * (16.50015258789062 -B$8)</f>
        <v>0</v>
      </c>
      <c r="C77" t="str">
        <f>C$9 * (16.50015258789062 -C$8)</f>
        <v>0</v>
      </c>
      <c r="D77" t="str">
        <f>D$9 * (16.50015258789062 -D$8)</f>
        <v>0</v>
      </c>
      <c r="F77" t="str">
        <f>F$9 * (-0.0009354266803711653 -F$8)</f>
        <v>0</v>
      </c>
      <c r="G77" t="str">
        <f>G$9 * (-0.1650398969650269 -G$8)</f>
        <v>0</v>
      </c>
      <c r="H77" t="str">
        <f>H$9 * (1.530814051628113 -H$8)</f>
        <v>0</v>
      </c>
      <c r="I77" t="str">
        <f>I$9 * (3.290000094580137E-8 -I$8)</f>
        <v>0</v>
      </c>
    </row>
    <row r="78" spans="1:11">
      <c r="A78" t="str">
        <f>A$9 * (16.7504997253418 -A$8)</f>
        <v>0</v>
      </c>
      <c r="B78" t="str">
        <f>B$9 * (16.7504997253418 -B$8)</f>
        <v>0</v>
      </c>
      <c r="C78" t="str">
        <f>C$9 * (16.7504997253418 -C$8)</f>
        <v>0</v>
      </c>
      <c r="D78" t="str">
        <f>D$9 * (16.7504997253418 -D$8)</f>
        <v>0</v>
      </c>
      <c r="F78" t="str">
        <f>F$9 * (-0.001696301042102277 -F$8)</f>
        <v>0</v>
      </c>
      <c r="G78" t="str">
        <f>G$9 * (-0.2159353047609329 -G$8)</f>
        <v>0</v>
      </c>
      <c r="H78" t="str">
        <f>H$9 * (-1.132848978042603 -H$8)</f>
        <v>0</v>
      </c>
      <c r="I78" t="str">
        <f>I$9 * (3.459999931010316E-8 -I$8)</f>
        <v>0</v>
      </c>
    </row>
    <row r="79" spans="1:11">
      <c r="A79" t="str">
        <f>A$9 * (17.0006275177002 -A$8)</f>
        <v>0</v>
      </c>
      <c r="B79" t="str">
        <f>B$9 * (17.0006275177002 -B$8)</f>
        <v>0</v>
      </c>
      <c r="C79" t="str">
        <f>C$9 * (17.0006275177002 -C$8)</f>
        <v>0</v>
      </c>
      <c r="D79" t="str">
        <f>D$9 * (17.0006275177002 -D$8)</f>
        <v>0</v>
      </c>
      <c r="F79" t="str">
        <f>F$9 * (-0.001356828026473522 -F$8)</f>
        <v>0</v>
      </c>
      <c r="G79" t="str">
        <f>G$9 * (-0.5134465098381042 -G$8)</f>
        <v>0</v>
      </c>
      <c r="H79" t="str">
        <f>H$9 * (-0.3338395953178406 -H$8)</f>
        <v>0</v>
      </c>
      <c r="I79" t="str">
        <f>I$9 * (2.67607993009733E-5 -I$8)</f>
        <v>0</v>
      </c>
    </row>
    <row r="80" spans="1:11">
      <c r="A80" t="str">
        <f>A$9 * (17.25049209594727 -A$8)</f>
        <v>0</v>
      </c>
      <c r="B80" t="str">
        <f>B$9 * (17.25049209594727 -B$8)</f>
        <v>0</v>
      </c>
      <c r="C80" t="str">
        <f>C$9 * (17.25049209594727 -C$8)</f>
        <v>0</v>
      </c>
      <c r="D80" t="str">
        <f>D$9 * (17.25049209594727 -D$8)</f>
        <v>0</v>
      </c>
      <c r="F80" t="str">
        <f>F$9 * (0.0009922221070155501 -F$8)</f>
        <v>0</v>
      </c>
      <c r="G80" t="str">
        <f>G$9 * (0.06375303864479065 -G$8)</f>
        <v>0</v>
      </c>
      <c r="H80" t="str">
        <f>H$9 * (11.28005981445312 -H$8)</f>
        <v>0</v>
      </c>
      <c r="I80" t="str">
        <f>I$9 * (0.01542945019900799 -I$8)</f>
        <v>0</v>
      </c>
    </row>
    <row r="81" spans="1:11">
      <c r="A81" t="str">
        <f>A$9 * (17.50015640258789 -A$8)</f>
        <v>0</v>
      </c>
      <c r="B81" t="str">
        <f>B$9 * (17.50015640258789 -B$8)</f>
        <v>0</v>
      </c>
      <c r="C81" t="str">
        <f>C$9 * (17.50015640258789 -C$8)</f>
        <v>0</v>
      </c>
      <c r="D81" t="str">
        <f>D$9 * (17.50015640258789 -D$8)</f>
        <v>0</v>
      </c>
      <c r="F81" t="str">
        <f>F$9 * (-0.0007894532172940671 -F$8)</f>
        <v>0</v>
      </c>
      <c r="G81" t="str">
        <f>G$9 * (-1.210283041000366 -G$8)</f>
        <v>0</v>
      </c>
      <c r="H81" t="str">
        <f>H$9 * (0.504265308380127 -H$8)</f>
        <v>0</v>
      </c>
      <c r="I81" t="str">
        <f>I$9 * (1.442000012730205E-7 -I$8)</f>
        <v>0</v>
      </c>
    </row>
    <row r="82" spans="1:11">
      <c r="A82" t="str">
        <f>A$9 * (17.75071716308594 -A$8)</f>
        <v>0</v>
      </c>
      <c r="B82" t="str">
        <f>B$9 * (17.75071716308594 -B$8)</f>
        <v>0</v>
      </c>
      <c r="C82" t="str">
        <f>C$9 * (17.75071716308594 -C$8)</f>
        <v>0</v>
      </c>
      <c r="D82" t="str">
        <f>D$9 * (17.75071716308594 -D$8)</f>
        <v>0</v>
      </c>
      <c r="F82" t="str">
        <f>F$9 * (0.000445316603872925 -F$8)</f>
        <v>0</v>
      </c>
      <c r="G82" t="str">
        <f>G$9 * (-0.6470109820365906 -G$8)</f>
        <v>0</v>
      </c>
      <c r="H82" t="str">
        <f>H$9 * (1.213809967041016 -H$8)</f>
        <v>0</v>
      </c>
      <c r="I82" t="str">
        <f>I$9 * (0.001930400962010026 -I$8)</f>
        <v>0</v>
      </c>
    </row>
    <row r="83" spans="1:11">
      <c r="A83" t="str">
        <f>A$9 * (18.00077247619629 -A$8)</f>
        <v>0</v>
      </c>
      <c r="B83" t="str">
        <f>B$9 * (18.00077247619629 -B$8)</f>
        <v>0</v>
      </c>
      <c r="C83" t="str">
        <f>C$9 * (18.00077247619629 -C$8)</f>
        <v>0</v>
      </c>
      <c r="D83" t="str">
        <f>D$9 * (18.00077247619629 -D$8)</f>
        <v>0</v>
      </c>
      <c r="F83" t="str">
        <f>F$9 * (-0.0008901495020836592 -F$8)</f>
        <v>0</v>
      </c>
      <c r="G83" t="str">
        <f>G$9 * (-0.2613754868507385 -G$8)</f>
        <v>0</v>
      </c>
      <c r="H83" t="str">
        <f>H$9 * (-0.2522642910480499 -H$8)</f>
        <v>0</v>
      </c>
      <c r="I83" t="str">
        <f>I$9 * (9.099999864758956E-9 -I$8)</f>
        <v>0</v>
      </c>
    </row>
    <row r="84" spans="1:11">
      <c r="A84" t="str">
        <f>A$9 * (18.25021743774414 -A$8)</f>
        <v>0</v>
      </c>
      <c r="B84" t="str">
        <f>B$9 * (18.25021743774414 -B$8)</f>
        <v>0</v>
      </c>
      <c r="C84" t="str">
        <f>C$9 * (18.25021743774414 -C$8)</f>
        <v>0</v>
      </c>
      <c r="D84" t="str">
        <f>D$9 * (18.25021743774414 -D$8)</f>
        <v>0</v>
      </c>
      <c r="F84" t="str">
        <f>F$9 * (0.1850046068429947 -F$8)</f>
        <v>0</v>
      </c>
      <c r="G84" t="str">
        <f>G$9 * (17.56430053710938 -G$8)</f>
        <v>0</v>
      </c>
      <c r="H84" t="str">
        <f>H$9 * (18.18762969970703 -H$8)</f>
        <v>0</v>
      </c>
      <c r="I84" t="str">
        <f>I$9 * (0.7060095071792603 -I$8)</f>
        <v>0</v>
      </c>
    </row>
    <row r="85" spans="1:11">
      <c r="A85" t="str">
        <f>A$9 * (18.50031471252441 -A$8)</f>
        <v>0</v>
      </c>
      <c r="B85" t="str">
        <f>B$9 * (18.50031471252441 -B$8)</f>
        <v>0</v>
      </c>
      <c r="C85" t="str">
        <f>C$9 * (18.50031471252441 -C$8)</f>
        <v>0</v>
      </c>
      <c r="D85" t="str">
        <f>D$9 * (18.50031471252441 -D$8)</f>
        <v>0</v>
      </c>
      <c r="F85" t="str">
        <f>F$9 * (0.03728815168142319 -F$8)</f>
        <v>0</v>
      </c>
      <c r="G85" t="str">
        <f>G$9 * (5.126380920410156 -G$8)</f>
        <v>0</v>
      </c>
      <c r="H85" t="str">
        <f>H$9 * (5.446814060211182 -H$8)</f>
        <v>0</v>
      </c>
      <c r="I85" t="str">
        <f>I$9 * (0.03707572817802429 -I$8)</f>
        <v>0</v>
      </c>
    </row>
    <row r="86" spans="1:11">
      <c r="A86" t="str">
        <f>A$9 * (18.75001907348633 -A$8)</f>
        <v>0</v>
      </c>
      <c r="B86" t="str">
        <f>B$9 * (18.75001907348633 -B$8)</f>
        <v>0</v>
      </c>
      <c r="C86" t="str">
        <f>C$9 * (18.75001907348633 -C$8)</f>
        <v>0</v>
      </c>
      <c r="D86" t="str">
        <f>D$9 * (18.75001907348633 -D$8)</f>
        <v>0</v>
      </c>
      <c r="F86" t="str">
        <f>F$9 * (0.01477438025176525 -F$8)</f>
        <v>0</v>
      </c>
      <c r="G86" t="str">
        <f>G$9 * (8.594985008239746 -G$8)</f>
        <v>0</v>
      </c>
      <c r="H86" t="str">
        <f>H$9 * (15.11645984649658 -H$8)</f>
        <v>0</v>
      </c>
      <c r="I86" t="str">
        <f>I$9 * (0.06147842109203339 -I$8)</f>
        <v>0</v>
      </c>
    </row>
    <row r="87" spans="1:11">
      <c r="A87" t="str">
        <f>A$9 * (19.00028610229492 -A$8)</f>
        <v>0</v>
      </c>
      <c r="B87" t="str">
        <f>B$9 * (19.00028610229492 -B$8)</f>
        <v>0</v>
      </c>
      <c r="C87" t="str">
        <f>C$9 * (19.00028610229492 -C$8)</f>
        <v>0</v>
      </c>
      <c r="D87" t="str">
        <f>D$9 * (19.00028610229492 -D$8)</f>
        <v>0</v>
      </c>
      <c r="F87" t="str">
        <f>F$9 * (0.006519203074276447 -F$8)</f>
        <v>0</v>
      </c>
      <c r="G87" t="str">
        <f>G$9 * (3.472517013549805 -G$8)</f>
        <v>0</v>
      </c>
      <c r="H87" t="str">
        <f>H$9 * (9.162138938903809 -H$8)</f>
        <v>0</v>
      </c>
      <c r="I87" t="str">
        <f>I$9 * (0.01799939945340157 -I$8)</f>
        <v>0</v>
      </c>
    </row>
    <row r="88" spans="1:11">
      <c r="A88" t="str">
        <f>A$9 * (19.2502326965332 -A$8)</f>
        <v>0</v>
      </c>
      <c r="B88" t="str">
        <f>B$9 * (19.2502326965332 -B$8)</f>
        <v>0</v>
      </c>
      <c r="C88" t="str">
        <f>C$9 * (19.2502326965332 -C$8)</f>
        <v>0</v>
      </c>
      <c r="D88" t="str">
        <f>D$9 * (19.2502326965332 -D$8)</f>
        <v>0</v>
      </c>
      <c r="F88" t="str">
        <f>F$9 * (0.006396471057087183 -F$8)</f>
        <v>0</v>
      </c>
      <c r="G88" t="str">
        <f>G$9 * (3.101438999176025 -G$8)</f>
        <v>0</v>
      </c>
      <c r="H88" t="str">
        <f>H$9 * (8.199444770812988 -H$8)</f>
        <v>0</v>
      </c>
      <c r="I88" t="str">
        <f>I$9 * (0.01501260977238417 -I$8)</f>
        <v>0</v>
      </c>
    </row>
    <row r="89" spans="1:11">
      <c r="A89" t="str">
        <f>A$9 * (19.50001907348633 -A$8)</f>
        <v>0</v>
      </c>
      <c r="B89" t="str">
        <f>B$9 * (19.50001907348633 -B$8)</f>
        <v>0</v>
      </c>
      <c r="C89" t="str">
        <f>C$9 * (19.50001907348633 -C$8)</f>
        <v>0</v>
      </c>
      <c r="D89" t="str">
        <f>D$9 * (19.50001907348633 -D$8)</f>
        <v>0</v>
      </c>
      <c r="F89" t="str">
        <f>F$9 * (0.004567897878587246 -F$8)</f>
        <v>0</v>
      </c>
      <c r="G89" t="str">
        <f>G$9 * (2.27826189994812 -G$8)</f>
        <v>0</v>
      </c>
      <c r="H89" t="str">
        <f>H$9 * (7.696744918823242 -H$8)</f>
        <v>0</v>
      </c>
      <c r="I89" t="str">
        <f>I$9 * (0.01137628965079784 -I$8)</f>
        <v>0</v>
      </c>
    </row>
    <row r="90" spans="1:11">
      <c r="A90" t="str">
        <f>A$9 * (19.7501049041748 -A$8)</f>
        <v>0</v>
      </c>
      <c r="B90" t="str">
        <f>B$9 * (19.7501049041748 -B$8)</f>
        <v>0</v>
      </c>
      <c r="C90" t="str">
        <f>C$9 * (19.7501049041748 -C$8)</f>
        <v>0</v>
      </c>
      <c r="D90" t="str">
        <f>D$9 * (19.7501049041748 -D$8)</f>
        <v>0</v>
      </c>
      <c r="F90" t="str">
        <f>F$9 * (0.003996908199042082 -F$8)</f>
        <v>0</v>
      </c>
      <c r="G90" t="str">
        <f>G$9 * (1.697890043258667 -G$8)</f>
        <v>0</v>
      </c>
      <c r="H90" t="str">
        <f>H$9 * (6.268192768096924 -H$8)</f>
        <v>0</v>
      </c>
      <c r="I90" t="str">
        <f>I$9 * (3.293999952802551E-7 -I$8)</f>
        <v>0</v>
      </c>
    </row>
    <row r="91" spans="1:11">
      <c r="A91" t="str">
        <f>A$9 * (20.00030517578125 -A$8)</f>
        <v>0</v>
      </c>
      <c r="B91" t="str">
        <f>B$9 * (20.00030517578125 -B$8)</f>
        <v>0</v>
      </c>
      <c r="C91" t="str">
        <f>C$9 * (20.00030517578125 -C$8)</f>
        <v>0</v>
      </c>
      <c r="D91" t="str">
        <f>D$9 * (20.00030517578125 -D$8)</f>
        <v>0</v>
      </c>
      <c r="F91" t="str">
        <f>F$9 * (0.012229910120368 -F$8)</f>
        <v>0</v>
      </c>
      <c r="G91" t="str">
        <f>G$9 * (4.420164108276367 -G$8)</f>
        <v>0</v>
      </c>
      <c r="H91" t="str">
        <f>H$9 * (7.687511920928955 -H$8)</f>
        <v>0</v>
      </c>
      <c r="I91" t="str">
        <f>I$9 * (0.02084694057703018 -I$8)</f>
        <v>0</v>
      </c>
    </row>
    <row r="92" spans="1:11">
      <c r="A92" t="str">
        <f>A$9 * (20.25009536743164 -A$8)</f>
        <v>0</v>
      </c>
      <c r="B92" t="str">
        <f>B$9 * (20.25009536743164 -B$8)</f>
        <v>0</v>
      </c>
      <c r="C92" t="str">
        <f>C$9 * (20.25009536743164 -C$8)</f>
        <v>0</v>
      </c>
      <c r="D92" t="str">
        <f>D$9 * (20.25009536743164 -D$8)</f>
        <v>0</v>
      </c>
      <c r="F92" t="str">
        <f>F$9 * (0.006907638162374496 -F$8)</f>
        <v>0</v>
      </c>
      <c r="G92" t="str">
        <f>G$9 * (2.97625207901001 -G$8)</f>
        <v>0</v>
      </c>
      <c r="H92" t="str">
        <f>H$9 * (7.365602016448975 -H$8)</f>
        <v>0</v>
      </c>
      <c r="I92" t="str">
        <f>I$9 * (0.01333232037723064 -I$8)</f>
        <v>0</v>
      </c>
    </row>
    <row r="93" spans="1:11">
      <c r="A93" t="str">
        <f>A$9 * (20.50015068054199 -A$8)</f>
        <v>0</v>
      </c>
      <c r="B93" t="str">
        <f>B$9 * (20.50015068054199 -B$8)</f>
        <v>0</v>
      </c>
      <c r="C93" t="str">
        <f>C$9 * (20.50015068054199 -C$8)</f>
        <v>0</v>
      </c>
      <c r="D93" t="str">
        <f>D$9 * (20.50015068054199 -D$8)</f>
        <v>0</v>
      </c>
      <c r="F93" t="str">
        <f>F$9 * (0.004419077187776566 -F$8)</f>
        <v>0</v>
      </c>
      <c r="G93" t="str">
        <f>G$9 * (1.160338997840881 -G$8)</f>
        <v>0</v>
      </c>
      <c r="H93" t="str">
        <f>H$9 * (3.854964971542358 -H$8)</f>
        <v>0</v>
      </c>
      <c r="I93" t="str">
        <f>I$9 * (6.710000093335111E-7 -I$8)</f>
        <v>0</v>
      </c>
    </row>
    <row r="94" spans="1:11">
      <c r="A94" t="str">
        <f>A$9 * (20.75005912780762 -A$8)</f>
        <v>0</v>
      </c>
      <c r="B94" t="str">
        <f>B$9 * (20.75005912780762 -B$8)</f>
        <v>0</v>
      </c>
      <c r="C94" t="str">
        <f>C$9 * (20.75005912780762 -C$8)</f>
        <v>0</v>
      </c>
      <c r="D94" t="str">
        <f>D$9 * (20.75005912780762 -D$8)</f>
        <v>0</v>
      </c>
      <c r="F94" t="str">
        <f>F$9 * (0.02588227950036526 -F$8)</f>
        <v>0</v>
      </c>
      <c r="G94" t="str">
        <f>G$9 * (4.621564865112305 -G$8)</f>
        <v>0</v>
      </c>
      <c r="H94" t="str">
        <f>H$9 * (5.522284984588623 -H$8)</f>
        <v>0</v>
      </c>
      <c r="I94" t="str">
        <f>I$9 * (0.02567994967103004 -I$8)</f>
        <v>0</v>
      </c>
    </row>
    <row r="95" spans="1:11">
      <c r="A95" t="str">
        <f>A$9 * (21.00000762939453 -A$8)</f>
        <v>0</v>
      </c>
      <c r="B95" t="str">
        <f>B$9 * (21.00000762939453 -B$8)</f>
        <v>0</v>
      </c>
      <c r="C95" t="str">
        <f>C$9 * (21.00000762939453 -C$8)</f>
        <v>0</v>
      </c>
      <c r="D95" t="str">
        <f>D$9 * (21.00000762939453 -D$8)</f>
        <v>0</v>
      </c>
      <c r="F95" t="str">
        <f>F$9 * (0.005610228981822729 -F$8)</f>
        <v>0</v>
      </c>
      <c r="G95" t="str">
        <f>G$9 * (2.583195924758911 -G$8)</f>
        <v>0</v>
      </c>
      <c r="H95" t="str">
        <f>H$9 * (7.409293174743652 -H$8)</f>
        <v>0</v>
      </c>
      <c r="I95" t="str">
        <f>I$9 * (0.01188922021538019 -I$8)</f>
        <v>0</v>
      </c>
    </row>
    <row r="96" spans="1:11">
      <c r="A96" t="str">
        <f>A$9 * (21.25007247924805 -A$8)</f>
        <v>0</v>
      </c>
      <c r="B96" t="str">
        <f>B$9 * (21.25007247924805 -B$8)</f>
        <v>0</v>
      </c>
      <c r="C96" t="str">
        <f>C$9 * (21.25007247924805 -C$8)</f>
        <v>0</v>
      </c>
      <c r="D96" t="str">
        <f>D$9 * (21.25007247924805 -D$8)</f>
        <v>0</v>
      </c>
      <c r="F96" t="str">
        <f>F$9 * (-0.002488119062036276 -F$8)</f>
        <v>0</v>
      </c>
      <c r="G96" t="str">
        <f>G$9 * (-2.129400968551636 -G$8)</f>
        <v>0</v>
      </c>
      <c r="H96" t="str">
        <f>H$9 * (2.59033203125 -H$8)</f>
        <v>0</v>
      </c>
      <c r="I96" t="str">
        <f>I$9 * (0.0001659494009800255 -I$8)</f>
        <v>0</v>
      </c>
    </row>
    <row r="97" spans="1:11">
      <c r="A97" t="str">
        <f>A$9 * (21.50043678283691 -A$8)</f>
        <v>0</v>
      </c>
      <c r="B97" t="str">
        <f>B$9 * (21.50043678283691 -B$8)</f>
        <v>0</v>
      </c>
      <c r="C97" t="str">
        <f>C$9 * (21.50043678283691 -C$8)</f>
        <v>0</v>
      </c>
      <c r="D97" t="str">
        <f>D$9 * (21.50043678283691 -D$8)</f>
        <v>0</v>
      </c>
      <c r="F97" t="str">
        <f>F$9 * (-0.001759937964379787 -F$8)</f>
        <v>0</v>
      </c>
      <c r="G97" t="str">
        <f>G$9 * (-0.2943522930145264 -G$8)</f>
        <v>0</v>
      </c>
      <c r="H97" t="str">
        <f>H$9 * (-0.9896649122238159 -H$8)</f>
        <v>0</v>
      </c>
      <c r="I97" t="str">
        <f>I$9 * (0.0004015534941572696 -I$8)</f>
        <v>0</v>
      </c>
    </row>
    <row r="98" spans="1:11">
      <c r="A98" t="str">
        <f>A$9 * (21.75017738342285 -A$8)</f>
        <v>0</v>
      </c>
      <c r="B98" t="str">
        <f>B$9 * (21.75017738342285 -B$8)</f>
        <v>0</v>
      </c>
      <c r="C98" t="str">
        <f>C$9 * (21.75017738342285 -C$8)</f>
        <v>0</v>
      </c>
      <c r="D98" t="str">
        <f>D$9 * (21.75017738342285 -D$8)</f>
        <v>0</v>
      </c>
      <c r="F98" t="str">
        <f>F$9 * (-0.0009785130387172103 -F$8)</f>
        <v>0</v>
      </c>
      <c r="G98" t="str">
        <f>G$9 * (-1.093544960021973 -G$8)</f>
        <v>0</v>
      </c>
      <c r="H98" t="str">
        <f>H$9 * (-0.2570140063762665 -H$8)</f>
        <v>0</v>
      </c>
      <c r="I98" t="str">
        <f>I$9 * (7.450000083508712E-8 -I$8)</f>
        <v>0</v>
      </c>
    </row>
    <row r="99" spans="1:11">
      <c r="A99" t="str">
        <f>A$9 * (22.00059700012207 -A$8)</f>
        <v>0</v>
      </c>
      <c r="B99" t="str">
        <f>B$9 * (22.00059700012207 -B$8)</f>
        <v>0</v>
      </c>
      <c r="C99" t="str">
        <f>C$9 * (22.00059700012207 -C$8)</f>
        <v>0</v>
      </c>
      <c r="D99" t="str">
        <f>D$9 * (22.00059700012207 -D$8)</f>
        <v>0</v>
      </c>
      <c r="F99" t="str">
        <f>F$9 * (-0.000851265387609601 -F$8)</f>
        <v>0</v>
      </c>
      <c r="G99" t="str">
        <f>G$9 * (-0.277340292930603 -G$8)</f>
        <v>0</v>
      </c>
      <c r="H99" t="str">
        <f>H$9 * (-0.311897486448288 -H$8)</f>
        <v>0</v>
      </c>
      <c r="I99" t="str">
        <f>I$9 * (1.250000014607622E-8 -I$8)</f>
        <v>0</v>
      </c>
    </row>
    <row r="100" spans="1:11">
      <c r="A100" t="str">
        <f>A$9 * (22.2502384185791 -A$8)</f>
        <v>0</v>
      </c>
      <c r="B100" t="str">
        <f>B$9 * (22.2502384185791 -B$8)</f>
        <v>0</v>
      </c>
      <c r="C100" t="str">
        <f>C$9 * (22.2502384185791 -C$8)</f>
        <v>0</v>
      </c>
      <c r="D100" t="str">
        <f>D$9 * (22.2502384185791 -D$8)</f>
        <v>0</v>
      </c>
      <c r="F100" t="str">
        <f>F$9 * (0.002328045899048448 -F$8)</f>
        <v>0</v>
      </c>
      <c r="G100" t="str">
        <f>G$9 * (0.1340916007757187 -G$8)</f>
        <v>0</v>
      </c>
      <c r="H100" t="str">
        <f>H$9 * (25.78845024108887 -H$8)</f>
        <v>0</v>
      </c>
      <c r="I100" t="str">
        <f>I$9 * (0.08709908276796341 -I$8)</f>
        <v>0</v>
      </c>
    </row>
    <row r="101" spans="1:11">
      <c r="A101" t="str">
        <f>A$9 * (22.50051307678223 -A$8)</f>
        <v>0</v>
      </c>
      <c r="B101" t="str">
        <f>B$9 * (22.50051307678223 -B$8)</f>
        <v>0</v>
      </c>
      <c r="C101" t="str">
        <f>C$9 * (22.50051307678223 -C$8)</f>
        <v>0</v>
      </c>
      <c r="D101" t="str">
        <f>D$9 * (22.50051307678223 -D$8)</f>
        <v>0</v>
      </c>
      <c r="F101" t="str">
        <f>F$9 * (-0.002363095059990883 -F$8)</f>
        <v>0</v>
      </c>
      <c r="G101" t="str">
        <f>G$9 * (-0.3896298110485077 -G$8)</f>
        <v>0</v>
      </c>
      <c r="H101" t="str">
        <f>H$9 * (-0.6440103054046631 -H$8)</f>
        <v>0</v>
      </c>
      <c r="I101" t="str">
        <f>I$9 * (2.029999990327269E-7 -I$8)</f>
        <v>0</v>
      </c>
    </row>
    <row r="102" spans="1:11">
      <c r="A102" t="str">
        <f>A$9 * (22.75069999694824 -A$8)</f>
        <v>0</v>
      </c>
      <c r="B102" t="str">
        <f>B$9 * (22.75069999694824 -B$8)</f>
        <v>0</v>
      </c>
      <c r="C102" t="str">
        <f>C$9 * (22.75069999694824 -C$8)</f>
        <v>0</v>
      </c>
      <c r="D102" t="str">
        <f>D$9 * (22.75069999694824 -D$8)</f>
        <v>0</v>
      </c>
      <c r="F102" t="str">
        <f>F$9 * (0.0002361239021411166 -F$8)</f>
        <v>0</v>
      </c>
      <c r="G102" t="str">
        <f>G$9 * (-0.7004932165145874 -G$8)</f>
        <v>0</v>
      </c>
      <c r="H102" t="str">
        <f>H$9 * (0.318308413028717 -H$8)</f>
        <v>0</v>
      </c>
      <c r="I102" t="str">
        <f>I$9 * (2.380000019286399E-8 -I$8)</f>
        <v>0</v>
      </c>
    </row>
    <row r="103" spans="1:11">
      <c r="A103" t="str">
        <f>A$9 * (23.00012969970703 -A$8)</f>
        <v>0</v>
      </c>
      <c r="B103" t="str">
        <f>B$9 * (23.00012969970703 -B$8)</f>
        <v>0</v>
      </c>
      <c r="C103" t="str">
        <f>C$9 * (23.00012969970703 -C$8)</f>
        <v>0</v>
      </c>
      <c r="D103" t="str">
        <f>D$9 * (23.00012969970703 -D$8)</f>
        <v>0</v>
      </c>
      <c r="F103" t="str">
        <f>F$9 * (0.07791154831647873 -F$8)</f>
        <v>0</v>
      </c>
      <c r="G103" t="str">
        <f>G$9 * (5.068665027618408 -G$8)</f>
        <v>0</v>
      </c>
      <c r="H103" t="str">
        <f>H$9 * (5.278576850891113 -H$8)</f>
        <v>0</v>
      </c>
      <c r="I103" t="str">
        <f>I$9 * (0.07058650255203247 -I$8)</f>
        <v>0</v>
      </c>
    </row>
    <row r="104" spans="1:11">
      <c r="A104" t="str">
        <f>A$9 * (23.25051689147949 -A$8)</f>
        <v>0</v>
      </c>
      <c r="B104" t="str">
        <f>B$9 * (23.25051689147949 -B$8)</f>
        <v>0</v>
      </c>
      <c r="C104" t="str">
        <f>C$9 * (23.25051689147949 -C$8)</f>
        <v>0</v>
      </c>
      <c r="D104" t="str">
        <f>D$9 * (23.25051689147949 -D$8)</f>
        <v>0</v>
      </c>
      <c r="F104" t="str">
        <f>F$9 * (0.01242948975414038 -F$8)</f>
        <v>0</v>
      </c>
      <c r="G104" t="str">
        <f>G$9 * (5.414732933044434 -G$8)</f>
        <v>0</v>
      </c>
      <c r="H104" t="str">
        <f>H$9 * (9.635787010192871 -H$8)</f>
        <v>0</v>
      </c>
      <c r="I104" t="str">
        <f>I$9 * (0.02918924950063229 -I$8)</f>
        <v>0</v>
      </c>
    </row>
    <row r="105" spans="1:11">
      <c r="A105" t="str">
        <f>A$9 * (23.50000190734863 -A$8)</f>
        <v>0</v>
      </c>
      <c r="B105" t="str">
        <f>B$9 * (23.50000190734863 -B$8)</f>
        <v>0</v>
      </c>
      <c r="C105" t="str">
        <f>C$9 * (23.50000190734863 -C$8)</f>
        <v>0</v>
      </c>
      <c r="D105" t="str">
        <f>D$9 * (23.50000190734863 -D$8)</f>
        <v>0</v>
      </c>
      <c r="F105" t="str">
        <f>F$9 * (0.01452783029526472 -F$8)</f>
        <v>0</v>
      </c>
      <c r="G105" t="str">
        <f>G$9 * (8.227165222167969 -G$8)</f>
        <v>0</v>
      </c>
      <c r="H105" t="str">
        <f>H$9 * (14.08310031890869 -H$8)</f>
        <v>0</v>
      </c>
      <c r="I105" t="str">
        <f>I$9 * (0.0548449382185936 -I$8)</f>
        <v>0</v>
      </c>
    </row>
    <row r="106" spans="1:11">
      <c r="A106" t="str">
        <f>A$9 * (23.75021934509277 -A$8)</f>
        <v>0</v>
      </c>
      <c r="B106" t="str">
        <f>B$9 * (23.75021934509277 -B$8)</f>
        <v>0</v>
      </c>
      <c r="C106" t="str">
        <f>C$9 * (23.75021934509277 -C$8)</f>
        <v>0</v>
      </c>
      <c r="D106" t="str">
        <f>D$9 * (23.75021934509277 -D$8)</f>
        <v>0</v>
      </c>
      <c r="F106" t="str">
        <f>F$9 * (0.005200088024139404 -F$8)</f>
        <v>0</v>
      </c>
      <c r="G106" t="str">
        <f>G$9 * (3.179426908493042 -G$8)</f>
        <v>0</v>
      </c>
      <c r="H106" t="str">
        <f>H$9 * (9.942621231079102 -H$8)</f>
        <v>0</v>
      </c>
      <c r="I106" t="str">
        <f>I$9 * (0.01821745000779629 -I$8)</f>
        <v>0</v>
      </c>
    </row>
    <row r="107" spans="1:11">
      <c r="A107" t="str">
        <f>A$9 * (24.00034523010254 -A$8)</f>
        <v>0</v>
      </c>
      <c r="B107" t="str">
        <f>B$9 * (24.00034523010254 -B$8)</f>
        <v>0</v>
      </c>
      <c r="C107" t="str">
        <f>C$9 * (24.00034523010254 -C$8)</f>
        <v>0</v>
      </c>
      <c r="D107" t="str">
        <f>D$9 * (24.00034523010254 -D$8)</f>
        <v>0</v>
      </c>
      <c r="F107" t="str">
        <f>F$9 * (0.006213060114532709 -F$8)</f>
        <v>0</v>
      </c>
      <c r="G107" t="str">
        <f>G$9 * (2.711822032928467 -G$8)</f>
        <v>0</v>
      </c>
      <c r="H107" t="str">
        <f>H$9 * (7.25200080871582 -H$8)</f>
        <v>0</v>
      </c>
      <c r="I107" t="str">
        <f>I$9 * (0.01226611994206905 -I$8)</f>
        <v>0</v>
      </c>
    </row>
    <row r="108" spans="1:11">
      <c r="A108" t="str">
        <f>A$9 * (24.25016403198242 -A$8)</f>
        <v>0</v>
      </c>
      <c r="B108" t="str">
        <f>B$9 * (24.25016403198242 -B$8)</f>
        <v>0</v>
      </c>
      <c r="C108" t="str">
        <f>C$9 * (24.25016403198242 -C$8)</f>
        <v>0</v>
      </c>
      <c r="D108" t="str">
        <f>D$9 * (24.25016403198242 -D$8)</f>
        <v>0</v>
      </c>
      <c r="F108" t="str">
        <f>F$9 * (0.005017496179789305 -F$8)</f>
        <v>0</v>
      </c>
      <c r="G108" t="str">
        <f>G$9 * (2.416189908981323 -G$8)</f>
        <v>0</v>
      </c>
      <c r="H108" t="str">
        <f>H$9 * (7.573736190795898 -H$8)</f>
        <v>0</v>
      </c>
      <c r="I108" t="str">
        <f>I$9 * (0.01162523031234741 -I$8)</f>
        <v>0</v>
      </c>
    </row>
    <row r="109" spans="1:11">
      <c r="A109" t="str">
        <f>A$9 * (24.50034523010254 -A$8)</f>
        <v>0</v>
      </c>
      <c r="B109" t="str">
        <f>B$9 * (24.50034523010254 -B$8)</f>
        <v>0</v>
      </c>
      <c r="C109" t="str">
        <f>C$9 * (24.50034523010254 -C$8)</f>
        <v>0</v>
      </c>
      <c r="D109" t="str">
        <f>D$9 * (24.50034523010254 -D$8)</f>
        <v>0</v>
      </c>
      <c r="F109" t="str">
        <f>F$9 * (0.004964813124388456 -F$8)</f>
        <v>0</v>
      </c>
      <c r="G109" t="str">
        <f>G$9 * (2.244239091873169 -G$8)</f>
        <v>0</v>
      </c>
      <c r="H109" t="str">
        <f>H$9 * (7.055537223815918 -H$8)</f>
        <v>0</v>
      </c>
      <c r="I109" t="str">
        <f>I$9 * (0.01036306004971266 -I$8)</f>
        <v>0</v>
      </c>
    </row>
    <row r="110" spans="1:11">
      <c r="A110" t="str">
        <f>A$9 * (24.75016403198242 -A$8)</f>
        <v>0</v>
      </c>
      <c r="B110" t="str">
        <f>B$9 * (24.75016403198242 -B$8)</f>
        <v>0</v>
      </c>
      <c r="C110" t="str">
        <f>C$9 * (24.75016403198242 -C$8)</f>
        <v>0</v>
      </c>
      <c r="D110" t="str">
        <f>D$9 * (24.75016403198242 -D$8)</f>
        <v>0</v>
      </c>
      <c r="F110" t="str">
        <f>F$9 * (0.008714514784514904 -F$8)</f>
        <v>0</v>
      </c>
      <c r="G110" t="str">
        <f>G$9 * (2.717350959777832 -G$8)</f>
        <v>0</v>
      </c>
      <c r="H110" t="str">
        <f>H$9 * (5.683345794677734 -H$8)</f>
        <v>0</v>
      </c>
      <c r="I110" t="str">
        <f>I$9 * (0.01081935968250036 -I$8)</f>
        <v>0</v>
      </c>
    </row>
    <row r="111" spans="1:11">
      <c r="A111" t="str">
        <f>A$9 * (25.00034523010254 -A$8)</f>
        <v>0</v>
      </c>
      <c r="B111" t="str">
        <f>B$9 * (25.00034523010254 -B$8)</f>
        <v>0</v>
      </c>
      <c r="C111" t="str">
        <f>C$9 * (25.00034523010254 -C$8)</f>
        <v>0</v>
      </c>
      <c r="D111" t="str">
        <f>D$9 * (25.00034523010254 -D$8)</f>
        <v>0</v>
      </c>
      <c r="F111" t="str">
        <f>F$9 * (0.007177737075835466 -F$8)</f>
        <v>0</v>
      </c>
      <c r="G111" t="str">
        <f>G$9 * (3.203474998474121 -G$8)</f>
        <v>0</v>
      </c>
      <c r="H111" t="str">
        <f>H$9 * (7.752836227416992 -H$8)</f>
        <v>0</v>
      </c>
      <c r="I111" t="str">
        <f>I$9 * (0.01472936011850834 -I$8)</f>
        <v>0</v>
      </c>
    </row>
    <row r="112" spans="1:11">
      <c r="A112" t="str">
        <f>A$9 * (25.25016403198242 -A$8)</f>
        <v>0</v>
      </c>
      <c r="B112" t="str">
        <f>B$9 * (25.25016403198242 -B$8)</f>
        <v>0</v>
      </c>
      <c r="C112" t="str">
        <f>C$9 * (25.25016403198242 -C$8)</f>
        <v>0</v>
      </c>
      <c r="D112" t="str">
        <f>D$9 * (25.25016403198242 -D$8)</f>
        <v>0</v>
      </c>
      <c r="F112" t="str">
        <f>F$9 * (0.006121155805885792 -F$8)</f>
        <v>0</v>
      </c>
      <c r="G112" t="str">
        <f>G$9 * (2.416120052337646 -G$8)</f>
        <v>0</v>
      </c>
      <c r="H112" t="str">
        <f>H$9 * (6.434016227722168 -H$8)</f>
        <v>0</v>
      </c>
      <c r="I112" t="str">
        <f>I$9 * (0.01018813997507095 -I$8)</f>
        <v>0</v>
      </c>
    </row>
    <row r="113" spans="1:11">
      <c r="A113" t="str">
        <f>A$9 * (25.50043869018555 -A$8)</f>
        <v>0</v>
      </c>
      <c r="B113" t="str">
        <f>B$9 * (25.50043869018555 -B$8)</f>
        <v>0</v>
      </c>
      <c r="C113" t="str">
        <f>C$9 * (25.50043869018555 -C$8)</f>
        <v>0</v>
      </c>
      <c r="D113" t="str">
        <f>D$9 * (25.50043869018555 -D$8)</f>
        <v>0</v>
      </c>
      <c r="F113" t="str">
        <f>F$9 * (0.001269888016395271 -F$8)</f>
        <v>0</v>
      </c>
      <c r="G113" t="str">
        <f>G$9 * (0.2063570022583008 -G$8)</f>
        <v>0</v>
      </c>
      <c r="H113" t="str">
        <f>H$9 * (1.912996053695679 -H$8)</f>
        <v>0</v>
      </c>
      <c r="I113" t="str">
        <f>I$9 * (5.129999891551051E-8 -I$8)</f>
        <v>0</v>
      </c>
    </row>
    <row r="114" spans="1:11">
      <c r="A114" t="str">
        <f>A$9 * (25.75048828125 -A$8)</f>
        <v>0</v>
      </c>
      <c r="B114" t="str">
        <f>B$9 * (25.75048828125 -B$8)</f>
        <v>0</v>
      </c>
      <c r="C114" t="str">
        <f>C$9 * (25.75048828125 -C$8)</f>
        <v>0</v>
      </c>
      <c r="D114" t="str">
        <f>D$9 * (25.75048828125 -D$8)</f>
        <v>0</v>
      </c>
      <c r="F114" t="str">
        <f>F$9 * (-7.477519829990342E-5 -F$8)</f>
        <v>0</v>
      </c>
      <c r="G114" t="str">
        <f>G$9 * (-1.246795058250427 -G$8)</f>
        <v>0</v>
      </c>
      <c r="H114" t="str">
        <f>H$9 * (1.529191017150879 -H$8)</f>
        <v>0</v>
      </c>
      <c r="I114" t="str">
        <f>I$9 * (3.41600014053256E-7 -I$8)</f>
        <v>0</v>
      </c>
    </row>
    <row r="115" spans="1:11">
      <c r="A115" t="str">
        <f>A$9 * (26.00040817260742 -A$8)</f>
        <v>0</v>
      </c>
      <c r="B115" t="str">
        <f>B$9 * (26.00040817260742 -B$8)</f>
        <v>0</v>
      </c>
      <c r="C115" t="str">
        <f>C$9 * (26.00040817260742 -C$8)</f>
        <v>0</v>
      </c>
      <c r="D115" t="str">
        <f>D$9 * (26.00040817260742 -D$8)</f>
        <v>0</v>
      </c>
      <c r="F115" t="str">
        <f>F$9 * (0.008732564747333527 -F$8)</f>
        <v>0</v>
      </c>
      <c r="G115" t="str">
        <f>G$9 * (-0.9891483783721924 -G$8)</f>
        <v>0</v>
      </c>
      <c r="H115" t="str">
        <f>H$9 * (1.879814982414246 -H$8)</f>
        <v>0</v>
      </c>
      <c r="I115" t="str">
        <f>I$9 * (3.371000047991402E-7 -I$8)</f>
        <v>0</v>
      </c>
    </row>
    <row r="116" spans="1:11">
      <c r="A116" t="str">
        <f>A$9 * (26.25052261352539 -A$8)</f>
        <v>0</v>
      </c>
      <c r="B116" t="str">
        <f>B$9 * (26.25052261352539 -B$8)</f>
        <v>0</v>
      </c>
      <c r="C116" t="str">
        <f>C$9 * (26.25052261352539 -C$8)</f>
        <v>0</v>
      </c>
      <c r="D116" t="str">
        <f>D$9 * (26.25052261352539 -D$8)</f>
        <v>0</v>
      </c>
      <c r="F116" t="str">
        <f>F$9 * (0.00125903997104615 -F$8)</f>
        <v>0</v>
      </c>
      <c r="G116" t="str">
        <f>G$9 * (-0.1838355958461761 -G$8)</f>
        <v>0</v>
      </c>
      <c r="H116" t="str">
        <f>H$9 * (5.12211799621582 -H$8)</f>
        <v>0</v>
      </c>
      <c r="I116" t="str">
        <f>I$9 * (2.21199996985888E-7 -I$8)</f>
        <v>0</v>
      </c>
    </row>
    <row r="117" spans="1:11">
      <c r="A117" t="str">
        <f>A$9 * (26.5001106262207 -A$8)</f>
        <v>0</v>
      </c>
      <c r="B117" t="str">
        <f>B$9 * (26.5001106262207 -B$8)</f>
        <v>0</v>
      </c>
      <c r="C117" t="str">
        <f>C$9 * (26.5001106262207 -C$8)</f>
        <v>0</v>
      </c>
      <c r="D117" t="str">
        <f>D$9 * (26.5001106262207 -D$8)</f>
        <v>0</v>
      </c>
      <c r="F117" t="str">
        <f>F$9 * (-0.0005076418747194111 -F$8)</f>
        <v>0</v>
      </c>
      <c r="G117" t="str">
        <f>G$9 * (-0.9220246076583862 -G$8)</f>
        <v>0</v>
      </c>
      <c r="H117" t="str">
        <f>H$9 * (0.968550980091095 -H$8)</f>
        <v>0</v>
      </c>
      <c r="I117" t="str">
        <f>I$9 * (2.186999950026802E-7 -I$8)</f>
        <v>0</v>
      </c>
    </row>
    <row r="118" spans="1:11">
      <c r="A118" t="str">
        <f>A$9 * (26.75054168701172 -A$8)</f>
        <v>0</v>
      </c>
      <c r="B118" t="str">
        <f>B$9 * (26.75054168701172 -B$8)</f>
        <v>0</v>
      </c>
      <c r="C118" t="str">
        <f>C$9 * (26.75054168701172 -C$8)</f>
        <v>0</v>
      </c>
      <c r="D118" t="str">
        <f>D$9 * (26.75054168701172 -D$8)</f>
        <v>0</v>
      </c>
      <c r="F118" t="str">
        <f>F$9 * (-0.002226992044597864 -F$8)</f>
        <v>0</v>
      </c>
      <c r="G118" t="str">
        <f>G$9 * (-0.09844493120908737 -G$8)</f>
        <v>0</v>
      </c>
      <c r="H118" t="str">
        <f>H$9 * (-1.461987018585205 -H$8)</f>
        <v>0</v>
      </c>
      <c r="I118" t="str">
        <f>I$9 * (3.679999949213197E-8 -I$8)</f>
        <v>0</v>
      </c>
    </row>
    <row r="119" spans="1:11">
      <c r="A119" t="str">
        <f>A$9 * (27.00056457519531 -A$8)</f>
        <v>0</v>
      </c>
      <c r="B119" t="str">
        <f>B$9 * (27.00056457519531 -B$8)</f>
        <v>0</v>
      </c>
      <c r="C119" t="str">
        <f>C$9 * (27.00056457519531 -C$8)</f>
        <v>0</v>
      </c>
      <c r="D119" t="str">
        <f>D$9 * (27.00056457519531 -D$8)</f>
        <v>0</v>
      </c>
      <c r="F119" t="str">
        <f>F$9 * (-0.001140858046710491 -F$8)</f>
        <v>0</v>
      </c>
      <c r="G119" t="str">
        <f>G$9 * (-1.298285961151123 -G$8)</f>
        <v>0</v>
      </c>
      <c r="H119" t="str">
        <f>H$9 * (1.330042958259583 -H$8)</f>
        <v>0</v>
      </c>
      <c r="I119" t="str">
        <f>I$9 * (9.596040035830811E-5 -I$8)</f>
        <v>0</v>
      </c>
    </row>
    <row r="120" spans="1:11">
      <c r="A120" t="str">
        <f>A$9 * (27.25063705444336 -A$8)</f>
        <v>0</v>
      </c>
      <c r="B120" t="str">
        <f>B$9 * (27.25063705444336 -B$8)</f>
        <v>0</v>
      </c>
      <c r="C120" t="str">
        <f>C$9 * (27.25063705444336 -C$8)</f>
        <v>0</v>
      </c>
      <c r="D120" t="str">
        <f>D$9 * (27.25063705444336 -D$8)</f>
        <v>0</v>
      </c>
      <c r="F120" t="str">
        <f>F$9 * (0.1676137000322342 -F$8)</f>
        <v>0</v>
      </c>
      <c r="G120" t="str">
        <f>G$9 * (11.98528957366943 -G$8)</f>
        <v>0</v>
      </c>
      <c r="H120" t="str">
        <f>H$9 * (12.36448955535889 -H$8)</f>
        <v>0</v>
      </c>
      <c r="I120" t="str">
        <f>I$9 * (0.3786104917526245 -I$8)</f>
        <v>0</v>
      </c>
    </row>
    <row r="121" spans="1:11">
      <c r="A121" t="str">
        <f>A$9 * (27.50048828125 -A$8)</f>
        <v>0</v>
      </c>
      <c r="B121" t="str">
        <f>B$9 * (27.50048828125 -B$8)</f>
        <v>0</v>
      </c>
      <c r="C121" t="str">
        <f>C$9 * (27.50048828125 -C$8)</f>
        <v>0</v>
      </c>
      <c r="D121" t="str">
        <f>D$9 * (27.50048828125 -D$8)</f>
        <v>0</v>
      </c>
      <c r="F121" t="str">
        <f>F$9 * (0.03187232837080956 -F$8)</f>
        <v>0</v>
      </c>
      <c r="G121" t="str">
        <f>G$9 * (4.480542182922363 -G$8)</f>
        <v>0</v>
      </c>
      <c r="H121" t="str">
        <f>H$9 * (4.867338180541992 -H$8)</f>
        <v>0</v>
      </c>
      <c r="I121" t="str">
        <f>I$9 * (0.02842226065695286 -I$8)</f>
        <v>0</v>
      </c>
    </row>
    <row r="122" spans="1:11">
      <c r="A122" t="str">
        <f>A$9 * (27.75032997131348 -A$8)</f>
        <v>0</v>
      </c>
      <c r="B122" t="str">
        <f>B$9 * (27.75032997131348 -B$8)</f>
        <v>0</v>
      </c>
      <c r="C122" t="str">
        <f>C$9 * (27.75032997131348 -C$8)</f>
        <v>0</v>
      </c>
      <c r="D122" t="str">
        <f>D$9 * (27.75032997131348 -D$8)</f>
        <v>0</v>
      </c>
      <c r="F122" t="str">
        <f>F$9 * (0.01518275029957294 -F$8)</f>
        <v>0</v>
      </c>
      <c r="G122" t="str">
        <f>G$9 * (9.214097023010254 -G$8)</f>
        <v>0</v>
      </c>
      <c r="H122" t="str">
        <f>H$9 * (16.90980911254883 -H$8)</f>
        <v>0</v>
      </c>
      <c r="I122" t="str">
        <f>I$9 * (0.07393431663513184 -I$8)</f>
        <v>0</v>
      </c>
    </row>
    <row r="123" spans="1:11">
      <c r="A123" t="str">
        <f>A$9 * (28.0003604888916 -A$8)</f>
        <v>0</v>
      </c>
      <c r="B123" t="str">
        <f>B$9 * (28.0003604888916 -B$8)</f>
        <v>0</v>
      </c>
      <c r="C123" t="str">
        <f>C$9 * (28.0003604888916 -C$8)</f>
        <v>0</v>
      </c>
      <c r="D123" t="str">
        <f>D$9 * (28.0003604888916 -D$8)</f>
        <v>0</v>
      </c>
      <c r="F123" t="str">
        <f>F$9 * (0.007495860103517771 -F$8)</f>
        <v>0</v>
      </c>
      <c r="G123" t="str">
        <f>G$9 * (4.056184768676758 -G$8)</f>
        <v>0</v>
      </c>
      <c r="H123" t="str">
        <f>H$9 * (9.806571006774902 -H$8)</f>
        <v>0</v>
      </c>
      <c r="I123" t="str">
        <f>I$9 * (0.02156266011297703 -I$8)</f>
        <v>0</v>
      </c>
    </row>
    <row r="124" spans="1:11">
      <c r="A124" t="str">
        <f>A$9 * (28.25030517578125 -A$8)</f>
        <v>0</v>
      </c>
      <c r="B124" t="str">
        <f>B$9 * (28.25030517578125 -B$8)</f>
        <v>0</v>
      </c>
      <c r="C124" t="str">
        <f>C$9 * (28.25030517578125 -C$8)</f>
        <v>0</v>
      </c>
      <c r="D124" t="str">
        <f>D$9 * (28.25030517578125 -D$8)</f>
        <v>0</v>
      </c>
      <c r="F124" t="str">
        <f>F$9 * (0.006991717033088207 -F$8)</f>
        <v>0</v>
      </c>
      <c r="G124" t="str">
        <f>G$9 * (3.467423915863037 -G$8)</f>
        <v>0</v>
      </c>
      <c r="H124" t="str">
        <f>H$9 * (8.670331001281738 -H$8)</f>
        <v>0</v>
      </c>
      <c r="I124" t="str">
        <f>I$9 * (0.01721400022506714 -I$8)</f>
        <v>0</v>
      </c>
    </row>
    <row r="125" spans="1:11">
      <c r="A125" t="str">
        <f>A$9 * (28.50033378601074 -A$8)</f>
        <v>0</v>
      </c>
      <c r="B125" t="str">
        <f>B$9 * (28.50033378601074 -B$8)</f>
        <v>0</v>
      </c>
      <c r="C125" t="str">
        <f>C$9 * (28.50033378601074 -C$8)</f>
        <v>0</v>
      </c>
      <c r="D125" t="str">
        <f>D$9 * (28.50033378601074 -D$8)</f>
        <v>0</v>
      </c>
      <c r="F125" t="str">
        <f>F$9 * (0.004597072955220938 -F$8)</f>
        <v>0</v>
      </c>
      <c r="G125" t="str">
        <f>G$9 * (2.33670711517334 -G$8)</f>
        <v>0</v>
      </c>
      <c r="H125" t="str">
        <f>H$9 * (7.862123012542725 -H$8)</f>
        <v>0</v>
      </c>
      <c r="I125" t="str">
        <f>I$9 * (0.01179714035242796 -I$8)</f>
        <v>0</v>
      </c>
    </row>
    <row r="126" spans="1:11">
      <c r="A126" t="str">
        <f>A$9 * (28.75002861022949 -A$8)</f>
        <v>0</v>
      </c>
      <c r="B126" t="str">
        <f>B$9 * (28.75002861022949 -B$8)</f>
        <v>0</v>
      </c>
      <c r="C126" t="str">
        <f>C$9 * (28.75002861022949 -C$8)</f>
        <v>0</v>
      </c>
      <c r="D126" t="str">
        <f>D$9 * (28.75002861022949 -D$8)</f>
        <v>0</v>
      </c>
      <c r="F126" t="str">
        <f>F$9 * (0.00399666978046298 -F$8)</f>
        <v>0</v>
      </c>
      <c r="G126" t="str">
        <f>G$9 * (1.777150988578796 -G$8)</f>
        <v>0</v>
      </c>
      <c r="H126" t="str">
        <f>H$9 * (6.570082187652588 -H$8)</f>
        <v>0</v>
      </c>
      <c r="I126" t="str">
        <f>I$9 * (3.581000100894016E-7 -I$8)</f>
        <v>0</v>
      </c>
    </row>
    <row r="127" spans="1:11">
      <c r="A127" t="str">
        <f>A$9 * (29.0001106262207 -A$8)</f>
        <v>0</v>
      </c>
      <c r="B127" t="str">
        <f>B$9 * (29.0001106262207 -B$8)</f>
        <v>0</v>
      </c>
      <c r="C127" t="str">
        <f>C$9 * (29.0001106262207 -C$8)</f>
        <v>0</v>
      </c>
      <c r="D127" t="str">
        <f>D$9 * (29.0001106262207 -D$8)</f>
        <v>0</v>
      </c>
      <c r="F127" t="str">
        <f>F$9 * (0.01073706988245249 -F$8)</f>
        <v>0</v>
      </c>
      <c r="G127" t="str">
        <f>G$9 * (3.85785698890686 -G$8)</f>
        <v>0</v>
      </c>
      <c r="H127" t="str">
        <f>H$9 * (7.195343971252441 -H$8)</f>
        <v>0</v>
      </c>
      <c r="I127" t="str">
        <f>I$9 * (0.01731877028942108 -I$8)</f>
        <v>0</v>
      </c>
    </row>
    <row r="128" spans="1:11">
      <c r="A128" t="str">
        <f>A$9 * (29.25019454956055 -A$8)</f>
        <v>0</v>
      </c>
      <c r="B128" t="str">
        <f>B$9 * (29.25019454956055 -B$8)</f>
        <v>0</v>
      </c>
      <c r="C128" t="str">
        <f>C$9 * (29.25019454956055 -C$8)</f>
        <v>0</v>
      </c>
      <c r="D128" t="str">
        <f>D$9 * (29.25019454956055 -D$8)</f>
        <v>0</v>
      </c>
      <c r="F128" t="str">
        <f>F$9 * (0.006877838168293238 -F$8)</f>
        <v>0</v>
      </c>
      <c r="G128" t="str">
        <f>G$9 * (2.94650411605835 -G$8)</f>
        <v>0</v>
      </c>
      <c r="H128" t="str">
        <f>H$9 * (7.311224937438965 -H$8)</f>
        <v>0</v>
      </c>
      <c r="I128" t="str">
        <f>I$9 * (0.01315645035356283 -I$8)</f>
        <v>0</v>
      </c>
    </row>
    <row r="129" spans="1:11">
      <c r="A129" t="str">
        <f>A$9 * (29.50030517578125 -A$8)</f>
        <v>0</v>
      </c>
      <c r="B129" t="str">
        <f>B$9 * (29.50030517578125 -B$8)</f>
        <v>0</v>
      </c>
      <c r="C129" t="str">
        <f>C$9 * (29.50030517578125 -C$8)</f>
        <v>0</v>
      </c>
      <c r="D129" t="str">
        <f>D$9 * (29.50030517578125 -D$8)</f>
        <v>0</v>
      </c>
      <c r="F129" t="str">
        <f>F$9 * (0.004700204823166132 -F$8)</f>
        <v>0</v>
      </c>
      <c r="G129" t="str">
        <f>G$9 * (1.386059045791626 -G$8)</f>
        <v>0</v>
      </c>
      <c r="H129" t="str">
        <f>H$9 * (4.415830135345459 -H$8)</f>
        <v>0</v>
      </c>
      <c r="I129" t="str">
        <f>I$9 * (2.133999998932268E-7 -I$8)</f>
        <v>0</v>
      </c>
    </row>
    <row r="130" spans="1:11">
      <c r="A130" t="str">
        <f>A$9 * (29.75008392333984 -A$8)</f>
        <v>0</v>
      </c>
      <c r="B130" t="str">
        <f>B$9 * (29.75008392333984 -B$8)</f>
        <v>0</v>
      </c>
      <c r="C130" t="str">
        <f>C$9 * (29.75008392333984 -C$8)</f>
        <v>0</v>
      </c>
      <c r="D130" t="str">
        <f>D$9 * (29.75008392333984 -D$8)</f>
        <v>0</v>
      </c>
      <c r="F130" t="str">
        <f>F$9 * (0.027204729616642 -F$8)</f>
        <v>0</v>
      </c>
      <c r="G130" t="str">
        <f>G$9 * (7.405585765838623 -G$8)</f>
        <v>0</v>
      </c>
      <c r="H130" t="str">
        <f>H$9 * (9.003500938415527 -H$8)</f>
        <v>0</v>
      </c>
      <c r="I130" t="str">
        <f>I$9 * (0.04826465994119644 -I$8)</f>
        <v>0</v>
      </c>
    </row>
    <row r="131" spans="1:11">
      <c r="A131" t="str">
        <f>A$9 * (30.00008392333984 -A$8)</f>
        <v>0</v>
      </c>
      <c r="B131" t="str">
        <f>B$9 * (30.00008392333984 -B$8)</f>
        <v>0</v>
      </c>
      <c r="C131" t="str">
        <f>C$9 * (30.00008392333984 -C$8)</f>
        <v>0</v>
      </c>
      <c r="D131" t="str">
        <f>D$9 * (30.00008392333984 -D$8)</f>
        <v>0</v>
      </c>
      <c r="F131" t="str">
        <f>F$9 * (0.006928801070898771 -F$8)</f>
        <v>0</v>
      </c>
      <c r="G131" t="str">
        <f>G$9 * (2.888859987258911 -G$8)</f>
        <v>0</v>
      </c>
      <c r="H131" t="str">
        <f>H$9 * (7.123377799987793 -H$8)</f>
        <v>0</v>
      </c>
      <c r="I131" t="str">
        <f>I$9 * (0.01270231045782566 -I$8)</f>
        <v>0</v>
      </c>
    </row>
    <row r="132" spans="1:11">
      <c r="A132" t="str">
        <f>A$9 * (30.2503604888916 -A$8)</f>
        <v>0</v>
      </c>
      <c r="B132" t="str">
        <f>B$9 * (30.2503604888916 -B$8)</f>
        <v>0</v>
      </c>
      <c r="C132" t="str">
        <f>C$9 * (30.2503604888916 -C$8)</f>
        <v>0</v>
      </c>
      <c r="D132" t="str">
        <f>D$9 * (30.2503604888916 -D$8)</f>
        <v>0</v>
      </c>
      <c r="F132" t="str">
        <f>F$9 * (-0.000136041096993722 -F$8)</f>
        <v>0</v>
      </c>
      <c r="G132" t="str">
        <f>G$9 * (-0.3039503991603851 -G$8)</f>
        <v>0</v>
      </c>
      <c r="H132" t="str">
        <f>H$9 * (0.4742138087749481 -H$8)</f>
        <v>0</v>
      </c>
      <c r="I132" t="str">
        <f>I$9 * (2.720000047418125E-8 -I$8)</f>
        <v>0</v>
      </c>
    </row>
    <row r="133" spans="1:11">
      <c r="A133" t="str">
        <f>A$9 * (30.50030517578125 -A$8)</f>
        <v>0</v>
      </c>
      <c r="B133" t="str">
        <f>B$9 * (30.50030517578125 -B$8)</f>
        <v>0</v>
      </c>
      <c r="C133" t="str">
        <f>C$9 * (30.50030517578125 -C$8)</f>
        <v>0</v>
      </c>
      <c r="D133" t="str">
        <f>D$9 * (30.50030517578125 -D$8)</f>
        <v>0</v>
      </c>
      <c r="F133" t="str">
        <f>F$9 * (-0.002441629068925977 -F$8)</f>
        <v>0</v>
      </c>
      <c r="G133" t="str">
        <f>G$9 * (-1.26535701751709 -G$8)</f>
        <v>0</v>
      </c>
      <c r="H133" t="str">
        <f>H$9 * (-0.8062081933021545 -H$8)</f>
        <v>0</v>
      </c>
      <c r="I133" t="str">
        <f>I$9 * (2.503639916540124E-5 -I$8)</f>
        <v>0</v>
      </c>
    </row>
    <row r="134" spans="1:11">
      <c r="A134" t="str">
        <f>A$9 * (30.75008392333984 -A$8)</f>
        <v>0</v>
      </c>
      <c r="B134" t="str">
        <f>B$9 * (30.75008392333984 -B$8)</f>
        <v>0</v>
      </c>
      <c r="C134" t="str">
        <f>C$9 * (30.75008392333984 -C$8)</f>
        <v>0</v>
      </c>
      <c r="D134" t="str">
        <f>D$9 * (30.75008392333984 -D$8)</f>
        <v>0</v>
      </c>
      <c r="F134" t="str">
        <f>F$9 * (-0.0008275563013739884 -F$8)</f>
        <v>0</v>
      </c>
      <c r="G134" t="str">
        <f>G$9 * (-1.376392960548401 -G$8)</f>
        <v>0</v>
      </c>
      <c r="H134" t="str">
        <f>H$9 * (1.432999968528748 -H$8)</f>
        <v>0</v>
      </c>
      <c r="I134" t="str">
        <f>I$9 * (1.965999985031885E-7 -I$8)</f>
        <v>0</v>
      </c>
    </row>
    <row r="135" spans="1:11">
      <c r="A135" t="str">
        <f>A$9 * (31.00077819824219 -A$8)</f>
        <v>0</v>
      </c>
      <c r="B135" t="str">
        <f>B$9 * (31.00077819824219 -B$8)</f>
        <v>0</v>
      </c>
      <c r="C135" t="str">
        <f>C$9 * (31.00077819824219 -C$8)</f>
        <v>0</v>
      </c>
      <c r="D135" t="str">
        <f>D$9 * (31.00077819824219 -D$8)</f>
        <v>0</v>
      </c>
      <c r="F135" t="str">
        <f>F$9 * (-0.001101635047234595 -F$8)</f>
        <v>0</v>
      </c>
      <c r="G135" t="str">
        <f>G$9 * (-0.3267253935337067 -G$8)</f>
        <v>0</v>
      </c>
      <c r="H135" t="str">
        <f>H$9 * (-0.380022794008255 -H$8)</f>
        <v>0</v>
      </c>
      <c r="I135" t="str">
        <f>I$9 * (2.420000022596014E-8 -I$8)</f>
        <v>0</v>
      </c>
    </row>
    <row r="136" spans="1:11">
      <c r="A136" t="str">
        <f>A$9 * (31.2504997253418 -A$8)</f>
        <v>0</v>
      </c>
      <c r="B136" t="str">
        <f>B$9 * (31.2504997253418 -B$8)</f>
        <v>0</v>
      </c>
      <c r="C136" t="str">
        <f>C$9 * (31.2504997253418 -C$8)</f>
        <v>0</v>
      </c>
      <c r="D136" t="str">
        <f>D$9 * (31.2504997253418 -D$8)</f>
        <v>0</v>
      </c>
      <c r="F136" t="str">
        <f>F$9 * (0.001896528992801905 -F$8)</f>
        <v>0</v>
      </c>
      <c r="G136" t="str">
        <f>G$9 * (0.0820646733045578 -G$8)</f>
        <v>0</v>
      </c>
      <c r="H136" t="str">
        <f>H$9 * (13.14148044586182 -H$8)</f>
        <v>0</v>
      </c>
      <c r="I136" t="str">
        <f>I$9 * (0.02281761914491653 -I$8)</f>
        <v>0</v>
      </c>
    </row>
    <row r="137" spans="1:11">
      <c r="A137" t="str">
        <f>A$9 * (31.50055503845215 -A$8)</f>
        <v>0</v>
      </c>
      <c r="B137" t="str">
        <f>B$9 * (31.50055503845215 -B$8)</f>
        <v>0</v>
      </c>
      <c r="C137" t="str">
        <f>C$9 * (31.50055503845215 -C$8)</f>
        <v>0</v>
      </c>
      <c r="D137" t="str">
        <f>D$9 * (31.50055503845215 -D$8)</f>
        <v>0</v>
      </c>
      <c r="F137" t="str">
        <f>F$9 * (-0.0002334626042284071 -F$8)</f>
        <v>0</v>
      </c>
      <c r="G137" t="str">
        <f>G$9 * (-0.5647140741348267 -G$8)</f>
        <v>0</v>
      </c>
      <c r="H137" t="str">
        <f>H$9 * (0.23835089802742 -H$8)</f>
        <v>0</v>
      </c>
      <c r="I137" t="str">
        <f>I$9 * (2.370000018458995E-8 -I$8)</f>
        <v>0</v>
      </c>
    </row>
    <row r="138" spans="1:11">
      <c r="A138" t="str">
        <f>A$9 * (31.75041580200195 -A$8)</f>
        <v>0</v>
      </c>
      <c r="B138" t="str">
        <f>B$9 * (31.75041580200195 -B$8)</f>
        <v>0</v>
      </c>
      <c r="C138" t="str">
        <f>C$9 * (31.75041580200195 -C$8)</f>
        <v>0</v>
      </c>
      <c r="D138" t="str">
        <f>D$9 * (31.75041580200195 -D$8)</f>
        <v>0</v>
      </c>
      <c r="F138" t="str">
        <f>F$9 * (-0.0006103228079155087 -F$8)</f>
        <v>0</v>
      </c>
      <c r="G138" t="str">
        <f>G$9 * (-0.6111716032028198 -G$8)</f>
        <v>0</v>
      </c>
      <c r="H138" t="str">
        <f>H$9 * (0.1190242990851402 -H$8)</f>
        <v>0</v>
      </c>
      <c r="I138" t="str">
        <f>I$9 * (3.590000119402248E-8 -I$8)</f>
        <v>0</v>
      </c>
    </row>
    <row r="139" spans="1:11">
      <c r="A139" t="str">
        <f>A$9 * (32.00055694580078 -A$8)</f>
        <v>0</v>
      </c>
      <c r="B139" t="str">
        <f>B$9 * (32.00055694580078 -B$8)</f>
        <v>0</v>
      </c>
      <c r="C139" t="str">
        <f>C$9 * (32.00055694580078 -C$8)</f>
        <v>0</v>
      </c>
      <c r="D139" t="str">
        <f>D$9 * (32.00055694580078 -D$8)</f>
        <v>0</v>
      </c>
      <c r="F139" t="str">
        <f>F$9 * (0.07776656001806259 -F$8)</f>
        <v>0</v>
      </c>
      <c r="G139" t="str">
        <f>G$9 * (3.417097091674805 -G$8)</f>
        <v>0</v>
      </c>
      <c r="H139" t="str">
        <f>H$9 * (3.584784984588623 -H$8)</f>
        <v>0</v>
      </c>
      <c r="I139" t="str">
        <f>I$9 * (0.04166524112224579 -I$8)</f>
        <v>0</v>
      </c>
    </row>
    <row r="140" spans="1:11">
      <c r="A140" t="str">
        <f>A$9 * (32.25002670288086 -A$8)</f>
        <v>0</v>
      </c>
      <c r="B140" t="str">
        <f>B$9 * (32.25002670288086 -B$8)</f>
        <v>0</v>
      </c>
      <c r="C140" t="str">
        <f>C$9 * (32.25002670288086 -C$8)</f>
        <v>0</v>
      </c>
      <c r="D140" t="str">
        <f>D$9 * (32.25002670288086 -D$8)</f>
        <v>0</v>
      </c>
      <c r="F140" t="str">
        <f>F$9 * (0.01432835031300783 -F$8)</f>
        <v>0</v>
      </c>
      <c r="G140" t="str">
        <f>G$9 * (8.217825889587402 -G$8)</f>
        <v>0</v>
      </c>
      <c r="H140" t="str">
        <f>H$9 * (14.77902030944824 -H$8)</f>
        <v>0</v>
      </c>
      <c r="I140" t="str">
        <f>I$9 * (0.05588030070066452 -I$8)</f>
        <v>0</v>
      </c>
    </row>
    <row r="141" spans="1:11">
      <c r="A141" t="str">
        <f>A$9 * (32.50025177001953 -A$8)</f>
        <v>0</v>
      </c>
      <c r="B141" t="str">
        <f>B$9 * (32.50025177001953 -B$8)</f>
        <v>0</v>
      </c>
      <c r="C141" t="str">
        <f>C$9 * (32.50025177001953 -C$8)</f>
        <v>0</v>
      </c>
      <c r="D141" t="str">
        <f>D$9 * (32.50025177001953 -D$8)</f>
        <v>0</v>
      </c>
      <c r="F141" t="str">
        <f>F$9 * (0.01787888072431087 -F$8)</f>
        <v>0</v>
      </c>
      <c r="G141" t="str">
        <f>G$9 * (9.682315826416016 -G$8)</f>
        <v>0</v>
      </c>
      <c r="H141" t="str">
        <f>H$9 * (15.63784027099609 -H$8)</f>
        <v>0</v>
      </c>
      <c r="I141" t="str">
        <f>I$9 * (0.07307916879653931 -I$8)</f>
        <v>0</v>
      </c>
    </row>
    <row r="142" spans="1:11">
      <c r="A142" t="str">
        <f>A$9 * (32.75008392333984 -A$8)</f>
        <v>0</v>
      </c>
      <c r="B142" t="str">
        <f>B$9 * (32.75008392333984 -B$8)</f>
        <v>0</v>
      </c>
      <c r="C142" t="str">
        <f>C$9 * (32.75008392333984 -C$8)</f>
        <v>0</v>
      </c>
      <c r="D142" t="str">
        <f>D$9 * (32.75008392333984 -D$8)</f>
        <v>0</v>
      </c>
      <c r="F142" t="str">
        <f>F$9 * (0.005877336952835321 -F$8)</f>
        <v>0</v>
      </c>
      <c r="G142" t="str">
        <f>G$9 * (3.798551082611084 -G$8)</f>
        <v>0</v>
      </c>
      <c r="H142" t="str">
        <f>H$9 * (10.98641014099121 -H$8)</f>
        <v>0</v>
      </c>
      <c r="I142" t="str">
        <f>I$9 * (0.02267603017389774 -I$8)</f>
        <v>0</v>
      </c>
    </row>
    <row r="143" spans="1:11">
      <c r="A143" t="str">
        <f>A$9 * (33.0001106262207 -A$8)</f>
        <v>0</v>
      </c>
      <c r="B143" t="str">
        <f>B$9 * (33.0001106262207 -B$8)</f>
        <v>0</v>
      </c>
      <c r="C143" t="str">
        <f>C$9 * (33.0001106262207 -C$8)</f>
        <v>0</v>
      </c>
      <c r="D143" t="str">
        <f>D$9 * (33.0001106262207 -D$8)</f>
        <v>0</v>
      </c>
      <c r="F143" t="str">
        <f>F$9 * (0.006663036067038774 -F$8)</f>
        <v>0</v>
      </c>
      <c r="G143" t="str">
        <f>G$9 * (2.935137987136841 -G$8)</f>
        <v>0</v>
      </c>
      <c r="H143" t="str">
        <f>H$9 * (7.491486072540283 -H$8)</f>
        <v>0</v>
      </c>
      <c r="I143" t="str">
        <f>I$9 * (0.01342692039906979 -I$8)</f>
        <v>0</v>
      </c>
    </row>
    <row r="144" spans="1:11">
      <c r="A144" t="str">
        <f>A$9 * (33.25016784667969 -A$8)</f>
        <v>0</v>
      </c>
      <c r="B144" t="str">
        <f>B$9 * (33.25016784667969 -B$8)</f>
        <v>0</v>
      </c>
      <c r="C144" t="str">
        <f>C$9 * (33.25016784667969 -C$8)</f>
        <v>0</v>
      </c>
      <c r="D144" t="str">
        <f>D$9 * (33.25016784667969 -D$8)</f>
        <v>0</v>
      </c>
      <c r="F144" t="str">
        <f>F$9 * (0.004992689937353134 -F$8)</f>
        <v>0</v>
      </c>
      <c r="G144" t="str">
        <f>G$9 * (2.451098918914795 -G$8)</f>
        <v>0</v>
      </c>
      <c r="H144" t="str">
        <f>H$9 * (7.727922916412354 -H$8)</f>
        <v>0</v>
      </c>
      <c r="I144" t="str">
        <f>I$9 * (0.01196974981576204 -I$8)</f>
        <v>0</v>
      </c>
    </row>
    <row r="145" spans="1:11">
      <c r="A145" t="str">
        <f>A$9 * (33.50027847290039 -A$8)</f>
        <v>0</v>
      </c>
      <c r="B145" t="str">
        <f>B$9 * (33.50027847290039 -B$8)</f>
        <v>0</v>
      </c>
      <c r="C145" t="str">
        <f>C$9 * (33.50027847290039 -C$8)</f>
        <v>0</v>
      </c>
      <c r="D145" t="str">
        <f>D$9 * (33.50027847290039 -D$8)</f>
        <v>0</v>
      </c>
      <c r="F145" t="str">
        <f>F$9 * (0.004579352214932442 -F$8)</f>
        <v>0</v>
      </c>
      <c r="G145" t="str">
        <f>G$9 * (2.161504983901978 -G$8)</f>
        <v>0</v>
      </c>
      <c r="H145" t="str">
        <f>H$9 * (7.244377136230469 -H$8)</f>
        <v>0</v>
      </c>
      <c r="I145" t="str">
        <f>I$9 * (0.01034993026405573 -I$8)</f>
        <v>0</v>
      </c>
    </row>
    <row r="146" spans="1:11">
      <c r="A146" t="str">
        <f>A$9 * (33.75019454956055 -A$8)</f>
        <v>0</v>
      </c>
      <c r="B146" t="str">
        <f>B$9 * (33.75019454956055 -B$8)</f>
        <v>0</v>
      </c>
      <c r="C146" t="str">
        <f>C$9 * (33.75019454956055 -C$8)</f>
        <v>0</v>
      </c>
      <c r="D146" t="str">
        <f>D$9 * (33.75019454956055 -D$8)</f>
        <v>0</v>
      </c>
      <c r="F146" t="str">
        <f>F$9 * (0.007834414020180702 -F$8)</f>
        <v>0</v>
      </c>
      <c r="G146" t="str">
        <f>G$9 * (2.381541013717651 -G$8)</f>
        <v>0</v>
      </c>
      <c r="H146" t="str">
        <f>H$9 * (5.322825908660889 -H$8)</f>
        <v>0</v>
      </c>
      <c r="I146" t="str">
        <f>I$9 * (4.917000069326605E-7 -I$8)</f>
        <v>0</v>
      </c>
    </row>
    <row r="147" spans="1:11">
      <c r="A147" t="str">
        <f>A$9 * (34.00008392333984 -A$8)</f>
        <v>0</v>
      </c>
      <c r="B147" t="str">
        <f>B$9 * (34.00008392333984 -B$8)</f>
        <v>0</v>
      </c>
      <c r="C147" t="str">
        <f>C$9 * (34.00008392333984 -C$8)</f>
        <v>0</v>
      </c>
      <c r="D147" t="str">
        <f>D$9 * (34.00008392333984 -D$8)</f>
        <v>0</v>
      </c>
      <c r="F147" t="str">
        <f>F$9 * (0.00675662700086832 -F$8)</f>
        <v>0</v>
      </c>
      <c r="G147" t="str">
        <f>G$9 * (3.112237930297852 -G$8)</f>
        <v>0</v>
      </c>
      <c r="H147" t="str">
        <f>H$9 * (7.860682010650635 -H$8)</f>
        <v>0</v>
      </c>
      <c r="I147" t="str">
        <f>I$9 * (0.01450079027563334 -I$8)</f>
        <v>0</v>
      </c>
    </row>
    <row r="148" spans="1:11">
      <c r="A148" t="str">
        <f>A$9 * (34.25033187866211 -A$8)</f>
        <v>0</v>
      </c>
      <c r="B148" t="str">
        <f>B$9 * (34.25033187866211 -B$8)</f>
        <v>0</v>
      </c>
      <c r="C148" t="str">
        <f>C$9 * (34.25033187866211 -C$8)</f>
        <v>0</v>
      </c>
      <c r="D148" t="str">
        <f>D$9 * (34.25033187866211 -D$8)</f>
        <v>0</v>
      </c>
      <c r="F148" t="str">
        <f>F$9 * (0.006407833192497492 -F$8)</f>
        <v>0</v>
      </c>
      <c r="G148" t="str">
        <f>G$9 * (2.586997985839844 -G$8)</f>
        <v>0</v>
      </c>
      <c r="H148" t="str">
        <f>H$9 * (6.68642520904541 -H$8)</f>
        <v>0</v>
      </c>
      <c r="I148" t="str">
        <f>I$9 * (0.01108631957322359 -I$8)</f>
        <v>0</v>
      </c>
    </row>
    <row r="149" spans="1:11">
      <c r="A149" t="str">
        <f>A$9 * (34.50030517578125 -A$8)</f>
        <v>0</v>
      </c>
      <c r="B149" t="str">
        <f>B$9 * (34.50030517578125 -B$8)</f>
        <v>0</v>
      </c>
      <c r="C149" t="str">
        <f>C$9 * (34.50030517578125 -C$8)</f>
        <v>0</v>
      </c>
      <c r="D149" t="str">
        <f>D$9 * (34.50030517578125 -D$8)</f>
        <v>0</v>
      </c>
      <c r="F149" t="str">
        <f>F$9 * (-0.000984277343377471 -F$8)</f>
        <v>0</v>
      </c>
      <c r="G149" t="str">
        <f>G$9 * (-0.1803065985441208 -G$8)</f>
        <v>0</v>
      </c>
      <c r="H149" t="str">
        <f>H$9 * (1.593839049339294 -H$8)</f>
        <v>0</v>
      </c>
      <c r="I149" t="str">
        <f>I$9 * (3.699999950868005E-8 -I$8)</f>
        <v>0</v>
      </c>
    </row>
    <row r="150" spans="1:11">
      <c r="A150" t="str">
        <f>A$9 * (34.7501106262207 -A$8)</f>
        <v>0</v>
      </c>
      <c r="B150" t="str">
        <f>B$9 * (34.7501106262207 -B$8)</f>
        <v>0</v>
      </c>
      <c r="C150" t="str">
        <f>C$9 * (34.7501106262207 -C$8)</f>
        <v>0</v>
      </c>
      <c r="D150" t="str">
        <f>D$9 * (34.7501106262207 -D$8)</f>
        <v>0</v>
      </c>
      <c r="F150" t="str">
        <f>F$9 * (-0.0008064340217970312 -F$8)</f>
        <v>0</v>
      </c>
      <c r="G150" t="str">
        <f>G$9 * (-1.302248001098633 -G$8)</f>
        <v>0</v>
      </c>
      <c r="H150" t="str">
        <f>H$9 * (0.6716617941856384 -H$8)</f>
        <v>0</v>
      </c>
      <c r="I150" t="str">
        <f>I$9 * (2.114999944069496E-7 -I$8)</f>
        <v>0</v>
      </c>
    </row>
    <row r="151" spans="1:11">
      <c r="A151" t="str">
        <f>A$9 * (35.00008392333984 -A$8)</f>
        <v>0</v>
      </c>
      <c r="B151" t="str">
        <f>B$9 * (35.00008392333984 -B$8)</f>
        <v>0</v>
      </c>
      <c r="C151" t="str">
        <f>C$9 * (35.00008392333984 -C$8)</f>
        <v>0</v>
      </c>
      <c r="D151" t="str">
        <f>D$9 * (35.00008392333984 -D$8)</f>
        <v>0</v>
      </c>
      <c r="F151" t="str">
        <f>F$9 * (-0.001010493026115 -F$8)</f>
        <v>0</v>
      </c>
      <c r="G151" t="str">
        <f>G$9 * (-0.278380811214447 -G$8)</f>
        <v>0</v>
      </c>
      <c r="H151" t="str">
        <f>H$9 * (-0.1463524997234344 -H$8)</f>
        <v>0</v>
      </c>
      <c r="I151" t="str">
        <f>I$9 * (1.739999966332562E-8 -I$8)</f>
        <v>0</v>
      </c>
    </row>
    <row r="152" spans="1:11">
      <c r="A152" t="str">
        <f>A$9 * (35.25 -A$8)</f>
        <v>0</v>
      </c>
      <c r="B152" t="str">
        <f>B$9 * (35.25 -B$8)</f>
        <v>0</v>
      </c>
      <c r="C152" t="str">
        <f>C$9 * (35.25 -C$8)</f>
        <v>0</v>
      </c>
      <c r="D152" t="str">
        <f>D$9 * (35.25 -D$8)</f>
        <v>0</v>
      </c>
      <c r="F152" t="str">
        <f>F$9 * (0.001179674989543855 -F$8)</f>
        <v>0</v>
      </c>
      <c r="G152" t="str">
        <f>G$9 * (0.08601949363946915 -G$8)</f>
        <v>0</v>
      </c>
      <c r="H152" t="str">
        <f>H$9 * (13.95722007751465 -H$8)</f>
        <v>0</v>
      </c>
      <c r="I152" t="str">
        <f>I$9 * (0.02376865036785603 -I$8)</f>
        <v>0</v>
      </c>
    </row>
    <row r="153" spans="1:11">
      <c r="A153" t="str">
        <f>A$9 * (35.5006103515625 -A$8)</f>
        <v>0</v>
      </c>
      <c r="B153" t="str">
        <f>B$9 * (35.5006103515625 -B$8)</f>
        <v>0</v>
      </c>
      <c r="C153" t="str">
        <f>C$9 * (35.5006103515625 -C$8)</f>
        <v>0</v>
      </c>
      <c r="D153" t="str">
        <f>D$9 * (35.5006103515625 -D$8)</f>
        <v>0</v>
      </c>
      <c r="F153" t="str">
        <f>F$9 * (-0.001302817021496594 -F$8)</f>
        <v>0</v>
      </c>
      <c r="G153" t="str">
        <f>G$9 * (-0.5330932140350342 -G$8)</f>
        <v>0</v>
      </c>
      <c r="H153" t="str">
        <f>H$9 * (-0.3926098942756653 -H$8)</f>
        <v>0</v>
      </c>
      <c r="I153" t="str">
        <f>I$9 * (0.002712534973397851 -I$8)</f>
        <v>0</v>
      </c>
    </row>
    <row r="154" spans="1:11">
      <c r="A154" t="str">
        <f>A$9 * (35.7506103515625 -A$8)</f>
        <v>0</v>
      </c>
      <c r="B154" t="str">
        <f>B$9 * (35.7506103515625 -B$8)</f>
        <v>0</v>
      </c>
      <c r="C154" t="str">
        <f>C$9 * (35.7506103515625 -C$8)</f>
        <v>0</v>
      </c>
      <c r="D154" t="str">
        <f>D$9 * (35.7506103515625 -D$8)</f>
        <v>0</v>
      </c>
      <c r="F154" t="str">
        <f>F$9 * (-0.00318220304325223 -F$8)</f>
        <v>0</v>
      </c>
      <c r="G154" t="str">
        <f>G$9 * (-0.1496533006429672 -G$8)</f>
        <v>0</v>
      </c>
      <c r="H154" t="str">
        <f>H$9 * (-1.971794009208679 -H$8)</f>
        <v>0</v>
      </c>
      <c r="I154" t="str">
        <f>I$9 * (9.349999885444049E-8 -I$8)</f>
        <v>0</v>
      </c>
    </row>
    <row r="155" spans="1:11">
      <c r="A155" t="str">
        <f>A$9 * (36.00033187866211 -A$8)</f>
        <v>0</v>
      </c>
      <c r="B155" t="str">
        <f>B$9 * (36.00033187866211 -B$8)</f>
        <v>0</v>
      </c>
      <c r="C155" t="str">
        <f>C$9 * (36.00033187866211 -C$8)</f>
        <v>0</v>
      </c>
      <c r="D155" t="str">
        <f>D$9 * (36.00033187866211 -D$8)</f>
        <v>0</v>
      </c>
      <c r="F155" t="str">
        <f>F$9 * (-0.001512835035100579 -F$8)</f>
        <v>0</v>
      </c>
      <c r="G155" t="str">
        <f>G$9 * (-0.5497285127639771 -G$8)</f>
        <v>0</v>
      </c>
      <c r="H155" t="str">
        <f>H$9 * (-0.4287334978580475 -H$8)</f>
        <v>0</v>
      </c>
      <c r="I155" t="str">
        <f>I$9 * (3.199999909497819E-8 -I$8)</f>
        <v>0</v>
      </c>
    </row>
    <row r="156" spans="1:11">
      <c r="A156" t="str">
        <f>A$9 * (36.25091552734375 -A$8)</f>
        <v>0</v>
      </c>
      <c r="B156" t="str">
        <f>B$9 * (36.25091552734375 -B$8)</f>
        <v>0</v>
      </c>
      <c r="C156" t="str">
        <f>C$9 * (36.25091552734375 -C$8)</f>
        <v>0</v>
      </c>
      <c r="D156" t="str">
        <f>D$9 * (36.25091552734375 -D$8)</f>
        <v>0</v>
      </c>
      <c r="F156" t="str">
        <f>F$9 * (0.1204473003745079 -F$8)</f>
        <v>0</v>
      </c>
      <c r="G156" t="str">
        <f>G$9 * (8.08672046661377 -G$8)</f>
        <v>0</v>
      </c>
      <c r="H156" t="str">
        <f>H$9 * (8.363768577575684 -H$8)</f>
        <v>0</v>
      </c>
      <c r="I156" t="str">
        <f>I$9 * (0.1755156964063644 -I$8)</f>
        <v>0</v>
      </c>
    </row>
    <row r="157" spans="1:11">
      <c r="A157" t="str">
        <f>A$9 * (36.50027847290039 -A$8)</f>
        <v>0</v>
      </c>
      <c r="B157" t="str">
        <f>B$9 * (36.50027847290039 -B$8)</f>
        <v>0</v>
      </c>
      <c r="C157" t="str">
        <f>C$9 * (36.50027847290039 -C$8)</f>
        <v>0</v>
      </c>
      <c r="D157" t="str">
        <f>D$9 * (36.50027847290039 -D$8)</f>
        <v>0</v>
      </c>
      <c r="F157" t="str">
        <f>F$9 * (0.02878919988870621 -F$8)</f>
        <v>0</v>
      </c>
      <c r="G157" t="str">
        <f>G$9 * (4.948548793792725 -G$8)</f>
        <v>0</v>
      </c>
      <c r="H157" t="str">
        <f>H$9 * (5.701727867126465 -H$8)</f>
        <v>0</v>
      </c>
      <c r="I157" t="str">
        <f>I$9 * (0.03035775013267994 -I$8)</f>
        <v>0</v>
      </c>
    </row>
    <row r="158" spans="1:11">
      <c r="A158" t="str">
        <f>A$9 * (36.75002670288086 -A$8)</f>
        <v>0</v>
      </c>
      <c r="B158" t="str">
        <f>B$9 * (36.75002670288086 -B$8)</f>
        <v>0</v>
      </c>
      <c r="C158" t="str">
        <f>C$9 * (36.75002670288086 -C$8)</f>
        <v>0</v>
      </c>
      <c r="D158" t="str">
        <f>D$9 * (36.75002670288086 -D$8)</f>
        <v>0</v>
      </c>
      <c r="F158" t="str">
        <f>F$9 * (0.01581845991313457 -F$8)</f>
        <v>0</v>
      </c>
      <c r="G158" t="str">
        <f>G$9 * (9.171054840087891 -G$8)</f>
        <v>0</v>
      </c>
      <c r="H158" t="str">
        <f>H$9 * (15.97914028167725 -H$8)</f>
        <v>0</v>
      </c>
      <c r="I158" t="str">
        <f>I$9 * (0.06965786218643188 -I$8)</f>
        <v>0</v>
      </c>
    </row>
    <row r="159" spans="1:11">
      <c r="A159" t="str">
        <f>A$9 * (37.00016784667969 -A$8)</f>
        <v>0</v>
      </c>
      <c r="B159" t="str">
        <f>B$9 * (37.00016784667969 -B$8)</f>
        <v>0</v>
      </c>
      <c r="C159" t="str">
        <f>C$9 * (37.00016784667969 -C$8)</f>
        <v>0</v>
      </c>
      <c r="D159" t="str">
        <f>D$9 * (37.00016784667969 -D$8)</f>
        <v>0</v>
      </c>
      <c r="F159" t="str">
        <f>F$9 * (0.00603721896186471 -F$8)</f>
        <v>0</v>
      </c>
      <c r="G159" t="str">
        <f>G$9 * (3.539472103118896 -G$8)</f>
        <v>0</v>
      </c>
      <c r="H159" t="str">
        <f>H$9 * (9.951997756958008 -H$8)</f>
        <v>0</v>
      </c>
      <c r="I159" t="str">
        <f>I$9 * (0.01965734921395779 -I$8)</f>
        <v>0</v>
      </c>
    </row>
    <row r="160" spans="1:11">
      <c r="A160" t="str">
        <f>A$9 * (37.25005722045898 -A$8)</f>
        <v>0</v>
      </c>
      <c r="B160" t="str">
        <f>B$9 * (37.25005722045898 -B$8)</f>
        <v>0</v>
      </c>
      <c r="C160" t="str">
        <f>C$9 * (37.25005722045898 -C$8)</f>
        <v>0</v>
      </c>
      <c r="D160" t="str">
        <f>D$9 * (37.25005722045898 -D$8)</f>
        <v>0</v>
      </c>
      <c r="F160" t="str">
        <f>F$9 * (0.006850983947515488 -F$8)</f>
        <v>0</v>
      </c>
      <c r="G160" t="str">
        <f>G$9 * (3.312546968460083 -G$8)</f>
        <v>0</v>
      </c>
      <c r="H160" t="str">
        <f>H$9 * (8.362836837768555 -H$8)</f>
        <v>0</v>
      </c>
      <c r="I160" t="str">
        <f>I$9 * (0.0160924606025219 -I$8)</f>
        <v>0</v>
      </c>
    </row>
    <row r="161" spans="1:11">
      <c r="A161" t="str">
        <f>A$9 * (37.50016784667969 -A$8)</f>
        <v>0</v>
      </c>
      <c r="B161" t="str">
        <f>B$9 * (37.50016784667969 -B$8)</f>
        <v>0</v>
      </c>
      <c r="C161" t="str">
        <f>C$9 * (37.50016784667969 -C$8)</f>
        <v>0</v>
      </c>
      <c r="D161" t="str">
        <f>D$9 * (37.50016784667969 -D$8)</f>
        <v>0</v>
      </c>
      <c r="F161" t="str">
        <f>F$9 * (0.004727716092020273 -F$8)</f>
        <v>0</v>
      </c>
      <c r="G161" t="str">
        <f>G$9 * (2.378598928451538 -G$8)</f>
        <v>0</v>
      </c>
      <c r="H161" t="str">
        <f>H$9 * (7.839733123779297 -H$8)</f>
        <v>0</v>
      </c>
      <c r="I161" t="str">
        <f>I$9 * (0.01191749982535839 -I$8)</f>
        <v>0</v>
      </c>
    </row>
    <row r="162" spans="1:11">
      <c r="A162" t="str">
        <f>A$9 * (37.75016784667969 -A$8)</f>
        <v>0</v>
      </c>
      <c r="B162" t="str">
        <f>B$9 * (37.75016784667969 -B$8)</f>
        <v>0</v>
      </c>
      <c r="C162" t="str">
        <f>C$9 * (37.75016784667969 -C$8)</f>
        <v>0</v>
      </c>
      <c r="D162" t="str">
        <f>D$9 * (37.75016784667969 -D$8)</f>
        <v>0</v>
      </c>
      <c r="F162" t="str">
        <f>F$9 * (0.003999847918748856 -F$8)</f>
        <v>0</v>
      </c>
      <c r="G162" t="str">
        <f>G$9 * (1.795112013816833 -G$8)</f>
        <v>0</v>
      </c>
      <c r="H162" t="str">
        <f>H$9 * (6.649569988250732 -H$8)</f>
        <v>0</v>
      </c>
      <c r="I162" t="str">
        <f>I$9 * (3.657999911865772E-7 -I$8)</f>
        <v>0</v>
      </c>
    </row>
    <row r="163" spans="1:11">
      <c r="A163" t="str">
        <f>A$9 * (38.00016784667969 -A$8)</f>
        <v>0</v>
      </c>
      <c r="B163" t="str">
        <f>B$9 * (38.00016784667969 -B$8)</f>
        <v>0</v>
      </c>
      <c r="C163" t="str">
        <f>C$9 * (38.00016784667969 -C$8)</f>
        <v>0</v>
      </c>
      <c r="D163" t="str">
        <f>D$9 * (38.00016784667969 -D$8)</f>
        <v>0</v>
      </c>
      <c r="F163" t="str">
        <f>F$9 * (0.0114580299705267 -F$8)</f>
        <v>0</v>
      </c>
      <c r="G163" t="str">
        <f>G$9 * (3.770169973373413 -G$8)</f>
        <v>0</v>
      </c>
      <c r="H163" t="str">
        <f>H$9 * (6.74700403213501 -H$8)</f>
        <v>0</v>
      </c>
      <c r="I163" t="str">
        <f>I$9 * (0.01666802912950516 -I$8)</f>
        <v>0</v>
      </c>
    </row>
    <row r="164" spans="1:11">
      <c r="A164" t="str">
        <f>A$9 * (38.25019454956055 -A$8)</f>
        <v>0</v>
      </c>
      <c r="B164" t="str">
        <f>B$9 * (38.25019454956055 -B$8)</f>
        <v>0</v>
      </c>
      <c r="C164" t="str">
        <f>C$9 * (38.25019454956055 -C$8)</f>
        <v>0</v>
      </c>
      <c r="D164" t="str">
        <f>D$9 * (38.25019454956055 -D$8)</f>
        <v>0</v>
      </c>
      <c r="F164" t="str">
        <f>F$9 * (0.006670469883829355 -F$8)</f>
        <v>0</v>
      </c>
      <c r="G164" t="str">
        <f>G$9 * (2.933767080307007 -G$8)</f>
        <v>0</v>
      </c>
      <c r="H164" t="str">
        <f>H$9 * (7.44291877746582 -H$8)</f>
        <v>0</v>
      </c>
      <c r="I164" t="str">
        <f>I$9 * (0.01325873006135225 -I$8)</f>
        <v>0</v>
      </c>
    </row>
    <row r="165" spans="1:11">
      <c r="A165" t="str">
        <f>A$9 * (38.50019454956055 -A$8)</f>
        <v>0</v>
      </c>
      <c r="B165" t="str">
        <f>B$9 * (38.50019454956055 -B$8)</f>
        <v>0</v>
      </c>
      <c r="C165" t="str">
        <f>C$9 * (38.50019454956055 -C$8)</f>
        <v>0</v>
      </c>
      <c r="D165" t="str">
        <f>D$9 * (38.50019454956055 -D$8)</f>
        <v>0</v>
      </c>
      <c r="F165" t="str">
        <f>F$9 * (0.004623440094292164 -F$8)</f>
        <v>0</v>
      </c>
      <c r="G165" t="str">
        <f>G$9 * (1.378630995750427 -G$8)</f>
        <v>0</v>
      </c>
      <c r="H165" t="str">
        <f>H$9 * (4.443212032318115 -H$8)</f>
        <v>0</v>
      </c>
      <c r="I165" t="str">
        <f>I$9 * (2.121000051147348E-7 -I$8)</f>
        <v>0</v>
      </c>
    </row>
    <row r="166" spans="1:11">
      <c r="A166" t="str">
        <f>A$9 * (38.75033187866211 -A$8)</f>
        <v>0</v>
      </c>
      <c r="B166" t="str">
        <f>B$9 * (38.75033187866211 -B$8)</f>
        <v>0</v>
      </c>
      <c r="C166" t="str">
        <f>C$9 * (38.75033187866211 -C$8)</f>
        <v>0</v>
      </c>
      <c r="D166" t="str">
        <f>D$9 * (38.75033187866211 -D$8)</f>
        <v>0</v>
      </c>
      <c r="F166" t="str">
        <f>F$9 * (0.02006204053759575 -F$8)</f>
        <v>0</v>
      </c>
      <c r="G166" t="str">
        <f>G$9 * (3.577483892440796 -G$8)</f>
        <v>0</v>
      </c>
      <c r="H166" t="str">
        <f>H$9 * (4.707001209259033 -H$8)</f>
        <v>0</v>
      </c>
      <c r="I166" t="str">
        <f>I$9 * (0.01688130013644695 -I$8)</f>
        <v>0</v>
      </c>
    </row>
    <row r="167" spans="1:11">
      <c r="A167" t="str">
        <f>A$9 * (39.00019454956055 -A$8)</f>
        <v>0</v>
      </c>
      <c r="B167" t="str">
        <f>B$9 * (39.00019454956055 -B$8)</f>
        <v>0</v>
      </c>
      <c r="C167" t="str">
        <f>C$9 * (39.00019454956055 -C$8)</f>
        <v>0</v>
      </c>
      <c r="D167" t="str">
        <f>D$9 * (39.00019454956055 -D$8)</f>
        <v>0</v>
      </c>
      <c r="F167" t="str">
        <f>F$9 * (0.004955023061484098 -F$8)</f>
        <v>0</v>
      </c>
      <c r="G167" t="str">
        <f>G$9 * (2.436113119125366 -G$8)</f>
        <v>0</v>
      </c>
      <c r="H167" t="str">
        <f>H$9 * (7.675339221954346 -H$8)</f>
        <v>0</v>
      </c>
      <c r="I167" t="str">
        <f>I$9 * (0.0117688300088048 -I$8)</f>
        <v>0</v>
      </c>
    </row>
    <row r="168" spans="1:11">
      <c r="A168" t="str">
        <f>A$9 * (39.25013732910156 -A$8)</f>
        <v>0</v>
      </c>
      <c r="B168" t="str">
        <f>B$9 * (39.25013732910156 -B$8)</f>
        <v>0</v>
      </c>
      <c r="C168" t="str">
        <f>C$9 * (39.25013732910156 -C$8)</f>
        <v>0</v>
      </c>
      <c r="D168" t="str">
        <f>D$9 * (39.25013732910156 -D$8)</f>
        <v>0</v>
      </c>
      <c r="F168" t="str">
        <f>F$9 * (-0.005030433181673288 -F$8)</f>
        <v>0</v>
      </c>
      <c r="G168" t="str">
        <f>G$9 * (-1.102161049842834 -G$8)</f>
        <v>0</v>
      </c>
      <c r="H168" t="str">
        <f>H$9 * (-4.160728931427002 -H$8)</f>
        <v>0</v>
      </c>
      <c r="I168" t="str">
        <f>I$9 * (0.001306080957874656 -I$8)</f>
        <v>0</v>
      </c>
    </row>
    <row r="169" spans="1:11">
      <c r="A169" t="str">
        <f>A$9 * (39.50025177001953 -A$8)</f>
        <v>0</v>
      </c>
      <c r="B169" t="str">
        <f>B$9 * (39.50025177001953 -B$8)</f>
        <v>0</v>
      </c>
      <c r="C169" t="str">
        <f>C$9 * (39.50025177001953 -C$8)</f>
        <v>0</v>
      </c>
      <c r="D169" t="str">
        <f>D$9 * (39.50025177001953 -D$8)</f>
        <v>0</v>
      </c>
      <c r="F169" t="str">
        <f>F$9 * (-0.0005643307813443244 -F$8)</f>
        <v>0</v>
      </c>
      <c r="G169" t="str">
        <f>G$9 * (-0.6636210083961487 -G$8)</f>
        <v>0</v>
      </c>
      <c r="H169" t="str">
        <f>H$9 * (0.2418082058429718 -H$8)</f>
        <v>0</v>
      </c>
      <c r="I169" t="str">
        <f>I$9 * (1.779000058377278E-7 -I$8)</f>
        <v>0</v>
      </c>
    </row>
    <row r="170" spans="1:11">
      <c r="A170" t="str">
        <f>A$9 * (39.75027847290039 -A$8)</f>
        <v>0</v>
      </c>
      <c r="B170" t="str">
        <f>B$9 * (39.75027847290039 -B$8)</f>
        <v>0</v>
      </c>
      <c r="C170" t="str">
        <f>C$9 * (39.75027847290039 -C$8)</f>
        <v>0</v>
      </c>
      <c r="D170" t="str">
        <f>D$9 * (39.75027847290039 -D$8)</f>
        <v>0</v>
      </c>
      <c r="F170" t="str">
        <f>F$9 * (-0.001412219018675387 -F$8)</f>
        <v>0</v>
      </c>
      <c r="G170" t="str">
        <f>G$9 * (-1.485906004905701 -G$8)</f>
        <v>0</v>
      </c>
      <c r="H170" t="str">
        <f>H$9 * (0.6728867292404175 -H$8)</f>
        <v>0</v>
      </c>
      <c r="I170" t="str">
        <f>I$9 * (2.879000078337413E-7 -I$8)</f>
        <v>0</v>
      </c>
    </row>
    <row r="171" spans="1:11">
      <c r="A171" t="str">
        <f>A$9 * (40.00080490112305 -A$8)</f>
        <v>0</v>
      </c>
      <c r="B171" t="str">
        <f>B$9 * (40.00080490112305 -B$8)</f>
        <v>0</v>
      </c>
      <c r="C171" t="str">
        <f>C$9 * (40.00080490112305 -C$8)</f>
        <v>0</v>
      </c>
      <c r="D171" t="str">
        <f>D$9 * (40.00080490112305 -D$8)</f>
        <v>0</v>
      </c>
      <c r="F171" t="str">
        <f>F$9 * (-0.0003660783986561 -F$8)</f>
        <v>0</v>
      </c>
      <c r="G171" t="str">
        <f>G$9 * (-0.5789321064949036 -G$8)</f>
        <v>0</v>
      </c>
      <c r="H171" t="str">
        <f>H$9 * (0.3445138931274414 -H$8)</f>
        <v>0</v>
      </c>
      <c r="I171" t="str">
        <f>I$9 * (4.74999986010971E-8 -I$8)</f>
        <v>0</v>
      </c>
    </row>
    <row r="172" spans="1:11">
      <c r="A172" t="str">
        <f>A$9 * (40.25005722045898 -A$8)</f>
        <v>0</v>
      </c>
      <c r="B172" t="str">
        <f>B$9 * (40.25005722045898 -B$8)</f>
        <v>0</v>
      </c>
      <c r="C172" t="str">
        <f>C$9 * (40.25005722045898 -C$8)</f>
        <v>0</v>
      </c>
      <c r="D172" t="str">
        <f>D$9 * (40.25005722045898 -D$8)</f>
        <v>0</v>
      </c>
      <c r="F172" t="str">
        <f>F$9 * (0.002575920894742012 -F$8)</f>
        <v>0</v>
      </c>
      <c r="G172" t="str">
        <f>G$9 * (0.2014182060956955 -G$8)</f>
        <v>0</v>
      </c>
      <c r="H172" t="str">
        <f>H$9 * (34.14519119262695 -H$8)</f>
        <v>0</v>
      </c>
      <c r="I172" t="str">
        <f>I$9 * (0.1581602990627289 -I$8)</f>
        <v>0</v>
      </c>
    </row>
    <row r="173" spans="1:11">
      <c r="A173" t="str">
        <f>A$9 * (40.50063705444336 -A$8)</f>
        <v>0</v>
      </c>
      <c r="B173" t="str">
        <f>B$9 * (40.50063705444336 -B$8)</f>
        <v>0</v>
      </c>
      <c r="C173" t="str">
        <f>C$9 * (40.50063705444336 -C$8)</f>
        <v>0</v>
      </c>
      <c r="D173" t="str">
        <f>D$9 * (40.50063705444336 -D$8)</f>
        <v>0</v>
      </c>
      <c r="F173" t="str">
        <f>F$9 * (-7.046289829304442E-5 -F$8)</f>
        <v>0</v>
      </c>
      <c r="G173" t="str">
        <f>G$9 * (-4.592625141143799 -G$8)</f>
        <v>0</v>
      </c>
      <c r="H173" t="str">
        <f>H$9 * (2.008632898330688 -H$8)</f>
        <v>0</v>
      </c>
      <c r="I173" t="str">
        <f>I$9 * (3.424999874823698E-7 -I$8)</f>
        <v>0</v>
      </c>
    </row>
    <row r="174" spans="1:11">
      <c r="A174" t="str">
        <f>A$9 * (40.75005722045898 -A$8)</f>
        <v>0</v>
      </c>
      <c r="B174" t="str">
        <f>B$9 * (40.75005722045898 -B$8)</f>
        <v>0</v>
      </c>
      <c r="C174" t="str">
        <f>C$9 * (40.75005722045898 -C$8)</f>
        <v>0</v>
      </c>
      <c r="D174" t="str">
        <f>D$9 * (40.75005722045898 -D$8)</f>
        <v>0</v>
      </c>
      <c r="F174" t="str">
        <f>F$9 * (-0.0004491530999075621 -F$8)</f>
        <v>0</v>
      </c>
      <c r="G174" t="str">
        <f>G$9 * (-0.6029860973358154 -G$8)</f>
        <v>0</v>
      </c>
      <c r="H174" t="str">
        <f>H$9 * (0.1218722984194756 -H$8)</f>
        <v>0</v>
      </c>
      <c r="I174" t="str">
        <f>I$9 * (1.659999959713332E-8 -I$8)</f>
        <v>0</v>
      </c>
    </row>
    <row r="175" spans="1:11">
      <c r="A175" t="str">
        <f>A$9 * (41.00022125244141 -A$8)</f>
        <v>0</v>
      </c>
      <c r="B175" t="str">
        <f>B$9 * (41.00022125244141 -B$8)</f>
        <v>0</v>
      </c>
      <c r="C175" t="str">
        <f>C$9 * (41.00022125244141 -C$8)</f>
        <v>0</v>
      </c>
      <c r="D175" t="str">
        <f>D$9 * (41.00022125244141 -D$8)</f>
        <v>0</v>
      </c>
      <c r="F175" t="str">
        <f>F$9 * (0.007137157022953033 -F$8)</f>
        <v>0</v>
      </c>
      <c r="G175" t="str">
        <f>G$9 * (0.2545813918113708 -G$8)</f>
        <v>0</v>
      </c>
      <c r="H175" t="str">
        <f>H$9 * (0.3807525038719177 -H$8)</f>
        <v>0</v>
      </c>
      <c r="I175" t="str">
        <f>I$9 * (2.790000053209951E-8 -I$8)</f>
        <v>0</v>
      </c>
    </row>
    <row r="176" spans="1:11">
      <c r="A176" t="str">
        <f>A$9 * (41.25019454956055 -A$8)</f>
        <v>0</v>
      </c>
      <c r="B176" t="str">
        <f>B$9 * (41.25019454956055 -B$8)</f>
        <v>0</v>
      </c>
      <c r="C176" t="str">
        <f>C$9 * (41.25019454956055 -C$8)</f>
        <v>0</v>
      </c>
      <c r="D176" t="str">
        <f>D$9 * (41.25019454956055 -D$8)</f>
        <v>0</v>
      </c>
      <c r="F176" t="str">
        <f>F$9 * (0.005596565082669258 -F$8)</f>
        <v>0</v>
      </c>
      <c r="G176" t="str">
        <f>G$9 * (1.925376057624817 -G$8)</f>
        <v>0</v>
      </c>
      <c r="H176" t="str">
        <f>H$9 * (11.50529956817627 -H$8)</f>
        <v>0</v>
      </c>
      <c r="I176" t="str">
        <f>I$9 * (0.02453845925629139 -I$8)</f>
        <v>0</v>
      </c>
    </row>
    <row r="177" spans="1:11">
      <c r="A177" t="str">
        <f>A$9 * (41.50008392333984 -A$8)</f>
        <v>0</v>
      </c>
      <c r="B177" t="str">
        <f>B$9 * (41.50008392333984 -B$8)</f>
        <v>0</v>
      </c>
      <c r="C177" t="str">
        <f>C$9 * (41.50008392333984 -C$8)</f>
        <v>0</v>
      </c>
      <c r="D177" t="str">
        <f>D$9 * (41.50008392333984 -D$8)</f>
        <v>0</v>
      </c>
      <c r="F177" t="str">
        <f>F$9 * (0.01974860019981861 -F$8)</f>
        <v>0</v>
      </c>
      <c r="G177" t="str">
        <f>G$9 * (10.23052978515625 -G$8)</f>
        <v>0</v>
      </c>
      <c r="H177" t="str">
        <f>H$9 * (15.80506038665771 -H$8)</f>
        <v>0</v>
      </c>
      <c r="I177" t="str">
        <f>I$9 * (0.07943365722894669 -I$8)</f>
        <v>0</v>
      </c>
    </row>
    <row r="178" spans="1:11">
      <c r="A178" t="str">
        <f>A$9 * (41.75005722045898 -A$8)</f>
        <v>0</v>
      </c>
      <c r="B178" t="str">
        <f>B$9 * (41.75005722045898 -B$8)</f>
        <v>0</v>
      </c>
      <c r="C178" t="str">
        <f>C$9 * (41.75005722045898 -C$8)</f>
        <v>0</v>
      </c>
      <c r="D178" t="str">
        <f>D$9 * (41.75005722045898 -D$8)</f>
        <v>0</v>
      </c>
      <c r="F178" t="str">
        <f>F$9 * (0.006464859005063772 -F$8)</f>
        <v>0</v>
      </c>
      <c r="G178" t="str">
        <f>G$9 * (4.171826839447021 -G$8)</f>
        <v>0</v>
      </c>
      <c r="H178" t="str">
        <f>H$9 * (11.30515003204346 -H$8)</f>
        <v>0</v>
      </c>
      <c r="I178" t="str">
        <f>I$9 * (0.02484018914401531 -I$8)</f>
        <v>0</v>
      </c>
    </row>
    <row r="179" spans="1:11">
      <c r="A179" t="str">
        <f>A$9 * (42.00013732910156 -A$8)</f>
        <v>0</v>
      </c>
      <c r="B179" t="str">
        <f>B$9 * (42.00013732910156 -B$8)</f>
        <v>0</v>
      </c>
      <c r="C179" t="str">
        <f>C$9 * (42.00013732910156 -C$8)</f>
        <v>0</v>
      </c>
      <c r="D179" t="str">
        <f>D$9 * (42.00013732910156 -D$8)</f>
        <v>0</v>
      </c>
      <c r="F179" t="str">
        <f>F$9 * (0.006048059090971947 -F$8)</f>
        <v>0</v>
      </c>
      <c r="G179" t="str">
        <f>G$9 * (2.728982925415039 -G$8)</f>
        <v>0</v>
      </c>
      <c r="H179" t="str">
        <f>H$9 * (7.458720207214355 -H$8)</f>
        <v>0</v>
      </c>
      <c r="I179" t="str">
        <f>I$9 * (0.0125967999920249 -I$8)</f>
        <v>0</v>
      </c>
    </row>
    <row r="180" spans="1:11">
      <c r="A180" t="str">
        <f>A$9 * (42.2501106262207 -A$8)</f>
        <v>0</v>
      </c>
      <c r="B180" t="str">
        <f>B$9 * (42.2501106262207 -B$8)</f>
        <v>0</v>
      </c>
      <c r="C180" t="str">
        <f>C$9 * (42.2501106262207 -C$8)</f>
        <v>0</v>
      </c>
      <c r="D180" t="str">
        <f>D$9 * (42.2501106262207 -D$8)</f>
        <v>0</v>
      </c>
      <c r="F180" t="str">
        <f>F$9 * (0.005143274087458849 -F$8)</f>
        <v>0</v>
      </c>
      <c r="G180" t="str">
        <f>G$9 * (2.483148097991943 -G$8)</f>
        <v>0</v>
      </c>
      <c r="H180" t="str">
        <f>H$9 * (7.644736766815186 -H$8)</f>
        <v>0</v>
      </c>
      <c r="I180" t="str">
        <f>I$9 * (0.01194908004254103 -I$8)</f>
        <v>0</v>
      </c>
    </row>
    <row r="181" spans="1:11">
      <c r="A181" t="str">
        <f>A$9 * (42.50033187866211 -A$8)</f>
        <v>0</v>
      </c>
      <c r="B181" t="str">
        <f>B$9 * (42.50033187866211 -B$8)</f>
        <v>0</v>
      </c>
      <c r="C181" t="str">
        <f>C$9 * (42.50033187866211 -C$8)</f>
        <v>0</v>
      </c>
      <c r="D181" t="str">
        <f>D$9 * (42.50033187866211 -D$8)</f>
        <v>0</v>
      </c>
      <c r="F181" t="str">
        <f>F$9 * (0.004771547857671976 -F$8)</f>
        <v>0</v>
      </c>
      <c r="G181" t="str">
        <f>G$9 * (2.230365991592407 -G$8)</f>
        <v>0</v>
      </c>
      <c r="H181" t="str">
        <f>H$9 * (7.240664958953857 -H$8)</f>
        <v>0</v>
      </c>
      <c r="I181" t="str">
        <f>I$9 * (0.01056015957146883 -I$8)</f>
        <v>0</v>
      </c>
    </row>
    <row r="182" spans="1:11">
      <c r="A182" t="str">
        <f>A$9 * (42.75005722045898 -A$8)</f>
        <v>0</v>
      </c>
      <c r="B182" t="str">
        <f>B$9 * (42.75005722045898 -B$8)</f>
        <v>0</v>
      </c>
      <c r="C182" t="str">
        <f>C$9 * (42.75005722045898 -C$8)</f>
        <v>0</v>
      </c>
      <c r="D182" t="str">
        <f>D$9 * (42.75005722045898 -D$8)</f>
        <v>0</v>
      </c>
      <c r="F182" t="str">
        <f>F$9 * (0.006918738130480051 -F$8)</f>
        <v>0</v>
      </c>
      <c r="G182" t="str">
        <f>G$9 * (2.324894905090332 -G$8)</f>
        <v>0</v>
      </c>
      <c r="H182" t="str">
        <f>H$9 * (5.669578075408936 -H$8)</f>
        <v>0</v>
      </c>
      <c r="I182" t="str">
        <f>I$9 * (4.716999910669983E-7 -I$8)</f>
        <v>0</v>
      </c>
    </row>
    <row r="183" spans="1:11">
      <c r="A183" t="str">
        <f>A$9 * (43.0001106262207 -A$8)</f>
        <v>0</v>
      </c>
      <c r="B183" t="str">
        <f>B$9 * (43.0001106262207 -B$8)</f>
        <v>0</v>
      </c>
      <c r="C183" t="str">
        <f>C$9 * (43.0001106262207 -C$8)</f>
        <v>0</v>
      </c>
      <c r="D183" t="str">
        <f>D$9 * (43.0001106262207 -D$8)</f>
        <v>0</v>
      </c>
      <c r="F183" t="str">
        <f>F$9 * (0.007703990209847689 -F$8)</f>
        <v>0</v>
      </c>
      <c r="G183" t="str">
        <f>G$9 * (3.463798999786377 -G$8)</f>
        <v>0</v>
      </c>
      <c r="H183" t="str">
        <f>H$9 * (8.017612457275391 -H$8)</f>
        <v>0</v>
      </c>
      <c r="I183" t="str">
        <f>I$9 * (0.01617730036377907 -I$8)</f>
        <v>0</v>
      </c>
    </row>
    <row r="184" spans="1:11">
      <c r="A184" t="str">
        <f>A$9 * (43.25019454956055 -A$8)</f>
        <v>0</v>
      </c>
      <c r="B184" t="str">
        <f>B$9 * (43.25019454956055 -B$8)</f>
        <v>0</v>
      </c>
      <c r="C184" t="str">
        <f>C$9 * (43.25019454956055 -C$8)</f>
        <v>0</v>
      </c>
      <c r="D184" t="str">
        <f>D$9 * (43.25019454956055 -D$8)</f>
        <v>0</v>
      </c>
      <c r="F184" t="str">
        <f>F$9 * (0.007333443034440279 -F$8)</f>
        <v>0</v>
      </c>
      <c r="G184" t="str">
        <f>G$9 * (3.120954036712646 -G$8)</f>
        <v>0</v>
      </c>
      <c r="H184" t="str">
        <f>H$9 * (7.414446830749512 -H$8)</f>
        <v>0</v>
      </c>
      <c r="I184" t="str">
        <f>I$9 * (0.01398287992924452 -I$8)</f>
        <v>0</v>
      </c>
    </row>
    <row r="185" spans="1:11">
      <c r="A185" t="str">
        <f>A$9 * (43.50025177001953 -A$8)</f>
        <v>0</v>
      </c>
      <c r="B185" t="str">
        <f>B$9 * (43.50025177001953 -B$8)</f>
        <v>0</v>
      </c>
      <c r="C185" t="str">
        <f>C$9 * (43.50025177001953 -C$8)</f>
        <v>0</v>
      </c>
      <c r="D185" t="str">
        <f>D$9 * (43.50025177001953 -D$8)</f>
        <v>0</v>
      </c>
      <c r="F185" t="str">
        <f>F$9 * (0.003018338931724429 -F$8)</f>
        <v>0</v>
      </c>
      <c r="G185" t="str">
        <f>G$9 * (0.5547353029251099 -G$8)</f>
        <v>0</v>
      </c>
      <c r="H185" t="str">
        <f>H$9 * (2.487520933151245 -H$8)</f>
        <v>0</v>
      </c>
      <c r="I185" t="str">
        <f>I$9 * (2.082000065684042E-7 -I$8)</f>
        <v>0</v>
      </c>
    </row>
    <row r="186" spans="1:11">
      <c r="A186" t="str">
        <f>A$9 * (43.75027847290039 -A$8)</f>
        <v>0</v>
      </c>
      <c r="B186" t="str">
        <f>B$9 * (43.75027847290039 -B$8)</f>
        <v>0</v>
      </c>
      <c r="C186" t="str">
        <f>C$9 * (43.75027847290039 -C$8)</f>
        <v>0</v>
      </c>
      <c r="D186" t="str">
        <f>D$9 * (43.75027847290039 -D$8)</f>
        <v>0</v>
      </c>
      <c r="F186" t="str">
        <f>F$9 * (0.03518662974238396 -F$8)</f>
        <v>0</v>
      </c>
      <c r="G186" t="str">
        <f>G$9 * (13.81657981872559 -G$8)</f>
        <v>0</v>
      </c>
      <c r="H186" t="str">
        <f>H$9 * (16.95166969299316 -H$8)</f>
        <v>0</v>
      </c>
      <c r="I186" t="str">
        <f>I$9 * (0.1345369070768356 -I$8)</f>
        <v>0</v>
      </c>
    </row>
    <row r="187" spans="1:11">
      <c r="A187" t="str">
        <f>A$9 * (44.00016784667969 -A$8)</f>
        <v>0</v>
      </c>
      <c r="B187" t="str">
        <f>B$9 * (44.00016784667969 -B$8)</f>
        <v>0</v>
      </c>
      <c r="C187" t="str">
        <f>C$9 * (44.00016784667969 -C$8)</f>
        <v>0</v>
      </c>
      <c r="D187" t="str">
        <f>D$9 * (44.00016784667969 -D$8)</f>
        <v>0</v>
      </c>
      <c r="F187" t="str">
        <f>F$9 * (0.01008713990449905 -F$8)</f>
        <v>0</v>
      </c>
      <c r="G187" t="str">
        <f>G$9 * (3.685054063796997 -G$8)</f>
        <v>0</v>
      </c>
      <c r="H187" t="str">
        <f>H$9 * (7.10145902633667 -H$8)</f>
        <v>0</v>
      </c>
      <c r="I187" t="str">
        <f>I$9 * (0.01635250076651573 -I$8)</f>
        <v>0</v>
      </c>
    </row>
    <row r="188" spans="1:11">
      <c r="A188" t="str">
        <f>A$9 * (44.25038909912109 -A$8)</f>
        <v>0</v>
      </c>
      <c r="B188" t="str">
        <f>B$9 * (44.25038909912109 -B$8)</f>
        <v>0</v>
      </c>
      <c r="C188" t="str">
        <f>C$9 * (44.25038909912109 -C$8)</f>
        <v>0</v>
      </c>
      <c r="D188" t="str">
        <f>D$9 * (44.25038909912109 -D$8)</f>
        <v>0</v>
      </c>
      <c r="F188" t="str">
        <f>F$9 * (-0.001186629990115762 -F$8)</f>
        <v>0</v>
      </c>
      <c r="G188" t="str">
        <f>G$9 * (-1.515035033226013 -G$8)</f>
        <v>0</v>
      </c>
      <c r="H188" t="str">
        <f>H$9 * (0.8732035160064697 -H$8)</f>
        <v>0</v>
      </c>
      <c r="I188" t="str">
        <f>I$9 * (3.36200002948317E-7 -I$8)</f>
        <v>0</v>
      </c>
    </row>
    <row r="189" spans="1:11">
      <c r="A189" t="str">
        <f>A$9 * (44.50047302246094 -A$8)</f>
        <v>0</v>
      </c>
      <c r="B189" t="str">
        <f>B$9 * (44.50047302246094 -B$8)</f>
        <v>0</v>
      </c>
      <c r="C189" t="str">
        <f>C$9 * (44.50047302246094 -C$8)</f>
        <v>0</v>
      </c>
      <c r="D189" t="str">
        <f>D$9 * (44.50047302246094 -D$8)</f>
        <v>0</v>
      </c>
      <c r="F189" t="str">
        <f>F$9 * (-0.001507575041614473 -F$8)</f>
        <v>0</v>
      </c>
      <c r="G189" t="str">
        <f>G$9 * (-1.071735024452209 -G$8)</f>
        <v>0</v>
      </c>
      <c r="H189" t="str">
        <f>H$9 * (-0.544882595539093 -H$8)</f>
        <v>0</v>
      </c>
      <c r="I189" t="str">
        <f>I$9 * (6.14000015275451E-8 -I$8)</f>
        <v>0</v>
      </c>
    </row>
    <row r="190" spans="1:11">
      <c r="A190" t="str">
        <f>A$9 * (44.75019454956055 -A$8)</f>
        <v>0</v>
      </c>
      <c r="B190" t="str">
        <f>B$9 * (44.75019454956055 -B$8)</f>
        <v>0</v>
      </c>
      <c r="C190" t="str">
        <f>C$9 * (44.75019454956055 -C$8)</f>
        <v>0</v>
      </c>
      <c r="D190" t="str">
        <f>D$9 * (44.75019454956055 -D$8)</f>
        <v>0</v>
      </c>
      <c r="F190" t="str">
        <f>F$9 * (-0.001061021001078188 -F$8)</f>
        <v>0</v>
      </c>
      <c r="G190" t="str">
        <f>G$9 * (-0.3704147040843964 -G$8)</f>
        <v>0</v>
      </c>
      <c r="H190" t="str">
        <f>H$9 * (-0.363375186920166 -H$8)</f>
        <v>0</v>
      </c>
      <c r="I190" t="str">
        <f>I$9 * (1.210000011298007E-8 -I$8)</f>
        <v>0</v>
      </c>
    </row>
    <row r="191" spans="1:11">
      <c r="A191" t="str">
        <f>A$9 * (45.00066757202148 -A$8)</f>
        <v>0</v>
      </c>
      <c r="B191" t="str">
        <f>B$9 * (45.00066757202148 -B$8)</f>
        <v>0</v>
      </c>
      <c r="C191" t="str">
        <f>C$9 * (45.00066757202148 -C$8)</f>
        <v>0</v>
      </c>
      <c r="D191" t="str">
        <f>D$9 * (45.00066757202148 -D$8)</f>
        <v>0</v>
      </c>
      <c r="F191" t="str">
        <f>F$9 * (-0.0004436025046743453 -F$8)</f>
        <v>0</v>
      </c>
      <c r="G191" t="str">
        <f>G$9 * (-0.2861591875553131 -G$8)</f>
        <v>0</v>
      </c>
      <c r="H191" t="str">
        <f>H$9 * (0.008583140559494495 -H$8)</f>
        <v>0</v>
      </c>
      <c r="I191" t="str">
        <f>I$9 * (5.199999986160719E-9 -I$8)</f>
        <v>0</v>
      </c>
    </row>
    <row r="192" spans="1:11">
      <c r="A192" t="str">
        <f>A$9 * (45.25008392333984 -A$8)</f>
        <v>0</v>
      </c>
      <c r="B192" t="str">
        <f>B$9 * (45.25008392333984 -B$8)</f>
        <v>0</v>
      </c>
      <c r="C192" t="str">
        <f>C$9 * (45.25008392333984 -C$8)</f>
        <v>0</v>
      </c>
      <c r="D192" t="str">
        <f>D$9 * (45.25008392333984 -D$8)</f>
        <v>0</v>
      </c>
      <c r="F192" t="str">
        <f>F$9 * (0.002636135090142488 -F$8)</f>
        <v>0</v>
      </c>
      <c r="G192" t="str">
        <f>G$9 * (0.1485815048217773 -G$8)</f>
        <v>0</v>
      </c>
      <c r="H192" t="str">
        <f>H$9 * (27.36611938476562 -H$8)</f>
        <v>0</v>
      </c>
      <c r="I192" t="str">
        <f>I$9 * (0.10018490254879 -I$8)</f>
        <v>0</v>
      </c>
    </row>
    <row r="193" spans="1:11">
      <c r="A193" t="str">
        <f>A$9 * (45.50019454956055 -A$8)</f>
        <v>0</v>
      </c>
      <c r="B193" t="str">
        <f>B$9 * (45.50019454956055 -B$8)</f>
        <v>0</v>
      </c>
      <c r="C193" t="str">
        <f>C$9 * (45.50019454956055 -C$8)</f>
        <v>0</v>
      </c>
      <c r="D193" t="str">
        <f>D$9 * (45.50019454956055 -D$8)</f>
        <v>0</v>
      </c>
      <c r="F193" t="str">
        <f>F$9 * (-0.0004973114118911326 -F$8)</f>
        <v>0</v>
      </c>
      <c r="G193" t="str">
        <f>G$9 * (-1.873417019844055 -G$8)</f>
        <v>0</v>
      </c>
      <c r="H193" t="str">
        <f>H$9 * (2.599164962768555 -H$8)</f>
        <v>0</v>
      </c>
      <c r="I193" t="str">
        <f>I$9 * (4.265000086434156E-7 -I$8)</f>
        <v>0</v>
      </c>
    </row>
    <row r="194" spans="1:11">
      <c r="A194" t="str">
        <f>A$9 * (45.75066757202148 -A$8)</f>
        <v>0</v>
      </c>
      <c r="B194" t="str">
        <f>B$9 * (45.75066757202148 -B$8)</f>
        <v>0</v>
      </c>
      <c r="C194" t="str">
        <f>C$9 * (45.75066757202148 -C$8)</f>
        <v>0</v>
      </c>
      <c r="D194" t="str">
        <f>D$9 * (45.75066757202148 -D$8)</f>
        <v>0</v>
      </c>
      <c r="F194" t="str">
        <f>F$9 * (0.0002036304940702394 -F$8)</f>
        <v>0</v>
      </c>
      <c r="G194" t="str">
        <f>G$9 * (-0.7218284010887146 -G$8)</f>
        <v>0</v>
      </c>
      <c r="H194" t="str">
        <f>H$9 * (0.3579599857330322 -H$8)</f>
        <v>0</v>
      </c>
      <c r="I194" t="str">
        <f>I$9 * (2.730000048245529E-8 -I$8)</f>
        <v>0</v>
      </c>
    </row>
    <row r="195" spans="1:11">
      <c r="A195" t="str">
        <f>A$9 * (46.00030517578125 -A$8)</f>
        <v>0</v>
      </c>
      <c r="B195" t="str">
        <f>B$9 * (46.00030517578125 -B$8)</f>
        <v>0</v>
      </c>
      <c r="C195" t="str">
        <f>C$9 * (46.00030517578125 -C$8)</f>
        <v>0</v>
      </c>
      <c r="D195" t="str">
        <f>D$9 * (46.00030517578125 -D$8)</f>
        <v>0</v>
      </c>
      <c r="F195" t="str">
        <f>F$9 * (0.1565771996974945 -F$8)</f>
        <v>0</v>
      </c>
      <c r="G195" t="str">
        <f>G$9 * (11.72632026672363 -G$8)</f>
        <v>0</v>
      </c>
      <c r="H195" t="str">
        <f>H$9 * (12.12623023986816 -H$8)</f>
        <v>0</v>
      </c>
      <c r="I195" t="str">
        <f>I$9 * (0.3543930053710938 -I$8)</f>
        <v>0</v>
      </c>
    </row>
    <row r="196" spans="1:11">
      <c r="A196" t="str">
        <f>A$9 * (46.25038909912109 -A$8)</f>
        <v>0</v>
      </c>
      <c r="B196" t="str">
        <f>B$9 * (46.25038909912109 -B$8)</f>
        <v>0</v>
      </c>
      <c r="C196" t="str">
        <f>C$9 * (46.25038909912109 -C$8)</f>
        <v>0</v>
      </c>
      <c r="D196" t="str">
        <f>D$9 * (46.25038909912109 -D$8)</f>
        <v>0</v>
      </c>
      <c r="F196" t="str">
        <f>F$9 * (0.04027941823005676 -F$8)</f>
        <v>0</v>
      </c>
      <c r="G196" t="str">
        <f>G$9 * (8.879725456237793 -G$8)</f>
        <v>0</v>
      </c>
      <c r="H196" t="str">
        <f>H$9 * (9.638326644897461 -H$8)</f>
        <v>0</v>
      </c>
      <c r="I196" t="str">
        <f>I$9 * (0.07576581090688705 -I$8)</f>
        <v>0</v>
      </c>
    </row>
    <row r="197" spans="1:11">
      <c r="A197" t="str">
        <f>A$9 * (46.50005722045898 -A$8)</f>
        <v>0</v>
      </c>
      <c r="B197" t="str">
        <f>B$9 * (46.50005722045898 -B$8)</f>
        <v>0</v>
      </c>
      <c r="C197" t="str">
        <f>C$9 * (46.50005722045898 -C$8)</f>
        <v>0</v>
      </c>
      <c r="D197" t="str">
        <f>D$9 * (46.50005722045898 -D$8)</f>
        <v>0</v>
      </c>
      <c r="F197" t="str">
        <f>F$9 * (0.01210690010339022 -F$8)</f>
        <v>0</v>
      </c>
      <c r="G197" t="str">
        <f>G$9 * (7.205061912536621 -G$8)</f>
        <v>0</v>
      </c>
      <c r="H197" t="str">
        <f>H$9 * (13.33382034301758 -H$8)</f>
        <v>0</v>
      </c>
      <c r="I197" t="str">
        <f>I$9 * (0.04517297819256783 -I$8)</f>
        <v>0</v>
      </c>
    </row>
    <row r="198" spans="1:11">
      <c r="A198" t="str">
        <f>A$9 * (46.75008392333984 -A$8)</f>
        <v>0</v>
      </c>
      <c r="B198" t="str">
        <f>B$9 * (46.75008392333984 -B$8)</f>
        <v>0</v>
      </c>
      <c r="C198" t="str">
        <f>C$9 * (46.75008392333984 -C$8)</f>
        <v>0</v>
      </c>
      <c r="D198" t="str">
        <f>D$9 * (46.75008392333984 -D$8)</f>
        <v>0</v>
      </c>
      <c r="F198" t="str">
        <f>F$9 * (0.004823966883122921 -F$8)</f>
        <v>0</v>
      </c>
      <c r="G198" t="str">
        <f>G$9 * (2.839514970779419 -G$8)</f>
        <v>0</v>
      </c>
      <c r="H198" t="str">
        <f>H$9 * (9.328569412231445 -H$8)</f>
        <v>0</v>
      </c>
      <c r="I198" t="str">
        <f>I$9 * (0.01586858928203583 -I$8)</f>
        <v>0</v>
      </c>
    </row>
    <row r="199" spans="1:11">
      <c r="A199" t="str">
        <f>A$9 * (47.00013732910156 -A$8)</f>
        <v>0</v>
      </c>
      <c r="B199" t="str">
        <f>B$9 * (47.00013732910156 -B$8)</f>
        <v>0</v>
      </c>
      <c r="C199" t="str">
        <f>C$9 * (47.00013732910156 -C$8)</f>
        <v>0</v>
      </c>
      <c r="D199" t="str">
        <f>D$9 * (47.00013732910156 -D$8)</f>
        <v>0</v>
      </c>
      <c r="F199" t="str">
        <f>F$9 * (0.00599632877856493 -F$8)</f>
        <v>0</v>
      </c>
      <c r="G199" t="str">
        <f>G$9 * (2.685885906219482 -G$8)</f>
        <v>0</v>
      </c>
      <c r="H199" t="str">
        <f>H$9 * (7.368453979492188 -H$8)</f>
        <v>0</v>
      </c>
      <c r="I199" t="str">
        <f>I$9 * (0.01229459978640079 -I$8)</f>
        <v>0</v>
      </c>
    </row>
    <row r="200" spans="1:11">
      <c r="A200" t="str">
        <f>A$9 * (47.25022125244141 -A$8)</f>
        <v>0</v>
      </c>
      <c r="B200" t="str">
        <f>B$9 * (47.25022125244141 -B$8)</f>
        <v>0</v>
      </c>
      <c r="C200" t="str">
        <f>C$9 * (47.25022125244141 -C$8)</f>
        <v>0</v>
      </c>
      <c r="D200" t="str">
        <f>D$9 * (47.25022125244141 -D$8)</f>
        <v>0</v>
      </c>
      <c r="F200" t="str">
        <f>F$9 * (0.004849123768508434 -F$8)</f>
        <v>0</v>
      </c>
      <c r="G200" t="str">
        <f>G$9 * (2.335442066192627 -G$8)</f>
        <v>0</v>
      </c>
      <c r="H200" t="str">
        <f>H$9 * (7.501893043518066 -H$8)</f>
        <v>0</v>
      </c>
      <c r="I200" t="str">
        <f>I$9 * (0.0112468097358942 -I$8)</f>
        <v>0</v>
      </c>
    </row>
    <row r="201" spans="1:11">
      <c r="A201" t="str">
        <f>A$9 * (47.50027847290039 -A$8)</f>
        <v>0</v>
      </c>
      <c r="B201" t="str">
        <f>B$9 * (47.50027847290039 -B$8)</f>
        <v>0</v>
      </c>
      <c r="C201" t="str">
        <f>C$9 * (47.50027847290039 -C$8)</f>
        <v>0</v>
      </c>
      <c r="D201" t="str">
        <f>D$9 * (47.50027847290039 -D$8)</f>
        <v>0</v>
      </c>
      <c r="F201" t="str">
        <f>F$9 * (0.005177211947739124 -F$8)</f>
        <v>0</v>
      </c>
      <c r="G201" t="str">
        <f>G$9 * (2.220402002334595 -G$8)</f>
        <v>0</v>
      </c>
      <c r="H201" t="str">
        <f>H$9 * (6.737947940826416 -H$8)</f>
        <v>0</v>
      </c>
      <c r="I201" t="str">
        <f>I$9 * (0.009880074299871922 -I$8)</f>
        <v>0</v>
      </c>
    </row>
    <row r="202" spans="1:11">
      <c r="A202" t="str">
        <f>A$9 * (47.75033187866211 -A$8)</f>
        <v>0</v>
      </c>
      <c r="B202" t="str">
        <f>B$9 * (47.75033187866211 -B$8)</f>
        <v>0</v>
      </c>
      <c r="C202" t="str">
        <f>C$9 * (47.75033187866211 -C$8)</f>
        <v>0</v>
      </c>
      <c r="D202" t="str">
        <f>D$9 * (47.75033187866211 -D$8)</f>
        <v>0</v>
      </c>
      <c r="F202" t="str">
        <f>F$9 * (0.009798875078558922 -F$8)</f>
        <v>0</v>
      </c>
      <c r="G202" t="str">
        <f>G$9 * (3.310703992843628 -G$8)</f>
        <v>0</v>
      </c>
      <c r="H202" t="str">
        <f>H$9 * (6.480961799621582 -H$8)</f>
        <v>0</v>
      </c>
      <c r="I202" t="str">
        <f>I$9 * (0.01408412028104067 -I$8)</f>
        <v>0</v>
      </c>
    </row>
    <row r="203" spans="1:11">
      <c r="A203" t="str">
        <f>A$9 * (48.00002670288086 -A$8)</f>
        <v>0</v>
      </c>
      <c r="B203" t="str">
        <f>B$9 * (48.00002670288086 -B$8)</f>
        <v>0</v>
      </c>
      <c r="C203" t="str">
        <f>C$9 * (48.00002670288086 -C$8)</f>
        <v>0</v>
      </c>
      <c r="D203" t="str">
        <f>D$9 * (48.00002670288086 -D$8)</f>
        <v>0</v>
      </c>
      <c r="F203" t="str">
        <f>F$9 * (0.007013271097093821 -F$8)</f>
        <v>0</v>
      </c>
      <c r="G203" t="str">
        <f>G$9 * (3.043736934661865 -G$8)</f>
        <v>0</v>
      </c>
      <c r="H203" t="str">
        <f>H$9 * (7.4616379737854 -H$8)</f>
        <v>0</v>
      </c>
      <c r="I203" t="str">
        <f>I$9 * (0.01372576970607042 -I$8)</f>
        <v>0</v>
      </c>
    </row>
    <row r="204" spans="1:11">
      <c r="A204" t="str">
        <f>A$9 * (48.2501106262207 -A$8)</f>
        <v>0</v>
      </c>
      <c r="B204" t="str">
        <f>B$9 * (48.2501106262207 -B$8)</f>
        <v>0</v>
      </c>
      <c r="C204" t="str">
        <f>C$9 * (48.2501106262207 -C$8)</f>
        <v>0</v>
      </c>
      <c r="D204" t="str">
        <f>D$9 * (48.2501106262207 -D$8)</f>
        <v>0</v>
      </c>
      <c r="F204" t="str">
        <f>F$9 * (0.0049819340929389 -F$8)</f>
        <v>0</v>
      </c>
      <c r="G204" t="str">
        <f>G$9 * (1.617609024047852 -G$8)</f>
        <v>0</v>
      </c>
      <c r="H204" t="str">
        <f>H$9 * (4.943479061126709 -H$8)</f>
        <v>0</v>
      </c>
      <c r="I204" t="str">
        <f>I$9 * (2.726999923652329E-7 -I$8)</f>
        <v>0</v>
      </c>
    </row>
    <row r="205" spans="1:11">
      <c r="A205" t="str">
        <f>A$9 * (48.50038909912109 -A$8)</f>
        <v>0</v>
      </c>
      <c r="B205" t="str">
        <f>B$9 * (48.50038909912109 -B$8)</f>
        <v>0</v>
      </c>
      <c r="C205" t="str">
        <f>C$9 * (48.50038909912109 -C$8)</f>
        <v>0</v>
      </c>
      <c r="D205" t="str">
        <f>D$9 * (48.50038909912109 -D$8)</f>
        <v>0</v>
      </c>
      <c r="F205" t="str">
        <f>F$9 * (0.009414429776370525 -F$8)</f>
        <v>0</v>
      </c>
      <c r="G205" t="str">
        <f>G$9 * (1.512235045433044 -G$8)</f>
        <v>0</v>
      </c>
      <c r="H205" t="str">
        <f>H$9 * (2.920823097229004 -H$8)</f>
        <v>0</v>
      </c>
      <c r="I205" t="str">
        <f>I$9 * (2.75500013913188E-7 -I$8)</f>
        <v>0</v>
      </c>
    </row>
    <row r="206" spans="1:11">
      <c r="A206" t="str">
        <f>A$9 * (48.75019454956055 -A$8)</f>
        <v>0</v>
      </c>
      <c r="B206" t="str">
        <f>B$9 * (48.75019454956055 -B$8)</f>
        <v>0</v>
      </c>
      <c r="C206" t="str">
        <f>C$9 * (48.75019454956055 -C$8)</f>
        <v>0</v>
      </c>
      <c r="D206" t="str">
        <f>D$9 * (48.75019454956055 -D$8)</f>
        <v>0</v>
      </c>
      <c r="F206" t="str">
        <f>F$9 * (0.004353602882474661 -F$8)</f>
        <v>0</v>
      </c>
      <c r="G206" t="str">
        <f>G$9 * (2.475796937942505 -G$8)</f>
        <v>0</v>
      </c>
      <c r="H206" t="str">
        <f>H$9 * (8.701483726501465 -H$8)</f>
        <v>0</v>
      </c>
      <c r="I206" t="str">
        <f>I$9 * (0.01351684983819723 -I$8)</f>
        <v>0</v>
      </c>
    </row>
    <row r="207" spans="1:11">
      <c r="A207" t="str">
        <f>A$9 * (49.00036239624023 -A$8)</f>
        <v>0</v>
      </c>
      <c r="B207" t="str">
        <f>B$9 * (49.00036239624023 -B$8)</f>
        <v>0</v>
      </c>
      <c r="C207" t="str">
        <f>C$9 * (49.00036239624023 -C$8)</f>
        <v>0</v>
      </c>
      <c r="D207" t="str">
        <f>D$9 * (49.00036239624023 -D$8)</f>
        <v>0</v>
      </c>
      <c r="F207" t="str">
        <f>F$9 * (-0.002892984077334404 -F$8)</f>
        <v>0</v>
      </c>
      <c r="G207" t="str">
        <f>G$9 * (-2.141371011734009 -G$8)</f>
        <v>0</v>
      </c>
      <c r="H207" t="str">
        <f>H$9 * (0.7028763294219971 -H$8)</f>
        <v>0</v>
      </c>
      <c r="I207" t="str">
        <f>I$9 * (3.611000067849091E-7 -I$8)</f>
        <v>0</v>
      </c>
    </row>
    <row r="208" spans="1:11">
      <c r="A208" t="str">
        <f>A$9 * (49.2501106262207 -A$8)</f>
        <v>0</v>
      </c>
      <c r="B208" t="str">
        <f>B$9 * (49.2501106262207 -B$8)</f>
        <v>0</v>
      </c>
      <c r="C208" t="str">
        <f>C$9 * (49.2501106262207 -C$8)</f>
        <v>0</v>
      </c>
      <c r="D208" t="str">
        <f>D$9 * (49.2501106262207 -D$8)</f>
        <v>0</v>
      </c>
      <c r="F208" t="str">
        <f>F$9 * (-0.0002332903968635947 -F$8)</f>
        <v>0</v>
      </c>
      <c r="G208" t="str">
        <f>G$9 * (-1.317087054252625 -G$8)</f>
        <v>0</v>
      </c>
      <c r="H208" t="str">
        <f>H$9 * (2.010415077209473 -H$8)</f>
        <v>0</v>
      </c>
      <c r="I208" t="str">
        <f>I$9 * (1.992000022710272E-7 -I$8)</f>
        <v>0</v>
      </c>
    </row>
    <row r="209" spans="1:11">
      <c r="A209" t="str">
        <f>A$9 * (49.50019454956055 -A$8)</f>
        <v>0</v>
      </c>
      <c r="B209" t="str">
        <f>B$9 * (49.50019454956055 -B$8)</f>
        <v>0</v>
      </c>
      <c r="C209" t="str">
        <f>C$9 * (49.50019454956055 -C$8)</f>
        <v>0</v>
      </c>
      <c r="D209" t="str">
        <f>D$9 * (49.50019454956055 -D$8)</f>
        <v>0</v>
      </c>
      <c r="F209" t="str">
        <f>F$9 * (-0.001120341010391712 -F$8)</f>
        <v>0</v>
      </c>
      <c r="G209" t="str">
        <f>G$9 * (-0.6083894968032837 -G$8)</f>
        <v>0</v>
      </c>
      <c r="H209" t="str">
        <f>H$9 * (-0.138065293431282 -H$8)</f>
        <v>0</v>
      </c>
      <c r="I209" t="str">
        <f>I$9 * (0.001359452959150076 -I$8)</f>
        <v>0</v>
      </c>
    </row>
    <row r="210" spans="1:11">
      <c r="A210" t="str">
        <f>A$9 * (49.75005722045898 -A$8)</f>
        <v>0</v>
      </c>
      <c r="B210" t="str">
        <f>B$9 * (49.75005722045898 -B$8)</f>
        <v>0</v>
      </c>
      <c r="C210" t="str">
        <f>C$9 * (49.75005722045898 -C$8)</f>
        <v>0</v>
      </c>
      <c r="D210" t="str">
        <f>D$9 * (49.75005722045898 -D$8)</f>
        <v>0</v>
      </c>
      <c r="F210" t="str">
        <f>F$9 * (-0.0004374682030174881 -F$8)</f>
        <v>0</v>
      </c>
      <c r="G210" t="str">
        <f>G$9 * (-0.9154976010322571 -G$8)</f>
        <v>0</v>
      </c>
      <c r="H210" t="str">
        <f>H$9 * (0.09224162995815277 -H$8)</f>
        <v>0</v>
      </c>
      <c r="I210" t="str">
        <f>I$9 * (5.340000086562213E-8 -I$8)</f>
        <v>0</v>
      </c>
    </row>
    <row r="211" spans="1:11">
      <c r="A211" t="str">
        <f>A$9 * (50.00013732910156 -A$8)</f>
        <v>0</v>
      </c>
      <c r="B211" t="str">
        <f>B$9 * (50.00013732910156 -B$8)</f>
        <v>0</v>
      </c>
      <c r="C211" t="str">
        <f>C$9 * (50.00013732910156 -C$8)</f>
        <v>0</v>
      </c>
      <c r="D211" t="str">
        <f>D$9 * (50.00013732910156 -D$8)</f>
        <v>0</v>
      </c>
      <c r="F211" t="str">
        <f>F$9 * (0.1780426055192947 -F$8)</f>
        <v>0</v>
      </c>
      <c r="G211" t="str">
        <f>G$9 * (22.74719047546387 -G$8)</f>
        <v>0</v>
      </c>
      <c r="H211" t="str">
        <f>H$9 * (23.7426700592041 -H$8)</f>
        <v>0</v>
      </c>
      <c r="I211" t="str">
        <f>I$9 * (0.9955989718437195 -I$8)</f>
        <v>0</v>
      </c>
    </row>
    <row r="212" spans="1:11">
      <c r="A212" t="str">
        <f>A$9 * (50.25005722045898 -A$8)</f>
        <v>0</v>
      </c>
      <c r="B212" t="str">
        <f>B$9 * (50.25005722045898 -B$8)</f>
        <v>0</v>
      </c>
      <c r="C212" t="str">
        <f>C$9 * (50.25005722045898 -C$8)</f>
        <v>0</v>
      </c>
      <c r="D212" t="str">
        <f>D$9 * (50.25005722045898 -D$8)</f>
        <v>0</v>
      </c>
      <c r="F212" t="str">
        <f>F$9 * (0.01350155007094145 -F$8)</f>
        <v>0</v>
      </c>
      <c r="G212" t="str">
        <f>G$9 * (1.562785983085632 -G$8)</f>
        <v>0</v>
      </c>
      <c r="H212" t="str">
        <f>H$9 * (2.362399101257324 -H$8)</f>
        <v>0</v>
      </c>
      <c r="I212" t="str">
        <f>I$9 * (3.741999989870237E-7 -I$8)</f>
        <v>0</v>
      </c>
    </row>
    <row r="213" spans="1:11">
      <c r="A213" t="str">
        <f>A$9 * (50.50036239624023 -A$8)</f>
        <v>0</v>
      </c>
      <c r="B213" t="str">
        <f>B$9 * (50.50036239624023 -B$8)</f>
        <v>0</v>
      </c>
      <c r="C213" t="str">
        <f>C$9 * (50.50036239624023 -C$8)</f>
        <v>0</v>
      </c>
      <c r="D213" t="str">
        <f>D$9 * (50.50036239624023 -D$8)</f>
        <v>0</v>
      </c>
      <c r="F213" t="str">
        <f>F$9 * (0.0002095706004183739 -F$8)</f>
        <v>0</v>
      </c>
      <c r="G213" t="str">
        <f>G$9 * (-1.341879963874817 -G$8)</f>
        <v>0</v>
      </c>
      <c r="H213" t="str">
        <f>H$9 * (0.6129351258277893 -H$8)</f>
        <v>0</v>
      </c>
      <c r="I213" t="str">
        <f>I$9 * (1.32200000280136E-7 -I$8)</f>
        <v>0</v>
      </c>
    </row>
    <row r="214" spans="1:11">
      <c r="A214" t="str">
        <f>A$9 * (50.75030517578125 -A$8)</f>
        <v>0</v>
      </c>
      <c r="B214" t="str">
        <f>B$9 * (50.75030517578125 -B$8)</f>
        <v>0</v>
      </c>
      <c r="C214" t="str">
        <f>C$9 * (50.75030517578125 -C$8)</f>
        <v>0</v>
      </c>
      <c r="D214" t="str">
        <f>D$9 * (50.75030517578125 -D$8)</f>
        <v>0</v>
      </c>
      <c r="F214" t="str">
        <f>F$9 * (0.005747236777096987 -F$8)</f>
        <v>0</v>
      </c>
      <c r="G214" t="str">
        <f>G$9 * (0.2003971934318542 -G$8)</f>
        <v>0</v>
      </c>
      <c r="H214" t="str">
        <f>H$9 * (0.2864266037940979 -H$8)</f>
        <v>0</v>
      </c>
      <c r="I214" t="str">
        <f>I$9 * (3.210000087960907E-8 -I$8)</f>
        <v>0</v>
      </c>
    </row>
    <row r="215" spans="1:11">
      <c r="A215" t="str">
        <f>A$9 * (51.00005722045898 -A$8)</f>
        <v>0</v>
      </c>
      <c r="B215" t="str">
        <f>B$9 * (51.00005722045898 -B$8)</f>
        <v>0</v>
      </c>
      <c r="C215" t="str">
        <f>C$9 * (51.00005722045898 -C$8)</f>
        <v>0</v>
      </c>
      <c r="D215" t="str">
        <f>D$9 * (51.00005722045898 -D$8)</f>
        <v>0</v>
      </c>
      <c r="F215" t="str">
        <f>F$9 * (0.01164377015084028 -F$8)</f>
        <v>0</v>
      </c>
      <c r="G215" t="str">
        <f>G$9 * (0.5449013113975525 -G$8)</f>
        <v>0</v>
      </c>
      <c r="H215" t="str">
        <f>H$9 * (18.73410987854004 -H$8)</f>
        <v>0</v>
      </c>
      <c r="I215" t="str">
        <f>I$9 * (0.07543329894542694 -I$8)</f>
        <v>0</v>
      </c>
    </row>
    <row r="216" spans="1:11">
      <c r="A216" t="str">
        <f>A$9 * (51.25027847290039 -A$8)</f>
        <v>0</v>
      </c>
      <c r="B216" t="str">
        <f>B$9 * (51.25027847290039 -B$8)</f>
        <v>0</v>
      </c>
      <c r="C216" t="str">
        <f>C$9 * (51.25027847290039 -C$8)</f>
        <v>0</v>
      </c>
      <c r="D216" t="str">
        <f>D$9 * (51.25027847290039 -D$8)</f>
        <v>0</v>
      </c>
      <c r="F216" t="str">
        <f>F$9 * (0.02191152051091194 -F$8)</f>
        <v>0</v>
      </c>
      <c r="G216" t="str">
        <f>G$9 * (10.77003955841064 -G$8)</f>
        <v>0</v>
      </c>
      <c r="H216" t="str">
        <f>H$9 * (15.87745952606201 -H$8)</f>
        <v>0</v>
      </c>
      <c r="I216" t="str">
        <f>I$9 * (0.0860619992017746 -I$8)</f>
        <v>0</v>
      </c>
    </row>
    <row r="217" spans="1:11">
      <c r="A217" t="str">
        <f>A$9 * (51.50005722045898 -A$8)</f>
        <v>0</v>
      </c>
      <c r="B217" t="str">
        <f>B$9 * (51.50005722045898 -B$8)</f>
        <v>0</v>
      </c>
      <c r="C217" t="str">
        <f>C$9 * (51.50005722045898 -C$8)</f>
        <v>0</v>
      </c>
      <c r="D217" t="str">
        <f>D$9 * (51.50005722045898 -D$8)</f>
        <v>0</v>
      </c>
      <c r="F217" t="str">
        <f>F$9 * (0.007184409070760012 -F$8)</f>
        <v>0</v>
      </c>
      <c r="G217" t="str">
        <f>G$9 * (4.600056171417236 -G$8)</f>
        <v>0</v>
      </c>
      <c r="H217" t="str">
        <f>H$9 * (11.6171703338623 -H$8)</f>
        <v>0</v>
      </c>
      <c r="I217" t="str">
        <f>I$9 * (0.02732809074223042 -I$8)</f>
        <v>0</v>
      </c>
    </row>
    <row r="218" spans="1:11">
      <c r="A218" t="str">
        <f>A$9 * (51.75 -A$8)</f>
        <v>0</v>
      </c>
      <c r="B218" t="str">
        <f>B$9 * (51.75 -B$8)</f>
        <v>0</v>
      </c>
      <c r="C218" t="str">
        <f>C$9 * (51.75 -C$8)</f>
        <v>0</v>
      </c>
      <c r="D218" t="str">
        <f>D$9 * (51.75 -D$8)</f>
        <v>0</v>
      </c>
      <c r="F218" t="str">
        <f>F$9 * (0.005392817780375481 -F$8)</f>
        <v>0</v>
      </c>
      <c r="G218" t="str">
        <f>G$9 * (2.532433986663818 -G$8)</f>
        <v>0</v>
      </c>
      <c r="H218" t="str">
        <f>H$9 * (7.52826976776123 -H$8)</f>
        <v>0</v>
      </c>
      <c r="I218" t="str">
        <f>I$9 * (0.01198168005794287 -I$8)</f>
        <v>0</v>
      </c>
    </row>
    <row r="219" spans="1:11">
      <c r="A219" t="str">
        <f>A$9 * (52.00030517578125 -A$8)</f>
        <v>0</v>
      </c>
      <c r="B219" t="str">
        <f>B$9 * (52.00030517578125 -B$8)</f>
        <v>0</v>
      </c>
      <c r="C219" t="str">
        <f>C$9 * (52.00030517578125 -C$8)</f>
        <v>0</v>
      </c>
      <c r="D219" t="str">
        <f>D$9 * (52.00030517578125 -D$8)</f>
        <v>0</v>
      </c>
      <c r="F219" t="str">
        <f>F$9 * (0.005353141110390425 -F$8)</f>
        <v>0</v>
      </c>
      <c r="G219" t="str">
        <f>G$9 * (2.579823017120361 -G$8)</f>
        <v>0</v>
      </c>
      <c r="H219" t="str">
        <f>H$9 * (7.712130069732666 -H$8)</f>
        <v>0</v>
      </c>
      <c r="I219" t="str">
        <f>I$9 * (0.01237259991466999 -I$8)</f>
        <v>0</v>
      </c>
    </row>
    <row r="220" spans="1:11">
      <c r="A220" t="str">
        <f>A$9 * (52.2501106262207 -A$8)</f>
        <v>0</v>
      </c>
      <c r="B220" t="str">
        <f>B$9 * (52.2501106262207 -B$8)</f>
        <v>0</v>
      </c>
      <c r="C220" t="str">
        <f>C$9 * (52.2501106262207 -C$8)</f>
        <v>0</v>
      </c>
      <c r="D220" t="str">
        <f>D$9 * (52.2501106262207 -D$8)</f>
        <v>0</v>
      </c>
      <c r="F220" t="str">
        <f>F$9 * (0.004752630833536386 -F$8)</f>
        <v>0</v>
      </c>
      <c r="G220" t="str">
        <f>G$9 * (2.251239061355591 -G$8)</f>
        <v>0</v>
      </c>
      <c r="H220" t="str">
        <f>H$9 * (7.335742950439453 -H$8)</f>
        <v>0</v>
      </c>
      <c r="I220" t="str">
        <f>I$9 * (0.01075221970677376 -I$8)</f>
        <v>0</v>
      </c>
    </row>
    <row r="221" spans="1:11">
      <c r="A221" t="str">
        <f>A$9 * (52.50030517578125 -A$8)</f>
        <v>0</v>
      </c>
      <c r="B221" t="str">
        <f>B$9 * (52.50030517578125 -B$8)</f>
        <v>0</v>
      </c>
      <c r="C221" t="str">
        <f>C$9 * (52.50030517578125 -C$8)</f>
        <v>0</v>
      </c>
      <c r="D221" t="str">
        <f>D$9 * (52.50030517578125 -D$8)</f>
        <v>0</v>
      </c>
      <c r="F221" t="str">
        <f>F$9 * (0.006128176115453243 -F$8)</f>
        <v>0</v>
      </c>
      <c r="G221" t="str">
        <f>G$9 * (2.044847011566162 -G$8)</f>
        <v>0</v>
      </c>
      <c r="H221" t="str">
        <f>H$9 * (5.4203200340271 -H$8)</f>
        <v>0</v>
      </c>
      <c r="I221" t="str">
        <f>I$9 * (3.879000018969236E-7 -I$8)</f>
        <v>0</v>
      </c>
    </row>
    <row r="222" spans="1:11">
      <c r="A222" t="str">
        <f>A$9 * (52.7501106262207 -A$8)</f>
        <v>0</v>
      </c>
      <c r="B222" t="str">
        <f>B$9 * (52.7501106262207 -B$8)</f>
        <v>0</v>
      </c>
      <c r="C222" t="str">
        <f>C$9 * (52.7501106262207 -C$8)</f>
        <v>0</v>
      </c>
      <c r="D222" t="str">
        <f>D$9 * (52.7501106262207 -D$8)</f>
        <v>0</v>
      </c>
      <c r="F222" t="str">
        <f>F$9 * (0.008098650723695755 -F$8)</f>
        <v>0</v>
      </c>
      <c r="G222" t="str">
        <f>G$9 * (3.699503898620605 -G$8)</f>
        <v>0</v>
      </c>
      <c r="H222" t="str">
        <f>H$9 * (8.310591697692871 -H$8)</f>
        <v>0</v>
      </c>
      <c r="I222" t="str">
        <f>I$9 * (0.01759360916912556 -I$8)</f>
        <v>0</v>
      </c>
    </row>
    <row r="223" spans="1:11">
      <c r="A223" t="str">
        <f>A$9 * (53.00027847290039 -A$8)</f>
        <v>0</v>
      </c>
      <c r="B223" t="str">
        <f>B$9 * (53.00027847290039 -B$8)</f>
        <v>0</v>
      </c>
      <c r="C223" t="str">
        <f>C$9 * (53.00027847290039 -C$8)</f>
        <v>0</v>
      </c>
      <c r="D223" t="str">
        <f>D$9 * (53.00027847290039 -D$8)</f>
        <v>0</v>
      </c>
      <c r="F223" t="str">
        <f>F$9 * (0.00739181786775589 -F$8)</f>
        <v>0</v>
      </c>
      <c r="G223" t="str">
        <f>G$9 * (3.15166711807251 -G$8)</f>
        <v>0</v>
      </c>
      <c r="H223" t="str">
        <f>H$9 * (7.452622890472412 -H$8)</f>
        <v>0</v>
      </c>
      <c r="I223" t="str">
        <f>I$9 * (0.0141527196392417 -I$8)</f>
        <v>0</v>
      </c>
    </row>
    <row r="224" spans="1:11">
      <c r="A224" t="str">
        <f>A$9 * (53.25002670288086 -A$8)</f>
        <v>0</v>
      </c>
      <c r="B224" t="str">
        <f>B$9 * (53.25002670288086 -B$8)</f>
        <v>0</v>
      </c>
      <c r="C224" t="str">
        <f>C$9 * (53.25002670288086 -C$8)</f>
        <v>0</v>
      </c>
      <c r="D224" t="str">
        <f>D$9 * (53.25002670288086 -D$8)</f>
        <v>0</v>
      </c>
      <c r="F224" t="str">
        <f>F$9 * (0.0005617972929030657 -F$8)</f>
        <v>0</v>
      </c>
      <c r="G224" t="str">
        <f>G$9 * (0.1039120033383369 -G$8)</f>
        <v>0</v>
      </c>
      <c r="H224" t="str">
        <f>H$9 * (2.044663906097412 -H$8)</f>
        <v>0</v>
      </c>
      <c r="I224" t="str">
        <f>I$9 * (3.219999911152627E-8 -I$8)</f>
        <v>0</v>
      </c>
    </row>
    <row r="225" spans="1:11">
      <c r="A225" t="str">
        <f>A$9 * (53.5004997253418 -A$8)</f>
        <v>0</v>
      </c>
      <c r="B225" t="str">
        <f>B$9 * (53.5004997253418 -B$8)</f>
        <v>0</v>
      </c>
      <c r="C225" t="str">
        <f>C$9 * (53.5004997253418 -C$8)</f>
        <v>0</v>
      </c>
      <c r="D225" t="str">
        <f>D$9 * (53.5004997253418 -D$8)</f>
        <v>0</v>
      </c>
      <c r="F225" t="str">
        <f>F$9 * (0.001433062017895281 -F$8)</f>
        <v>0</v>
      </c>
      <c r="G225" t="str">
        <f>G$9 * (-0.7769603729248047 -G$8)</f>
        <v>0</v>
      </c>
      <c r="H225" t="str">
        <f>H$9 * (1.476395964622498 -H$8)</f>
        <v>0</v>
      </c>
      <c r="I225" t="str">
        <f>I$9 * (2.970000068103218E-8 -I$8)</f>
        <v>0</v>
      </c>
    </row>
    <row r="226" spans="1:11">
      <c r="A226" t="str">
        <f>A$9 * (53.75052642822266 -A$8)</f>
        <v>0</v>
      </c>
      <c r="B226" t="str">
        <f>B$9 * (53.75052642822266 -B$8)</f>
        <v>0</v>
      </c>
      <c r="C226" t="str">
        <f>C$9 * (53.75052642822266 -C$8)</f>
        <v>0</v>
      </c>
      <c r="D226" t="str">
        <f>D$9 * (53.75052642822266 -D$8)</f>
        <v>0</v>
      </c>
      <c r="F226" t="str">
        <f>F$9 * (-0.001129091018810868 -F$8)</f>
        <v>0</v>
      </c>
      <c r="G226" t="str">
        <f>G$9 * (-1.232913970947266 -G$8)</f>
        <v>0</v>
      </c>
      <c r="H226" t="str">
        <f>H$9 * (-0.2250335961580276 -H$8)</f>
        <v>0</v>
      </c>
      <c r="I226" t="str">
        <f>I$9 * (9.309999882134434E-8 -I$8)</f>
        <v>0</v>
      </c>
    </row>
    <row r="227" spans="1:11">
      <c r="A227" t="str">
        <f>A$9 * (54.00005722045898 -A$8)</f>
        <v>0</v>
      </c>
      <c r="B227" t="str">
        <f>B$9 * (54.00005722045898 -B$8)</f>
        <v>0</v>
      </c>
      <c r="C227" t="str">
        <f>C$9 * (54.00005722045898 -C$8)</f>
        <v>0</v>
      </c>
      <c r="D227" t="str">
        <f>D$9 * (54.00005722045898 -D$8)</f>
        <v>0</v>
      </c>
      <c r="F227" t="str">
        <f>F$9 * (0.09239470958709717 -F$8)</f>
        <v>0</v>
      </c>
      <c r="G227" t="str">
        <f>G$9 * (25.29874992370605 -G$8)</f>
        <v>0</v>
      </c>
      <c r="H227" t="str">
        <f>H$9 * (27.67227935791016 -H$8)</f>
        <v>0</v>
      </c>
      <c r="I227" t="str">
        <f>I$9 * (0.6315336227416992 -I$8)</f>
        <v>0</v>
      </c>
    </row>
    <row r="228" spans="1:11">
      <c r="A228" t="str">
        <f>A$9 * (54.25058364868164 -A$8)</f>
        <v>0</v>
      </c>
      <c r="B228" t="str">
        <f>B$9 * (54.25058364868164 -B$8)</f>
        <v>0</v>
      </c>
      <c r="C228" t="str">
        <f>C$9 * (54.25058364868164 -C$8)</f>
        <v>0</v>
      </c>
      <c r="D228" t="str">
        <f>D$9 * (54.25058364868164 -D$8)</f>
        <v>0</v>
      </c>
      <c r="F228" t="str">
        <f>F$9 * (-0.0004569145094137639 -F$8)</f>
        <v>0</v>
      </c>
      <c r="G228" t="str">
        <f>G$9 * (-0.08786678314208984 -G$8)</f>
        <v>0</v>
      </c>
      <c r="H228" t="str">
        <f>H$9 * (1.263442993164062 -H$8)</f>
        <v>0</v>
      </c>
      <c r="I228" t="str">
        <f>I$9 * (1.420000028673485E-8 -I$8)</f>
        <v>0</v>
      </c>
    </row>
    <row r="229" spans="1:11">
      <c r="A229" t="str">
        <f>A$9 * (54.50063705444336 -A$8)</f>
        <v>0</v>
      </c>
      <c r="B229" t="str">
        <f>B$9 * (54.50063705444336 -B$8)</f>
        <v>0</v>
      </c>
      <c r="C229" t="str">
        <f>C$9 * (54.50063705444336 -C$8)</f>
        <v>0</v>
      </c>
      <c r="D229" t="str">
        <f>D$9 * (54.50063705444336 -D$8)</f>
        <v>0</v>
      </c>
      <c r="F229" t="str">
        <f>F$9 * (-0.0007390913087874651 -F$8)</f>
        <v>0</v>
      </c>
      <c r="G229" t="str">
        <f>G$9 * (-0.4374411106109619 -G$8)</f>
        <v>0</v>
      </c>
      <c r="H229" t="str">
        <f>H$9 * (-0.1041062995791435 -H$8)</f>
        <v>0</v>
      </c>
      <c r="I229" t="str">
        <f>I$9 * (1.650540070841089E-5 -I$8)</f>
        <v>0</v>
      </c>
    </row>
    <row r="230" spans="1:11">
      <c r="A230" t="str">
        <f>A$9 * (54.7504997253418 -A$8)</f>
        <v>0</v>
      </c>
      <c r="B230" t="str">
        <f>B$9 * (54.7504997253418 -B$8)</f>
        <v>0</v>
      </c>
      <c r="C230" t="str">
        <f>C$9 * (54.7504997253418 -C$8)</f>
        <v>0</v>
      </c>
      <c r="D230" t="str">
        <f>D$9 * (54.7504997253418 -D$8)</f>
        <v>0</v>
      </c>
      <c r="F230" t="str">
        <f>F$9 * (-0.0007367681828327477 -F$8)</f>
        <v>0</v>
      </c>
      <c r="G230" t="str">
        <f>G$9 * (-1.252416968345642 -G$8)</f>
        <v>0</v>
      </c>
      <c r="H230" t="str">
        <f>H$9 * (0.4062212109565735 -H$8)</f>
        <v>0</v>
      </c>
      <c r="I230" t="str">
        <f>I$9 * (1.16300000740921E-7 -I$8)</f>
        <v>0</v>
      </c>
    </row>
    <row r="231" spans="1:11">
      <c r="A231" t="str">
        <f>A$9 * (55 -A$8)</f>
        <v>0</v>
      </c>
      <c r="B231" t="str">
        <f>B$9 * (55 -B$8)</f>
        <v>0</v>
      </c>
      <c r="C231" t="str">
        <f>C$9 * (55 -C$8)</f>
        <v>0</v>
      </c>
      <c r="D231" t="str">
        <f>D$9 * (55 -D$8)</f>
        <v>0</v>
      </c>
      <c r="F231" t="str">
        <f>F$9 * (0.008606331422924995 -F$8)</f>
        <v>0</v>
      </c>
      <c r="G231" t="str">
        <f>G$9 * (0.2786996066570282 -G$8)</f>
        <v>0</v>
      </c>
      <c r="H231" t="str">
        <f>H$9 * (0.4000535905361176 -H$8)</f>
        <v>0</v>
      </c>
      <c r="I231" t="str">
        <f>I$9 * (5.129999891551051E-8 -I$8)</f>
        <v>0</v>
      </c>
    </row>
    <row r="232" spans="1:11">
      <c r="A232" t="str">
        <f>A$9 * (55.25047302246094 -A$8)</f>
        <v>0</v>
      </c>
      <c r="B232" t="str">
        <f>B$9 * (55.25047302246094 -B$8)</f>
        <v>0</v>
      </c>
      <c r="C232" t="str">
        <f>C$9 * (55.25047302246094 -C$8)</f>
        <v>0</v>
      </c>
      <c r="D232" t="str">
        <f>D$9 * (55.25047302246094 -D$8)</f>
        <v>0</v>
      </c>
      <c r="F232" t="str">
        <f>F$9 * (0.01146361045539379 -F$8)</f>
        <v>0</v>
      </c>
      <c r="G232" t="str">
        <f>G$9 * (6.555642127990723 -G$8)</f>
        <v>0</v>
      </c>
      <c r="H232" t="str">
        <f>H$9 * (13.99878025054932 -H$8)</f>
        <v>0</v>
      </c>
      <c r="I232" t="str">
        <f>I$9 * (0.0371437706053257 -I$8)</f>
        <v>0</v>
      </c>
    </row>
    <row r="233" spans="1:11">
      <c r="A233" t="str">
        <f>A$9 * (55.5004997253418 -A$8)</f>
        <v>0</v>
      </c>
      <c r="B233" t="str">
        <f>B$9 * (55.5004997253418 -B$8)</f>
        <v>0</v>
      </c>
      <c r="C233" t="str">
        <f>C$9 * (55.5004997253418 -C$8)</f>
        <v>0</v>
      </c>
      <c r="D233" t="str">
        <f>D$9 * (55.5004997253418 -D$8)</f>
        <v>0</v>
      </c>
      <c r="F233" t="str">
        <f>F$9 * (0.02176068909466267 -F$8)</f>
        <v>0</v>
      </c>
      <c r="G233" t="str">
        <f>G$9 * (11.30673027038574 -G$8)</f>
        <v>0</v>
      </c>
      <c r="H233" t="str">
        <f>H$9 * (17.39262962341309 -H$8)</f>
        <v>0</v>
      </c>
      <c r="I233" t="str">
        <f>I$9 * (0.09738975018262863 -I$8)</f>
        <v>0</v>
      </c>
    </row>
    <row r="234" spans="1:11">
      <c r="A234" t="str">
        <f>A$9 * (55.75027847290039 -A$8)</f>
        <v>0</v>
      </c>
      <c r="B234" t="str">
        <f>B$9 * (55.75027847290039 -B$8)</f>
        <v>0</v>
      </c>
      <c r="C234" t="str">
        <f>C$9 * (55.75027847290039 -C$8)</f>
        <v>0</v>
      </c>
      <c r="D234" t="str">
        <f>D$9 * (55.75027847290039 -D$8)</f>
        <v>0</v>
      </c>
      <c r="F234" t="str">
        <f>F$9 * (0.006209914106875658 -F$8)</f>
        <v>0</v>
      </c>
      <c r="G234" t="str">
        <f>G$9 * (4.278471946716309 -G$8)</f>
        <v>0</v>
      </c>
      <c r="H234" t="str">
        <f>H$9 * (12.0518798828125 -H$8)</f>
        <v>0</v>
      </c>
      <c r="I234" t="str">
        <f>I$9 * (0.02705758064985275 -I$8)</f>
        <v>0</v>
      </c>
    </row>
    <row r="235" spans="1:11">
      <c r="A235" t="str">
        <f>A$9 * (56.00030517578125 -A$8)</f>
        <v>0</v>
      </c>
      <c r="B235" t="str">
        <f>B$9 * (56.00030517578125 -B$8)</f>
        <v>0</v>
      </c>
      <c r="C235" t="str">
        <f>C$9 * (56.00030517578125 -C$8)</f>
        <v>0</v>
      </c>
      <c r="D235" t="str">
        <f>D$9 * (56.00030517578125 -D$8)</f>
        <v>0</v>
      </c>
      <c r="F235" t="str">
        <f>F$9 * (0.007984690368175507 -F$8)</f>
        <v>0</v>
      </c>
      <c r="G235" t="str">
        <f>G$9 * (3.605020046234131 -G$8)</f>
        <v>0</v>
      </c>
      <c r="H235" t="str">
        <f>H$9 * (8.194204330444336 -H$8)</f>
        <v>0</v>
      </c>
      <c r="I235" t="str">
        <f>I$9 * (0.01712130010128021 -I$8)</f>
        <v>0</v>
      </c>
    </row>
    <row r="236" spans="1:11">
      <c r="A236" t="str">
        <f>A$9 * (56.25 -A$8)</f>
        <v>0</v>
      </c>
      <c r="B236" t="str">
        <f>B$9 * (56.25 -B$8)</f>
        <v>0</v>
      </c>
      <c r="C236" t="str">
        <f>C$9 * (56.25 -C$8)</f>
        <v>0</v>
      </c>
      <c r="D236" t="str">
        <f>D$9 * (56.25 -D$8)</f>
        <v>0</v>
      </c>
      <c r="F236" t="str">
        <f>F$9 * (0.004966371227055788 -F$8)</f>
        <v>0</v>
      </c>
      <c r="G236" t="str">
        <f>G$9 * (2.483294010162354 -G$8)</f>
        <v>0</v>
      </c>
      <c r="H236" t="str">
        <f>H$9 * (7.885172843933105 -H$8)</f>
        <v>0</v>
      </c>
      <c r="I236" t="str">
        <f>I$9 * (0.01233075000345707 -I$8)</f>
        <v>0</v>
      </c>
    </row>
    <row r="237" spans="1:11">
      <c r="A237" t="str">
        <f>A$9 * (56.50022125244141 -A$8)</f>
        <v>0</v>
      </c>
      <c r="B237" t="str">
        <f>B$9 * (56.50022125244141 -B$8)</f>
        <v>0</v>
      </c>
      <c r="C237" t="str">
        <f>C$9 * (56.50022125244141 -C$8)</f>
        <v>0</v>
      </c>
      <c r="D237" t="str">
        <f>D$9 * (56.50022125244141 -D$8)</f>
        <v>0</v>
      </c>
      <c r="F237" t="str">
        <f>F$9 * (0.004171756096184254 -F$8)</f>
        <v>0</v>
      </c>
      <c r="G237" t="str">
        <f>G$9 * (2.031558990478516 -G$8)</f>
        <v>0</v>
      </c>
      <c r="H237" t="str">
        <f>H$9 * (7.333201885223389 -H$8)</f>
        <v>0</v>
      </c>
      <c r="I237" t="str">
        <f>I$9 * (0.01007398031651974 -I$8)</f>
        <v>0</v>
      </c>
    </row>
    <row r="238" spans="1:11">
      <c r="A238" t="str">
        <f>A$9 * (56.75022125244141 -A$8)</f>
        <v>0</v>
      </c>
      <c r="B238" t="str">
        <f>B$9 * (56.75022125244141 -B$8)</f>
        <v>0</v>
      </c>
      <c r="C238" t="str">
        <f>C$9 * (56.75022125244141 -C$8)</f>
        <v>0</v>
      </c>
      <c r="D238" t="str">
        <f>D$9 * (56.75022125244141 -D$8)</f>
        <v>0</v>
      </c>
      <c r="F238" t="str">
        <f>F$9 * (0.008159915916621685 -F$8)</f>
        <v>0</v>
      </c>
      <c r="G238" t="str">
        <f>G$9 * (2.50279688835144 -G$8)</f>
        <v>0</v>
      </c>
      <c r="H238" t="str">
        <f>H$9 * (5.453845024108887 -H$8)</f>
        <v>0</v>
      </c>
      <c r="I238" t="str">
        <f>I$9 * (0.009748847223818302 -I$8)</f>
        <v>0</v>
      </c>
    </row>
    <row r="239" spans="1:11">
      <c r="A239" t="str">
        <f>A$9 * (57.00022125244141 -A$8)</f>
        <v>0</v>
      </c>
      <c r="B239" t="str">
        <f>B$9 * (57.00022125244141 -B$8)</f>
        <v>0</v>
      </c>
      <c r="C239" t="str">
        <f>C$9 * (57.00022125244141 -C$8)</f>
        <v>0</v>
      </c>
      <c r="D239" t="str">
        <f>D$9 * (57.00022125244141 -D$8)</f>
        <v>0</v>
      </c>
      <c r="F239" t="str">
        <f>F$9 * (0.006734452210366726 -F$8)</f>
        <v>0</v>
      </c>
      <c r="G239" t="str">
        <f>G$9 * (3.039998054504395 -G$8)</f>
        <v>0</v>
      </c>
      <c r="H239" t="str">
        <f>H$9 * (7.680521011352539 -H$8)</f>
        <v>0</v>
      </c>
      <c r="I239" t="str">
        <f>I$9 * (0.0139740202575922 -I$8)</f>
        <v>0</v>
      </c>
    </row>
    <row r="240" spans="1:11">
      <c r="A240" t="str">
        <f>A$9 * (57.25019454956055 -A$8)</f>
        <v>0</v>
      </c>
      <c r="B240" t="str">
        <f>B$9 * (57.25019454956055 -B$8)</f>
        <v>0</v>
      </c>
      <c r="C240" t="str">
        <f>C$9 * (57.25019454956055 -C$8)</f>
        <v>0</v>
      </c>
      <c r="D240" t="str">
        <f>D$9 * (57.25019454956055 -D$8)</f>
        <v>0</v>
      </c>
      <c r="F240" t="str">
        <f>F$9 * (0.006600360851734877 -F$8)</f>
        <v>0</v>
      </c>
      <c r="G240" t="str">
        <f>G$9 * (2.75222110748291 -G$8)</f>
        <v>0</v>
      </c>
      <c r="H240" t="str">
        <f>H$9 * (6.989535808563232 -H$8)</f>
        <v>0</v>
      </c>
      <c r="I240" t="str">
        <f>I$9 * (0.01203604973852634 -I$8)</f>
        <v>0</v>
      </c>
    </row>
    <row r="241" spans="1:11">
      <c r="A241" t="str">
        <f>A$9 * (57.50005722045898 -A$8)</f>
        <v>0</v>
      </c>
      <c r="B241" t="str">
        <f>B$9 * (57.50005722045898 -B$8)</f>
        <v>0</v>
      </c>
      <c r="C241" t="str">
        <f>C$9 * (57.50005722045898 -C$8)</f>
        <v>0</v>
      </c>
      <c r="D241" t="str">
        <f>D$9 * (57.50005722045898 -D$8)</f>
        <v>0</v>
      </c>
      <c r="F241" t="str">
        <f>F$9 * (0.008045160211622715 -F$8)</f>
        <v>0</v>
      </c>
      <c r="G241" t="str">
        <f>G$9 * (1.474426984786987 -G$8)</f>
        <v>0</v>
      </c>
      <c r="H241" t="str">
        <f>H$9 * (3.162544012069702 -H$8)</f>
        <v>0</v>
      </c>
      <c r="I241" t="str">
        <f>I$9 * (2.484999868102022E-7 -I$8)</f>
        <v>0</v>
      </c>
    </row>
    <row r="242" spans="1:11">
      <c r="A242" t="str">
        <f>A$9 * (57.75025177001953 -A$8)</f>
        <v>0</v>
      </c>
      <c r="B242" t="str">
        <f>B$9 * (57.75025177001953 -B$8)</f>
        <v>0</v>
      </c>
      <c r="C242" t="str">
        <f>C$9 * (57.75025177001953 -C$8)</f>
        <v>0</v>
      </c>
      <c r="D242" t="str">
        <f>D$9 * (57.75025177001953 -D$8)</f>
        <v>0</v>
      </c>
      <c r="F242" t="str">
        <f>F$9 * (0.005142611917108297 -F$8)</f>
        <v>0</v>
      </c>
      <c r="G242" t="str">
        <f>G$9 * (2.911257982254028 -G$8)</f>
        <v>0</v>
      </c>
      <c r="H242" t="str">
        <f>H$9 * (9.047774314880371 -H$8)</f>
        <v>0</v>
      </c>
      <c r="I242" t="str">
        <f>I$9 * (0.01553990971297026 -I$8)</f>
        <v>0</v>
      </c>
    </row>
    <row r="243" spans="1:11">
      <c r="A243" t="str">
        <f>A$9 * (58.00016784667969 -A$8)</f>
        <v>0</v>
      </c>
      <c r="B243" t="str">
        <f>B$9 * (58.00016784667969 -B$8)</f>
        <v>0</v>
      </c>
      <c r="C243" t="str">
        <f>C$9 * (58.00016784667969 -C$8)</f>
        <v>0</v>
      </c>
      <c r="D243" t="str">
        <f>D$9 * (58.00016784667969 -D$8)</f>
        <v>0</v>
      </c>
      <c r="F243" t="str">
        <f>F$9 * (0.001402814988978207 -F$8)</f>
        <v>0</v>
      </c>
      <c r="G243" t="str">
        <f>G$9 * (0.3076832890510559 -G$8)</f>
        <v>0</v>
      </c>
      <c r="H243" t="str">
        <f>H$9 * (2.608668088912964 -H$8)</f>
        <v>0</v>
      </c>
      <c r="I243" t="str">
        <f>I$9 * (1.108000020622057E-7 -I$8)</f>
        <v>0</v>
      </c>
    </row>
    <row r="244" spans="1:11">
      <c r="A244" t="str">
        <f>A$9 * (58.25047302246094 -A$8)</f>
        <v>0</v>
      </c>
      <c r="B244" t="str">
        <f>B$9 * (58.25047302246094 -B$8)</f>
        <v>0</v>
      </c>
      <c r="C244" t="str">
        <f>C$9 * (58.25047302246094 -C$8)</f>
        <v>0</v>
      </c>
      <c r="D244" t="str">
        <f>D$9 * (58.25047302246094 -D$8)</f>
        <v>0</v>
      </c>
      <c r="F244" t="str">
        <f>F$9 * (-0.0007638782262802124 -F$8)</f>
        <v>0</v>
      </c>
      <c r="G244" t="str">
        <f>G$9 * (-0.9841398000717163 -G$8)</f>
        <v>0</v>
      </c>
      <c r="H244" t="str">
        <f>H$9 * (1.094779014587402 -H$8)</f>
        <v>0</v>
      </c>
      <c r="I244" t="str">
        <f>I$9 * (0.0007879419135861099 -I$8)</f>
        <v>0</v>
      </c>
    </row>
    <row r="245" spans="1:11">
      <c r="A245" t="str">
        <f>A$9 * (58.50036239624023 -A$8)</f>
        <v>0</v>
      </c>
      <c r="B245" t="str">
        <f>B$9 * (58.50036239624023 -B$8)</f>
        <v>0</v>
      </c>
      <c r="C245" t="str">
        <f>C$9 * (58.50036239624023 -C$8)</f>
        <v>0</v>
      </c>
      <c r="D245" t="str">
        <f>D$9 * (58.50036239624023 -D$8)</f>
        <v>0</v>
      </c>
      <c r="F245" t="str">
        <f>F$9 * (-0.001024737954139709 -F$8)</f>
        <v>0</v>
      </c>
      <c r="G245" t="str">
        <f>G$9 * (-1.35913097858429 -G$8)</f>
        <v>0</v>
      </c>
      <c r="H245" t="str">
        <f>H$9 * (1.143844962120056 -H$8)</f>
        <v>0</v>
      </c>
      <c r="I245" t="str">
        <f>I$9 * (5.211999791754351E-7 -I$8)</f>
        <v>0</v>
      </c>
    </row>
    <row r="246" spans="1:11">
      <c r="A246" t="str">
        <f>A$9 * (58.7504997253418 -A$8)</f>
        <v>0</v>
      </c>
      <c r="B246" t="str">
        <f>B$9 * (58.7504997253418 -B$8)</f>
        <v>0</v>
      </c>
      <c r="C246" t="str">
        <f>C$9 * (58.7504997253418 -C$8)</f>
        <v>0</v>
      </c>
      <c r="D246" t="str">
        <f>D$9 * (58.7504997253418 -D$8)</f>
        <v>0</v>
      </c>
      <c r="F246" t="str">
        <f>F$9 * (-0.001568850013427436 -F$8)</f>
        <v>0</v>
      </c>
      <c r="G246" t="str">
        <f>G$9 * (-1.167536020278931 -G$8)</f>
        <v>0</v>
      </c>
      <c r="H246" t="str">
        <f>H$9 * (0.07736170291900635 -H$8)</f>
        <v>0</v>
      </c>
      <c r="I246" t="str">
        <f>I$9 * (0.0001878264010883868 -I$8)</f>
        <v>0</v>
      </c>
    </row>
    <row r="247" spans="1:11">
      <c r="A247" t="str">
        <f>A$9 * (59.00041580200195 -A$8)</f>
        <v>0</v>
      </c>
      <c r="B247" t="str">
        <f>B$9 * (59.00041580200195 -B$8)</f>
        <v>0</v>
      </c>
      <c r="C247" t="str">
        <f>C$9 * (59.00041580200195 -C$8)</f>
        <v>0</v>
      </c>
      <c r="D247" t="str">
        <f>D$9 * (59.00041580200195 -D$8)</f>
        <v>0</v>
      </c>
      <c r="F247" t="str">
        <f>F$9 * (0.1687121987342834 -F$8)</f>
        <v>0</v>
      </c>
      <c r="G247" t="str">
        <f>G$9 * (21.05866050720215 -G$8)</f>
        <v>0</v>
      </c>
      <c r="H247" t="str">
        <f>H$9 * (21.96824073791504 -H$8)</f>
        <v>0</v>
      </c>
      <c r="I247" t="str">
        <f>I$9 * (0.8413503170013428 -I$8)</f>
        <v>0</v>
      </c>
    </row>
    <row r="248" spans="1:11">
      <c r="A248" t="str">
        <f>A$9 * (59.2506103515625 -A$8)</f>
        <v>0</v>
      </c>
      <c r="B248" t="str">
        <f>B$9 * (59.2506103515625 -B$8)</f>
        <v>0</v>
      </c>
      <c r="C248" t="str">
        <f>C$9 * (59.2506103515625 -C$8)</f>
        <v>0</v>
      </c>
      <c r="D248" t="str">
        <f>D$9 * (59.2506103515625 -D$8)</f>
        <v>0</v>
      </c>
      <c r="F248" t="str">
        <f>F$9 * (0.008761672303080559 -F$8)</f>
        <v>0</v>
      </c>
      <c r="G248" t="str">
        <f>G$9 * (1.03986394405365 -G$8)</f>
        <v>0</v>
      </c>
      <c r="H248" t="str">
        <f>H$9 * (2.028357982635498 -H$8)</f>
        <v>0</v>
      </c>
      <c r="I248" t="str">
        <f>I$9 * (6.761000008737028E-7 -I$8)</f>
        <v>0</v>
      </c>
    </row>
    <row r="249" spans="1:11">
      <c r="A249" t="str">
        <f>A$9 * (59.50030517578125 -A$8)</f>
        <v>0</v>
      </c>
      <c r="B249" t="str">
        <f>B$9 * (59.50030517578125 -B$8)</f>
        <v>0</v>
      </c>
      <c r="C249" t="str">
        <f>C$9 * (59.50030517578125 -C$8)</f>
        <v>0</v>
      </c>
      <c r="D249" t="str">
        <f>D$9 * (59.50030517578125 -D$8)</f>
        <v>0</v>
      </c>
      <c r="F249" t="str">
        <f>F$9 * (-0.0007831996772438288 -F$8)</f>
        <v>0</v>
      </c>
      <c r="G249" t="str">
        <f>G$9 * (-0.9224023818969727 -G$8)</f>
        <v>0</v>
      </c>
      <c r="H249" t="str">
        <f>H$9 * (0.5153905749320984 -H$8)</f>
        <v>0</v>
      </c>
      <c r="I249" t="str">
        <f>I$9 * (1.04728997030179E-5 -I$8)</f>
        <v>0</v>
      </c>
    </row>
    <row r="250" spans="1:11">
      <c r="A250" t="str">
        <f>A$9 * (59.75041580200195 -A$8)</f>
        <v>0</v>
      </c>
      <c r="B250" t="str">
        <f>B$9 * (59.75041580200195 -B$8)</f>
        <v>0</v>
      </c>
      <c r="C250" t="str">
        <f>C$9 * (59.75041580200195 -C$8)</f>
        <v>0</v>
      </c>
      <c r="D250" t="str">
        <f>D$9 * (59.75041580200195 -D$8)</f>
        <v>0</v>
      </c>
      <c r="F250" t="str">
        <f>F$9 * (0.00352492299862206 -F$8)</f>
        <v>0</v>
      </c>
      <c r="G250" t="str">
        <f>G$9 * (0.1103015020489693 -G$8)</f>
        <v>0</v>
      </c>
      <c r="H250" t="str">
        <f>H$9 * (0.4637671113014221 -H$8)</f>
        <v>0</v>
      </c>
      <c r="I250" t="str">
        <f>I$9 * (2.850000058174373E-8 -I$8)</f>
        <v>0</v>
      </c>
    </row>
    <row r="251" spans="1:11">
      <c r="A251" t="str">
        <f>A$9 * (60.00027847290039 -A$8)</f>
        <v>0</v>
      </c>
      <c r="B251" t="str">
        <f>B$9 * (60.00027847290039 -B$8)</f>
        <v>0</v>
      </c>
      <c r="C251" t="str">
        <f>C$9 * (60.00027847290039 -C$8)</f>
        <v>0</v>
      </c>
      <c r="D251" t="str">
        <f>D$9 * (60.00027847290039 -D$8)</f>
        <v>0</v>
      </c>
      <c r="F251" t="str">
        <f>F$9 * (0.004786224104464054 -F$8)</f>
        <v>0</v>
      </c>
      <c r="G251" t="str">
        <f>G$9 * (0.2109490036964417 -G$8)</f>
        <v>0</v>
      </c>
      <c r="H251" t="str">
        <f>H$9 * (28.01506042480469 -H$8)</f>
        <v>0</v>
      </c>
      <c r="I251" t="str">
        <f>I$9 * (0.1152307018637657 -I$8)</f>
        <v>0</v>
      </c>
    </row>
    <row r="252" spans="1:11">
      <c r="A252" t="str">
        <f>A$9 * (60.25027847290039 -A$8)</f>
        <v>0</v>
      </c>
      <c r="B252" t="str">
        <f>B$9 * (60.25027847290039 -B$8)</f>
        <v>0</v>
      </c>
      <c r="C252" t="str">
        <f>C$9 * (60.25027847290039 -C$8)</f>
        <v>0</v>
      </c>
      <c r="D252" t="str">
        <f>D$9 * (60.25027847290039 -D$8)</f>
        <v>0</v>
      </c>
      <c r="F252" t="str">
        <f>F$9 * (0.02859958074986935 -F$8)</f>
        <v>0</v>
      </c>
      <c r="G252" t="str">
        <f>G$9 * (12.72015953063965 -G$8)</f>
        <v>0</v>
      </c>
      <c r="H252" t="str">
        <f>H$9 * (17.27429008483887 -H$8)</f>
        <v>0</v>
      </c>
      <c r="I252" t="str">
        <f>I$9 * (0.118128702044487 -I$8)</f>
        <v>0</v>
      </c>
    </row>
    <row r="253" spans="1:11">
      <c r="A253" t="str">
        <f>A$9 * (60.50041580200195 -A$8)</f>
        <v>0</v>
      </c>
      <c r="B253" t="str">
        <f>B$9 * (60.50041580200195 -B$8)</f>
        <v>0</v>
      </c>
      <c r="C253" t="str">
        <f>C$9 * (60.50041580200195 -C$8)</f>
        <v>0</v>
      </c>
      <c r="D253" t="str">
        <f>D$9 * (60.50041580200195 -D$8)</f>
        <v>0</v>
      </c>
      <c r="F253" t="str">
        <f>F$9 * (0.008802587166428566 -F$8)</f>
        <v>0</v>
      </c>
      <c r="G253" t="str">
        <f>G$9 * (5.626278877258301 -G$8)</f>
        <v>0</v>
      </c>
      <c r="H253" t="str">
        <f>H$9 * (12.5378303527832 -H$8)</f>
        <v>0</v>
      </c>
      <c r="I253" t="str">
        <f>I$9 * (0.03425657004117966 -I$8)</f>
        <v>0</v>
      </c>
    </row>
    <row r="254" spans="1:11">
      <c r="A254" t="str">
        <f>A$9 * (60.75019454956055 -A$8)</f>
        <v>0</v>
      </c>
      <c r="B254" t="str">
        <f>B$9 * (60.75019454956055 -B$8)</f>
        <v>0</v>
      </c>
      <c r="C254" t="str">
        <f>C$9 * (60.75019454956055 -C$8)</f>
        <v>0</v>
      </c>
      <c r="D254" t="str">
        <f>D$9 * (60.75019454956055 -D$8)</f>
        <v>0</v>
      </c>
      <c r="F254" t="str">
        <f>F$9 * (0.005337018985301256 -F$8)</f>
        <v>0</v>
      </c>
      <c r="G254" t="str">
        <f>G$9 * (2.639415979385376 -G$8)</f>
        <v>0</v>
      </c>
      <c r="H254" t="str">
        <f>H$9 * (7.941376209259033 -H$8)</f>
        <v>0</v>
      </c>
      <c r="I254" t="str">
        <f>I$9 * (0.01294525992125273 -I$8)</f>
        <v>0</v>
      </c>
    </row>
    <row r="255" spans="1:11">
      <c r="A255" t="str">
        <f>A$9 * (61.00027847290039 -A$8)</f>
        <v>0</v>
      </c>
      <c r="B255" t="str">
        <f>B$9 * (61.00027847290039 -B$8)</f>
        <v>0</v>
      </c>
      <c r="C255" t="str">
        <f>C$9 * (61.00027847290039 -C$8)</f>
        <v>0</v>
      </c>
      <c r="D255" t="str">
        <f>D$9 * (61.00027847290039 -D$8)</f>
        <v>0</v>
      </c>
      <c r="F255" t="str">
        <f>F$9 * (0.005590408109128475 -F$8)</f>
        <v>0</v>
      </c>
      <c r="G255" t="str">
        <f>G$9 * (2.676497936248779 -G$8)</f>
        <v>0</v>
      </c>
      <c r="H255" t="str">
        <f>H$9 * (7.757314205169678 -H$8)</f>
        <v>0</v>
      </c>
      <c r="I255" t="str">
        <f>I$9 * (0.01278712041676044 -I$8)</f>
        <v>0</v>
      </c>
    </row>
    <row r="256" spans="1:11">
      <c r="A256" t="str">
        <f>A$9 * (61.2501106262207 -A$8)</f>
        <v>0</v>
      </c>
      <c r="B256" t="str">
        <f>B$9 * (61.2501106262207 -B$8)</f>
        <v>0</v>
      </c>
      <c r="C256" t="str">
        <f>C$9 * (61.2501106262207 -C$8)</f>
        <v>0</v>
      </c>
      <c r="D256" t="str">
        <f>D$9 * (61.2501106262207 -D$8)</f>
        <v>0</v>
      </c>
      <c r="F256" t="str">
        <f>F$9 * (0.004705564118921757 -F$8)</f>
        <v>0</v>
      </c>
      <c r="G256" t="str">
        <f>G$9 * (2.2535560131073 -G$8)</f>
        <v>0</v>
      </c>
      <c r="H256" t="str">
        <f>H$9 * (7.409433841705322 -H$8)</f>
        <v>0</v>
      </c>
      <c r="I256" t="str">
        <f>I$9 * (0.01086916960775852 -I$8)</f>
        <v>0</v>
      </c>
    </row>
    <row r="257" spans="1:11">
      <c r="A257" t="str">
        <f>A$9 * (61.50019454956055 -A$8)</f>
        <v>0</v>
      </c>
      <c r="B257" t="str">
        <f>B$9 * (61.50019454956055 -B$8)</f>
        <v>0</v>
      </c>
      <c r="C257" t="str">
        <f>C$9 * (61.50019454956055 -C$8)</f>
        <v>0</v>
      </c>
      <c r="D257" t="str">
        <f>D$9 * (61.50019454956055 -D$8)</f>
        <v>0</v>
      </c>
      <c r="F257" t="str">
        <f>F$9 * (0.005412141792476177 -F$8)</f>
        <v>0</v>
      </c>
      <c r="G257" t="str">
        <f>G$9 * (1.973127007484436 -G$8)</f>
        <v>0</v>
      </c>
      <c r="H257" t="str">
        <f>H$9 * (5.743878841400146 -H$8)</f>
        <v>0</v>
      </c>
      <c r="I257" t="str">
        <f>I$9 * (3.74800009694809E-7 -I$8)</f>
        <v>0</v>
      </c>
    </row>
    <row r="258" spans="1:11">
      <c r="A258" t="str">
        <f>A$9 * (61.75027847290039 -A$8)</f>
        <v>0</v>
      </c>
      <c r="B258" t="str">
        <f>B$9 * (61.75027847290039 -B$8)</f>
        <v>0</v>
      </c>
      <c r="C258" t="str">
        <f>C$9 * (61.75027847290039 -C$8)</f>
        <v>0</v>
      </c>
      <c r="D258" t="str">
        <f>D$9 * (61.75027847290039 -D$8)</f>
        <v>0</v>
      </c>
      <c r="F258" t="str">
        <f>F$9 * (0.009231548756361008 -F$8)</f>
        <v>0</v>
      </c>
      <c r="G258" t="str">
        <f>G$9 * (3.928627967834473 -G$8)</f>
        <v>0</v>
      </c>
      <c r="H258" t="str">
        <f>H$9 * (8.100167274475098 -H$8)</f>
        <v>0</v>
      </c>
      <c r="I258" t="str">
        <f>I$9 * (0.01843545027077198 -I$8)</f>
        <v>0</v>
      </c>
    </row>
    <row r="259" spans="1:11">
      <c r="A259" t="str">
        <f>A$9 * (62.00033187866211 -A$8)</f>
        <v>0</v>
      </c>
      <c r="B259" t="str">
        <f>B$9 * (62.00033187866211 -B$8)</f>
        <v>0</v>
      </c>
      <c r="C259" t="str">
        <f>C$9 * (62.00033187866211 -C$8)</f>
        <v>0</v>
      </c>
      <c r="D259" t="str">
        <f>D$9 * (62.00033187866211 -D$8)</f>
        <v>0</v>
      </c>
      <c r="F259" t="str">
        <f>F$9 * (0.007413044106215239 -F$8)</f>
        <v>0</v>
      </c>
      <c r="G259" t="str">
        <f>G$9 * (3.151855945587158 -G$8)</f>
        <v>0</v>
      </c>
      <c r="H259" t="str">
        <f>H$9 * (7.440176963806152 -H$8)</f>
        <v>0</v>
      </c>
      <c r="I259" t="str">
        <f>I$9 * (0.0141407698392868 -I$8)</f>
        <v>0</v>
      </c>
    </row>
    <row r="260" spans="1:11">
      <c r="A260" t="str">
        <f>A$9 * (62.25013732910156 -A$8)</f>
        <v>0</v>
      </c>
      <c r="B260" t="str">
        <f>B$9 * (62.25013732910156 -B$8)</f>
        <v>0</v>
      </c>
      <c r="C260" t="str">
        <f>C$9 * (62.25013732910156 -C$8)</f>
        <v>0</v>
      </c>
      <c r="D260" t="str">
        <f>D$9 * (62.25013732910156 -D$8)</f>
        <v>0</v>
      </c>
      <c r="F260" t="str">
        <f>F$9 * (0.002751040970906615 -F$8)</f>
        <v>0</v>
      </c>
      <c r="G260" t="str">
        <f>G$9 * (0.5773118734359741 -G$8)</f>
        <v>0</v>
      </c>
      <c r="H260" t="str">
        <f>H$9 * (2.804192066192627 -H$8)</f>
        <v>0</v>
      </c>
      <c r="I260" t="str">
        <f>I$9 * (2.316999996310187E-7 -I$8)</f>
        <v>0</v>
      </c>
    </row>
    <row r="261" spans="1:11">
      <c r="A261" t="str">
        <f>A$9 * (62.50005722045898 -A$8)</f>
        <v>0</v>
      </c>
      <c r="B261" t="str">
        <f>B$9 * (62.50005722045898 -B$8)</f>
        <v>0</v>
      </c>
      <c r="C261" t="str">
        <f>C$9 * (62.50005722045898 -C$8)</f>
        <v>0</v>
      </c>
      <c r="D261" t="str">
        <f>D$9 * (62.50005722045898 -D$8)</f>
        <v>0</v>
      </c>
      <c r="F261" t="str">
        <f>F$9 * (8.262159826699644E-5 -F$8)</f>
        <v>0</v>
      </c>
      <c r="G261" t="str">
        <f>G$9 * (-1.145138025283813 -G$8)</f>
        <v>0</v>
      </c>
      <c r="H261" t="str">
        <f>H$9 * (1.634837985038757 -H$8)</f>
        <v>0</v>
      </c>
      <c r="I261" t="str">
        <f>I$9 * (3.268999932970473E-7 -I$8)</f>
        <v>0</v>
      </c>
    </row>
    <row r="262" spans="1:11">
      <c r="A262" t="str">
        <f>A$9 * (62.75002670288086 -A$8)</f>
        <v>0</v>
      </c>
      <c r="B262" t="str">
        <f>B$9 * (62.75002670288086 -B$8)</f>
        <v>0</v>
      </c>
      <c r="C262" t="str">
        <f>C$9 * (62.75002670288086 -C$8)</f>
        <v>0</v>
      </c>
      <c r="D262" t="str">
        <f>D$9 * (62.75002670288086 -D$8)</f>
        <v>0</v>
      </c>
      <c r="F262" t="str">
        <f>F$9 * (-0.0005748171824961901 -F$8)</f>
        <v>0</v>
      </c>
      <c r="G262" t="str">
        <f>G$9 * (-1.264577031135559 -G$8)</f>
        <v>0</v>
      </c>
      <c r="H262" t="str">
        <f>H$9 * (1.654659986495972 -H$8)</f>
        <v>0</v>
      </c>
      <c r="I262" t="str">
        <f>I$9 * (2.130999945393341E-7 -I$8)</f>
        <v>0</v>
      </c>
    </row>
    <row r="263" spans="1:11">
      <c r="A263" t="str">
        <f>A$9 * (63.00022125244141 -A$8)</f>
        <v>0</v>
      </c>
      <c r="B263" t="str">
        <f>B$9 * (63.00022125244141 -B$8)</f>
        <v>0</v>
      </c>
      <c r="C263" t="str">
        <f>C$9 * (63.00022125244141 -C$8)</f>
        <v>0</v>
      </c>
      <c r="D263" t="str">
        <f>D$9 * (63.00022125244141 -D$8)</f>
        <v>0</v>
      </c>
      <c r="F263" t="str">
        <f>F$9 * (0.1081361994147301 -F$8)</f>
        <v>0</v>
      </c>
      <c r="G263" t="str">
        <f>G$9 * (18.34556007385254 -G$8)</f>
        <v>0</v>
      </c>
      <c r="H263" t="str">
        <f>H$9 * (19.44512939453125 -H$8)</f>
        <v>0</v>
      </c>
      <c r="I263" t="str">
        <f>I$9 * (0.4441086947917938 -I$8)</f>
        <v>0</v>
      </c>
    </row>
    <row r="264" spans="1:11">
      <c r="A264" t="str">
        <f>A$9 * (63.25022125244141 -A$8)</f>
        <v>0</v>
      </c>
      <c r="B264" t="str">
        <f>B$9 * (63.25022125244141 -B$8)</f>
        <v>0</v>
      </c>
      <c r="C264" t="str">
        <f>C$9 * (63.25022125244141 -C$8)</f>
        <v>0</v>
      </c>
      <c r="D264" t="str">
        <f>D$9 * (63.25022125244141 -D$8)</f>
        <v>0</v>
      </c>
      <c r="F264" t="str">
        <f>F$9 * (0.0002341515064472333 -F$8)</f>
        <v>0</v>
      </c>
      <c r="G264" t="str">
        <f>G$9 * (-1.777044057846069 -G$8)</f>
        <v>0</v>
      </c>
      <c r="H264" t="str">
        <f>H$9 * (1.477885961532593 -H$8)</f>
        <v>0</v>
      </c>
      <c r="I264" t="str">
        <f>I$9 * (6.335999955808802E-7 -I$8)</f>
        <v>0</v>
      </c>
    </row>
    <row r="265" spans="1:11">
      <c r="A265" t="str">
        <f>A$9 * (63.50013732910156 -A$8)</f>
        <v>0</v>
      </c>
      <c r="B265" t="str">
        <f>B$9 * (63.50013732910156 -B$8)</f>
        <v>0</v>
      </c>
      <c r="C265" t="str">
        <f>C$9 * (63.50013732910156 -C$8)</f>
        <v>0</v>
      </c>
      <c r="D265" t="str">
        <f>D$9 * (63.50013732910156 -D$8)</f>
        <v>0</v>
      </c>
      <c r="F265" t="str">
        <f>F$9 * (0.0001008293984341435 -F$8)</f>
        <v>0</v>
      </c>
      <c r="G265" t="str">
        <f>G$9 * (-1.131811022758484 -G$8)</f>
        <v>0</v>
      </c>
      <c r="H265" t="str">
        <f>H$9 * (0.6923407912254333 -H$8)</f>
        <v>0</v>
      </c>
      <c r="I265" t="str">
        <f>I$9 * (4.549999843561636E-8 -I$8)</f>
        <v>0</v>
      </c>
    </row>
    <row r="266" spans="1:11">
      <c r="A266" t="str">
        <f>A$9 * (63.75030517578125 -A$8)</f>
        <v>0</v>
      </c>
      <c r="B266" t="str">
        <f>B$9 * (63.75030517578125 -B$8)</f>
        <v>0</v>
      </c>
      <c r="C266" t="str">
        <f>C$9 * (63.75030517578125 -C$8)</f>
        <v>0</v>
      </c>
      <c r="D266" t="str">
        <f>D$9 * (63.75030517578125 -D$8)</f>
        <v>0</v>
      </c>
      <c r="F266" t="str">
        <f>F$9 * (-0.0005611359956674278 -F$8)</f>
        <v>0</v>
      </c>
      <c r="G266" t="str">
        <f>G$9 * (-0.4525302052497864 -G$8)</f>
        <v>0</v>
      </c>
      <c r="H266" t="str">
        <f>H$9 * (0.1589563935995102 -H$8)</f>
        <v>0</v>
      </c>
      <c r="I266" t="str">
        <f>I$9 * (1.56324003910413E-5 -I$8)</f>
        <v>0</v>
      </c>
    </row>
    <row r="267" spans="1:11">
      <c r="A267" t="str">
        <f>A$9 * (64.0006103515625 -A$8)</f>
        <v>0</v>
      </c>
      <c r="B267" t="str">
        <f>B$9 * (64.0006103515625 -B$8)</f>
        <v>0</v>
      </c>
      <c r="C267" t="str">
        <f>C$9 * (64.0006103515625 -C$8)</f>
        <v>0</v>
      </c>
      <c r="D267" t="str">
        <f>D$9 * (64.0006103515625 -D$8)</f>
        <v>0</v>
      </c>
      <c r="F267" t="str">
        <f>F$9 * (0.005874382797628641 -F$8)</f>
        <v>0</v>
      </c>
      <c r="G267" t="str">
        <f>G$9 * (0.1827612072229385 -G$8)</f>
        <v>0</v>
      </c>
      <c r="H267" t="str">
        <f>H$9 * (0.3262285888195038 -H$8)</f>
        <v>0</v>
      </c>
      <c r="I267" t="str">
        <f>I$9 * (8.899999848210882E-9 -I$8)</f>
        <v>0</v>
      </c>
    </row>
    <row r="268" spans="1:11">
      <c r="A268" t="str">
        <f>A$9 * (64.25003051757812 -A$8)</f>
        <v>0</v>
      </c>
      <c r="B268" t="str">
        <f>B$9 * (64.25003051757812 -B$8)</f>
        <v>0</v>
      </c>
      <c r="C268" t="str">
        <f>C$9 * (64.25003051757812 -C$8)</f>
        <v>0</v>
      </c>
      <c r="D268" t="str">
        <f>D$9 * (64.25003051757812 -D$8)</f>
        <v>0</v>
      </c>
      <c r="F268" t="str">
        <f>F$9 * (0.00965935830026865 -F$8)</f>
        <v>0</v>
      </c>
      <c r="G268" t="str">
        <f>G$9 * (0.4274691939353943 -G$8)</f>
        <v>0</v>
      </c>
      <c r="H268" t="str">
        <f>H$9 * (18.47660064697266 -H$8)</f>
        <v>0</v>
      </c>
      <c r="I268" t="str">
        <f>I$9 * (0.06785199791193008 -I$8)</f>
        <v>0</v>
      </c>
    </row>
    <row r="269" spans="1:11">
      <c r="A269" t="str">
        <f>A$9 * (64.50016784667969 -A$8)</f>
        <v>0</v>
      </c>
      <c r="B269" t="str">
        <f>B$9 * (64.50016784667969 -B$8)</f>
        <v>0</v>
      </c>
      <c r="C269" t="str">
        <f>C$9 * (64.50016784667969 -C$8)</f>
        <v>0</v>
      </c>
      <c r="D269" t="str">
        <f>D$9 * (64.50016784667969 -D$8)</f>
        <v>0</v>
      </c>
      <c r="F269" t="str">
        <f>F$9 * (0.02980922907590866 -F$8)</f>
        <v>0</v>
      </c>
      <c r="G269" t="str">
        <f>G$9 * (14.43912029266357 -G$8)</f>
        <v>0</v>
      </c>
      <c r="H269" t="str">
        <f>H$9 * (20.76081085205078 -H$8)</f>
        <v>0</v>
      </c>
      <c r="I269" t="str">
        <f>I$9 * (0.1572753041982651 -I$8)</f>
        <v>0</v>
      </c>
    </row>
    <row r="270" spans="1:11">
      <c r="A270" t="str">
        <f>A$9 * (64.75025177001953 -A$8)</f>
        <v>0</v>
      </c>
      <c r="B270" t="str">
        <f>B$9 * (64.75025177001953 -B$8)</f>
        <v>0</v>
      </c>
      <c r="C270" t="str">
        <f>C$9 * (64.75025177001953 -C$8)</f>
        <v>0</v>
      </c>
      <c r="D270" t="str">
        <f>D$9 * (64.75025177001953 -D$8)</f>
        <v>0</v>
      </c>
      <c r="F270" t="str">
        <f>F$9 * (0.008554381318390369 -F$8)</f>
        <v>0</v>
      </c>
      <c r="G270" t="str">
        <f>G$9 * (5.920144081115723 -G$8)</f>
        <v>0</v>
      </c>
      <c r="H270" t="str">
        <f>H$9 * (13.70586013793945 -H$8)</f>
        <v>0</v>
      </c>
      <c r="I270" t="str">
        <f>I$9 * (0.03884546086192131 -I$8)</f>
        <v>0</v>
      </c>
    </row>
    <row r="271" spans="1:11">
      <c r="A271" t="str">
        <f>A$9 * (65.00011444091797 -A$8)</f>
        <v>0</v>
      </c>
      <c r="B271" t="str">
        <f>B$9 * (65.00011444091797 -B$8)</f>
        <v>0</v>
      </c>
      <c r="C271" t="str">
        <f>C$9 * (65.00011444091797 -C$8)</f>
        <v>0</v>
      </c>
      <c r="D271" t="str">
        <f>D$9 * (65.00011444091797 -D$8)</f>
        <v>0</v>
      </c>
      <c r="F271" t="str">
        <f>F$9 * (0.008849835023283958 -F$8)</f>
        <v>0</v>
      </c>
      <c r="G271" t="str">
        <f>G$9 * (3.888734102249146 -G$8)</f>
        <v>0</v>
      </c>
      <c r="H271" t="str">
        <f>H$9 * (8.281859397888184 -H$8)</f>
        <v>0</v>
      </c>
      <c r="I271" t="str">
        <f>I$9 * (0.01856972090899944 -I$8)</f>
        <v>0</v>
      </c>
    </row>
    <row r="272" spans="1:11">
      <c r="A272" t="str">
        <f>A$9 * (65.25011444091797 -A$8)</f>
        <v>0</v>
      </c>
      <c r="B272" t="str">
        <f>B$9 * (65.25011444091797 -B$8)</f>
        <v>0</v>
      </c>
      <c r="C272" t="str">
        <f>C$9 * (65.25011444091797 -C$8)</f>
        <v>0</v>
      </c>
      <c r="D272" t="str">
        <f>D$9 * (65.25011444091797 -D$8)</f>
        <v>0</v>
      </c>
      <c r="F272" t="str">
        <f>F$9 * (0.005243539810180664 -F$8)</f>
        <v>0</v>
      </c>
      <c r="G272" t="str">
        <f>G$9 * (2.630527973175049 -G$8)</f>
        <v>0</v>
      </c>
      <c r="H272" t="str">
        <f>H$9 * (8.031924247741699 -H$8)</f>
        <v>0</v>
      </c>
      <c r="I272" t="str">
        <f>I$9 * (0.01305478997528553 -I$8)</f>
        <v>0</v>
      </c>
    </row>
    <row r="273" spans="1:11">
      <c r="A273" t="str">
        <f>A$9 * (65.50025177001953 -A$8)</f>
        <v>0</v>
      </c>
      <c r="B273" t="str">
        <f>B$9 * (65.50025177001953 -B$8)</f>
        <v>0</v>
      </c>
      <c r="C273" t="str">
        <f>C$9 * (65.50025177001953 -C$8)</f>
        <v>0</v>
      </c>
      <c r="D273" t="str">
        <f>D$9 * (65.50025177001953 -D$8)</f>
        <v>0</v>
      </c>
      <c r="F273" t="str">
        <f>F$9 * (0.004255943931639194 -F$8)</f>
        <v>0</v>
      </c>
      <c r="G273" t="str">
        <f>G$9 * (2.11006498336792 -G$8)</f>
        <v>0</v>
      </c>
      <c r="H273" t="str">
        <f>H$9 * (7.515675067901611 -H$8)</f>
        <v>0</v>
      </c>
      <c r="I273" t="str">
        <f>I$9 * (0.01057939976453781 -I$8)</f>
        <v>0</v>
      </c>
    </row>
    <row r="274" spans="1:11">
      <c r="A274" t="str">
        <f>A$9 * (65.75025177001953 -A$8)</f>
        <v>0</v>
      </c>
      <c r="B274" t="str">
        <f>B$9 * (65.75025177001953 -B$8)</f>
        <v>0</v>
      </c>
      <c r="C274" t="str">
        <f>C$9 * (65.75025177001953 -C$8)</f>
        <v>0</v>
      </c>
      <c r="D274" t="str">
        <f>D$9 * (65.75025177001953 -D$8)</f>
        <v>0</v>
      </c>
      <c r="F274" t="str">
        <f>F$9 * (0.006313133053481579 -F$8)</f>
        <v>0</v>
      </c>
      <c r="G274" t="str">
        <f>G$9 * (2.065953016281128 -G$8)</f>
        <v>0</v>
      </c>
      <c r="H274" t="str">
        <f>H$9 * (5.363417148590088 -H$8)</f>
        <v>0</v>
      </c>
      <c r="I274" t="str">
        <f>I$9 * (3.934000005756388E-7 -I$8)</f>
        <v>0</v>
      </c>
    </row>
    <row r="275" spans="1:11">
      <c r="A275" t="str">
        <f>A$9 * (66.00025177001953 -A$8)</f>
        <v>0</v>
      </c>
      <c r="B275" t="str">
        <f>B$9 * (66.00025177001953 -B$8)</f>
        <v>0</v>
      </c>
      <c r="C275" t="str">
        <f>C$9 * (66.00025177001953 -C$8)</f>
        <v>0</v>
      </c>
      <c r="D275" t="str">
        <f>D$9 * (66.00025177001953 -D$8)</f>
        <v>0</v>
      </c>
      <c r="F275" t="str">
        <f>F$9 * (0.007019429933279753 -F$8)</f>
        <v>0</v>
      </c>
      <c r="G275" t="str">
        <f>G$9 * (3.18985390663147 -G$8)</f>
        <v>0</v>
      </c>
      <c r="H275" t="str">
        <f>H$9 * (7.847804069519043 -H$8)</f>
        <v>0</v>
      </c>
      <c r="I275" t="str">
        <f>I$9 * (0.01480225007981062 -I$8)</f>
        <v>0</v>
      </c>
    </row>
    <row r="276" spans="1:11">
      <c r="A276" t="str">
        <f>A$9 * (66.25025177001953 -A$8)</f>
        <v>0</v>
      </c>
      <c r="B276" t="str">
        <f>B$9 * (66.25025177001953 -B$8)</f>
        <v>0</v>
      </c>
      <c r="C276" t="str">
        <f>C$9 * (66.25025177001953 -C$8)</f>
        <v>0</v>
      </c>
      <c r="D276" t="str">
        <f>D$9 * (66.25025177001953 -D$8)</f>
        <v>0</v>
      </c>
      <c r="F276" t="str">
        <f>F$9 * (0.007482971996068954 -F$8)</f>
        <v>0</v>
      </c>
      <c r="G276" t="str">
        <f>G$9 * (3.189645051956177 -G$8)</f>
        <v>0</v>
      </c>
      <c r="H276" t="str">
        <f>H$9 * (7.481750965118408 -H$8)</f>
        <v>0</v>
      </c>
      <c r="I276" t="str">
        <f>I$9 * (0.0143390903249383 -I$8)</f>
        <v>0</v>
      </c>
    </row>
    <row r="277" spans="1:11">
      <c r="A277" t="str">
        <f>A$9 * (66.50013732910156 -A$8)</f>
        <v>0</v>
      </c>
      <c r="B277" t="str">
        <f>B$9 * (66.50013732910156 -B$8)</f>
        <v>0</v>
      </c>
      <c r="C277" t="str">
        <f>C$9 * (66.50013732910156 -C$8)</f>
        <v>0</v>
      </c>
      <c r="D277" t="str">
        <f>D$9 * (66.50013732910156 -D$8)</f>
        <v>0</v>
      </c>
      <c r="F277" t="str">
        <f>F$9 * (0.006809258833527565 -F$8)</f>
        <v>0</v>
      </c>
      <c r="G277" t="str">
        <f>G$9 * (1.403879046440125 -G$8)</f>
        <v>0</v>
      </c>
      <c r="H277" t="str">
        <f>H$9 * (3.382245063781738 -H$8)</f>
        <v>0</v>
      </c>
      <c r="I277" t="str">
        <f>I$9 * (2.198000004227652E-7 -I$8)</f>
        <v>0</v>
      </c>
    </row>
    <row r="278" spans="1:11">
      <c r="A278" t="str">
        <f>A$9 * (66.75027465820312 -A$8)</f>
        <v>0</v>
      </c>
      <c r="B278" t="str">
        <f>B$9 * (66.75027465820312 -B$8)</f>
        <v>0</v>
      </c>
      <c r="C278" t="str">
        <f>C$9 * (66.75027465820312 -C$8)</f>
        <v>0</v>
      </c>
      <c r="D278" t="str">
        <f>D$9 * (66.75027465820312 -D$8)</f>
        <v>0</v>
      </c>
      <c r="F278" t="str">
        <f>F$9 * (0.00598401203751564 -F$8)</f>
        <v>0</v>
      </c>
      <c r="G278" t="str">
        <f>G$9 * (3.276360988616943 -G$8)</f>
        <v>0</v>
      </c>
      <c r="H278" t="str">
        <f>H$9 * (9.126946449279785 -H$8)</f>
        <v>0</v>
      </c>
      <c r="I278" t="str">
        <f>I$9 * (0.01699841022491455 -I$8)</f>
        <v>0</v>
      </c>
    </row>
    <row r="279" spans="1:11">
      <c r="A279" t="str">
        <f>A$9 * (67.00013732910156 -A$8)</f>
        <v>0</v>
      </c>
      <c r="B279" t="str">
        <f>B$9 * (67.00013732910156 -B$8)</f>
        <v>0</v>
      </c>
      <c r="C279" t="str">
        <f>C$9 * (67.00013732910156 -C$8)</f>
        <v>0</v>
      </c>
      <c r="D279" t="str">
        <f>D$9 * (67.00013732910156 -D$8)</f>
        <v>0</v>
      </c>
      <c r="F279" t="str">
        <f>F$9 * (0.005364345852285624 -F$8)</f>
        <v>0</v>
      </c>
      <c r="G279" t="str">
        <f>G$9 * (1.557543039321899 -G$8)</f>
        <v>0</v>
      </c>
      <c r="H279" t="str">
        <f>H$9 * (4.46985912322998 -H$8)</f>
        <v>0</v>
      </c>
      <c r="I279" t="str">
        <f>I$9 * (2.534000032028416E-7 -I$8)</f>
        <v>0</v>
      </c>
    </row>
    <row r="280" spans="1:11">
      <c r="A280" t="str">
        <f>A$9 * (67.25038909912109 -A$8)</f>
        <v>0</v>
      </c>
      <c r="B280" t="str">
        <f>B$9 * (67.25038909912109 -B$8)</f>
        <v>0</v>
      </c>
      <c r="C280" t="str">
        <f>C$9 * (67.25038909912109 -C$8)</f>
        <v>0</v>
      </c>
      <c r="D280" t="str">
        <f>D$9 * (67.25038909912109 -D$8)</f>
        <v>0</v>
      </c>
      <c r="F280" t="str">
        <f>F$9 * (-0.003028671024367213 -F$8)</f>
        <v>0</v>
      </c>
      <c r="G280" t="str">
        <f>G$9 * (-0.7585586905479431 -G$8)</f>
        <v>0</v>
      </c>
      <c r="H280" t="str">
        <f>H$9 * (-2.361452102661133 -H$8)</f>
        <v>0</v>
      </c>
      <c r="I280" t="str">
        <f>I$9 * (0.0009364875149913132 -I$8)</f>
        <v>0</v>
      </c>
    </row>
    <row r="281" spans="1:11">
      <c r="A281" t="str">
        <f>A$9 * (67.50019073486328 -A$8)</f>
        <v>0</v>
      </c>
      <c r="B281" t="str">
        <f>B$9 * (67.50019073486328 -B$8)</f>
        <v>0</v>
      </c>
      <c r="C281" t="str">
        <f>C$9 * (67.50019073486328 -C$8)</f>
        <v>0</v>
      </c>
      <c r="D281" t="str">
        <f>D$9 * (67.50019073486328 -D$8)</f>
        <v>0</v>
      </c>
      <c r="F281" t="str">
        <f>F$9 * (-0.0008747866959311068 -F$8)</f>
        <v>0</v>
      </c>
      <c r="G281" t="str">
        <f>G$9 * (-0.6963732242584229 -G$8)</f>
        <v>0</v>
      </c>
      <c r="H281" t="str">
        <f>H$9 * (-0.1634791046380997 -H$8)</f>
        <v>0</v>
      </c>
      <c r="I281" t="str">
        <f>I$9 * (2.129999998601306E-8 -I$8)</f>
        <v>0</v>
      </c>
    </row>
    <row r="282" spans="1:11">
      <c r="A282" t="str">
        <f>A$9 * (67.75038909912109 -A$8)</f>
        <v>0</v>
      </c>
      <c r="B282" t="str">
        <f>B$9 * (67.75038909912109 -B$8)</f>
        <v>0</v>
      </c>
      <c r="C282" t="str">
        <f>C$9 * (67.75038909912109 -C$8)</f>
        <v>0</v>
      </c>
      <c r="D282" t="str">
        <f>D$9 * (67.75038909912109 -D$8)</f>
        <v>0</v>
      </c>
      <c r="F282" t="str">
        <f>F$9 * (0.001989166950806975 -F$8)</f>
        <v>0</v>
      </c>
      <c r="G282" t="str">
        <f>G$9 * (-0.733167827129364 -G$8)</f>
        <v>0</v>
      </c>
      <c r="H282" t="str">
        <f>H$9 * (3.868951082229614 -H$8)</f>
        <v>0</v>
      </c>
      <c r="I282" t="str">
        <f>I$9 * (6.51800007744896E-7 -I$8)</f>
        <v>0</v>
      </c>
    </row>
    <row r="283" spans="1:11">
      <c r="A283" t="str">
        <f>A$9 * (68.00016784667969 -A$8)</f>
        <v>0</v>
      </c>
      <c r="B283" t="str">
        <f>B$9 * (68.00016784667969 -B$8)</f>
        <v>0</v>
      </c>
      <c r="C283" t="str">
        <f>C$9 * (68.00016784667969 -C$8)</f>
        <v>0</v>
      </c>
      <c r="D283" t="str">
        <f>D$9 * (68.00016784667969 -D$8)</f>
        <v>0</v>
      </c>
      <c r="F283" t="str">
        <f>F$9 * (0.1542485952377319 -F$8)</f>
        <v>0</v>
      </c>
      <c r="G283" t="str">
        <f>G$9 * (20.37801933288574 -G$8)</f>
        <v>0</v>
      </c>
      <c r="H283" t="str">
        <f>H$9 * (21.31040954589844 -H$8)</f>
        <v>0</v>
      </c>
      <c r="I283" t="str">
        <f>I$9 * (0.7334902286529541 -I$8)</f>
        <v>0</v>
      </c>
    </row>
    <row r="284" spans="1:11">
      <c r="A284" t="str">
        <f>A$9 * (68.25013732910156 -A$8)</f>
        <v>0</v>
      </c>
      <c r="B284" t="str">
        <f>B$9 * (68.25013732910156 -B$8)</f>
        <v>0</v>
      </c>
      <c r="C284" t="str">
        <f>C$9 * (68.25013732910156 -C$8)</f>
        <v>0</v>
      </c>
      <c r="D284" t="str">
        <f>D$9 * (68.25013732910156 -D$8)</f>
        <v>0</v>
      </c>
      <c r="F284" t="str">
        <f>F$9 * (0.005313451867550611 -F$8)</f>
        <v>0</v>
      </c>
      <c r="G284" t="str">
        <f>G$9 * (0.6605334877967834 -G$8)</f>
        <v>0</v>
      </c>
      <c r="H284" t="str">
        <f>H$9 * (1.830679059028625 -H$8)</f>
        <v>0</v>
      </c>
      <c r="I284" t="str">
        <f>I$9 * (2.948000030755793E-7 -I$8)</f>
        <v>0</v>
      </c>
    </row>
    <row r="285" spans="1:11">
      <c r="A285" t="str">
        <f>A$9 * (68.50050354003906 -A$8)</f>
        <v>0</v>
      </c>
      <c r="B285" t="str">
        <f>B$9 * (68.50050354003906 -B$8)</f>
        <v>0</v>
      </c>
      <c r="C285" t="str">
        <f>C$9 * (68.50050354003906 -C$8)</f>
        <v>0</v>
      </c>
      <c r="D285" t="str">
        <f>D$9 * (68.50050354003906 -D$8)</f>
        <v>0</v>
      </c>
      <c r="F285" t="str">
        <f>F$9 * (-0.0008103845175355673 -F$8)</f>
        <v>0</v>
      </c>
      <c r="G285" t="str">
        <f>G$9 * (-1.432772994041443 -G$8)</f>
        <v>0</v>
      </c>
      <c r="H285" t="str">
        <f>H$9 * (0.3495123982429504 -H$8)</f>
        <v>0</v>
      </c>
      <c r="I285" t="str">
        <f>I$9 * (4.74999986010971E-8 -I$8)</f>
        <v>0</v>
      </c>
    </row>
    <row r="286" spans="1:11">
      <c r="A286" t="str">
        <f>A$9 * (68.75072479248047 -A$8)</f>
        <v>0</v>
      </c>
      <c r="B286" t="str">
        <f>B$9 * (68.75072479248047 -B$8)</f>
        <v>0</v>
      </c>
      <c r="C286" t="str">
        <f>C$9 * (68.75072479248047 -C$8)</f>
        <v>0</v>
      </c>
      <c r="D286" t="str">
        <f>D$9 * (68.75072479248047 -D$8)</f>
        <v>0</v>
      </c>
      <c r="F286" t="str">
        <f>F$9 * (-0.004135705064982176 -F$8)</f>
        <v>0</v>
      </c>
      <c r="G286" t="str">
        <f>G$9 * (-3.534863948822021 -G$8)</f>
        <v>0</v>
      </c>
      <c r="H286" t="str">
        <f>H$9 * (4.07623291015625 -H$8)</f>
        <v>0</v>
      </c>
      <c r="I286" t="str">
        <f>I$9 * (8.233000130530854E-7 -I$8)</f>
        <v>0</v>
      </c>
    </row>
    <row r="287" spans="1:11">
      <c r="A287" t="str">
        <f>A$9 * (69.00019073486328 -A$8)</f>
        <v>0</v>
      </c>
      <c r="B287" t="str">
        <f>B$9 * (69.00019073486328 -B$8)</f>
        <v>0</v>
      </c>
      <c r="C287" t="str">
        <f>C$9 * (69.00019073486328 -C$8)</f>
        <v>0</v>
      </c>
      <c r="D287" t="str">
        <f>D$9 * (69.00019073486328 -D$8)</f>
        <v>0</v>
      </c>
      <c r="F287" t="str">
        <f>F$9 * (0.01773009076714516 -F$8)</f>
        <v>0</v>
      </c>
      <c r="G287" t="str">
        <f>G$9 * (15.35200023651123 -G$8)</f>
        <v>0</v>
      </c>
      <c r="H287" t="str">
        <f>H$9 * (46.45610046386719 -H$8)</f>
        <v>0</v>
      </c>
      <c r="I287" t="str">
        <f>I$9 * (0.4943425059318542 -I$8)</f>
        <v>0</v>
      </c>
    </row>
    <row r="288" spans="1:11">
      <c r="A288" t="str">
        <f>A$9 * (69.25027465820312 -A$8)</f>
        <v>0</v>
      </c>
      <c r="B288" t="str">
        <f>B$9 * (69.25027465820312 -B$8)</f>
        <v>0</v>
      </c>
      <c r="C288" t="str">
        <f>C$9 * (69.25027465820312 -C$8)</f>
        <v>0</v>
      </c>
      <c r="D288" t="str">
        <f>D$9 * (69.25027465820312 -D$8)</f>
        <v>0</v>
      </c>
      <c r="F288" t="str">
        <f>F$9 * (0.05945127084851265 -F$8)</f>
        <v>0</v>
      </c>
      <c r="G288" t="str">
        <f>G$9 * (10.05305957794189 -G$8)</f>
        <v>0</v>
      </c>
      <c r="H288" t="str">
        <f>H$9 * (10.70742988586426 -H$8)</f>
        <v>0</v>
      </c>
      <c r="I288" t="str">
        <f>I$9 * (0.1214087009429932 -I$8)</f>
        <v>0</v>
      </c>
    </row>
    <row r="289" spans="1:11">
      <c r="A289" t="str">
        <f>A$9 * (69.50005340576172 -A$8)</f>
        <v>0</v>
      </c>
      <c r="B289" t="str">
        <f>B$9 * (69.50005340576172 -B$8)</f>
        <v>0</v>
      </c>
      <c r="C289" t="str">
        <f>C$9 * (69.50005340576172 -C$8)</f>
        <v>0</v>
      </c>
      <c r="D289" t="str">
        <f>D$9 * (69.50005340576172 -D$8)</f>
        <v>0</v>
      </c>
      <c r="F289" t="str">
        <f>F$9 * (0.0119519904255867 -F$8)</f>
        <v>0</v>
      </c>
      <c r="G289" t="str">
        <f>G$9 * (7.324081897735596 -G$8)</f>
        <v>0</v>
      </c>
      <c r="H289" t="str">
        <f>H$9 * (13.8743200302124 -H$8)</f>
        <v>0</v>
      </c>
      <c r="I289" t="str">
        <f>I$9 * (0.04755000025033951 -I$8)</f>
        <v>0</v>
      </c>
    </row>
    <row r="290" spans="1:11">
      <c r="A290" t="str">
        <f>A$9 * (69.75030517578125 -A$8)</f>
        <v>0</v>
      </c>
      <c r="B290" t="str">
        <f>B$9 * (69.75030517578125 -B$8)</f>
        <v>0</v>
      </c>
      <c r="C290" t="str">
        <f>C$9 * (69.75030517578125 -C$8)</f>
        <v>0</v>
      </c>
      <c r="D290" t="str">
        <f>D$9 * (69.75030517578125 -D$8)</f>
        <v>0</v>
      </c>
      <c r="F290" t="str">
        <f>F$9 * (0.005333386827260256 -F$8)</f>
        <v>0</v>
      </c>
      <c r="G290" t="str">
        <f>G$9 * (2.931015968322754 -G$8)</f>
        <v>0</v>
      </c>
      <c r="H290" t="str">
        <f>H$9 * (8.90892219543457 -H$8)</f>
        <v>0</v>
      </c>
      <c r="I290" t="str">
        <f>I$9 * (0.01549813989549875 -I$8)</f>
        <v>0</v>
      </c>
    </row>
    <row r="291" spans="1:11">
      <c r="A291" t="str">
        <f>A$9 * (70.00027465820312 -A$8)</f>
        <v>0</v>
      </c>
      <c r="B291" t="str">
        <f>B$9 * (70.00027465820312 -B$8)</f>
        <v>0</v>
      </c>
      <c r="C291" t="str">
        <f>C$9 * (70.00027465820312 -C$8)</f>
        <v>0</v>
      </c>
      <c r="D291" t="str">
        <f>D$9 * (70.00027465820312 -D$8)</f>
        <v>0</v>
      </c>
      <c r="F291" t="str">
        <f>F$9 * (0.005982636008411646 -F$8)</f>
        <v>0</v>
      </c>
      <c r="G291" t="str">
        <f>G$9 * (2.83447790145874 -G$8)</f>
        <v>0</v>
      </c>
      <c r="H291" t="str">
        <f>H$9 * (7.828499794006348 -H$8)</f>
        <v>0</v>
      </c>
      <c r="I291" t="str">
        <f>I$9 * (0.01347144041210413 -I$8)</f>
        <v>0</v>
      </c>
    </row>
    <row r="292" spans="1:11">
      <c r="A292" t="str">
        <f>A$9 * (70.25016784667969 -A$8)</f>
        <v>0</v>
      </c>
      <c r="B292" t="str">
        <f>B$9 * (70.25016784667969 -B$8)</f>
        <v>0</v>
      </c>
      <c r="C292" t="str">
        <f>C$9 * (70.25016784667969 -C$8)</f>
        <v>0</v>
      </c>
      <c r="D292" t="str">
        <f>D$9 * (70.25016784667969 -D$8)</f>
        <v>0</v>
      </c>
      <c r="F292" t="str">
        <f>F$9 * (0.004646418150514364 -F$8)</f>
        <v>0</v>
      </c>
      <c r="G292" t="str">
        <f>G$9 * (2.268960952758789 -G$8)</f>
        <v>0</v>
      </c>
      <c r="H292" t="str">
        <f>H$9 * (7.54696798324585 -H$8)</f>
        <v>0</v>
      </c>
      <c r="I292" t="str">
        <f>I$9 * (0.01111907046288252 -I$8)</f>
        <v>0</v>
      </c>
    </row>
    <row r="293" spans="1:11">
      <c r="A293" t="str">
        <f>A$9 * (70.50022125244141 -A$8)</f>
        <v>0</v>
      </c>
      <c r="B293" t="str">
        <f>B$9 * (70.50022125244141 -B$8)</f>
        <v>0</v>
      </c>
      <c r="C293" t="str">
        <f>C$9 * (70.50022125244141 -C$8)</f>
        <v>0</v>
      </c>
      <c r="D293" t="str">
        <f>D$9 * (70.50022125244141 -D$8)</f>
        <v>0</v>
      </c>
      <c r="F293" t="str">
        <f>F$9 * (0.00458488380536437 -F$8)</f>
        <v>0</v>
      </c>
      <c r="G293" t="str">
        <f>G$9 * (1.923769950866699 -G$8)</f>
        <v>0</v>
      </c>
      <c r="H293" t="str">
        <f>H$9 * (6.384655952453613 -H$8)</f>
        <v>0</v>
      </c>
      <c r="I293" t="str">
        <f>I$9 * (3.828999979305081E-7 -I$8)</f>
        <v>0</v>
      </c>
    </row>
    <row r="294" spans="1:11">
      <c r="A294" t="str">
        <f>A$9 * (70.75019073486328 -A$8)</f>
        <v>0</v>
      </c>
      <c r="B294" t="str">
        <f>B$9 * (70.75019073486328 -B$8)</f>
        <v>0</v>
      </c>
      <c r="C294" t="str">
        <f>C$9 * (70.75019073486328 -C$8)</f>
        <v>0</v>
      </c>
      <c r="D294" t="str">
        <f>D$9 * (70.75019073486328 -D$8)</f>
        <v>0</v>
      </c>
      <c r="F294" t="str">
        <f>F$9 * (0.01126264967024326 -F$8)</f>
        <v>0</v>
      </c>
      <c r="G294" t="str">
        <f>G$9 * (3.989612102508545 -G$8)</f>
        <v>0</v>
      </c>
      <c r="H294" t="str">
        <f>H$9 * (7.241240978240967 -H$8)</f>
        <v>0</v>
      </c>
      <c r="I294" t="str">
        <f>I$9 * (0.0181081797927618 -I$8)</f>
        <v>0</v>
      </c>
    </row>
    <row r="295" spans="1:11">
      <c r="A295" t="str">
        <f>A$9 * (71.00016784667969 -A$8)</f>
        <v>0</v>
      </c>
      <c r="B295" t="str">
        <f>B$9 * (71.00016784667969 -B$8)</f>
        <v>0</v>
      </c>
      <c r="C295" t="str">
        <f>C$9 * (71.00016784667969 -C$8)</f>
        <v>0</v>
      </c>
      <c r="D295" t="str">
        <f>D$9 * (71.00016784667969 -D$8)</f>
        <v>0</v>
      </c>
      <c r="F295" t="str">
        <f>F$9 * (0.007076709996908903 -F$8)</f>
        <v>0</v>
      </c>
      <c r="G295" t="str">
        <f>G$9 * (3.045613050460815 -G$8)</f>
        <v>0</v>
      </c>
      <c r="H295" t="str">
        <f>H$9 * (7.417926788330078 -H$8)</f>
        <v>0</v>
      </c>
      <c r="I295" t="str">
        <f>I$9 * (0.0136759402230382 -I$8)</f>
        <v>0</v>
      </c>
    </row>
    <row r="296" spans="1:11">
      <c r="A296" t="str">
        <f>A$9 * (71.25013732910156 -A$8)</f>
        <v>0</v>
      </c>
      <c r="B296" t="str">
        <f>B$9 * (71.25013732910156 -B$8)</f>
        <v>0</v>
      </c>
      <c r="C296" t="str">
        <f>C$9 * (71.25013732910156 -C$8)</f>
        <v>0</v>
      </c>
      <c r="D296" t="str">
        <f>D$9 * (71.25013732910156 -D$8)</f>
        <v>0</v>
      </c>
      <c r="F296" t="str">
        <f>F$9 * (0.004216722212731838 -F$8)</f>
        <v>0</v>
      </c>
      <c r="G296" t="str">
        <f>G$9 * (1.121472001075745 -G$8)</f>
        <v>0</v>
      </c>
      <c r="H296" t="str">
        <f>H$9 * (3.865113019943237 -H$8)</f>
        <v>0</v>
      </c>
      <c r="I296" t="str">
        <f>I$9 * (6.407000228136894E-7 -I$8)</f>
        <v>0</v>
      </c>
    </row>
    <row r="297" spans="1:11">
      <c r="A297" t="str">
        <f>A$9 * (71.50016784667969 -A$8)</f>
        <v>0</v>
      </c>
      <c r="B297" t="str">
        <f>B$9 * (71.50016784667969 -B$8)</f>
        <v>0</v>
      </c>
      <c r="C297" t="str">
        <f>C$9 * (71.50016784667969 -C$8)</f>
        <v>0</v>
      </c>
      <c r="D297" t="str">
        <f>D$9 * (71.50016784667969 -D$8)</f>
        <v>0</v>
      </c>
      <c r="F297" t="str">
        <f>F$9 * (-0.00117495097219944 -F$8)</f>
        <v>0</v>
      </c>
      <c r="G297" t="str">
        <f>G$9 * (-0.1970801055431366 -G$8)</f>
        <v>0</v>
      </c>
      <c r="H297" t="str">
        <f>H$9 * (1.349668979644775 -H$8)</f>
        <v>0</v>
      </c>
      <c r="I297" t="str">
        <f>I$9 * (3.590000119402248E-8 -I$8)</f>
        <v>0</v>
      </c>
    </row>
    <row r="298" spans="1:11">
      <c r="A298" t="str">
        <f>A$9 * (71.75038909912109 -A$8)</f>
        <v>0</v>
      </c>
      <c r="B298" t="str">
        <f>B$9 * (71.75038909912109 -B$8)</f>
        <v>0</v>
      </c>
      <c r="C298" t="str">
        <f>C$9 * (71.75038909912109 -C$8)</f>
        <v>0</v>
      </c>
      <c r="D298" t="str">
        <f>D$9 * (71.75038909912109 -D$8)</f>
        <v>0</v>
      </c>
      <c r="F298" t="str">
        <f>F$9 * (0.0005343094235286117 -F$8)</f>
        <v>0</v>
      </c>
      <c r="G298" t="str">
        <f>G$9 * (-0.6584184169769287 -G$8)</f>
        <v>0</v>
      </c>
      <c r="H298" t="str">
        <f>H$9 * (0.8301180005073547 -H$8)</f>
        <v>0</v>
      </c>
      <c r="I298" t="str">
        <f>I$9 * (1.461000067592977E-7 -I$8)</f>
        <v>0</v>
      </c>
    </row>
    <row r="299" spans="1:11">
      <c r="A299" t="str">
        <f>A$9 * (72.00019073486328 -A$8)</f>
        <v>0</v>
      </c>
      <c r="B299" t="str">
        <f>B$9 * (72.00019073486328 -B$8)</f>
        <v>0</v>
      </c>
      <c r="C299" t="str">
        <f>C$9 * (72.00019073486328 -C$8)</f>
        <v>0</v>
      </c>
      <c r="D299" t="str">
        <f>D$9 * (72.00019073486328 -D$8)</f>
        <v>0</v>
      </c>
      <c r="F299" t="str">
        <f>F$9 * (0.006972138769924641 -F$8)</f>
        <v>0</v>
      </c>
      <c r="G299" t="str">
        <f>G$9 * (0.5692973136901855 -G$8)</f>
        <v>0</v>
      </c>
      <c r="H299" t="str">
        <f>H$9 * (23.34474945068359 -H$8)</f>
        <v>0</v>
      </c>
      <c r="I299" t="str">
        <f>I$9 * (0.08932019770145416 -I$8)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9"/>
  <sheetViews>
    <sheetView tabSelected="0" workbookViewId="0" showGridLines="true" showRowColHeaders="1">
      <selection activeCell="I10" sqref="I10"/>
    </sheetView>
  </sheetViews>
  <sheetFormatPr defaultRowHeight="14.4" outlineLevelRow="0" outlineLevelCol="0"/>
  <sheetData>
    <row r="1" spans="1:11">
      <c r="A1" s="2" t="s">
        <v>10</v>
      </c>
      <c r="B1" s="2" t="s">
        <v>10</v>
      </c>
      <c r="C1" s="2" t="s">
        <v>10</v>
      </c>
      <c r="D1" s="2" t="s">
        <v>10</v>
      </c>
      <c r="E1" s="1"/>
      <c r="F1" s="2" t="s">
        <v>11</v>
      </c>
      <c r="G1" s="2" t="s">
        <v>12</v>
      </c>
      <c r="H1" s="2" t="s">
        <v>12</v>
      </c>
      <c r="I1" s="2" t="s">
        <v>13</v>
      </c>
    </row>
    <row r="2" spans="1:11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tr">
        <f>'Legends'!B2</f>
        <v>0</v>
      </c>
      <c r="G2" s="1" t="str">
        <f>'Legends'!B3</f>
        <v>0</v>
      </c>
      <c r="H2" s="1" t="str">
        <f>'Legends'!B4</f>
        <v>0</v>
      </c>
      <c r="I2" s="1" t="str">
        <f>'Legends'!B5</f>
        <v>0</v>
      </c>
      <c r="K2" s="3" t="s">
        <v>26</v>
      </c>
    </row>
    <row r="3" spans="1:11">
      <c r="A3" t="str">
        <f>MIN($A$11:$A$299)</f>
        <v>0</v>
      </c>
      <c r="B3" t="str">
        <f>MIN($B$11:$B$299)</f>
        <v>0</v>
      </c>
      <c r="C3" t="str">
        <f>MIN($C$11:$C$299)</f>
        <v>0</v>
      </c>
      <c r="D3" t="str">
        <f>MIN($D$11:$D$299)</f>
        <v>0</v>
      </c>
      <c r="E3" s="1" t="s">
        <v>19</v>
      </c>
      <c r="F3" t="str">
        <f>MIN($F$11:$F$299)</f>
        <v>0</v>
      </c>
      <c r="G3" t="str">
        <f>MIN($G$11:$G$299)</f>
        <v>0</v>
      </c>
      <c r="H3" t="str">
        <f>MIN($H$11:$H$299)</f>
        <v>0</v>
      </c>
      <c r="I3" t="str">
        <f>MIN($I$11:$I$299)</f>
        <v>0</v>
      </c>
    </row>
    <row r="4" spans="1:11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t="str">
        <f>MEDIAN($D$11:$D$299)</f>
        <v>0</v>
      </c>
      <c r="E4" s="1" t="s">
        <v>20</v>
      </c>
      <c r="F4" t="str">
        <f>MEDIAN($F$11:$F$299)</f>
        <v>0</v>
      </c>
      <c r="G4" t="str">
        <f>MEDIAN($G$11:$G$299)</f>
        <v>0</v>
      </c>
      <c r="H4" t="str">
        <f>MEDIAN($H$11:$H$299)</f>
        <v>0</v>
      </c>
      <c r="I4" t="str">
        <f>MEDIAN($I$11:$I$299)</f>
        <v>0</v>
      </c>
    </row>
    <row r="5" spans="1:11">
      <c r="A5" t="str">
        <f>MAX($A$11:$A$299)</f>
        <v>0</v>
      </c>
      <c r="B5" t="str">
        <f>MAX($B$11:$B$299)</f>
        <v>0</v>
      </c>
      <c r="C5" t="str">
        <f>MAX($C$11:$C$299)</f>
        <v>0</v>
      </c>
      <c r="D5" t="str">
        <f>MAX($D$11:$D$299)</f>
        <v>0</v>
      </c>
      <c r="E5" s="1" t="s">
        <v>21</v>
      </c>
      <c r="F5" t="str">
        <f>MAX($F$11:$F$299)</f>
        <v>0</v>
      </c>
      <c r="G5" t="str">
        <f>MAX($G$11:$G$299)</f>
        <v>0</v>
      </c>
      <c r="H5" t="str">
        <f>MAX($H$11:$H$299)</f>
        <v>0</v>
      </c>
      <c r="I5" t="str">
        <f>MAX($I$11:$I$299)</f>
        <v>0</v>
      </c>
    </row>
    <row r="6" spans="1:11">
      <c r="A6" t="str">
        <f>$A5-$A3</f>
        <v>0</v>
      </c>
      <c r="B6" t="str">
        <f>$B5-$B3</f>
        <v>0</v>
      </c>
      <c r="C6" t="str">
        <f>$C5-$C3</f>
        <v>0</v>
      </c>
      <c r="D6" t="str">
        <f>$D5-$D3</f>
        <v>0</v>
      </c>
      <c r="E6" s="1" t="s">
        <v>22</v>
      </c>
      <c r="F6" t="str">
        <f>$F5-$F3</f>
        <v>0</v>
      </c>
      <c r="G6" t="str">
        <f>$G5-$G3</f>
        <v>0</v>
      </c>
      <c r="H6" t="str">
        <f>$H5-$H3</f>
        <v>0</v>
      </c>
      <c r="I6" t="str">
        <f>$I5-$I3</f>
        <v>0</v>
      </c>
    </row>
    <row r="7" spans="1:11">
      <c r="A7" s="2" t="s">
        <v>10</v>
      </c>
      <c r="B7" s="2" t="s">
        <v>10</v>
      </c>
      <c r="C7" s="2" t="s">
        <v>10</v>
      </c>
      <c r="D7" s="2" t="s">
        <v>10</v>
      </c>
      <c r="E7" s="1"/>
      <c r="F7" s="2" t="s">
        <v>11</v>
      </c>
      <c r="G7" s="2" t="s">
        <v>12</v>
      </c>
      <c r="H7" s="2" t="s">
        <v>12</v>
      </c>
      <c r="I7" s="2" t="s">
        <v>13</v>
      </c>
    </row>
    <row r="8" spans="1:11">
      <c r="A8">
        <v>0</v>
      </c>
      <c r="B8">
        <v>0</v>
      </c>
      <c r="C8">
        <v>0</v>
      </c>
      <c r="D8">
        <v>0</v>
      </c>
      <c r="E8" s="1" t="s">
        <v>23</v>
      </c>
      <c r="F8">
        <v>0</v>
      </c>
      <c r="G8">
        <v>0</v>
      </c>
      <c r="H8">
        <v>0</v>
      </c>
      <c r="I8">
        <v>0</v>
      </c>
    </row>
    <row r="9" spans="1:11">
      <c r="A9">
        <v>1</v>
      </c>
      <c r="B9">
        <v>1</v>
      </c>
      <c r="C9">
        <v>1</v>
      </c>
      <c r="D9">
        <v>1</v>
      </c>
      <c r="E9" s="1" t="s">
        <v>24</v>
      </c>
      <c r="F9">
        <v>1</v>
      </c>
      <c r="G9">
        <v>1</v>
      </c>
      <c r="H9">
        <v>1</v>
      </c>
      <c r="I9">
        <v>1</v>
      </c>
    </row>
    <row r="10" spans="1:11">
      <c r="A10" s="1" t="s">
        <v>14</v>
      </c>
      <c r="B10" s="1" t="s">
        <v>15</v>
      </c>
      <c r="C10" s="1" t="s">
        <v>16</v>
      </c>
      <c r="D10" s="1" t="s">
        <v>17</v>
      </c>
      <c r="E10" s="1"/>
      <c r="F10" s="1" t="str">
        <f>'Legends'!B2</f>
        <v>0</v>
      </c>
      <c r="G10" s="1" t="str">
        <f>'Legends'!B3</f>
        <v>0</v>
      </c>
      <c r="H10" s="1" t="str">
        <f>'Legends'!B4</f>
        <v>0</v>
      </c>
      <c r="I10" s="1" t="str">
        <f>'Legends'!B5</f>
        <v>0</v>
      </c>
    </row>
    <row r="11" spans="1:11">
      <c r="A11" t="str">
        <f>A$9 * (0 -A$8)</f>
        <v>0</v>
      </c>
      <c r="B11" t="str">
        <f>B$9 * (0 -B$8)</f>
        <v>0</v>
      </c>
      <c r="C11" t="str">
        <f>C$9 * (0 -C$8)</f>
        <v>0</v>
      </c>
      <c r="D11" t="str">
        <f>D$9 * (0 -D$8)</f>
        <v>0</v>
      </c>
      <c r="F11" t="str">
        <f>F$9 * (0.01899014040827751 -F$8)</f>
        <v>0</v>
      </c>
      <c r="G11" t="str">
        <f>G$9 * (6.976023197174072 -G$8)</f>
        <v>0</v>
      </c>
      <c r="H11" t="str">
        <f>H$9 * (9.87746524810791 -H$8)</f>
        <v>0</v>
      </c>
      <c r="I11" t="str">
        <f>I$9 * (0.04023474827408791 -I$8)</f>
        <v>0</v>
      </c>
    </row>
    <row r="12" spans="1:11">
      <c r="A12" t="str">
        <f>A$9 * (0.2503923773765564 -A$8)</f>
        <v>0</v>
      </c>
      <c r="B12" t="str">
        <f>B$9 * (0.2503923773765564 -B$8)</f>
        <v>0</v>
      </c>
      <c r="C12" t="str">
        <f>C$9 * (0.2503923773765564 -C$8)</f>
        <v>0</v>
      </c>
      <c r="D12" t="str">
        <f>D$9 * (0.2503923773765564 -D$8)</f>
        <v>0</v>
      </c>
      <c r="F12" t="str">
        <f>F$9 * (0.0130656398832798 -F$8)</f>
        <v>0</v>
      </c>
      <c r="G12" t="str">
        <f>G$9 * (6.005105018615723 -G$8)</f>
        <v>0</v>
      </c>
      <c r="H12" t="str">
        <f>H$9 * (10.26500034332275 -H$8)</f>
        <v>0</v>
      </c>
      <c r="I12" t="str">
        <f>I$9 * (0.03208952024579048 -I$8)</f>
        <v>0</v>
      </c>
    </row>
    <row r="13" spans="1:11">
      <c r="A13" t="str">
        <f>A$9 * (0.5000028014183044 -A$8)</f>
        <v>0</v>
      </c>
      <c r="B13" t="str">
        <f>B$9 * (0.5000028014183044 -B$8)</f>
        <v>0</v>
      </c>
      <c r="C13" t="str">
        <f>C$9 * (0.5000028014183044 -C$8)</f>
        <v>0</v>
      </c>
      <c r="D13" t="str">
        <f>D$9 * (0.5000028014183044 -D$8)</f>
        <v>0</v>
      </c>
      <c r="F13" t="str">
        <f>F$9 * (0.009224898181855679 -F$8)</f>
        <v>0</v>
      </c>
      <c r="G13" t="str">
        <f>G$9 * (4.252870082855225 -G$8)</f>
        <v>0</v>
      </c>
      <c r="H13" t="str">
        <f>H$9 * (8.758434295654297 -H$8)</f>
        <v>0</v>
      </c>
      <c r="I13" t="str">
        <f>I$9 * (0.02026757970452309 -I$8)</f>
        <v>0</v>
      </c>
    </row>
    <row r="14" spans="1:11">
      <c r="A14" t="str">
        <f>A$9 * (0.7500805258750916 -A$8)</f>
        <v>0</v>
      </c>
      <c r="B14" t="str">
        <f>B$9 * (0.7500805258750916 -B$8)</f>
        <v>0</v>
      </c>
      <c r="C14" t="str">
        <f>C$9 * (0.7500805258750916 -C$8)</f>
        <v>0</v>
      </c>
      <c r="D14" t="str">
        <f>D$9 * (0.7500805258750916 -D$8)</f>
        <v>0</v>
      </c>
      <c r="F14" t="str">
        <f>F$9 * (0.01388760004192591 -F$8)</f>
        <v>0</v>
      </c>
      <c r="G14" t="str">
        <f>G$9 * (4.405671119689941 -G$8)</f>
        <v>0</v>
      </c>
      <c r="H14" t="str">
        <f>H$9 * (7.069362163543701 -H$8)</f>
        <v>0</v>
      </c>
      <c r="I14" t="str">
        <f>I$9 * (0.02031189016997814 -I$8)</f>
        <v>0</v>
      </c>
    </row>
    <row r="15" spans="1:11">
      <c r="A15" t="str">
        <f>A$9 * (1.00001060962677 -A$8)</f>
        <v>0</v>
      </c>
      <c r="B15" t="str">
        <f>B$9 * (1.00001060962677 -B$8)</f>
        <v>0</v>
      </c>
      <c r="C15" t="str">
        <f>C$9 * (1.00001060962677 -C$8)</f>
        <v>0</v>
      </c>
      <c r="D15" t="str">
        <f>D$9 * (1.00001060962677 -D$8)</f>
        <v>0</v>
      </c>
      <c r="F15" t="str">
        <f>F$9 * (0.0005696294829249382 -F$8)</f>
        <v>0</v>
      </c>
      <c r="G15" t="str">
        <f>G$9 * (0.2561661005020142 -G$8)</f>
        <v>0</v>
      </c>
      <c r="H15" t="str">
        <f>H$9 * (2.083694934844971 -H$8)</f>
        <v>0</v>
      </c>
      <c r="I15" t="str">
        <f>I$9 * (2.971236944198608 -I$8)</f>
        <v>0</v>
      </c>
    </row>
    <row r="16" spans="1:11">
      <c r="A16" t="str">
        <f>A$9 * (1.250348329544067 -A$8)</f>
        <v>0</v>
      </c>
      <c r="B16" t="str">
        <f>B$9 * (1.250348329544067 -B$8)</f>
        <v>0</v>
      </c>
      <c r="C16" t="str">
        <f>C$9 * (1.250348329544067 -C$8)</f>
        <v>0</v>
      </c>
      <c r="D16" t="str">
        <f>D$9 * (1.250348329544067 -D$8)</f>
        <v>0</v>
      </c>
      <c r="F16" t="str">
        <f>F$9 * (0.007256591226905584 -F$8)</f>
        <v>0</v>
      </c>
      <c r="G16" t="str">
        <f>G$9 * (2.369231939315796 -G$8)</f>
        <v>0</v>
      </c>
      <c r="H16" t="str">
        <f>H$9 * (5.474161148071289 -H$8)</f>
        <v>0</v>
      </c>
      <c r="I16" t="str">
        <f>I$9 * (3.75844407081604 -I$8)</f>
        <v>0</v>
      </c>
    </row>
    <row r="17" spans="1:11">
      <c r="A17" t="str">
        <f>A$9 * (1.50030505657196 -A$8)</f>
        <v>0</v>
      </c>
      <c r="B17" t="str">
        <f>B$9 * (1.50030505657196 -B$8)</f>
        <v>0</v>
      </c>
      <c r="C17" t="str">
        <f>C$9 * (1.50030505657196 -C$8)</f>
        <v>0</v>
      </c>
      <c r="D17" t="str">
        <f>D$9 * (1.50030505657196 -D$8)</f>
        <v>0</v>
      </c>
      <c r="F17" t="str">
        <f>F$9 * (0.00816324632614851 -F$8)</f>
        <v>0</v>
      </c>
      <c r="G17" t="str">
        <f>G$9 * (2.651293992996216 -G$8)</f>
        <v>0</v>
      </c>
      <c r="H17" t="str">
        <f>H$9 * (5.677178859710693 -H$8)</f>
        <v>0</v>
      </c>
      <c r="I17" t="str">
        <f>I$9 * (4.475828170776367 -I$8)</f>
        <v>0</v>
      </c>
    </row>
    <row r="18" spans="1:11">
      <c r="A18" t="str">
        <f>A$9 * (1.750392556190491 -A$8)</f>
        <v>0</v>
      </c>
      <c r="B18" t="str">
        <f>B$9 * (1.750392556190491 -B$8)</f>
        <v>0</v>
      </c>
      <c r="C18" t="str">
        <f>C$9 * (1.750392556190491 -C$8)</f>
        <v>0</v>
      </c>
      <c r="D18" t="str">
        <f>D$9 * (1.750392556190491 -D$8)</f>
        <v>0</v>
      </c>
      <c r="F18" t="str">
        <f>F$9 * (0.006871405988931656 -F$8)</f>
        <v>0</v>
      </c>
      <c r="G18" t="str">
        <f>G$9 * (2.744770050048828 -G$8)</f>
        <v>0</v>
      </c>
      <c r="H18" t="str">
        <f>H$9 * (6.644062042236328 -H$8)</f>
        <v>0</v>
      </c>
      <c r="I18" t="str">
        <f>I$9 * (5.350574016571045 -I$8)</f>
        <v>0</v>
      </c>
    </row>
    <row r="19" spans="1:11">
      <c r="A19" t="str">
        <f>A$9 * (2.000049829483032 -A$8)</f>
        <v>0</v>
      </c>
      <c r="B19" t="str">
        <f>B$9 * (2.000049829483032 -B$8)</f>
        <v>0</v>
      </c>
      <c r="C19" t="str">
        <f>C$9 * (2.000049829483032 -C$8)</f>
        <v>0</v>
      </c>
      <c r="D19" t="str">
        <f>D$9 * (2.000049829483032 -D$8)</f>
        <v>0</v>
      </c>
      <c r="F19" t="str">
        <f>F$9 * (0.008460048586130142 -F$8)</f>
        <v>0</v>
      </c>
      <c r="G19" t="str">
        <f>G$9 * (2.363219022750854 -G$8)</f>
        <v>0</v>
      </c>
      <c r="H19" t="str">
        <f>H$9 * (4.914949893951416 -H$8)</f>
        <v>0</v>
      </c>
      <c r="I19" t="str">
        <f>I$9 * (3.542853116989136 -I$8)</f>
        <v>0</v>
      </c>
    </row>
    <row r="20" spans="1:11">
      <c r="A20" t="str">
        <f>A$9 * (2.250324249267578 -A$8)</f>
        <v>0</v>
      </c>
      <c r="B20" t="str">
        <f>B$9 * (2.250324249267578 -B$8)</f>
        <v>0</v>
      </c>
      <c r="C20" t="str">
        <f>C$9 * (2.250324249267578 -C$8)</f>
        <v>0</v>
      </c>
      <c r="D20" t="str">
        <f>D$9 * (2.250324249267578 -D$8)</f>
        <v>0</v>
      </c>
      <c r="F20" t="str">
        <f>F$9 * (0.01086783967912197 -F$8)</f>
        <v>0</v>
      </c>
      <c r="G20" t="str">
        <f>G$9 * (3.11926007270813 -G$8)</f>
        <v>0</v>
      </c>
      <c r="H20" t="str">
        <f>H$9 * (5.597668170928955 -H$8)</f>
        <v>0</v>
      </c>
      <c r="I20" t="str">
        <f>I$9 * (5.754210948944092 -I$8)</f>
        <v>0</v>
      </c>
    </row>
    <row r="21" spans="1:11">
      <c r="A21" t="str">
        <f>A$9 * (2.500113248825073 -A$8)</f>
        <v>0</v>
      </c>
      <c r="B21" t="str">
        <f>B$9 * (2.500113248825073 -B$8)</f>
        <v>0</v>
      </c>
      <c r="C21" t="str">
        <f>C$9 * (2.500113248825073 -C$8)</f>
        <v>0</v>
      </c>
      <c r="D21" t="str">
        <f>D$9 * (2.500113248825073 -D$8)</f>
        <v>0</v>
      </c>
      <c r="F21" t="str">
        <f>F$9 * (0.008708593435585499 -F$8)</f>
        <v>0</v>
      </c>
      <c r="G21" t="str">
        <f>G$9 * (3.018985033035278 -G$8)</f>
        <v>0</v>
      </c>
      <c r="H21" t="str">
        <f>H$9 * (6.234920024871826 -H$8)</f>
        <v>0</v>
      </c>
      <c r="I21" t="str">
        <f>I$9 * (5.779624938964844 -I$8)</f>
        <v>0</v>
      </c>
    </row>
    <row r="22" spans="1:11">
      <c r="A22" t="str">
        <f>A$9 * (2.750228643417358 -A$8)</f>
        <v>0</v>
      </c>
      <c r="B22" t="str">
        <f>B$9 * (2.750228643417358 -B$8)</f>
        <v>0</v>
      </c>
      <c r="C22" t="str">
        <f>C$9 * (2.750228643417358 -C$8)</f>
        <v>0</v>
      </c>
      <c r="D22" t="str">
        <f>D$9 * (2.750228643417358 -D$8)</f>
        <v>0</v>
      </c>
      <c r="F22" t="str">
        <f>F$9 * (0.008451846428215504 -F$8)</f>
        <v>0</v>
      </c>
      <c r="G22" t="str">
        <f>G$9 * (2.745414018630981 -G$8)</f>
        <v>0</v>
      </c>
      <c r="H22" t="str">
        <f>H$9 * (5.756985187530518 -H$8)</f>
        <v>0</v>
      </c>
      <c r="I22" t="str">
        <f>I$9 * (4.763092994689941 -I$8)</f>
        <v>0</v>
      </c>
    </row>
    <row r="23" spans="1:11">
      <c r="A23" t="str">
        <f>A$9 * (3.000202894210815 -A$8)</f>
        <v>0</v>
      </c>
      <c r="B23" t="str">
        <f>B$9 * (3.000202894210815 -B$8)</f>
        <v>0</v>
      </c>
      <c r="C23" t="str">
        <f>C$9 * (3.000202894210815 -C$8)</f>
        <v>0</v>
      </c>
      <c r="D23" t="str">
        <f>D$9 * (3.000202894210815 -D$8)</f>
        <v>0</v>
      </c>
      <c r="F23" t="str">
        <f>F$9 * (0.01171903964132071 -F$8)</f>
        <v>0</v>
      </c>
      <c r="G23" t="str">
        <f>G$9 * (3.035969972610474 -G$8)</f>
        <v>0</v>
      </c>
      <c r="H23" t="str">
        <f>H$9 * (5.20297384262085 -H$8)</f>
        <v>0</v>
      </c>
      <c r="I23" t="str">
        <f>I$9 * (5.401939868927002 -I$8)</f>
        <v>0</v>
      </c>
    </row>
    <row r="24" spans="1:11">
      <c r="A24" t="str">
        <f>A$9 * (3.25017786026001 -A$8)</f>
        <v>0</v>
      </c>
      <c r="B24" t="str">
        <f>B$9 * (3.25017786026001 -B$8)</f>
        <v>0</v>
      </c>
      <c r="C24" t="str">
        <f>C$9 * (3.25017786026001 -C$8)</f>
        <v>0</v>
      </c>
      <c r="D24" t="str">
        <f>D$9 * (3.25017786026001 -D$8)</f>
        <v>0</v>
      </c>
      <c r="F24" t="str">
        <f>F$9 * (0.008600321598351002 -F$8)</f>
        <v>0</v>
      </c>
      <c r="G24" t="str">
        <f>G$9 * (3.099831104278564 -G$8)</f>
        <v>0</v>
      </c>
      <c r="H24" t="str">
        <f>H$9 * (6.470314979553223 -H$8)</f>
        <v>0</v>
      </c>
      <c r="I24" t="str">
        <f>I$9 * (6.212468147277832 -I$8)</f>
        <v>0</v>
      </c>
    </row>
    <row r="25" spans="1:11">
      <c r="A25" t="str">
        <f>A$9 * (3.500149965286255 -A$8)</f>
        <v>0</v>
      </c>
      <c r="B25" t="str">
        <f>B$9 * (3.500149965286255 -B$8)</f>
        <v>0</v>
      </c>
      <c r="C25" t="str">
        <f>C$9 * (3.500149965286255 -C$8)</f>
        <v>0</v>
      </c>
      <c r="D25" t="str">
        <f>D$9 * (3.500149965286255 -D$8)</f>
        <v>0</v>
      </c>
      <c r="F25" t="str">
        <f>F$9 * (0.008473405614495277 -F$8)</f>
        <v>0</v>
      </c>
      <c r="G25" t="str">
        <f>G$9 * (2.83299708366394 -G$8)</f>
        <v>0</v>
      </c>
      <c r="H25" t="str">
        <f>H$9 * (5.944900989532471 -H$8)</f>
        <v>0</v>
      </c>
      <c r="I25" t="str">
        <f>I$9 * (5.101128101348877 -I$8)</f>
        <v>0</v>
      </c>
    </row>
    <row r="26" spans="1:11">
      <c r="A26" t="str">
        <f>A$9 * (3.750124931335449 -A$8)</f>
        <v>0</v>
      </c>
      <c r="B26" t="str">
        <f>B$9 * (3.750124931335449 -B$8)</f>
        <v>0</v>
      </c>
      <c r="C26" t="str">
        <f>C$9 * (3.750124931335449 -C$8)</f>
        <v>0</v>
      </c>
      <c r="D26" t="str">
        <f>D$9 * (3.750124931335449 -D$8)</f>
        <v>0</v>
      </c>
      <c r="F26" t="str">
        <f>F$9 * (0.01202922035008669 -F$8)</f>
        <v>0</v>
      </c>
      <c r="G26" t="str">
        <f>G$9 * (2.94678807258606 -G$8)</f>
        <v>0</v>
      </c>
      <c r="H26" t="str">
        <f>H$9 * (4.968132972717285 -H$8)</f>
        <v>0</v>
      </c>
      <c r="I26" t="str">
        <f>I$9 * (5.099202156066895 -I$8)</f>
        <v>0</v>
      </c>
    </row>
    <row r="27" spans="1:11">
      <c r="A27" t="str">
        <f>A$9 * (4.000100135803223 -A$8)</f>
        <v>0</v>
      </c>
      <c r="B27" t="str">
        <f>B$9 * (4.000100135803223 -B$8)</f>
        <v>0</v>
      </c>
      <c r="C27" t="str">
        <f>C$9 * (4.000100135803223 -C$8)</f>
        <v>0</v>
      </c>
      <c r="D27" t="str">
        <f>D$9 * (4.000100135803223 -D$8)</f>
        <v>0</v>
      </c>
      <c r="F27" t="str">
        <f>F$9 * (0.009240892715752125 -F$8)</f>
        <v>0</v>
      </c>
      <c r="G27" t="str">
        <f>G$9 * (3.230609893798828 -G$8)</f>
        <v>0</v>
      </c>
      <c r="H27" t="str">
        <f>H$9 * (6.4491868019104 -H$8)</f>
        <v>0</v>
      </c>
      <c r="I27" t="str">
        <f>I$9 * (6.631763935089111 -I$8)</f>
        <v>0</v>
      </c>
    </row>
    <row r="28" spans="1:11">
      <c r="A28" t="str">
        <f>A$9 * (4.250072002410889 -A$8)</f>
        <v>0</v>
      </c>
      <c r="B28" t="str">
        <f>B$9 * (4.250072002410889 -B$8)</f>
        <v>0</v>
      </c>
      <c r="C28" t="str">
        <f>C$9 * (4.250072002410889 -C$8)</f>
        <v>0</v>
      </c>
      <c r="D28" t="str">
        <f>D$9 * (4.250072002410889 -D$8)</f>
        <v>0</v>
      </c>
      <c r="F28" t="str">
        <f>F$9 * (0.007963317446410656 -F$8)</f>
        <v>0</v>
      </c>
      <c r="G28" t="str">
        <f>G$9 * (2.854552984237671 -G$8)</f>
        <v>0</v>
      </c>
      <c r="H28" t="str">
        <f>H$9 * (6.266407012939453 -H$8)</f>
        <v>0</v>
      </c>
      <c r="I28" t="str">
        <f>I$9 * (5.404962062835693 -I$8)</f>
        <v>0</v>
      </c>
    </row>
    <row r="29" spans="1:11">
      <c r="A29" t="str">
        <f>A$9 * (4.500047206878662 -A$8)</f>
        <v>0</v>
      </c>
      <c r="B29" t="str">
        <f>B$9 * (4.500047206878662 -B$8)</f>
        <v>0</v>
      </c>
      <c r="C29" t="str">
        <f>C$9 * (4.500047206878662 -C$8)</f>
        <v>0</v>
      </c>
      <c r="D29" t="str">
        <f>D$9 * (4.500047206878662 -D$8)</f>
        <v>0</v>
      </c>
      <c r="F29" t="str">
        <f>F$9 * (0.01188206020742655 -F$8)</f>
        <v>0</v>
      </c>
      <c r="G29" t="str">
        <f>G$9 * (2.75789999961853 -G$8)</f>
        <v>0</v>
      </c>
      <c r="H29" t="str">
        <f>H$9 * (4.684443950653076 -H$8)</f>
        <v>0</v>
      </c>
      <c r="I29" t="str">
        <f>I$9 * (4.563906192779541 -I$8)</f>
        <v>0</v>
      </c>
    </row>
    <row r="30" spans="1:11">
      <c r="A30" t="str">
        <f>A$9 * (4.750022411346436 -A$8)</f>
        <v>0</v>
      </c>
      <c r="B30" t="str">
        <f>B$9 * (4.750022411346436 -B$8)</f>
        <v>0</v>
      </c>
      <c r="C30" t="str">
        <f>C$9 * (4.750022411346436 -C$8)</f>
        <v>0</v>
      </c>
      <c r="D30" t="str">
        <f>D$9 * (4.750022411346436 -D$8)</f>
        <v>0</v>
      </c>
      <c r="F30" t="str">
        <f>F$9 * (0.009431002661585808 -F$8)</f>
        <v>0</v>
      </c>
      <c r="G30" t="str">
        <f>G$9 * (3.270625114440918 -G$8)</f>
        <v>0</v>
      </c>
      <c r="H30" t="str">
        <f>H$9 * (6.47621488571167 -H$8)</f>
        <v>0</v>
      </c>
      <c r="I30" t="str">
        <f>I$9 * (6.899328231811523 -I$8)</f>
        <v>0</v>
      </c>
    </row>
    <row r="31" spans="1:11">
      <c r="A31" t="str">
        <f>A$9 * (5.000447273254395 -A$8)</f>
        <v>0</v>
      </c>
      <c r="B31" t="str">
        <f>B$9 * (5.000447273254395 -B$8)</f>
        <v>0</v>
      </c>
      <c r="C31" t="str">
        <f>C$9 * (5.000447273254395 -C$8)</f>
        <v>0</v>
      </c>
      <c r="D31" t="str">
        <f>D$9 * (5.000447273254395 -D$8)</f>
        <v>0</v>
      </c>
      <c r="F31" t="str">
        <f>F$9 * (0.007931373082101345 -F$8)</f>
        <v>0</v>
      </c>
      <c r="G31" t="str">
        <f>G$9 * (2.901314973831177 -G$8)</f>
        <v>0</v>
      </c>
      <c r="H31" t="str">
        <f>H$9 * (6.417575836181641 -H$8)</f>
        <v>0</v>
      </c>
      <c r="I31" t="str">
        <f>I$9 * (5.70858097076416 -I$8)</f>
        <v>0</v>
      </c>
    </row>
    <row r="32" spans="1:11">
      <c r="A32" t="str">
        <f>A$9 * (5.25042200088501 -A$8)</f>
        <v>0</v>
      </c>
      <c r="B32" t="str">
        <f>B$9 * (5.25042200088501 -B$8)</f>
        <v>0</v>
      </c>
      <c r="C32" t="str">
        <f>C$9 * (5.25042200088501 -C$8)</f>
        <v>0</v>
      </c>
      <c r="D32" t="str">
        <f>D$9 * (5.25042200088501 -D$8)</f>
        <v>0</v>
      </c>
      <c r="F32" t="str">
        <f>F$9 * (0.01156772021204233 -F$8)</f>
        <v>0</v>
      </c>
      <c r="G32" t="str">
        <f>G$9 * (2.57667088508606 -G$8)</f>
        <v>0</v>
      </c>
      <c r="H32" t="str">
        <f>H$9 * (4.439963817596436 -H$8)</f>
        <v>0</v>
      </c>
      <c r="I32" t="str">
        <f>I$9 * (4.061801910400391 -I$8)</f>
        <v>0</v>
      </c>
    </row>
    <row r="33" spans="1:11">
      <c r="A33" t="str">
        <f>A$9 * (5.500394344329834 -A$8)</f>
        <v>0</v>
      </c>
      <c r="B33" t="str">
        <f>B$9 * (5.500394344329834 -B$8)</f>
        <v>0</v>
      </c>
      <c r="C33" t="str">
        <f>C$9 * (5.500394344329834 -C$8)</f>
        <v>0</v>
      </c>
      <c r="D33" t="str">
        <f>D$9 * (5.500394344329834 -D$8)</f>
        <v>0</v>
      </c>
      <c r="F33" t="str">
        <f>F$9 * (0.009954288601875305 -F$8)</f>
        <v>0</v>
      </c>
      <c r="G33" t="str">
        <f>G$9 * (3.355199098587036 -G$8)</f>
        <v>0</v>
      </c>
      <c r="H33" t="str">
        <f>H$9 * (6.429596900939941 -H$8)</f>
        <v>0</v>
      </c>
      <c r="I33" t="str">
        <f>I$9 * (7.186076164245605 -I$8)</f>
        <v>0</v>
      </c>
    </row>
    <row r="34" spans="1:11">
      <c r="A34" t="str">
        <f>A$9 * (5.750369548797607 -A$8)</f>
        <v>0</v>
      </c>
      <c r="B34" t="str">
        <f>B$9 * (5.750369548797607 -B$8)</f>
        <v>0</v>
      </c>
      <c r="C34" t="str">
        <f>C$9 * (5.750369548797607 -C$8)</f>
        <v>0</v>
      </c>
      <c r="D34" t="str">
        <f>D$9 * (5.750369548797607 -D$8)</f>
        <v>0</v>
      </c>
      <c r="F34" t="str">
        <f>F$9 * (0.008077426813542843 -F$8)</f>
        <v>0</v>
      </c>
      <c r="G34" t="str">
        <f>G$9 * (2.932913064956665 -G$8)</f>
        <v>0</v>
      </c>
      <c r="H34" t="str">
        <f>H$9 * (6.414557933807373 -H$8)</f>
        <v>0</v>
      </c>
      <c r="I34" t="str">
        <f>I$9 * (5.805255889892578 -I$8)</f>
        <v>0</v>
      </c>
    </row>
    <row r="35" spans="1:11">
      <c r="A35" t="str">
        <f>A$9 * (6.000344276428223 -A$8)</f>
        <v>0</v>
      </c>
      <c r="B35" t="str">
        <f>B$9 * (6.000344276428223 -B$8)</f>
        <v>0</v>
      </c>
      <c r="C35" t="str">
        <f>C$9 * (6.000344276428223 -C$8)</f>
        <v>0</v>
      </c>
      <c r="D35" t="str">
        <f>D$9 * (6.000344276428223 -D$8)</f>
        <v>0</v>
      </c>
      <c r="F35" t="str">
        <f>F$9 * (0.01107819005846977 -F$8)</f>
        <v>0</v>
      </c>
      <c r="G35" t="str">
        <f>G$9 * (2.435096979141235 -G$8)</f>
        <v>0</v>
      </c>
      <c r="H35" t="str">
        <f>H$9 * (4.298439025878906 -H$8)</f>
        <v>0</v>
      </c>
      <c r="I35" t="str">
        <f>I$9 * (3.687556028366089 -I$8)</f>
        <v>0</v>
      </c>
    </row>
    <row r="36" spans="1:11">
      <c r="A36" t="str">
        <f>A$9 * (6.250316619873047 -A$8)</f>
        <v>0</v>
      </c>
      <c r="B36" t="str">
        <f>B$9 * (6.250316619873047 -B$8)</f>
        <v>0</v>
      </c>
      <c r="C36" t="str">
        <f>C$9 * (6.250316619873047 -C$8)</f>
        <v>0</v>
      </c>
      <c r="D36" t="str">
        <f>D$9 * (6.250316619873047 -D$8)</f>
        <v>0</v>
      </c>
      <c r="F36" t="str">
        <f>F$9 * (0.0106697203591466 -F$8)</f>
        <v>0</v>
      </c>
      <c r="G36" t="str">
        <f>G$9 * (3.413289070129395 -G$8)</f>
        <v>0</v>
      </c>
      <c r="H36" t="str">
        <f>H$9 * (6.267036914825439 -H$8)</f>
        <v>0</v>
      </c>
      <c r="I36" t="str">
        <f>I$9 * (7.291137218475342 -I$8)</f>
        <v>0</v>
      </c>
    </row>
    <row r="37" spans="1:11">
      <c r="A37" t="str">
        <f>A$9 * (6.50029182434082 -A$8)</f>
        <v>0</v>
      </c>
      <c r="B37" t="str">
        <f>B$9 * (6.50029182434082 -B$8)</f>
        <v>0</v>
      </c>
      <c r="C37" t="str">
        <f>C$9 * (6.50029182434082 -C$8)</f>
        <v>0</v>
      </c>
      <c r="D37" t="str">
        <f>D$9 * (6.50029182434082 -D$8)</f>
        <v>0</v>
      </c>
      <c r="F37" t="str">
        <f>F$9 * (0.008055947721004486 -F$8)</f>
        <v>0</v>
      </c>
      <c r="G37" t="str">
        <f>G$9 * (2.941173076629639 -G$8)</f>
        <v>0</v>
      </c>
      <c r="H37" t="str">
        <f>H$9 * (6.448339939117432 -H$8)</f>
        <v>0</v>
      </c>
      <c r="I37" t="str">
        <f>I$9 * (5.863420963287354 -I$8)</f>
        <v>0</v>
      </c>
    </row>
    <row r="38" spans="1:11">
      <c r="A38" t="str">
        <f>A$9 * (6.750258445739746 -A$8)</f>
        <v>0</v>
      </c>
      <c r="B38" t="str">
        <f>B$9 * (6.750258445739746 -B$8)</f>
        <v>0</v>
      </c>
      <c r="C38" t="str">
        <f>C$9 * (6.750258445739746 -C$8)</f>
        <v>0</v>
      </c>
      <c r="D38" t="str">
        <f>D$9 * (6.750258445739746 -D$8)</f>
        <v>0</v>
      </c>
      <c r="F38" t="str">
        <f>F$9 * (0.01034715957939625 -F$8)</f>
        <v>0</v>
      </c>
      <c r="G38" t="str">
        <f>G$9 * (2.275924921035767 -G$8)</f>
        <v>0</v>
      </c>
      <c r="H38" t="str">
        <f>H$9 * (4.181074142456055 -H$8)</f>
        <v>0</v>
      </c>
      <c r="I38" t="str">
        <f>I$9 * (3.299815893173218 -I$8)</f>
        <v>0</v>
      </c>
    </row>
    <row r="39" spans="1:11">
      <c r="A39" t="str">
        <f>A$9 * (7.000214099884033 -A$8)</f>
        <v>0</v>
      </c>
      <c r="B39" t="str">
        <f>B$9 * (7.000214099884033 -B$8)</f>
        <v>0</v>
      </c>
      <c r="C39" t="str">
        <f>C$9 * (7.000214099884033 -C$8)</f>
        <v>0</v>
      </c>
      <c r="D39" t="str">
        <f>D$9 * (7.000214099884033 -D$8)</f>
        <v>0</v>
      </c>
      <c r="F39" t="str">
        <f>F$9 * (0.01157317962497473 -F$8)</f>
        <v>0</v>
      </c>
      <c r="G39" t="str">
        <f>G$9 * (3.447168111801147 -G$8)</f>
        <v>0</v>
      </c>
      <c r="H39" t="str">
        <f>H$9 * (6.025957107543945 -H$8)</f>
        <v>0</v>
      </c>
      <c r="I39" t="str">
        <f>I$9 * (7.290769100189209 -I$8)</f>
        <v>0</v>
      </c>
    </row>
    <row r="40" spans="1:11">
      <c r="A40" t="str">
        <f>A$9 * (7.250169277191162 -A$8)</f>
        <v>0</v>
      </c>
      <c r="B40" t="str">
        <f>B$9 * (7.250169277191162 -B$8)</f>
        <v>0</v>
      </c>
      <c r="C40" t="str">
        <f>C$9 * (7.250169277191162 -C$8)</f>
        <v>0</v>
      </c>
      <c r="D40" t="str">
        <f>D$9 * (7.250169277191162 -D$8)</f>
        <v>0</v>
      </c>
      <c r="F40" t="str">
        <f>F$9 * (0.008010442368686199 -F$8)</f>
        <v>0</v>
      </c>
      <c r="G40" t="str">
        <f>G$9 * (2.945575952529907 -G$8)</f>
        <v>0</v>
      </c>
      <c r="H40" t="str">
        <f>H$9 * (6.488649845123291 -H$8)</f>
        <v>0</v>
      </c>
      <c r="I40" t="str">
        <f>I$9 * (5.922506809234619 -I$8)</f>
        <v>0</v>
      </c>
    </row>
    <row r="41" spans="1:11">
      <c r="A41" t="str">
        <f>A$9 * (7.5001220703125 -A$8)</f>
        <v>0</v>
      </c>
      <c r="B41" t="str">
        <f>B$9 * (7.5001220703125 -B$8)</f>
        <v>0</v>
      </c>
      <c r="C41" t="str">
        <f>C$9 * (7.5001220703125 -C$8)</f>
        <v>0</v>
      </c>
      <c r="D41" t="str">
        <f>D$9 * (7.5001220703125 -D$8)</f>
        <v>0</v>
      </c>
      <c r="F41" t="str">
        <f>F$9 * (0.009789355099201202 -F$8)</f>
        <v>0</v>
      </c>
      <c r="G41" t="str">
        <f>G$9 * (2.207755088806152 -G$8)</f>
        <v>0</v>
      </c>
      <c r="H41" t="str">
        <f>H$9 * (4.19556188583374 -H$8)</f>
        <v>0</v>
      </c>
      <c r="I41" t="str">
        <f>I$9 * (3.147546052932739 -I$8)</f>
        <v>0</v>
      </c>
    </row>
    <row r="42" spans="1:11">
      <c r="A42" t="str">
        <f>A$9 * (7.750119209289551 -A$8)</f>
        <v>0</v>
      </c>
      <c r="B42" t="str">
        <f>B$9 * (7.750119209289551 -B$8)</f>
        <v>0</v>
      </c>
      <c r="C42" t="str">
        <f>C$9 * (7.750119209289551 -C$8)</f>
        <v>0</v>
      </c>
      <c r="D42" t="str">
        <f>D$9 * (7.750119209289551 -D$8)</f>
        <v>0</v>
      </c>
      <c r="F42" t="str">
        <f>F$9 * (0.01252605020999908 -F$8)</f>
        <v>0</v>
      </c>
      <c r="G42" t="str">
        <f>G$9 * (3.446727991104126 -G$8)</f>
        <v>0</v>
      </c>
      <c r="H42" t="str">
        <f>H$9 * (5.748920917510986 -H$8)</f>
        <v>0</v>
      </c>
      <c r="I42" t="str">
        <f>I$9 * (7.182339191436768 -I$8)</f>
        <v>0</v>
      </c>
    </row>
    <row r="43" spans="1:11">
      <c r="A43" t="str">
        <f>A$9 * (8.000389099121094 -A$8)</f>
        <v>0</v>
      </c>
      <c r="B43" t="str">
        <f>B$9 * (8.000389099121094 -B$8)</f>
        <v>0</v>
      </c>
      <c r="C43" t="str">
        <f>C$9 * (8.000389099121094 -C$8)</f>
        <v>0</v>
      </c>
      <c r="D43" t="str">
        <f>D$9 * (8.000389099121094 -D$8)</f>
        <v>0</v>
      </c>
      <c r="F43" t="str">
        <f>F$9 * (0.007820555008947849 -F$8)</f>
        <v>0</v>
      </c>
      <c r="G43" t="str">
        <f>G$9 * (2.940246105194092 -G$8)</f>
        <v>0</v>
      </c>
      <c r="H43" t="str">
        <f>H$9 * (6.593609809875488 -H$8)</f>
        <v>0</v>
      </c>
      <c r="I43" t="str">
        <f>I$9 * (6.021735191345215 -I$8)</f>
        <v>0</v>
      </c>
    </row>
    <row r="44" spans="1:11">
      <c r="A44" t="str">
        <f>A$9 * (8.250052452087402 -A$8)</f>
        <v>0</v>
      </c>
      <c r="B44" t="str">
        <f>B$9 * (8.250052452087402 -B$8)</f>
        <v>0</v>
      </c>
      <c r="C44" t="str">
        <f>C$9 * (8.250052452087402 -C$8)</f>
        <v>0</v>
      </c>
      <c r="D44" t="str">
        <f>D$9 * (8.250052452087402 -D$8)</f>
        <v>0</v>
      </c>
      <c r="F44" t="str">
        <f>F$9 * (0.009283204562962055 -F$8)</f>
        <v>0</v>
      </c>
      <c r="G44" t="str">
        <f>G$9 * (2.194788932800293 -G$8)</f>
        <v>0</v>
      </c>
      <c r="H44" t="str">
        <f>H$9 * (4.318774223327637 -H$8)</f>
        <v>0</v>
      </c>
      <c r="I44" t="str">
        <f>I$9 * (3.143795967102051 -I$8)</f>
        <v>0</v>
      </c>
    </row>
    <row r="45" spans="1:11">
      <c r="A45" t="str">
        <f>A$9 * (8.500241279602051 -A$8)</f>
        <v>0</v>
      </c>
      <c r="B45" t="str">
        <f>B$9 * (8.500241279602051 -B$8)</f>
        <v>0</v>
      </c>
      <c r="C45" t="str">
        <f>C$9 * (8.500241279602051 -C$8)</f>
        <v>0</v>
      </c>
      <c r="D45" t="str">
        <f>D$9 * (8.500241279602051 -D$8)</f>
        <v>0</v>
      </c>
      <c r="F45" t="str">
        <f>F$9 * (0.01323315035551786 -F$8)</f>
        <v>0</v>
      </c>
      <c r="G45" t="str">
        <f>G$9 * (3.39488697052002 -G$8)</f>
        <v>0</v>
      </c>
      <c r="H45" t="str">
        <f>H$9 * (5.482732772827148 -H$8)</f>
        <v>0</v>
      </c>
      <c r="I45" t="str">
        <f>I$9 * (6.919402122497559 -I$8)</f>
        <v>0</v>
      </c>
    </row>
    <row r="46" spans="1:11">
      <c r="A46" t="str">
        <f>A$9 * (8.750203132629395 -A$8)</f>
        <v>0</v>
      </c>
      <c r="B46" t="str">
        <f>B$9 * (8.750203132629395 -B$8)</f>
        <v>0</v>
      </c>
      <c r="C46" t="str">
        <f>C$9 * (8.750203132629395 -C$8)</f>
        <v>0</v>
      </c>
      <c r="D46" t="str">
        <f>D$9 * (8.750203132629395 -D$8)</f>
        <v>0</v>
      </c>
      <c r="F46" t="str">
        <f>F$9 * (0.007609177846461535 -F$8)</f>
        <v>0</v>
      </c>
      <c r="G46" t="str">
        <f>G$9 * (2.939513921737671 -G$8)</f>
        <v>0</v>
      </c>
      <c r="H46" t="str">
        <f>H$9 * (6.722438812255859 -H$8)</f>
        <v>0</v>
      </c>
      <c r="I46" t="str">
        <f>I$9 * (6.148241996765137 -I$8)</f>
        <v>0</v>
      </c>
    </row>
    <row r="47" spans="1:11">
      <c r="A47" t="str">
        <f>A$9 * (9.000310897827148 -A$8)</f>
        <v>0</v>
      </c>
      <c r="B47" t="str">
        <f>B$9 * (9.000310897827148 -B$8)</f>
        <v>0</v>
      </c>
      <c r="C47" t="str">
        <f>C$9 * (9.000310897827148 -C$8)</f>
        <v>0</v>
      </c>
      <c r="D47" t="str">
        <f>D$9 * (9.000310897827148 -D$8)</f>
        <v>0</v>
      </c>
      <c r="F47" t="str">
        <f>F$9 * (0.008816718123853207 -F$8)</f>
        <v>0</v>
      </c>
      <c r="G47" t="str">
        <f>G$9 * (2.211965084075928 -G$8)</f>
        <v>0</v>
      </c>
      <c r="H47" t="str">
        <f>H$9 * (4.504092216491699 -H$8)</f>
        <v>0</v>
      </c>
      <c r="I47" t="str">
        <f>I$9 * (3.21518611907959 -I$8)</f>
        <v>0</v>
      </c>
    </row>
    <row r="48" spans="1:11">
      <c r="A48" t="str">
        <f>A$9 * (9.250052452087402 -A$8)</f>
        <v>0</v>
      </c>
      <c r="B48" t="str">
        <f>B$9 * (9.250052452087402 -B$8)</f>
        <v>0</v>
      </c>
      <c r="C48" t="str">
        <f>C$9 * (9.250052452087402 -C$8)</f>
        <v>0</v>
      </c>
      <c r="D48" t="str">
        <f>D$9 * (9.250052452087402 -D$8)</f>
        <v>0</v>
      </c>
      <c r="F48" t="str">
        <f>F$9 * (0.0137633103877306 -F$8)</f>
        <v>0</v>
      </c>
      <c r="G48" t="str">
        <f>G$9 * (3.312849044799805 -G$8)</f>
        <v>0</v>
      </c>
      <c r="H48" t="str">
        <f>H$9 * (5.225290775299072 -H$8)</f>
        <v>0</v>
      </c>
      <c r="I48" t="str">
        <f>I$9 * (6.562488079071045 -I$8)</f>
        <v>0</v>
      </c>
    </row>
    <row r="49" spans="1:11">
      <c r="A49" t="str">
        <f>A$9 * (9.50018310546875 -A$8)</f>
        <v>0</v>
      </c>
      <c r="B49" t="str">
        <f>B$9 * (9.50018310546875 -B$8)</f>
        <v>0</v>
      </c>
      <c r="C49" t="str">
        <f>C$9 * (9.50018310546875 -C$8)</f>
        <v>0</v>
      </c>
      <c r="D49" t="str">
        <f>D$9 * (9.50018310546875 -D$8)</f>
        <v>0</v>
      </c>
      <c r="F49" t="str">
        <f>F$9 * (0.007468149997293949 -F$8)</f>
        <v>0</v>
      </c>
      <c r="G49" t="str">
        <f>G$9 * (2.950263977050781 -G$8)</f>
        <v>0</v>
      </c>
      <c r="H49" t="str">
        <f>H$9 * (6.838529109954834 -H$8)</f>
        <v>0</v>
      </c>
      <c r="I49" t="str">
        <f>I$9 * (6.298275947570801 -I$8)</f>
        <v>0</v>
      </c>
    </row>
    <row r="50" spans="1:11">
      <c r="A50" t="str">
        <f>A$9 * (9.750008583068848 -A$8)</f>
        <v>0</v>
      </c>
      <c r="B50" t="str">
        <f>B$9 * (9.750008583068848 -B$8)</f>
        <v>0</v>
      </c>
      <c r="C50" t="str">
        <f>C$9 * (9.750008583068848 -C$8)</f>
        <v>0</v>
      </c>
      <c r="D50" t="str">
        <f>D$9 * (9.750008583068848 -D$8)</f>
        <v>0</v>
      </c>
      <c r="F50" t="str">
        <f>F$9 * (0.008409461937844753 -F$8)</f>
        <v>0</v>
      </c>
      <c r="G50" t="str">
        <f>G$9 * (2.276329040527344 -G$8)</f>
        <v>0</v>
      </c>
      <c r="H50" t="str">
        <f>H$9 * (4.78928804397583 -H$8)</f>
        <v>0</v>
      </c>
      <c r="I50" t="str">
        <f>I$9 * (3.421118974685669 -I$8)</f>
        <v>0</v>
      </c>
    </row>
    <row r="51" spans="1:11">
      <c r="A51" t="str">
        <f>A$9 * (10.00001907348633 -A$8)</f>
        <v>0</v>
      </c>
      <c r="B51" t="str">
        <f>B$9 * (10.00001907348633 -B$8)</f>
        <v>0</v>
      </c>
      <c r="C51" t="str">
        <f>C$9 * (10.00001907348633 -C$8)</f>
        <v>0</v>
      </c>
      <c r="D51" t="str">
        <f>D$9 * (10.00001907348633 -D$8)</f>
        <v>0</v>
      </c>
      <c r="F51" t="str">
        <f>F$9 * (0.01412882003933191 -F$8)</f>
        <v>0</v>
      </c>
      <c r="G51" t="str">
        <f>G$9 * (3.206218004226685 -G$8)</f>
        <v>0</v>
      </c>
      <c r="H51" t="str">
        <f>H$9 * (4.974734783172607 -H$8)</f>
        <v>0</v>
      </c>
      <c r="I51" t="str">
        <f>I$9 * (6.145290851593018 -I$8)</f>
        <v>0</v>
      </c>
    </row>
    <row r="52" spans="1:11">
      <c r="A52" t="str">
        <f>A$9 * (10.25015258789062 -A$8)</f>
        <v>0</v>
      </c>
      <c r="B52" t="str">
        <f>B$9 * (10.25015258789062 -B$8)</f>
        <v>0</v>
      </c>
      <c r="C52" t="str">
        <f>C$9 * (10.25015258789062 -C$8)</f>
        <v>0</v>
      </c>
      <c r="D52" t="str">
        <f>D$9 * (10.25015258789062 -D$8)</f>
        <v>0</v>
      </c>
      <c r="F52" t="str">
        <f>F$9 * (0.007387109100818634 -F$8)</f>
        <v>0</v>
      </c>
      <c r="G52" t="str">
        <f>G$9 * (2.974106073379517 -G$8)</f>
        <v>0</v>
      </c>
      <c r="H52" t="str">
        <f>H$9 * (6.9510498046875 -H$8)</f>
        <v>0</v>
      </c>
      <c r="I52" t="str">
        <f>I$9 * (6.493014812469482 -I$8)</f>
        <v>0</v>
      </c>
    </row>
    <row r="53" spans="1:11">
      <c r="A53" t="str">
        <f>A$9 * (10.5002498626709 -A$8)</f>
        <v>0</v>
      </c>
      <c r="B53" t="str">
        <f>B$9 * (10.5002498626709 -B$8)</f>
        <v>0</v>
      </c>
      <c r="C53" t="str">
        <f>C$9 * (10.5002498626709 -C$8)</f>
        <v>0</v>
      </c>
      <c r="D53" t="str">
        <f>D$9 * (10.5002498626709 -D$8)</f>
        <v>0</v>
      </c>
      <c r="F53" t="str">
        <f>F$9 * (0.008050698786973953 -F$8)</f>
        <v>0</v>
      </c>
      <c r="G53" t="str">
        <f>G$9 * (2.357959985733032 -G$8)</f>
        <v>0</v>
      </c>
      <c r="H53" t="str">
        <f>H$9 * (5.117391109466553 -H$8)</f>
        <v>0</v>
      </c>
      <c r="I53" t="str">
        <f>I$9 * (3.700889110565186 -I$8)</f>
        <v>0</v>
      </c>
    </row>
    <row r="54" spans="1:11">
      <c r="A54" t="str">
        <f>A$9 * (10.75041675567627 -A$8)</f>
        <v>0</v>
      </c>
      <c r="B54" t="str">
        <f>B$9 * (10.75041675567627 -B$8)</f>
        <v>0</v>
      </c>
      <c r="C54" t="str">
        <f>C$9 * (10.75041675567627 -C$8)</f>
        <v>0</v>
      </c>
      <c r="D54" t="str">
        <f>D$9 * (10.75041675567627 -D$8)</f>
        <v>0</v>
      </c>
      <c r="F54" t="str">
        <f>F$9 * (0.01437282003462315 -F$8)</f>
        <v>0</v>
      </c>
      <c r="G54" t="str">
        <f>G$9 * (3.086116075515747 -G$8)</f>
        <v>0</v>
      </c>
      <c r="H54" t="str">
        <f>H$9 * (4.73344087600708 -H$8)</f>
        <v>0</v>
      </c>
      <c r="I54" t="str">
        <f>I$9 * (5.713109016418457 -I$8)</f>
        <v>0</v>
      </c>
    </row>
    <row r="55" spans="1:11">
      <c r="A55" t="str">
        <f>A$9 * (11.0001392364502 -A$8)</f>
        <v>0</v>
      </c>
      <c r="B55" t="str">
        <f>B$9 * (11.0001392364502 -B$8)</f>
        <v>0</v>
      </c>
      <c r="C55" t="str">
        <f>C$9 * (11.0001392364502 -C$8)</f>
        <v>0</v>
      </c>
      <c r="D55" t="str">
        <f>D$9 * (11.0001392364502 -D$8)</f>
        <v>0</v>
      </c>
      <c r="F55" t="str">
        <f>F$9 * (0.007387836929410696 -F$8)</f>
        <v>0</v>
      </c>
      <c r="G55" t="str">
        <f>G$9 * (3.011647939682007 -G$8)</f>
        <v>0</v>
      </c>
      <c r="H55" t="str">
        <f>H$9 * (7.0414137840271 -H$8)</f>
        <v>0</v>
      </c>
      <c r="I55" t="str">
        <f>I$9 * (6.707573890686035 -I$8)</f>
        <v>0</v>
      </c>
    </row>
    <row r="56" spans="1:11">
      <c r="A56" t="str">
        <f>A$9 * (11.25006103515625 -A$8)</f>
        <v>0</v>
      </c>
      <c r="B56" t="str">
        <f>B$9 * (11.25006103515625 -B$8)</f>
        <v>0</v>
      </c>
      <c r="C56" t="str">
        <f>C$9 * (11.25006103515625 -C$8)</f>
        <v>0</v>
      </c>
      <c r="D56" t="str">
        <f>D$9 * (11.25006103515625 -D$8)</f>
        <v>0</v>
      </c>
      <c r="F56" t="str">
        <f>F$9 * (0.007731528952717781 -F$8)</f>
        <v>0</v>
      </c>
      <c r="G56" t="str">
        <f>G$9 * (2.459372997283936 -G$8)</f>
        <v>0</v>
      </c>
      <c r="H56" t="str">
        <f>H$9 * (5.498478889465332 -H$8)</f>
        <v>0</v>
      </c>
      <c r="I56" t="str">
        <f>I$9 * (4.080160140991211 -I$8)</f>
        <v>0</v>
      </c>
    </row>
    <row r="57" spans="1:11">
      <c r="A57" t="str">
        <f>A$9 * (11.5003137588501 -A$8)</f>
        <v>0</v>
      </c>
      <c r="B57" t="str">
        <f>B$9 * (11.5003137588501 -B$8)</f>
        <v>0</v>
      </c>
      <c r="C57" t="str">
        <f>C$9 * (11.5003137588501 -C$8)</f>
        <v>0</v>
      </c>
      <c r="D57" t="str">
        <f>D$9 * (11.5003137588501 -D$8)</f>
        <v>0</v>
      </c>
      <c r="F57" t="str">
        <f>F$9 * (0.01442429982125759 -F$8)</f>
        <v>0</v>
      </c>
      <c r="G57" t="str">
        <f>G$9 * (2.9565110206604 -G$8)</f>
        <v>0</v>
      </c>
      <c r="H57" t="str">
        <f>H$9 * (4.515810966491699 -H$8)</f>
        <v>0</v>
      </c>
      <c r="I57" t="str">
        <f>I$9 * (5.274147033691406 -I$8)</f>
        <v>0</v>
      </c>
    </row>
    <row r="58" spans="1:11">
      <c r="A58" t="str">
        <f>A$9 * (11.75023365020752 -A$8)</f>
        <v>0</v>
      </c>
      <c r="B58" t="str">
        <f>B$9 * (11.75023365020752 -B$8)</f>
        <v>0</v>
      </c>
      <c r="C58" t="str">
        <f>C$9 * (11.75023365020752 -C$8)</f>
        <v>0</v>
      </c>
      <c r="D58" t="str">
        <f>D$9 * (11.75023365020752 -D$8)</f>
        <v>0</v>
      </c>
      <c r="F58" t="str">
        <f>F$9 * (0.007444200105965137 -F$8)</f>
        <v>0</v>
      </c>
      <c r="G58" t="str">
        <f>G$9 * (3.057102918624878 -G$8)</f>
        <v>0</v>
      </c>
      <c r="H58" t="str">
        <f>H$9 * (7.11347484588623 -H$8)</f>
        <v>0</v>
      </c>
      <c r="I58" t="str">
        <f>I$9 * (6.931561946868896 -I$8)</f>
        <v>0</v>
      </c>
    </row>
    <row r="59" spans="1:11">
      <c r="A59" t="str">
        <f>A$9 * (12.00009727478027 -A$8)</f>
        <v>0</v>
      </c>
      <c r="B59" t="str">
        <f>B$9 * (12.00009727478027 -B$8)</f>
        <v>0</v>
      </c>
      <c r="C59" t="str">
        <f>C$9 * (12.00009727478027 -C$8)</f>
        <v>0</v>
      </c>
      <c r="D59" t="str">
        <f>D$9 * (12.00009727478027 -D$8)</f>
        <v>0</v>
      </c>
      <c r="F59" t="str">
        <f>F$9 * (0.007490138988941908 -F$8)</f>
        <v>0</v>
      </c>
      <c r="G59" t="str">
        <f>G$9 * (2.569618940353394 -G$8)</f>
        <v>0</v>
      </c>
      <c r="H59" t="str">
        <f>H$9 * (5.886250019073486 -H$8)</f>
        <v>0</v>
      </c>
      <c r="I59" t="str">
        <f>I$9 * (4.535556793212891 -I$8)</f>
        <v>0</v>
      </c>
    </row>
    <row r="60" spans="1:11">
      <c r="A60" t="str">
        <f>A$9 * (12.25032520294189 -A$8)</f>
        <v>0</v>
      </c>
      <c r="B60" t="str">
        <f>B$9 * (12.25032520294189 -B$8)</f>
        <v>0</v>
      </c>
      <c r="C60" t="str">
        <f>C$9 * (12.25032520294189 -C$8)</f>
        <v>0</v>
      </c>
      <c r="D60" t="str">
        <f>D$9 * (12.25032520294189 -D$8)</f>
        <v>0</v>
      </c>
      <c r="F60" t="str">
        <f>F$9 * (0.01418618019670248 -F$8)</f>
        <v>0</v>
      </c>
      <c r="G60" t="str">
        <f>G$9 * (2.739309072494507 -G$8)</f>
        <v>0</v>
      </c>
      <c r="H60" t="str">
        <f>H$9 * (4.207640171051025 -H$8)</f>
        <v>0</v>
      </c>
      <c r="I60" t="str">
        <f>I$9 * (4.596210956573486 -I$8)</f>
        <v>0</v>
      </c>
    </row>
    <row r="61" spans="1:11">
      <c r="A61" t="str">
        <f>A$9 * (12.50018882751465 -A$8)</f>
        <v>0</v>
      </c>
      <c r="B61" t="str">
        <f>B$9 * (12.50018882751465 -B$8)</f>
        <v>0</v>
      </c>
      <c r="C61" t="str">
        <f>C$9 * (12.50018882751465 -C$8)</f>
        <v>0</v>
      </c>
      <c r="D61" t="str">
        <f>D$9 * (12.50018882751465 -D$8)</f>
        <v>0</v>
      </c>
      <c r="F61" t="str">
        <f>F$9 * (0.007635660003870726 -F$8)</f>
        <v>0</v>
      </c>
      <c r="G61" t="str">
        <f>G$9 * (3.14145302772522 -G$8)</f>
        <v>0</v>
      </c>
      <c r="H61" t="str">
        <f>H$9 * (7.200940132141113 -H$8)</f>
        <v>0</v>
      </c>
      <c r="I61" t="str">
        <f>I$9 * (7.350001811981201 -I$8)</f>
        <v>0</v>
      </c>
    </row>
    <row r="62" spans="1:11">
      <c r="A62" t="str">
        <f>A$9 * (12.75035285949707 -A$8)</f>
        <v>0</v>
      </c>
      <c r="B62" t="str">
        <f>B$9 * (12.75035285949707 -B$8)</f>
        <v>0</v>
      </c>
      <c r="C62" t="str">
        <f>C$9 * (12.75035285949707 -C$8)</f>
        <v>0</v>
      </c>
      <c r="D62" t="str">
        <f>D$9 * (12.75035285949707 -D$8)</f>
        <v>0</v>
      </c>
      <c r="F62" t="str">
        <f>F$9 * (0.007311223074793816 -F$8)</f>
        <v>0</v>
      </c>
      <c r="G62" t="str">
        <f>G$9 * (2.636190891265869 -G$8)</f>
        <v>0</v>
      </c>
      <c r="H62" t="str">
        <f>H$9 * (6.158953189849854 -H$8)</f>
        <v>0</v>
      </c>
      <c r="I62" t="str">
        <f>I$9 * (4.88337516784668 -I$8)</f>
        <v>0</v>
      </c>
    </row>
    <row r="63" spans="1:11">
      <c r="A63" t="str">
        <f>A$9 * (13.00004768371582 -A$8)</f>
        <v>0</v>
      </c>
      <c r="B63" t="str">
        <f>B$9 * (13.00004768371582 -B$8)</f>
        <v>0</v>
      </c>
      <c r="C63" t="str">
        <f>C$9 * (13.00004768371582 -C$8)</f>
        <v>0</v>
      </c>
      <c r="D63" t="str">
        <f>D$9 * (13.00004768371582 -D$8)</f>
        <v>0</v>
      </c>
      <c r="F63" t="str">
        <f>F$9 * (0.01391443982720375 -F$8)</f>
        <v>0</v>
      </c>
      <c r="G63" t="str">
        <f>G$9 * (2.625977039337158 -G$8)</f>
        <v>0</v>
      </c>
      <c r="H63" t="str">
        <f>H$9 * (4.070283889770508 -H$8)</f>
        <v>0</v>
      </c>
      <c r="I63" t="str">
        <f>I$9 * (4.267212867736816 -I$8)</f>
        <v>0</v>
      </c>
    </row>
    <row r="64" spans="1:11">
      <c r="A64" t="str">
        <f>A$9 * (13.25002765655518 -A$8)</f>
        <v>0</v>
      </c>
      <c r="B64" t="str">
        <f>B$9 * (13.25002765655518 -B$8)</f>
        <v>0</v>
      </c>
      <c r="C64" t="str">
        <f>C$9 * (13.25002765655518 -C$8)</f>
        <v>0</v>
      </c>
      <c r="D64" t="str">
        <f>D$9 * (13.25002765655518 -D$8)</f>
        <v>0</v>
      </c>
      <c r="F64" t="str">
        <f>F$9 * (0.007820760831236839 -F$8)</f>
        <v>0</v>
      </c>
      <c r="G64" t="str">
        <f>G$9 * (3.205945014953613 -G$8)</f>
        <v>0</v>
      </c>
      <c r="H64" t="str">
        <f>H$9 * (7.217864990234375 -H$8)</f>
        <v>0</v>
      </c>
      <c r="I64" t="str">
        <f>I$9 * (7.541889190673828 -I$8)</f>
        <v>0</v>
      </c>
    </row>
    <row r="65" spans="1:11">
      <c r="A65" t="str">
        <f>A$9 * (13.50016403198242 -A$8)</f>
        <v>0</v>
      </c>
      <c r="B65" t="str">
        <f>B$9 * (13.50016403198242 -B$8)</f>
        <v>0</v>
      </c>
      <c r="C65" t="str">
        <f>C$9 * (13.50016403198242 -C$8)</f>
        <v>0</v>
      </c>
      <c r="D65" t="str">
        <f>D$9 * (13.50016403198242 -D$8)</f>
        <v>0</v>
      </c>
      <c r="F65" t="str">
        <f>F$9 * (0.007451309822499752 -F$8)</f>
        <v>0</v>
      </c>
      <c r="G65" t="str">
        <f>G$9 * (2.752614974975586 -G$8)</f>
        <v>0</v>
      </c>
      <c r="H65" t="str">
        <f>H$9 * (6.345982074737549 -H$8)</f>
        <v>0</v>
      </c>
      <c r="I65" t="str">
        <f>I$9 * (5.274814128875732 -I$8)</f>
        <v>0</v>
      </c>
    </row>
    <row r="66" spans="1:11">
      <c r="A66" t="str">
        <f>A$9 * (13.75041675567627 -A$8)</f>
        <v>0</v>
      </c>
      <c r="B66" t="str">
        <f>B$9 * (13.75041675567627 -B$8)</f>
        <v>0</v>
      </c>
      <c r="C66" t="str">
        <f>C$9 * (13.75041675567627 -C$8)</f>
        <v>0</v>
      </c>
      <c r="D66" t="str">
        <f>D$9 * (13.75041675567627 -D$8)</f>
        <v>0</v>
      </c>
      <c r="F66" t="str">
        <f>F$9 * (0.01334981992840767 -F$8)</f>
        <v>0</v>
      </c>
      <c r="G66" t="str">
        <f>G$9 * (2.515481948852539 -G$8)</f>
        <v>0</v>
      </c>
      <c r="H66" t="str">
        <f>H$9 * (3.98115611076355 -H$8)</f>
        <v>0</v>
      </c>
      <c r="I66" t="str">
        <f>I$9 * (3.936111927032471 -I$8)</f>
        <v>0</v>
      </c>
    </row>
    <row r="67" spans="1:11">
      <c r="A67" t="str">
        <f>A$9 * (14.0001802444458 -A$8)</f>
        <v>0</v>
      </c>
      <c r="B67" t="str">
        <f>B$9 * (14.0001802444458 -B$8)</f>
        <v>0</v>
      </c>
      <c r="C67" t="str">
        <f>C$9 * (14.0001802444458 -C$8)</f>
        <v>0</v>
      </c>
      <c r="D67" t="str">
        <f>D$9 * (14.0001802444458 -D$8)</f>
        <v>0</v>
      </c>
      <c r="F67" t="str">
        <f>F$9 * (0.008256510831415653 -F$8)</f>
        <v>0</v>
      </c>
      <c r="G67" t="str">
        <f>G$9 * (3.288495063781738 -G$8)</f>
        <v>0</v>
      </c>
      <c r="H67" t="str">
        <f>H$9 * (7.143729209899902 -H$8)</f>
        <v>0</v>
      </c>
      <c r="I67" t="str">
        <f>I$9 * (7.749311923980713 -I$8)</f>
        <v>0</v>
      </c>
    </row>
    <row r="68" spans="1:11">
      <c r="A68" t="str">
        <f>A$9 * (14.25008010864258 -A$8)</f>
        <v>0</v>
      </c>
      <c r="B68" t="str">
        <f>B$9 * (14.25008010864258 -B$8)</f>
        <v>0</v>
      </c>
      <c r="C68" t="str">
        <f>C$9 * (14.25008010864258 -C$8)</f>
        <v>0</v>
      </c>
      <c r="D68" t="str">
        <f>D$9 * (14.25008010864258 -D$8)</f>
        <v>0</v>
      </c>
      <c r="F68" t="str">
        <f>F$9 * (0.007355149835348129 -F$8)</f>
        <v>0</v>
      </c>
      <c r="G68" t="str">
        <f>G$9 * (2.777745008468628 -G$8)</f>
        <v>0</v>
      </c>
      <c r="H68" t="str">
        <f>H$9 * (6.476802825927734 -H$8)</f>
        <v>0</v>
      </c>
      <c r="I68" t="str">
        <f>I$9 * (5.464120864868164 -I$8)</f>
        <v>0</v>
      </c>
    </row>
    <row r="69" spans="1:11">
      <c r="A69" t="str">
        <f>A$9 * (14.50016403198242 -A$8)</f>
        <v>0</v>
      </c>
      <c r="B69" t="str">
        <f>B$9 * (14.50016403198242 -B$8)</f>
        <v>0</v>
      </c>
      <c r="C69" t="str">
        <f>C$9 * (14.50016403198242 -C$8)</f>
        <v>0</v>
      </c>
      <c r="D69" t="str">
        <f>D$9 * (14.50016403198242 -D$8)</f>
        <v>0</v>
      </c>
      <c r="F69" t="str">
        <f>F$9 * (0.01285392977297306 -F$8)</f>
        <v>0</v>
      </c>
      <c r="G69" t="str">
        <f>G$9 * (2.422949075698853 -G$8)</f>
        <v>0</v>
      </c>
      <c r="H69" t="str">
        <f>H$9 * (3.914062976837158 -H$8)</f>
        <v>0</v>
      </c>
      <c r="I69" t="str">
        <f>I$9 * (3.686511993408203 -I$8)</f>
        <v>0</v>
      </c>
    </row>
    <row r="70" spans="1:11">
      <c r="A70" t="str">
        <f>A$9 * (14.75033092498779 -A$8)</f>
        <v>0</v>
      </c>
      <c r="B70" t="str">
        <f>B$9 * (14.75033092498779 -B$8)</f>
        <v>0</v>
      </c>
      <c r="C70" t="str">
        <f>C$9 * (14.75033092498779 -C$8)</f>
        <v>0</v>
      </c>
      <c r="D70" t="str">
        <f>D$9 * (14.75033092498779 -D$8)</f>
        <v>0</v>
      </c>
      <c r="F70" t="str">
        <f>F$9 * (0.008547145873308182 -F$8)</f>
        <v>0</v>
      </c>
      <c r="G70" t="str">
        <f>G$9 * (3.335938930511475 -G$8)</f>
        <v>0</v>
      </c>
      <c r="H70" t="str">
        <f>H$9 * (7.075405120849609 -H$8)</f>
        <v>0</v>
      </c>
      <c r="I70" t="str">
        <f>I$9 * (7.806610107421875 -I$8)</f>
        <v>0</v>
      </c>
    </row>
    <row r="71" spans="1:11">
      <c r="A71" t="str">
        <f>A$9 * (15.00017547607422 -A$8)</f>
        <v>0</v>
      </c>
      <c r="B71" t="str">
        <f>B$9 * (15.00017547607422 -B$8)</f>
        <v>0</v>
      </c>
      <c r="C71" t="str">
        <f>C$9 * (15.00017547607422 -C$8)</f>
        <v>0</v>
      </c>
      <c r="D71" t="str">
        <f>D$9 * (15.00017547607422 -D$8)</f>
        <v>0</v>
      </c>
      <c r="F71" t="str">
        <f>F$9 * (0.007604727987200022 -F$8)</f>
        <v>0</v>
      </c>
      <c r="G71" t="str">
        <f>G$9 * (2.84456205368042 -G$8)</f>
        <v>0</v>
      </c>
      <c r="H71" t="str">
        <f>H$9 * (6.476556777954102 -H$8)</f>
        <v>0</v>
      </c>
      <c r="I71" t="str">
        <f>I$9 * (5.613172054290771 -I$8)</f>
        <v>0</v>
      </c>
    </row>
    <row r="72" spans="1:11">
      <c r="A72" t="str">
        <f>A$9 * (15.25016689300537 -A$8)</f>
        <v>0</v>
      </c>
      <c r="B72" t="str">
        <f>B$9 * (15.25016689300537 -B$8)</f>
        <v>0</v>
      </c>
      <c r="C72" t="str">
        <f>C$9 * (15.25016689300537 -C$8)</f>
        <v>0</v>
      </c>
      <c r="D72" t="str">
        <f>D$9 * (15.25016689300537 -D$8)</f>
        <v>0</v>
      </c>
      <c r="F72" t="str">
        <f>F$9 * (0.01219145022332668 -F$8)</f>
        <v>0</v>
      </c>
      <c r="G72" t="str">
        <f>G$9 * (2.31190299987793 -G$8)</f>
        <v>0</v>
      </c>
      <c r="H72" t="str">
        <f>H$9 * (3.842350006103516 -H$8)</f>
        <v>0</v>
      </c>
      <c r="I72" t="str">
        <f>I$9 * (3.388851881027222 -I$8)</f>
        <v>0</v>
      </c>
    </row>
    <row r="73" spans="1:11">
      <c r="A73" t="str">
        <f>A$9 * (15.50016403198242 -A$8)</f>
        <v>0</v>
      </c>
      <c r="B73" t="str">
        <f>B$9 * (15.50016403198242 -B$8)</f>
        <v>0</v>
      </c>
      <c r="C73" t="str">
        <f>C$9 * (15.50016403198242 -C$8)</f>
        <v>0</v>
      </c>
      <c r="D73" t="str">
        <f>D$9 * (15.50016403198242 -D$8)</f>
        <v>0</v>
      </c>
      <c r="F73" t="str">
        <f>F$9 * (0.00920375157147646 -F$8)</f>
        <v>0</v>
      </c>
      <c r="G73" t="str">
        <f>G$9 * (3.423635959625244 -G$8)</f>
        <v>0</v>
      </c>
      <c r="H73" t="str">
        <f>H$9 * (6.922591209411621 -H$8)</f>
        <v>0</v>
      </c>
      <c r="I73" t="str">
        <f>I$9 * (7.967835903167725 -I$8)</f>
        <v>0</v>
      </c>
    </row>
    <row r="74" spans="1:11">
      <c r="A74" t="str">
        <f>A$9 * (15.75026416778564 -A$8)</f>
        <v>0</v>
      </c>
      <c r="B74" t="str">
        <f>B$9 * (15.75026416778564 -B$8)</f>
        <v>0</v>
      </c>
      <c r="C74" t="str">
        <f>C$9 * (15.75026416778564 -C$8)</f>
        <v>0</v>
      </c>
      <c r="D74" t="str">
        <f>D$9 * (15.75026416778564 -D$8)</f>
        <v>0</v>
      </c>
      <c r="F74" t="str">
        <f>F$9 * (0.007524569053202868 -F$8)</f>
        <v>0</v>
      </c>
      <c r="G74" t="str">
        <f>G$9 * (2.842331886291504 -G$8)</f>
        <v>0</v>
      </c>
      <c r="H74" t="str">
        <f>H$9 * (6.53457498550415 -H$8)</f>
        <v>0</v>
      </c>
      <c r="I74" t="str">
        <f>I$9 * (5.690620899200439 -I$8)</f>
        <v>0</v>
      </c>
    </row>
    <row r="75" spans="1:11">
      <c r="A75" t="str">
        <f>A$9 * (16.00035858154297 -A$8)</f>
        <v>0</v>
      </c>
      <c r="B75" t="str">
        <f>B$9 * (16.00035858154297 -B$8)</f>
        <v>0</v>
      </c>
      <c r="C75" t="str">
        <f>C$9 * (16.00035858154297 -C$8)</f>
        <v>0</v>
      </c>
      <c r="D75" t="str">
        <f>D$9 * (16.00035858154297 -D$8)</f>
        <v>0</v>
      </c>
      <c r="F75" t="str">
        <f>F$9 * (0.01165289990603924 -F$8)</f>
        <v>0</v>
      </c>
      <c r="G75" t="str">
        <f>G$9 * (2.216398954391479 -G$8)</f>
        <v>0</v>
      </c>
      <c r="H75" t="str">
        <f>H$9 * (3.780426025390625 -H$8)</f>
        <v>0</v>
      </c>
      <c r="I75" t="str">
        <f>I$9 * (3.161972045898438 -I$8)</f>
        <v>0</v>
      </c>
    </row>
    <row r="76" spans="1:11">
      <c r="A76" t="str">
        <f>A$9 * (16.2503833770752 -A$8)</f>
        <v>0</v>
      </c>
      <c r="B76" t="str">
        <f>B$9 * (16.2503833770752 -B$8)</f>
        <v>0</v>
      </c>
      <c r="C76" t="str">
        <f>C$9 * (16.2503833770752 -C$8)</f>
        <v>0</v>
      </c>
      <c r="D76" t="str">
        <f>D$9 * (16.2503833770752 -D$8)</f>
        <v>0</v>
      </c>
      <c r="F76" t="str">
        <f>F$9 * (0.009671712294220924 -F$8)</f>
        <v>0</v>
      </c>
      <c r="G76" t="str">
        <f>G$9 * (3.477824926376343 -G$8)</f>
        <v>0</v>
      </c>
      <c r="H76" t="str">
        <f>H$9 * (6.808485984802246 -H$8)</f>
        <v>0</v>
      </c>
      <c r="I76" t="str">
        <f>I$9 * (8.034663200378418 -I$8)</f>
        <v>0</v>
      </c>
    </row>
    <row r="77" spans="1:11">
      <c r="A77" t="str">
        <f>A$9 * (16.50010299682617 -A$8)</f>
        <v>0</v>
      </c>
      <c r="B77" t="str">
        <f>B$9 * (16.50010299682617 -B$8)</f>
        <v>0</v>
      </c>
      <c r="C77" t="str">
        <f>C$9 * (16.50010299682617 -C$8)</f>
        <v>0</v>
      </c>
      <c r="D77" t="str">
        <f>D$9 * (16.50010299682617 -D$8)</f>
        <v>0</v>
      </c>
      <c r="F77" t="str">
        <f>F$9 * (0.007727854885160923 -F$8)</f>
        <v>0</v>
      </c>
      <c r="G77" t="str">
        <f>G$9 * (2.881942987442017 -G$8)</f>
        <v>0</v>
      </c>
      <c r="H77" t="str">
        <f>H$9 * (6.497490882873535 -H$8)</f>
        <v>0</v>
      </c>
      <c r="I77" t="str">
        <f>I$9 * (5.740585803985596 -I$8)</f>
        <v>0</v>
      </c>
    </row>
    <row r="78" spans="1:11">
      <c r="A78" t="str">
        <f>A$9 * (16.75003814697266 -A$8)</f>
        <v>0</v>
      </c>
      <c r="B78" t="str">
        <f>B$9 * (16.75003814697266 -B$8)</f>
        <v>0</v>
      </c>
      <c r="C78" t="str">
        <f>C$9 * (16.75003814697266 -C$8)</f>
        <v>0</v>
      </c>
      <c r="D78" t="str">
        <f>D$9 * (16.75003814697266 -D$8)</f>
        <v>0</v>
      </c>
      <c r="F78" t="str">
        <f>F$9 * (0.01105064991861582 -F$8)</f>
        <v>0</v>
      </c>
      <c r="G78" t="str">
        <f>G$9 * (2.146282911300659 -G$8)</f>
        <v>0</v>
      </c>
      <c r="H78" t="str">
        <f>H$9 * (3.773732900619507 -H$8)</f>
        <v>0</v>
      </c>
      <c r="I78" t="str">
        <f>I$9 * (2.988368034362793 -I$8)</f>
        <v>0</v>
      </c>
    </row>
    <row r="79" spans="1:11">
      <c r="A79" t="str">
        <f>A$9 * (17.00011444091797 -A$8)</f>
        <v>0</v>
      </c>
      <c r="B79" t="str">
        <f>B$9 * (17.00011444091797 -B$8)</f>
        <v>0</v>
      </c>
      <c r="C79" t="str">
        <f>C$9 * (17.00011444091797 -C$8)</f>
        <v>0</v>
      </c>
      <c r="D79" t="str">
        <f>D$9 * (17.00011444091797 -D$8)</f>
        <v>0</v>
      </c>
      <c r="F79" t="str">
        <f>F$9 * (0.01056367997080088 -F$8)</f>
        <v>0</v>
      </c>
      <c r="G79" t="str">
        <f>G$9 * (3.540184020996094 -G$8)</f>
        <v>0</v>
      </c>
      <c r="H79" t="str">
        <f>H$9 * (6.55848217010498 -H$8)</f>
        <v>0</v>
      </c>
      <c r="I79" t="str">
        <f>I$9 * (8.052043914794922 -I$8)</f>
        <v>0</v>
      </c>
    </row>
    <row r="80" spans="1:11">
      <c r="A80" t="str">
        <f>A$9 * (17.25019073486328 -A$8)</f>
        <v>0</v>
      </c>
      <c r="B80" t="str">
        <f>B$9 * (17.25019073486328 -B$8)</f>
        <v>0</v>
      </c>
      <c r="C80" t="str">
        <f>C$9 * (17.25019073486328 -C$8)</f>
        <v>0</v>
      </c>
      <c r="D80" t="str">
        <f>D$9 * (17.25019073486328 -D$8)</f>
        <v>0</v>
      </c>
      <c r="F80" t="str">
        <f>F$9 * (0.007627969142049551 -F$8)</f>
        <v>0</v>
      </c>
      <c r="G80" t="str">
        <f>G$9 * (2.875236034393311 -G$8)</f>
        <v>0</v>
      </c>
      <c r="H80" t="str">
        <f>H$9 * (6.552975177764893 -H$8)</f>
        <v>0</v>
      </c>
      <c r="I80" t="str">
        <f>I$9 * (5.800180912017822 -I$8)</f>
        <v>0</v>
      </c>
    </row>
    <row r="81" spans="1:11">
      <c r="A81" t="str">
        <f>A$9 * (17.5001163482666 -A$8)</f>
        <v>0</v>
      </c>
      <c r="B81" t="str">
        <f>B$9 * (17.5001163482666 -B$8)</f>
        <v>0</v>
      </c>
      <c r="C81" t="str">
        <f>C$9 * (17.5001163482666 -C$8)</f>
        <v>0</v>
      </c>
      <c r="D81" t="str">
        <f>D$9 * (17.5001163482666 -D$8)</f>
        <v>0</v>
      </c>
      <c r="F81" t="str">
        <f>F$9 * (0.01050812005996704 -F$8)</f>
        <v>0</v>
      </c>
      <c r="G81" t="str">
        <f>G$9 * (2.0780029296875 -G$8)</f>
        <v>0</v>
      </c>
      <c r="H81" t="str">
        <f>H$9 * (3.768449068069458 -H$8)</f>
        <v>0</v>
      </c>
      <c r="I81" t="str">
        <f>I$9 * (2.84420108795166 -I$8)</f>
        <v>0</v>
      </c>
    </row>
    <row r="82" spans="1:11">
      <c r="A82" t="str">
        <f>A$9 * (17.75002288818359 -A$8)</f>
        <v>0</v>
      </c>
      <c r="B82" t="str">
        <f>B$9 * (17.75002288818359 -B$8)</f>
        <v>0</v>
      </c>
      <c r="C82" t="str">
        <f>C$9 * (17.75002288818359 -C$8)</f>
        <v>0</v>
      </c>
      <c r="D82" t="str">
        <f>D$9 * (17.75002288818359 -D$8)</f>
        <v>0</v>
      </c>
      <c r="F82" t="str">
        <f>F$9 * (0.01118126977235079 -F$8)</f>
        <v>0</v>
      </c>
      <c r="G82" t="str">
        <f>G$9 * (3.570611000061035 -G$8)</f>
        <v>0</v>
      </c>
      <c r="H82" t="str">
        <f>H$9 * (6.388855934143066 -H$8)</f>
        <v>0</v>
      </c>
      <c r="I82" t="str">
        <f>I$9 * (8.045304298400879 -I$8)</f>
        <v>0</v>
      </c>
    </row>
    <row r="83" spans="1:11">
      <c r="A83" t="str">
        <f>A$9 * (18.00034523010254 -A$8)</f>
        <v>0</v>
      </c>
      <c r="B83" t="str">
        <f>B$9 * (18.00034523010254 -B$8)</f>
        <v>0</v>
      </c>
      <c r="C83" t="str">
        <f>C$9 * (18.00034523010254 -C$8)</f>
        <v>0</v>
      </c>
      <c r="D83" t="str">
        <f>D$9 * (18.00034523010254 -D$8)</f>
        <v>0</v>
      </c>
      <c r="F83" t="str">
        <f>F$9 * (0.007745848037302494 -F$8)</f>
        <v>0</v>
      </c>
      <c r="G83" t="str">
        <f>G$9 * (2.90068507194519 -G$8)</f>
        <v>0</v>
      </c>
      <c r="H83" t="str">
        <f>H$9 * (6.536732196807861 -H$8)</f>
        <v>0</v>
      </c>
      <c r="I83" t="str">
        <f>I$9 * (5.839632034301758 -I$8)</f>
        <v>0</v>
      </c>
    </row>
    <row r="84" spans="1:11">
      <c r="A84" t="str">
        <f>A$9 * (18.25021743774414 -A$8)</f>
        <v>0</v>
      </c>
      <c r="B84" t="str">
        <f>B$9 * (18.25021743774414 -B$8)</f>
        <v>0</v>
      </c>
      <c r="C84" t="str">
        <f>C$9 * (18.25021743774414 -C$8)</f>
        <v>0</v>
      </c>
      <c r="D84" t="str">
        <f>D$9 * (18.25021743774414 -D$8)</f>
        <v>0</v>
      </c>
      <c r="F84" t="str">
        <f>F$9 * (0.01013136003166437 -F$8)</f>
        <v>0</v>
      </c>
      <c r="G84" t="str">
        <f>G$9 * (2.079071044921875 -G$8)</f>
        <v>0</v>
      </c>
      <c r="H84" t="str">
        <f>H$9 * (3.855464935302734 -H$8)</f>
        <v>0</v>
      </c>
      <c r="I84" t="str">
        <f>I$9 * (2.841937065124512 -I$8)</f>
        <v>0</v>
      </c>
    </row>
    <row r="85" spans="1:11">
      <c r="A85" t="str">
        <f>A$9 * (18.50043678283691 -A$8)</f>
        <v>0</v>
      </c>
      <c r="B85" t="str">
        <f>B$9 * (18.50043678283691 -B$8)</f>
        <v>0</v>
      </c>
      <c r="C85" t="str">
        <f>C$9 * (18.50043678283691 -C$8)</f>
        <v>0</v>
      </c>
      <c r="D85" t="str">
        <f>D$9 * (18.50043678283691 -D$8)</f>
        <v>0</v>
      </c>
      <c r="F85" t="str">
        <f>F$9 * (0.01197964046150446 -F$8)</f>
        <v>0</v>
      </c>
      <c r="G85" t="str">
        <f>G$9 * (3.558531045913696 -G$8)</f>
        <v>0</v>
      </c>
      <c r="H85" t="str">
        <f>H$9 * (6.106301784515381 -H$8)</f>
        <v>0</v>
      </c>
      <c r="I85" t="str">
        <f>I$9 * (7.815546989440918 -I$8)</f>
        <v>0</v>
      </c>
    </row>
    <row r="86" spans="1:11">
      <c r="A86" t="str">
        <f>A$9 * (18.75015068054199 -A$8)</f>
        <v>0</v>
      </c>
      <c r="B86" t="str">
        <f>B$9 * (18.75015068054199 -B$8)</f>
        <v>0</v>
      </c>
      <c r="C86" t="str">
        <f>C$9 * (18.75015068054199 -C$8)</f>
        <v>0</v>
      </c>
      <c r="D86" t="str">
        <f>D$9 * (18.75015068054199 -D$8)</f>
        <v>0</v>
      </c>
      <c r="F86" t="str">
        <f>F$9 * (0.00754930917173624 -F$8)</f>
        <v>0</v>
      </c>
      <c r="G86" t="str">
        <f>G$9 * (2.88665509223938 -G$8)</f>
        <v>0</v>
      </c>
      <c r="H86" t="str">
        <f>H$9 * (6.631184101104736 -H$8)</f>
        <v>0</v>
      </c>
      <c r="I86" t="str">
        <f>I$9 * (5.908393859863281 -I$8)</f>
        <v>0</v>
      </c>
    </row>
    <row r="87" spans="1:11">
      <c r="A87" t="str">
        <f>A$9 * (19.00040817260742 -A$8)</f>
        <v>0</v>
      </c>
      <c r="B87" t="str">
        <f>B$9 * (19.00040817260742 -B$8)</f>
        <v>0</v>
      </c>
      <c r="C87" t="str">
        <f>C$9 * (19.00040817260742 -C$8)</f>
        <v>0</v>
      </c>
      <c r="D87" t="str">
        <f>D$9 * (19.00040817260742 -D$8)</f>
        <v>0</v>
      </c>
      <c r="F87" t="str">
        <f>F$9 * (0.009688052348792553 -F$8)</f>
        <v>0</v>
      </c>
      <c r="G87" t="str">
        <f>G$9 * (2.050693035125732 -G$8)</f>
        <v>0</v>
      </c>
      <c r="H87" t="str">
        <f>H$9 * (3.914861917495728 -H$8)</f>
        <v>0</v>
      </c>
      <c r="I87" t="str">
        <f>I$9 * (2.794586896896362 -I$8)</f>
        <v>0</v>
      </c>
    </row>
    <row r="88" spans="1:11">
      <c r="A88" t="str">
        <f>A$9 * (19.25025749206543 -A$8)</f>
        <v>0</v>
      </c>
      <c r="B88" t="str">
        <f>B$9 * (19.25025749206543 -B$8)</f>
        <v>0</v>
      </c>
      <c r="C88" t="str">
        <f>C$9 * (19.25025749206543 -C$8)</f>
        <v>0</v>
      </c>
      <c r="D88" t="str">
        <f>D$9 * (19.25025749206543 -D$8)</f>
        <v>0</v>
      </c>
      <c r="F88" t="str">
        <f>F$9 * (0.01261559035629034 -F$8)</f>
        <v>0</v>
      </c>
      <c r="G88" t="str">
        <f>G$9 * (3.542728900909424 -G$8)</f>
        <v>0</v>
      </c>
      <c r="H88" t="str">
        <f>H$9 * (5.896060943603516 -H$8)</f>
        <v>0</v>
      </c>
      <c r="I88" t="str">
        <f>I$9 * (7.6595778465271 -I$8)</f>
        <v>0</v>
      </c>
    </row>
    <row r="89" spans="1:11">
      <c r="A89" t="str">
        <f>A$9 * (19.50044441223145 -A$8)</f>
        <v>0</v>
      </c>
      <c r="B89" t="str">
        <f>B$9 * (19.50044441223145 -B$8)</f>
        <v>0</v>
      </c>
      <c r="C89" t="str">
        <f>C$9 * (19.50044441223145 -C$8)</f>
        <v>0</v>
      </c>
      <c r="D89" t="str">
        <f>D$9 * (19.50044441223145 -D$8)</f>
        <v>0</v>
      </c>
      <c r="F89" t="str">
        <f>F$9 * (0.007565073203295469 -F$8)</f>
        <v>0</v>
      </c>
      <c r="G89" t="str">
        <f>G$9 * (2.898077964782715 -G$8)</f>
        <v>0</v>
      </c>
      <c r="H89" t="str">
        <f>H$9 * (6.643556118011475 -H$8)</f>
        <v>0</v>
      </c>
      <c r="I89" t="str">
        <f>I$9 * (5.937921047210693 -I$8)</f>
        <v>0</v>
      </c>
    </row>
    <row r="90" spans="1:11">
      <c r="A90" t="str">
        <f>A$9 * (19.7502498626709 -A$8)</f>
        <v>0</v>
      </c>
      <c r="B90" t="str">
        <f>B$9 * (19.7502498626709 -B$8)</f>
        <v>0</v>
      </c>
      <c r="C90" t="str">
        <f>C$9 * (19.7502498626709 -C$8)</f>
        <v>0</v>
      </c>
      <c r="D90" t="str">
        <f>D$9 * (19.7502498626709 -D$8)</f>
        <v>0</v>
      </c>
      <c r="F90" t="str">
        <f>F$9 * (0.009385325945913792 -F$8)</f>
        <v>0</v>
      </c>
      <c r="G90" t="str">
        <f>G$9 * (2.093437910079956 -G$8)</f>
        <v>0</v>
      </c>
      <c r="H90" t="str">
        <f>H$9 * (4.078904151916504 -H$8)</f>
        <v>0</v>
      </c>
      <c r="I90" t="str">
        <f>I$9 * (2.890973091125488 -I$8)</f>
        <v>0</v>
      </c>
    </row>
    <row r="91" spans="1:11">
      <c r="A91" t="str">
        <f>A$9 * (20.00047302246094 -A$8)</f>
        <v>0</v>
      </c>
      <c r="B91" t="str">
        <f>B$9 * (20.00047302246094 -B$8)</f>
        <v>0</v>
      </c>
      <c r="C91" t="str">
        <f>C$9 * (20.00047302246094 -C$8)</f>
        <v>0</v>
      </c>
      <c r="D91" t="str">
        <f>D$9 * (20.00047302246094 -D$8)</f>
        <v>0</v>
      </c>
      <c r="F91" t="str">
        <f>F$9 * (0.01330943964421749 -F$8)</f>
        <v>0</v>
      </c>
      <c r="G91" t="str">
        <f>G$9 * (3.473433971405029 -G$8)</f>
        <v>0</v>
      </c>
      <c r="H91" t="str">
        <f>H$9 * (5.598518848419189 -H$8)</f>
        <v>0</v>
      </c>
      <c r="I91" t="str">
        <f>I$9 * (7.273989200592041 -I$8)</f>
        <v>0</v>
      </c>
    </row>
    <row r="92" spans="1:11">
      <c r="A92" t="str">
        <f>A$9 * (20.25036430358887 -A$8)</f>
        <v>0</v>
      </c>
      <c r="B92" t="str">
        <f>B$9 * (20.25036430358887 -B$8)</f>
        <v>0</v>
      </c>
      <c r="C92" t="str">
        <f>C$9 * (20.25036430358887 -C$8)</f>
        <v>0</v>
      </c>
      <c r="D92" t="str">
        <f>D$9 * (20.25036430358887 -D$8)</f>
        <v>0</v>
      </c>
      <c r="F92" t="str">
        <f>F$9 * (0.007361745927482843 -F$8)</f>
        <v>0</v>
      </c>
      <c r="G92" t="str">
        <f>G$9 * (2.892571926116943 -G$8)</f>
        <v>0</v>
      </c>
      <c r="H92" t="str">
        <f>H$9 * (6.76789379119873 -H$8)</f>
        <v>0</v>
      </c>
      <c r="I92" t="str">
        <f>I$9 * (6.063358783721924 -I$8)</f>
        <v>0</v>
      </c>
    </row>
    <row r="93" spans="1:11">
      <c r="A93" t="str">
        <f>A$9 * (20.50029754638672 -A$8)</f>
        <v>0</v>
      </c>
      <c r="B93" t="str">
        <f>B$9 * (20.50029754638672 -B$8)</f>
        <v>0</v>
      </c>
      <c r="C93" t="str">
        <f>C$9 * (20.50029754638672 -C$8)</f>
        <v>0</v>
      </c>
      <c r="D93" t="str">
        <f>D$9 * (20.50029754638672 -D$8)</f>
        <v>0</v>
      </c>
      <c r="F93" t="str">
        <f>F$9 * (0.008987396024167538 -F$8)</f>
        <v>0</v>
      </c>
      <c r="G93" t="str">
        <f>G$9 * (2.099410057067871 -G$8)</f>
        <v>0</v>
      </c>
      <c r="H93" t="str">
        <f>H$9 * (4.213465213775635 -H$8)</f>
        <v>0</v>
      </c>
      <c r="I93" t="str">
        <f>I$9 * (2.93174409866333 -I$8)</f>
        <v>0</v>
      </c>
    </row>
    <row r="94" spans="1:11">
      <c r="A94" t="str">
        <f>A$9 * (20.75026893615723 -A$8)</f>
        <v>0</v>
      </c>
      <c r="B94" t="str">
        <f>B$9 * (20.75026893615723 -B$8)</f>
        <v>0</v>
      </c>
      <c r="C94" t="str">
        <f>C$9 * (20.75026893615723 -C$8)</f>
        <v>0</v>
      </c>
      <c r="D94" t="str">
        <f>D$9 * (20.75026893615723 -D$8)</f>
        <v>0</v>
      </c>
      <c r="F94" t="str">
        <f>F$9 * (0.01376652996987104 -F$8)</f>
        <v>0</v>
      </c>
      <c r="G94" t="str">
        <f>G$9 * (3.406069993972778 -G$8)</f>
        <v>0</v>
      </c>
      <c r="H94" t="str">
        <f>H$9 * (5.381614208221436 -H$8)</f>
        <v>0</v>
      </c>
      <c r="I94" t="str">
        <f>I$9 * (6.968842029571533 -I$8)</f>
        <v>0</v>
      </c>
    </row>
    <row r="95" spans="1:11">
      <c r="A95" t="str">
        <f>A$9 * (21.00044250488281 -A$8)</f>
        <v>0</v>
      </c>
      <c r="B95" t="str">
        <f>B$9 * (21.00044250488281 -B$8)</f>
        <v>0</v>
      </c>
      <c r="C95" t="str">
        <f>C$9 * (21.00044250488281 -C$8)</f>
        <v>0</v>
      </c>
      <c r="D95" t="str">
        <f>D$9 * (21.00044250488281 -D$8)</f>
        <v>0</v>
      </c>
      <c r="F95" t="str">
        <f>F$9 * (0.007302374113351107 -F$8)</f>
        <v>0</v>
      </c>
      <c r="G95" t="str">
        <f>G$9 * (2.90147590637207 -G$8)</f>
        <v>0</v>
      </c>
      <c r="H95" t="str">
        <f>H$9 * (6.823639869689941 -H$8)</f>
        <v>0</v>
      </c>
      <c r="I95" t="str">
        <f>I$9 * (6.131969928741455 -I$8)</f>
        <v>0</v>
      </c>
    </row>
    <row r="96" spans="1:11">
      <c r="A96" t="str">
        <f>A$9 * (21.25006103515625 -A$8)</f>
        <v>0</v>
      </c>
      <c r="B96" t="str">
        <f>B$9 * (21.25006103515625 -B$8)</f>
        <v>0</v>
      </c>
      <c r="C96" t="str">
        <f>C$9 * (21.25006103515625 -C$8)</f>
        <v>0</v>
      </c>
      <c r="D96" t="str">
        <f>D$9 * (21.25006103515625 -D$8)</f>
        <v>0</v>
      </c>
      <c r="F96" t="str">
        <f>F$9 * (0.008671779185533524 -F$8)</f>
        <v>0</v>
      </c>
      <c r="G96" t="str">
        <f>G$9 * (2.183717012405396 -G$8)</f>
        <v>0</v>
      </c>
      <c r="H96" t="str">
        <f>H$9 * (4.489808082580566 -H$8)</f>
        <v>0</v>
      </c>
      <c r="I96" t="str">
        <f>I$9 * (3.146858930587769 -I$8)</f>
        <v>0</v>
      </c>
    </row>
    <row r="97" spans="1:11">
      <c r="A97" t="str">
        <f>A$9 * (21.50034141540527 -A$8)</f>
        <v>0</v>
      </c>
      <c r="B97" t="str">
        <f>B$9 * (21.50034141540527 -B$8)</f>
        <v>0</v>
      </c>
      <c r="C97" t="str">
        <f>C$9 * (21.50034141540527 -C$8)</f>
        <v>0</v>
      </c>
      <c r="D97" t="str">
        <f>D$9 * (21.50034141540527 -D$8)</f>
        <v>0</v>
      </c>
      <c r="F97" t="str">
        <f>F$9 * (0.01427462045103312 -F$8)</f>
        <v>0</v>
      </c>
      <c r="G97" t="str">
        <f>G$9 * (3.291085958480835 -G$8)</f>
        <v>0</v>
      </c>
      <c r="H97" t="str">
        <f>H$9 * (5.085155010223389 -H$8)</f>
        <v>0</v>
      </c>
      <c r="I97" t="str">
        <f>I$9 * (6.484899044036865 -I$8)</f>
        <v>0</v>
      </c>
    </row>
    <row r="98" spans="1:11">
      <c r="A98" t="str">
        <f>A$9 * (21.75033569335938 -A$8)</f>
        <v>0</v>
      </c>
      <c r="B98" t="str">
        <f>B$9 * (21.75033569335938 -B$8)</f>
        <v>0</v>
      </c>
      <c r="C98" t="str">
        <f>C$9 * (21.75033569335938 -C$8)</f>
        <v>0</v>
      </c>
      <c r="D98" t="str">
        <f>D$9 * (21.75033569335938 -D$8)</f>
        <v>0</v>
      </c>
      <c r="F98" t="str">
        <f>F$9 * (0.007196031976491213 -F$8)</f>
        <v>0</v>
      </c>
      <c r="G98" t="str">
        <f>G$9 * (2.92608904838562 -G$8)</f>
        <v>0</v>
      </c>
      <c r="H98" t="str">
        <f>H$9 * (6.965236186981201 -H$8)</f>
        <v>0</v>
      </c>
      <c r="I98" t="str">
        <f>I$9 * (6.374879837036133 -I$8)</f>
        <v>0</v>
      </c>
    </row>
    <row r="99" spans="1:11">
      <c r="A99" t="str">
        <f>A$9 * (22.00017547607422 -A$8)</f>
        <v>0</v>
      </c>
      <c r="B99" t="str">
        <f>B$9 * (22.00017547607422 -B$8)</f>
        <v>0</v>
      </c>
      <c r="C99" t="str">
        <f>C$9 * (22.00017547607422 -C$8)</f>
        <v>0</v>
      </c>
      <c r="D99" t="str">
        <f>D$9 * (22.00017547607422 -D$8)</f>
        <v>0</v>
      </c>
      <c r="F99" t="str">
        <f>F$9 * (0.008310757577419281 -F$8)</f>
        <v>0</v>
      </c>
      <c r="G99" t="str">
        <f>G$9 * (2.233911991119385 -G$8)</f>
        <v>0</v>
      </c>
      <c r="H99" t="str">
        <f>H$9 * (4.735610961914062 -H$8)</f>
        <v>0</v>
      </c>
      <c r="I99" t="str">
        <f>I$9 * (3.322293996810913 -I$8)</f>
        <v>0</v>
      </c>
    </row>
    <row r="100" spans="1:11">
      <c r="A100" t="str">
        <f>A$9 * (22.25029754638672 -A$8)</f>
        <v>0</v>
      </c>
      <c r="B100" t="str">
        <f>B$9 * (22.25029754638672 -B$8)</f>
        <v>0</v>
      </c>
      <c r="C100" t="str">
        <f>C$9 * (22.25029754638672 -C$8)</f>
        <v>0</v>
      </c>
      <c r="D100" t="str">
        <f>D$9 * (22.25029754638672 -D$8)</f>
        <v>0</v>
      </c>
      <c r="F100" t="str">
        <f>F$9 * (0.01450155023485422 -F$8)</f>
        <v>0</v>
      </c>
      <c r="G100" t="str">
        <f>G$9 * (3.21251392364502 -G$8)</f>
        <v>0</v>
      </c>
      <c r="H100" t="str">
        <f>H$9 * (4.915832996368408 -H$8)</f>
        <v>0</v>
      </c>
      <c r="I100" t="str">
        <f>I$9 * (6.194033145904541 -I$8)</f>
        <v>0</v>
      </c>
    </row>
    <row r="101" spans="1:11">
      <c r="A101" t="str">
        <f>A$9 * (22.50043296813965 -A$8)</f>
        <v>0</v>
      </c>
      <c r="B101" t="str">
        <f>B$9 * (22.50043296813965 -B$8)</f>
        <v>0</v>
      </c>
      <c r="C101" t="str">
        <f>C$9 * (22.50043296813965 -C$8)</f>
        <v>0</v>
      </c>
      <c r="D101" t="str">
        <f>D$9 * (22.50043296813965 -D$8)</f>
        <v>0</v>
      </c>
      <c r="F101" t="str">
        <f>F$9 * (0.007200488820672035 -F$8)</f>
        <v>0</v>
      </c>
      <c r="G101" t="str">
        <f>G$9 * (2.952847957611084 -G$8)</f>
        <v>0</v>
      </c>
      <c r="H101" t="str">
        <f>H$9 * (7.022603034973145 -H$8)</f>
        <v>0</v>
      </c>
      <c r="I101" t="str">
        <f>I$9 * (6.502613067626953 -I$8)</f>
        <v>0</v>
      </c>
    </row>
    <row r="102" spans="1:11">
      <c r="A102" t="str">
        <f>A$9 * (22.75029754638672 -A$8)</f>
        <v>0</v>
      </c>
      <c r="B102" t="str">
        <f>B$9 * (22.75029754638672 -B$8)</f>
        <v>0</v>
      </c>
      <c r="C102" t="str">
        <f>C$9 * (22.75029754638672 -C$8)</f>
        <v>0</v>
      </c>
      <c r="D102" t="str">
        <f>D$9 * (22.75029754638672 -D$8)</f>
        <v>0</v>
      </c>
      <c r="F102" t="str">
        <f>F$9 * (0.008064338937401772 -F$8)</f>
        <v>0</v>
      </c>
      <c r="G102" t="str">
        <f>G$9 * (2.3490149974823 -G$8)</f>
        <v>0</v>
      </c>
      <c r="H102" t="str">
        <f>H$9 * (5.087063789367676 -H$8)</f>
        <v>0</v>
      </c>
      <c r="I102" t="str">
        <f>I$9 * (3.662770986557007 -I$8)</f>
        <v>0</v>
      </c>
    </row>
    <row r="103" spans="1:11">
      <c r="A103" t="str">
        <f>A$9 * (23.00015640258789 -A$8)</f>
        <v>0</v>
      </c>
      <c r="B103" t="str">
        <f>B$9 * (23.00015640258789 -B$8)</f>
        <v>0</v>
      </c>
      <c r="C103" t="str">
        <f>C$9 * (23.00015640258789 -C$8)</f>
        <v>0</v>
      </c>
      <c r="D103" t="str">
        <f>D$9 * (23.00015640258789 -D$8)</f>
        <v>0</v>
      </c>
      <c r="F103" t="str">
        <f>F$9 * (0.01464287005364895 -F$8)</f>
        <v>0</v>
      </c>
      <c r="G103" t="str">
        <f>G$9 * (3.070449113845825 -G$8)</f>
        <v>0</v>
      </c>
      <c r="H103" t="str">
        <f>H$9 * (4.66093921661377 -H$8)</f>
        <v>0</v>
      </c>
      <c r="I103" t="str">
        <f>I$9 * (5.674410820007324 -I$8)</f>
        <v>0</v>
      </c>
    </row>
    <row r="104" spans="1:11">
      <c r="A104" t="str">
        <f>A$9 * (23.25046920776367 -A$8)</f>
        <v>0</v>
      </c>
      <c r="B104" t="str">
        <f>B$9 * (23.25046920776367 -B$8)</f>
        <v>0</v>
      </c>
      <c r="C104" t="str">
        <f>C$9 * (23.25046920776367 -C$8)</f>
        <v>0</v>
      </c>
      <c r="D104" t="str">
        <f>D$9 * (23.25046920776367 -D$8)</f>
        <v>0</v>
      </c>
      <c r="F104" t="str">
        <f>F$9 * (0.00722689600661397 -F$8)</f>
        <v>0</v>
      </c>
      <c r="G104" t="str">
        <f>G$9 * (2.996855974197388 -G$8)</f>
        <v>0</v>
      </c>
      <c r="H104" t="str">
        <f>H$9 * (7.122244834899902 -H$8)</f>
        <v>0</v>
      </c>
      <c r="I104" t="str">
        <f>I$9 * (6.7760329246521 -I$8)</f>
        <v>0</v>
      </c>
    </row>
    <row r="105" spans="1:11">
      <c r="A105" t="str">
        <f>A$9 * (23.50008964538574 -A$8)</f>
        <v>0</v>
      </c>
      <c r="B105" t="str">
        <f>B$9 * (23.50008964538574 -B$8)</f>
        <v>0</v>
      </c>
      <c r="C105" t="str">
        <f>C$9 * (23.50008964538574 -C$8)</f>
        <v>0</v>
      </c>
      <c r="D105" t="str">
        <f>D$9 * (23.50008964538574 -D$8)</f>
        <v>0</v>
      </c>
      <c r="F105" t="str">
        <f>F$9 * (0.007701199967414141 -F$8)</f>
        <v>0</v>
      </c>
      <c r="G105" t="str">
        <f>G$9 * (2.414546966552734 -G$8)</f>
        <v>0</v>
      </c>
      <c r="H105" t="str">
        <f>H$9 * (5.410583972930908 -H$8)</f>
        <v>0</v>
      </c>
      <c r="I105" t="str">
        <f>I$9 * (3.946865081787109 -I$8)</f>
        <v>0</v>
      </c>
    </row>
    <row r="106" spans="1:11">
      <c r="A106" t="str">
        <f>A$9 * (23.7503604888916 -A$8)</f>
        <v>0</v>
      </c>
      <c r="B106" t="str">
        <f>B$9 * (23.7503604888916 -B$8)</f>
        <v>0</v>
      </c>
      <c r="C106" t="str">
        <f>C$9 * (23.7503604888916 -C$8)</f>
        <v>0</v>
      </c>
      <c r="D106" t="str">
        <f>D$9 * (23.7503604888916 -D$8)</f>
        <v>0</v>
      </c>
      <c r="F106" t="str">
        <f>F$9 * (0.01466806977987289 -F$8)</f>
        <v>0</v>
      </c>
      <c r="G106" t="str">
        <f>G$9 * (2.96399998664856 -G$8)</f>
        <v>0</v>
      </c>
      <c r="H106" t="str">
        <f>H$9 * (4.487710952758789 -H$8)</f>
        <v>0</v>
      </c>
      <c r="I106" t="str">
        <f>I$9 * (5.318697929382324 -I$8)</f>
        <v>0</v>
      </c>
    </row>
    <row r="107" spans="1:11">
      <c r="A107" t="str">
        <f>A$9 * (24.00012016296387 -A$8)</f>
        <v>0</v>
      </c>
      <c r="B107" t="str">
        <f>B$9 * (24.00012016296387 -B$8)</f>
        <v>0</v>
      </c>
      <c r="C107" t="str">
        <f>C$9 * (24.00012016296387 -C$8)</f>
        <v>0</v>
      </c>
      <c r="D107" t="str">
        <f>D$9 * (24.00012016296387 -D$8)</f>
        <v>0</v>
      </c>
      <c r="F107" t="str">
        <f>F$9 * (0.007305354811251163 -F$8)</f>
        <v>0</v>
      </c>
      <c r="G107" t="str">
        <f>G$9 * (3.041214942932129 -G$8)</f>
        <v>0</v>
      </c>
      <c r="H107" t="str">
        <f>H$9 * (7.166317939758301 -H$8)</f>
        <v>0</v>
      </c>
      <c r="I107" t="str">
        <f>I$9 * (6.937088966369629 -I$8)</f>
        <v>0</v>
      </c>
    </row>
    <row r="108" spans="1:11">
      <c r="A108" t="str">
        <f>A$9 * (24.25001907348633 -A$8)</f>
        <v>0</v>
      </c>
      <c r="B108" t="str">
        <f>B$9 * (24.25001907348633 -B$8)</f>
        <v>0</v>
      </c>
      <c r="C108" t="str">
        <f>C$9 * (24.25001907348633 -C$8)</f>
        <v>0</v>
      </c>
      <c r="D108" t="str">
        <f>D$9 * (24.25001907348633 -D$8)</f>
        <v>0</v>
      </c>
      <c r="F108" t="str">
        <f>F$9 * (0.007555127143859863 -F$8)</f>
        <v>0</v>
      </c>
      <c r="G108" t="str">
        <f>G$9 * (2.550622940063477 -G$8)</f>
        <v>0</v>
      </c>
      <c r="H108" t="str">
        <f>H$9 * (5.799044132232666 -H$8)</f>
        <v>0</v>
      </c>
      <c r="I108" t="str">
        <f>I$9 * (4.429269790649414 -I$8)</f>
        <v>0</v>
      </c>
    </row>
    <row r="109" spans="1:11">
      <c r="A109" t="str">
        <f>A$9 * (24.50034713745117 -A$8)</f>
        <v>0</v>
      </c>
      <c r="B109" t="str">
        <f>B$9 * (24.50034713745117 -B$8)</f>
        <v>0</v>
      </c>
      <c r="C109" t="str">
        <f>C$9 * (24.50034713745117 -C$8)</f>
        <v>0</v>
      </c>
      <c r="D109" t="str">
        <f>D$9 * (24.50034713745117 -D$8)</f>
        <v>0</v>
      </c>
      <c r="F109" t="str">
        <f>F$9 * (0.01433137990534306 -F$8)</f>
        <v>0</v>
      </c>
      <c r="G109" t="str">
        <f>G$9 * (2.804718017578125 -G$8)</f>
        <v>0</v>
      </c>
      <c r="H109" t="str">
        <f>H$9 * (4.287799835205078 -H$8)</f>
        <v>0</v>
      </c>
      <c r="I109" t="str">
        <f>I$9 * (4.791842937469482 -I$8)</f>
        <v>0</v>
      </c>
    </row>
    <row r="110" spans="1:11">
      <c r="A110" t="str">
        <f>A$9 * (24.7503833770752 -A$8)</f>
        <v>0</v>
      </c>
      <c r="B110" t="str">
        <f>B$9 * (24.7503833770752 -B$8)</f>
        <v>0</v>
      </c>
      <c r="C110" t="str">
        <f>C$9 * (24.7503833770752 -C$8)</f>
        <v>0</v>
      </c>
      <c r="D110" t="str">
        <f>D$9 * (24.7503833770752 -D$8)</f>
        <v>0</v>
      </c>
      <c r="F110" t="str">
        <f>F$9 * (0.007537827827036381 -F$8)</f>
        <v>0</v>
      </c>
      <c r="G110" t="str">
        <f>G$9 * (3.115745067596436 -G$8)</f>
        <v>0</v>
      </c>
      <c r="H110" t="str">
        <f>H$9 * (7.195896148681641 -H$8)</f>
        <v>0</v>
      </c>
      <c r="I110" t="str">
        <f>I$9 * (7.232412815093994 -I$8)</f>
        <v>0</v>
      </c>
    </row>
    <row r="111" spans="1:11">
      <c r="A111" t="str">
        <f>A$9 * (25.00030326843262 -A$8)</f>
        <v>0</v>
      </c>
      <c r="B111" t="str">
        <f>B$9 * (25.00030326843262 -B$8)</f>
        <v>0</v>
      </c>
      <c r="C111" t="str">
        <f>C$9 * (25.00030326843262 -C$8)</f>
        <v>0</v>
      </c>
      <c r="D111" t="str">
        <f>D$9 * (25.00030326843262 -D$8)</f>
        <v>0</v>
      </c>
      <c r="F111" t="str">
        <f>F$9 * (0.007276115007698536 -F$8)</f>
        <v>0</v>
      </c>
      <c r="G111" t="str">
        <f>G$9 * (2.60487699508667 -G$8)</f>
        <v>0</v>
      </c>
      <c r="H111" t="str">
        <f>H$9 * (6.096757888793945 -H$8)</f>
        <v>0</v>
      </c>
      <c r="I111" t="str">
        <f>I$9 * (4.754746913909912 -I$8)</f>
        <v>0</v>
      </c>
    </row>
    <row r="112" spans="1:11">
      <c r="A112" t="str">
        <f>A$9 * (25.2501392364502 -A$8)</f>
        <v>0</v>
      </c>
      <c r="B112" t="str">
        <f>B$9 * (25.2501392364502 -B$8)</f>
        <v>0</v>
      </c>
      <c r="C112" t="str">
        <f>C$9 * (25.2501392364502 -C$8)</f>
        <v>0</v>
      </c>
      <c r="D112" t="str">
        <f>D$9 * (25.2501392364502 -D$8)</f>
        <v>0</v>
      </c>
      <c r="F112" t="str">
        <f>F$9 * (0.01400723960250616 -F$8)</f>
        <v>0</v>
      </c>
      <c r="G112" t="str">
        <f>G$9 * (2.674210071563721 -G$8)</f>
        <v>0</v>
      </c>
      <c r="H112" t="str">
        <f>H$9 * (4.132256031036377 -H$8)</f>
        <v>0</v>
      </c>
      <c r="I112" t="str">
        <f>I$9 * (4.400889873504639 -I$8)</f>
        <v>0</v>
      </c>
    </row>
    <row r="113" spans="1:11">
      <c r="A113" t="str">
        <f>A$9 * (25.50010299682617 -A$8)</f>
        <v>0</v>
      </c>
      <c r="B113" t="str">
        <f>B$9 * (25.50010299682617 -B$8)</f>
        <v>0</v>
      </c>
      <c r="C113" t="str">
        <f>C$9 * (25.50010299682617 -C$8)</f>
        <v>0</v>
      </c>
      <c r="D113" t="str">
        <f>D$9 * (25.50010299682617 -D$8)</f>
        <v>0</v>
      </c>
      <c r="F113" t="str">
        <f>F$9 * (0.007707894779741764 -F$8)</f>
        <v>0</v>
      </c>
      <c r="G113" t="str">
        <f>G$9 * (3.173155069351196 -G$8)</f>
        <v>0</v>
      </c>
      <c r="H113" t="str">
        <f>H$9 * (7.211972236633301 -H$8)</f>
        <v>0</v>
      </c>
      <c r="I113" t="str">
        <f>I$9 * (7.417223930358887 -I$8)</f>
        <v>0</v>
      </c>
    </row>
    <row r="114" spans="1:11">
      <c r="A114" t="str">
        <f>A$9 * (25.75044250488281 -A$8)</f>
        <v>0</v>
      </c>
      <c r="B114" t="str">
        <f>B$9 * (25.75044250488281 -B$8)</f>
        <v>0</v>
      </c>
      <c r="C114" t="str">
        <f>C$9 * (25.75044250488281 -C$8)</f>
        <v>0</v>
      </c>
      <c r="D114" t="str">
        <f>D$9 * (25.75044250488281 -D$8)</f>
        <v>0</v>
      </c>
      <c r="F114" t="str">
        <f>F$9 * (0.007405486889183521 -F$8)</f>
        <v>0</v>
      </c>
      <c r="G114" t="str">
        <f>G$9 * (2.724823951721191 -G$8)</f>
        <v>0</v>
      </c>
      <c r="H114" t="str">
        <f>H$9 * (6.304900169372559 -H$8)</f>
        <v>0</v>
      </c>
      <c r="I114" t="str">
        <f>I$9 * (5.172371864318848 -I$8)</f>
        <v>0</v>
      </c>
    </row>
    <row r="115" spans="1:11">
      <c r="A115" t="str">
        <f>A$9 * (26.00040817260742 -A$8)</f>
        <v>0</v>
      </c>
      <c r="B115" t="str">
        <f>B$9 * (26.00040817260742 -B$8)</f>
        <v>0</v>
      </c>
      <c r="C115" t="str">
        <f>C$9 * (26.00040817260742 -C$8)</f>
        <v>0</v>
      </c>
      <c r="D115" t="str">
        <f>D$9 * (26.00040817260742 -D$8)</f>
        <v>0</v>
      </c>
      <c r="F115" t="str">
        <f>F$9 * (0.0134299099445343 -F$8)</f>
        <v>0</v>
      </c>
      <c r="G115" t="str">
        <f>G$9 * (2.53691291809082 -G$8)</f>
        <v>0</v>
      </c>
      <c r="H115" t="str">
        <f>H$9 * (4.00279712677002 -H$8)</f>
        <v>0</v>
      </c>
      <c r="I115" t="str">
        <f>I$9 * (3.994375944137573 -I$8)</f>
        <v>0</v>
      </c>
    </row>
    <row r="116" spans="1:11">
      <c r="A116" t="str">
        <f>A$9 * (26.25045776367188 -A$8)</f>
        <v>0</v>
      </c>
      <c r="B116" t="str">
        <f>B$9 * (26.25045776367188 -B$8)</f>
        <v>0</v>
      </c>
      <c r="C116" t="str">
        <f>C$9 * (26.25045776367188 -C$8)</f>
        <v>0</v>
      </c>
      <c r="D116" t="str">
        <f>D$9 * (26.25045776367188 -D$8)</f>
        <v>0</v>
      </c>
      <c r="F116" t="str">
        <f>F$9 * (0.00813961960375309 -F$8)</f>
        <v>0</v>
      </c>
      <c r="G116" t="str">
        <f>G$9 * (3.26309609413147 -G$8)</f>
        <v>0</v>
      </c>
      <c r="H116" t="str">
        <f>H$9 * (7.154743194580078 -H$8)</f>
        <v>0</v>
      </c>
      <c r="I116" t="str">
        <f>I$9 * (7.669040203094482 -I$8)</f>
        <v>0</v>
      </c>
    </row>
    <row r="117" spans="1:11">
      <c r="A117" t="str">
        <f>A$9 * (26.50009536743164 -A$8)</f>
        <v>0</v>
      </c>
      <c r="B117" t="str">
        <f>B$9 * (26.50009536743164 -B$8)</f>
        <v>0</v>
      </c>
      <c r="C117" t="str">
        <f>C$9 * (26.50009536743164 -C$8)</f>
        <v>0</v>
      </c>
      <c r="D117" t="str">
        <f>D$9 * (26.50009536743164 -D$8)</f>
        <v>0</v>
      </c>
      <c r="F117" t="str">
        <f>F$9 * (0.007327803876250982 -F$8)</f>
        <v>0</v>
      </c>
      <c r="G117" t="str">
        <f>G$9 * (2.764703989028931 -G$8)</f>
        <v>0</v>
      </c>
      <c r="H117" t="str">
        <f>H$9 * (6.460781097412109 -H$8)</f>
        <v>0</v>
      </c>
      <c r="I117" t="str">
        <f>I$9 * (5.415668964385986 -I$8)</f>
        <v>0</v>
      </c>
    </row>
    <row r="118" spans="1:11">
      <c r="A118" t="str">
        <f>A$9 * (26.75022315979004 -A$8)</f>
        <v>0</v>
      </c>
      <c r="B118" t="str">
        <f>B$9 * (26.75022315979004 -B$8)</f>
        <v>0</v>
      </c>
      <c r="C118" t="str">
        <f>C$9 * (26.75022315979004 -C$8)</f>
        <v>0</v>
      </c>
      <c r="D118" t="str">
        <f>D$9 * (26.75022315979004 -D$8)</f>
        <v>0</v>
      </c>
      <c r="F118" t="str">
        <f>F$9 * (0.01294266991317272 -F$8)</f>
        <v>0</v>
      </c>
      <c r="G118" t="str">
        <f>G$9 * (2.423063993453979 -G$8)</f>
        <v>0</v>
      </c>
      <c r="H118" t="str">
        <f>H$9 * (3.898993015289307 -H$8)</f>
        <v>0</v>
      </c>
      <c r="I118" t="str">
        <f>I$9 * (3.690973997116089 -I$8)</f>
        <v>0</v>
      </c>
    </row>
    <row r="119" spans="1:11">
      <c r="A119" t="str">
        <f>A$9 * (27.00009155273438 -A$8)</f>
        <v>0</v>
      </c>
      <c r="B119" t="str">
        <f>B$9 * (27.00009155273438 -B$8)</f>
        <v>0</v>
      </c>
      <c r="C119" t="str">
        <f>C$9 * (27.00009155273438 -C$8)</f>
        <v>0</v>
      </c>
      <c r="D119" t="str">
        <f>D$9 * (27.00009155273438 -D$8)</f>
        <v>0</v>
      </c>
      <c r="F119" t="str">
        <f>F$9 * (0.008458970114588737 -F$8)</f>
        <v>0</v>
      </c>
      <c r="G119" t="str">
        <f>G$9 * (3.327285051345825 -G$8)</f>
        <v>0</v>
      </c>
      <c r="H119" t="str">
        <f>H$9 * (7.107921123504639 -H$8)</f>
        <v>0</v>
      </c>
      <c r="I119" t="str">
        <f>I$9 * (7.823532104492188 -I$8)</f>
        <v>0</v>
      </c>
    </row>
    <row r="120" spans="1:11">
      <c r="A120" t="str">
        <f>A$9 * (27.25018119812012 -A$8)</f>
        <v>0</v>
      </c>
      <c r="B120" t="str">
        <f>B$9 * (27.25018119812012 -B$8)</f>
        <v>0</v>
      </c>
      <c r="C120" t="str">
        <f>C$9 * (27.25018119812012 -C$8)</f>
        <v>0</v>
      </c>
      <c r="D120" t="str">
        <f>D$9 * (27.25018119812012 -D$8)</f>
        <v>0</v>
      </c>
      <c r="F120" t="str">
        <f>F$9 * (0.007616724818944931 -F$8)</f>
        <v>0</v>
      </c>
      <c r="G120" t="str">
        <f>G$9 * (2.847373962402344 -G$8)</f>
        <v>0</v>
      </c>
      <c r="H120" t="str">
        <f>H$9 * (6.476335048675537 -H$8)</f>
        <v>0</v>
      </c>
      <c r="I120" t="str">
        <f>I$9 * (5.62169885635376 -I$8)</f>
        <v>0</v>
      </c>
    </row>
    <row r="121" spans="1:11">
      <c r="A121" t="str">
        <f>A$9 * (27.50007247924805 -A$8)</f>
        <v>0</v>
      </c>
      <c r="B121" t="str">
        <f>B$9 * (27.50007247924805 -B$8)</f>
        <v>0</v>
      </c>
      <c r="C121" t="str">
        <f>C$9 * (27.50007247924805 -C$8)</f>
        <v>0</v>
      </c>
      <c r="D121" t="str">
        <f>D$9 * (27.50007247924805 -D$8)</f>
        <v>0</v>
      </c>
      <c r="F121" t="str">
        <f>F$9 * (0.01235364004969597 -F$8)</f>
        <v>0</v>
      </c>
      <c r="G121" t="str">
        <f>G$9 * (2.33697509765625 -G$8)</f>
        <v>0</v>
      </c>
      <c r="H121" t="str">
        <f>H$9 * (3.855705976486206 -H$8)</f>
        <v>0</v>
      </c>
      <c r="I121" t="str">
        <f>I$9 * (3.453459978103638 -I$8)</f>
        <v>0</v>
      </c>
    </row>
    <row r="122" spans="1:11">
      <c r="A122" t="str">
        <f>A$9 * (27.75041961669922 -A$8)</f>
        <v>0</v>
      </c>
      <c r="B122" t="str">
        <f>B$9 * (27.75041961669922 -B$8)</f>
        <v>0</v>
      </c>
      <c r="C122" t="str">
        <f>C$9 * (27.75041961669922 -C$8)</f>
        <v>0</v>
      </c>
      <c r="D122" t="str">
        <f>D$9 * (27.75041961669922 -D$8)</f>
        <v>0</v>
      </c>
      <c r="F122" t="str">
        <f>F$9 * (0.009072941727936268 -F$8)</f>
        <v>0</v>
      </c>
      <c r="G122" t="str">
        <f>G$9 * (3.407530069351196 -G$8)</f>
        <v>0</v>
      </c>
      <c r="H122" t="str">
        <f>H$9 * (6.95561408996582 -H$8)</f>
        <v>0</v>
      </c>
      <c r="I122" t="str">
        <f>I$9 * (7.950482845306396 -I$8)</f>
        <v>0</v>
      </c>
    </row>
    <row r="123" spans="1:11">
      <c r="A123" t="str">
        <f>A$9 * (28.00002861022949 -A$8)</f>
        <v>0</v>
      </c>
      <c r="B123" t="str">
        <f>B$9 * (28.00002861022949 -B$8)</f>
        <v>0</v>
      </c>
      <c r="C123" t="str">
        <f>C$9 * (28.00002861022949 -C$8)</f>
        <v>0</v>
      </c>
      <c r="D123" t="str">
        <f>D$9 * (28.00002861022949 -D$8)</f>
        <v>0</v>
      </c>
      <c r="F123" t="str">
        <f>F$9 * (0.007506905123591423 -F$8)</f>
        <v>0</v>
      </c>
      <c r="G123" t="str">
        <f>G$9 * (2.842732906341553 -G$8)</f>
        <v>0</v>
      </c>
      <c r="H123" t="str">
        <f>H$9 * (6.545669078826904 -H$8)</f>
        <v>0</v>
      </c>
      <c r="I123" t="str">
        <f>I$9 * (5.699881076812744 -I$8)</f>
        <v>0</v>
      </c>
    </row>
    <row r="124" spans="1:11">
      <c r="A124" t="str">
        <f>A$9 * (28.25041580200195 -A$8)</f>
        <v>0</v>
      </c>
      <c r="B124" t="str">
        <f>B$9 * (28.25041580200195 -B$8)</f>
        <v>0</v>
      </c>
      <c r="C124" t="str">
        <f>C$9 * (28.25041580200195 -C$8)</f>
        <v>0</v>
      </c>
      <c r="D124" t="str">
        <f>D$9 * (28.25041580200195 -D$8)</f>
        <v>0</v>
      </c>
      <c r="F124" t="str">
        <f>F$9 * (0.01180515997111797 -F$8)</f>
        <v>0</v>
      </c>
      <c r="G124" t="str">
        <f>G$9 * (2.243839979171753 -G$8)</f>
        <v>0</v>
      </c>
      <c r="H124" t="str">
        <f>H$9 * (3.799271106719971 -H$8)</f>
        <v>0</v>
      </c>
      <c r="I124" t="str">
        <f>I$9 * (3.227802038192749 -I$8)</f>
        <v>0</v>
      </c>
    </row>
    <row r="125" spans="1:11">
      <c r="A125" t="str">
        <f>A$9 * (28.50019454956055 -A$8)</f>
        <v>0</v>
      </c>
      <c r="B125" t="str">
        <f>B$9 * (28.50019454956055 -B$8)</f>
        <v>0</v>
      </c>
      <c r="C125" t="str">
        <f>C$9 * (28.50019454956055 -C$8)</f>
        <v>0</v>
      </c>
      <c r="D125" t="str">
        <f>D$9 * (28.50019454956055 -D$8)</f>
        <v>0</v>
      </c>
      <c r="F125" t="str">
        <f>F$9 * (0.009514540433883667 -F$8)</f>
        <v>0</v>
      </c>
      <c r="G125" t="str">
        <f>G$9 * (3.461584091186523 -G$8)</f>
        <v>0</v>
      </c>
      <c r="H125" t="str">
        <f>H$9 * (6.84878396987915 -H$8)</f>
        <v>0</v>
      </c>
      <c r="I125" t="str">
        <f>I$9 * (8.018271446228027 -I$8)</f>
        <v>0</v>
      </c>
    </row>
    <row r="126" spans="1:11">
      <c r="A126" t="str">
        <f>A$9 * (28.75016593933105 -A$8)</f>
        <v>0</v>
      </c>
      <c r="B126" t="str">
        <f>B$9 * (28.75016593933105 -B$8)</f>
        <v>0</v>
      </c>
      <c r="C126" t="str">
        <f>C$9 * (28.75016593933105 -C$8)</f>
        <v>0</v>
      </c>
      <c r="D126" t="str">
        <f>D$9 * (28.75016593933105 -D$8)</f>
        <v>0</v>
      </c>
      <c r="F126" t="str">
        <f>F$9 * (0.007763476110994816 -F$8)</f>
        <v>0</v>
      </c>
      <c r="G126" t="str">
        <f>G$9 * (2.887862920761108 -G$8)</f>
        <v>0</v>
      </c>
      <c r="H126" t="str">
        <f>H$9 * (6.490303993225098 -H$8)</f>
        <v>0</v>
      </c>
      <c r="I126" t="str">
        <f>I$9 * (5.749894142150879 -I$8)</f>
        <v>0</v>
      </c>
    </row>
    <row r="127" spans="1:11">
      <c r="A127" t="str">
        <f>A$9 * (29.00033378601074 -A$8)</f>
        <v>0</v>
      </c>
      <c r="B127" t="str">
        <f>B$9 * (29.00033378601074 -B$8)</f>
        <v>0</v>
      </c>
      <c r="C127" t="str">
        <f>C$9 * (29.00033378601074 -C$8)</f>
        <v>0</v>
      </c>
      <c r="D127" t="str">
        <f>D$9 * (29.00033378601074 -D$8)</f>
        <v>0</v>
      </c>
      <c r="F127" t="str">
        <f>F$9 * (0.01123582012951374 -F$8)</f>
        <v>0</v>
      </c>
      <c r="G127" t="str">
        <f>G$9 * (2.181977033615112 -G$8)</f>
        <v>0</v>
      </c>
      <c r="H127" t="str">
        <f>H$9 * (3.800124883651733 -H$8)</f>
        <v>0</v>
      </c>
      <c r="I127" t="str">
        <f>I$9 * (3.070530891418457 -I$8)</f>
        <v>0</v>
      </c>
    </row>
    <row r="128" spans="1:11">
      <c r="A128" t="str">
        <f>A$9 * (29.25005531311035 -A$8)</f>
        <v>0</v>
      </c>
      <c r="B128" t="str">
        <f>B$9 * (29.25005531311035 -B$8)</f>
        <v>0</v>
      </c>
      <c r="C128" t="str">
        <f>C$9 * (29.25005531311035 -C$8)</f>
        <v>0</v>
      </c>
      <c r="D128" t="str">
        <f>D$9 * (29.25005531311035 -D$8)</f>
        <v>0</v>
      </c>
      <c r="F128" t="str">
        <f>F$9 * (0.01036794018000364 -F$8)</f>
        <v>0</v>
      </c>
      <c r="G128" t="str">
        <f>G$9 * (3.522663116455078 -G$8)</f>
        <v>0</v>
      </c>
      <c r="H128" t="str">
        <f>H$9 * (6.603178024291992 -H$8)</f>
        <v>0</v>
      </c>
      <c r="I128" t="str">
        <f>I$9 * (8.02643871307373 -I$8)</f>
        <v>0</v>
      </c>
    </row>
    <row r="129" spans="1:11">
      <c r="A129" t="str">
        <f>A$9 * (29.50030517578125 -A$8)</f>
        <v>0</v>
      </c>
      <c r="B129" t="str">
        <f>B$9 * (29.50030517578125 -B$8)</f>
        <v>0</v>
      </c>
      <c r="C129" t="str">
        <f>C$9 * (29.50030517578125 -C$8)</f>
        <v>0</v>
      </c>
      <c r="D129" t="str">
        <f>D$9 * (29.50030517578125 -D$8)</f>
        <v>0</v>
      </c>
      <c r="F129" t="str">
        <f>F$9 * (0.007609331980347633 -F$8)</f>
        <v>0</v>
      </c>
      <c r="G129" t="str">
        <f>G$9 * (2.873271942138672 -G$8)</f>
        <v>0</v>
      </c>
      <c r="H129" t="str">
        <f>H$9 * (6.560726165771484 -H$8)</f>
        <v>0</v>
      </c>
      <c r="I129" t="str">
        <f>I$9 * (5.804491996765137 -I$8)</f>
        <v>0</v>
      </c>
    </row>
    <row r="130" spans="1:11">
      <c r="A130" t="str">
        <f>A$9 * (29.75019454956055 -A$8)</f>
        <v>0</v>
      </c>
      <c r="B130" t="str">
        <f>B$9 * (29.75019454956055 -B$8)</f>
        <v>0</v>
      </c>
      <c r="C130" t="str">
        <f>C$9 * (29.75019454956055 -C$8)</f>
        <v>0</v>
      </c>
      <c r="D130" t="str">
        <f>D$9 * (29.75019454956055 -D$8)</f>
        <v>0</v>
      </c>
      <c r="F130" t="str">
        <f>F$9 * (0.01066275965422392 -F$8)</f>
        <v>0</v>
      </c>
      <c r="G130" t="str">
        <f>G$9 * (2.100682973861694 -G$8)</f>
        <v>0</v>
      </c>
      <c r="H130" t="str">
        <f>H$9 * (3.776248931884766 -H$8)</f>
        <v>0</v>
      </c>
      <c r="I130" t="str">
        <f>I$9 * (2.893296003341675 -I$8)</f>
        <v>0</v>
      </c>
    </row>
    <row r="131" spans="1:11">
      <c r="A131" t="str">
        <f>A$9 * (30.00008392333984 -A$8)</f>
        <v>0</v>
      </c>
      <c r="B131" t="str">
        <f>B$9 * (30.00008392333984 -B$8)</f>
        <v>0</v>
      </c>
      <c r="C131" t="str">
        <f>C$9 * (30.00008392333984 -C$8)</f>
        <v>0</v>
      </c>
      <c r="D131" t="str">
        <f>D$9 * (30.00008392333984 -D$8)</f>
        <v>0</v>
      </c>
      <c r="F131" t="str">
        <f>F$9 * (0.010975600220263 -F$8)</f>
        <v>0</v>
      </c>
      <c r="G131" t="str">
        <f>G$9 * (3.558420896530151 -G$8)</f>
        <v>0</v>
      </c>
      <c r="H131" t="str">
        <f>H$9 * (6.438689231872559 -H$8)</f>
        <v>0</v>
      </c>
      <c r="I131" t="str">
        <f>I$9 * (8.028128623962402 -I$8)</f>
        <v>0</v>
      </c>
    </row>
    <row r="132" spans="1:11">
      <c r="A132" t="str">
        <f>A$9 * (30.25005531311035 -A$8)</f>
        <v>0</v>
      </c>
      <c r="B132" t="str">
        <f>B$9 * (30.25005531311035 -B$8)</f>
        <v>0</v>
      </c>
      <c r="C132" t="str">
        <f>C$9 * (30.25005531311035 -C$8)</f>
        <v>0</v>
      </c>
      <c r="D132" t="str">
        <f>D$9 * (30.25005531311035 -D$8)</f>
        <v>0</v>
      </c>
      <c r="F132" t="str">
        <f>F$9 * (0.007756318897008896 -F$8)</f>
        <v>0</v>
      </c>
      <c r="G132" t="str">
        <f>G$9 * (2.900963068008423 -G$8)</f>
        <v>0</v>
      </c>
      <c r="H132" t="str">
        <f>H$9 * (6.530604839324951 -H$8)</f>
        <v>0</v>
      </c>
      <c r="I132" t="str">
        <f>I$9 * (5.833459854125977 -I$8)</f>
        <v>0</v>
      </c>
    </row>
    <row r="133" spans="1:11">
      <c r="A133" t="str">
        <f>A$9 * (30.50041580200195 -A$8)</f>
        <v>0</v>
      </c>
      <c r="B133" t="str">
        <f>B$9 * (30.50041580200195 -B$8)</f>
        <v>0</v>
      </c>
      <c r="C133" t="str">
        <f>C$9 * (30.50041580200195 -C$8)</f>
        <v>0</v>
      </c>
      <c r="D133" t="str">
        <f>D$9 * (30.50041580200195 -D$8)</f>
        <v>0</v>
      </c>
      <c r="F133" t="str">
        <f>F$9 * (0.01023260969668627 -F$8)</f>
        <v>0</v>
      </c>
      <c r="G133" t="str">
        <f>G$9 * (2.090482950210571 -G$8)</f>
        <v>0</v>
      </c>
      <c r="H133" t="str">
        <f>H$9 * (3.852745056152344 -H$8)</f>
        <v>0</v>
      </c>
      <c r="I133" t="str">
        <f>I$9 * (2.865317106246948 -I$8)</f>
        <v>0</v>
      </c>
    </row>
    <row r="134" spans="1:11">
      <c r="A134" t="str">
        <f>A$9 * (30.75027847290039 -A$8)</f>
        <v>0</v>
      </c>
      <c r="B134" t="str">
        <f>B$9 * (30.75027847290039 -B$8)</f>
        <v>0</v>
      </c>
      <c r="C134" t="str">
        <f>C$9 * (30.75027847290039 -C$8)</f>
        <v>0</v>
      </c>
      <c r="D134" t="str">
        <f>D$9 * (30.75027847290039 -D$8)</f>
        <v>0</v>
      </c>
      <c r="F134" t="str">
        <f>F$9 * (0.01183500979095697 -F$8)</f>
        <v>0</v>
      </c>
      <c r="G134" t="str">
        <f>G$9 * (3.55781888961792 -G$8)</f>
        <v>0</v>
      </c>
      <c r="H134" t="str">
        <f>H$9 * (6.149472236633301 -H$8)</f>
        <v>0</v>
      </c>
      <c r="I134" t="str">
        <f>I$9 * (7.834939002990723 -I$8)</f>
        <v>0</v>
      </c>
    </row>
    <row r="135" spans="1:11">
      <c r="A135" t="str">
        <f>A$9 * (31.0002498626709 -A$8)</f>
        <v>0</v>
      </c>
      <c r="B135" t="str">
        <f>B$9 * (31.0002498626709 -B$8)</f>
        <v>0</v>
      </c>
      <c r="C135" t="str">
        <f>C$9 * (31.0002498626709 -C$8)</f>
        <v>0</v>
      </c>
      <c r="D135" t="str">
        <f>D$9 * (31.0002498626709 -D$8)</f>
        <v>0</v>
      </c>
      <c r="F135" t="str">
        <f>F$9 * (0.007572677917778492 -F$8)</f>
        <v>0</v>
      </c>
      <c r="G135" t="str">
        <f>G$9 * (2.887876033782959 -G$8)</f>
        <v>0</v>
      </c>
      <c r="H135" t="str">
        <f>H$9 * (6.619577884674072 -H$8)</f>
        <v>0</v>
      </c>
      <c r="I135" t="str">
        <f>I$9 * (5.900960922241211 -I$8)</f>
        <v>0</v>
      </c>
    </row>
    <row r="136" spans="1:11">
      <c r="A136" t="str">
        <f>A$9 * (31.25016593933105 -A$8)</f>
        <v>0</v>
      </c>
      <c r="B136" t="str">
        <f>B$9 * (31.25016593933105 -B$8)</f>
        <v>0</v>
      </c>
      <c r="C136" t="str">
        <f>C$9 * (31.25016593933105 -C$8)</f>
        <v>0</v>
      </c>
      <c r="D136" t="str">
        <f>D$9 * (31.25016593933105 -D$8)</f>
        <v>0</v>
      </c>
      <c r="F136" t="str">
        <f>F$9 * (0.00978668499737978 -F$8)</f>
        <v>0</v>
      </c>
      <c r="G136" t="str">
        <f>G$9 * (2.063877105712891 -G$8)</f>
        <v>0</v>
      </c>
      <c r="H136" t="str">
        <f>H$9 * (3.915221929550171 -H$8)</f>
        <v>0</v>
      </c>
      <c r="I136" t="str">
        <f>I$9 * (2.821393013000488 -I$8)</f>
        <v>0</v>
      </c>
    </row>
    <row r="137" spans="1:11">
      <c r="A137" t="str">
        <f>A$9 * (31.5003604888916 -A$8)</f>
        <v>0</v>
      </c>
      <c r="B137" t="str">
        <f>B$9 * (31.5003604888916 -B$8)</f>
        <v>0</v>
      </c>
      <c r="C137" t="str">
        <f>C$9 * (31.5003604888916 -C$8)</f>
        <v>0</v>
      </c>
      <c r="D137" t="str">
        <f>D$9 * (31.5003604888916 -D$8)</f>
        <v>0</v>
      </c>
      <c r="F137" t="str">
        <f>F$9 * (0.0124242901802063 -F$8)</f>
        <v>0</v>
      </c>
      <c r="G137" t="str">
        <f>G$9 * (3.542155027389526 -G$8)</f>
        <v>0</v>
      </c>
      <c r="H137" t="str">
        <f>H$9 * (5.947787761688232 -H$8)</f>
        <v>0</v>
      </c>
      <c r="I137" t="str">
        <f>I$9 * (7.674590110778809 -I$8)</f>
        <v>0</v>
      </c>
    </row>
    <row r="138" spans="1:11">
      <c r="A138" t="str">
        <f>A$9 * (31.7502498626709 -A$8)</f>
        <v>0</v>
      </c>
      <c r="B138" t="str">
        <f>B$9 * (31.7502498626709 -B$8)</f>
        <v>0</v>
      </c>
      <c r="C138" t="str">
        <f>C$9 * (31.7502498626709 -C$8)</f>
        <v>0</v>
      </c>
      <c r="D138" t="str">
        <f>D$9 * (31.7502498626709 -D$8)</f>
        <v>0</v>
      </c>
      <c r="F138" t="str">
        <f>F$9 * (0.007597154006361961 -F$8)</f>
        <v>0</v>
      </c>
      <c r="G138" t="str">
        <f>G$9 * (2.898452043533325 -G$8)</f>
        <v>0</v>
      </c>
      <c r="H138" t="str">
        <f>H$9 * (6.624319076538086 -H$8)</f>
        <v>0</v>
      </c>
      <c r="I138" t="str">
        <f>I$9 * (5.920173168182373 -I$8)</f>
        <v>0</v>
      </c>
    </row>
    <row r="139" spans="1:11">
      <c r="A139" t="str">
        <f>A$9 * (32.0001106262207 -A$8)</f>
        <v>0</v>
      </c>
      <c r="B139" t="str">
        <f>B$9 * (32.0001106262207 -B$8)</f>
        <v>0</v>
      </c>
      <c r="C139" t="str">
        <f>C$9 * (32.0001106262207 -C$8)</f>
        <v>0</v>
      </c>
      <c r="D139" t="str">
        <f>D$9 * (32.0001106262207 -D$8)</f>
        <v>0</v>
      </c>
      <c r="F139" t="str">
        <f>F$9 * (0.009453581646084785 -F$8)</f>
        <v>0</v>
      </c>
      <c r="G139" t="str">
        <f>G$9 * (2.095951080322266 -G$8)</f>
        <v>0</v>
      </c>
      <c r="H139" t="str">
        <f>H$9 * (4.064813137054443 -H$8)</f>
        <v>0</v>
      </c>
      <c r="I139" t="str">
        <f>I$9 * (2.894454002380371 -I$8)</f>
        <v>0</v>
      </c>
    </row>
    <row r="140" spans="1:11">
      <c r="A140" t="str">
        <f>A$9 * (32.25041580200195 -A$8)</f>
        <v>0</v>
      </c>
      <c r="B140" t="str">
        <f>B$9 * (32.25041580200195 -B$8)</f>
        <v>0</v>
      </c>
      <c r="C140" t="str">
        <f>C$9 * (32.25041580200195 -C$8)</f>
        <v>0</v>
      </c>
      <c r="D140" t="str">
        <f>D$9 * (32.25041580200195 -D$8)</f>
        <v>0</v>
      </c>
      <c r="F140" t="str">
        <f>F$9 * (0.01321716979146004 -F$8)</f>
        <v>0</v>
      </c>
      <c r="G140" t="str">
        <f>G$9 * (3.479640007019043 -G$8)</f>
        <v>0</v>
      </c>
      <c r="H140" t="str">
        <f>H$9 * (5.631933212280273 -H$8)</f>
        <v>0</v>
      </c>
      <c r="I140" t="str">
        <f>I$9 * (7.310154914855957 -I$8)</f>
        <v>0</v>
      </c>
    </row>
    <row r="141" spans="1:11">
      <c r="A141" t="str">
        <f>A$9 * (32.50027847290039 -A$8)</f>
        <v>0</v>
      </c>
      <c r="B141" t="str">
        <f>B$9 * (32.50027847290039 -B$8)</f>
        <v>0</v>
      </c>
      <c r="C141" t="str">
        <f>C$9 * (32.50027847290039 -C$8)</f>
        <v>0</v>
      </c>
      <c r="D141" t="str">
        <f>D$9 * (32.50027847290039 -D$8)</f>
        <v>0</v>
      </c>
      <c r="F141" t="str">
        <f>F$9 * (0.007360292132943869 -F$8)</f>
        <v>0</v>
      </c>
      <c r="G141" t="str">
        <f>G$9 * (2.888874053955078 -G$8)</f>
        <v>0</v>
      </c>
      <c r="H141" t="str">
        <f>H$9 * (6.761991024017334 -H$8)</f>
        <v>0</v>
      </c>
      <c r="I141" t="str">
        <f>I$9 * (6.05254077911377 -I$8)</f>
        <v>0</v>
      </c>
    </row>
    <row r="142" spans="1:11">
      <c r="A142" t="str">
        <f>A$9 * (32.75038909912109 -A$8)</f>
        <v>0</v>
      </c>
      <c r="B142" t="str">
        <f>B$9 * (32.75038909912109 -B$8)</f>
        <v>0</v>
      </c>
      <c r="C142" t="str">
        <f>C$9 * (32.75038909912109 -C$8)</f>
        <v>0</v>
      </c>
      <c r="D142" t="str">
        <f>D$9 * (32.75038909912109 -D$8)</f>
        <v>0</v>
      </c>
      <c r="F142" t="str">
        <f>F$9 * (0.009069627150893211 -F$8)</f>
        <v>0</v>
      </c>
      <c r="G142" t="str">
        <f>G$9 * (2.097069025039673 -G$8)</f>
        <v>0</v>
      </c>
      <c r="H142" t="str">
        <f>H$9 * (4.183524131774902 -H$8)</f>
        <v>0</v>
      </c>
      <c r="I142" t="str">
        <f>I$9 * (2.922516107559204 -I$8)</f>
        <v>0</v>
      </c>
    </row>
    <row r="143" spans="1:11">
      <c r="A143" t="str">
        <f>A$9 * (33.00022125244141 -A$8)</f>
        <v>0</v>
      </c>
      <c r="B143" t="str">
        <f>B$9 * (33.00022125244141 -B$8)</f>
        <v>0</v>
      </c>
      <c r="C143" t="str">
        <f>C$9 * (33.00022125244141 -C$8)</f>
        <v>0</v>
      </c>
      <c r="D143" t="str">
        <f>D$9 * (33.00022125244141 -D$8)</f>
        <v>0</v>
      </c>
      <c r="F143" t="str">
        <f>F$9 * (0.01367047987878323 -F$8)</f>
        <v>0</v>
      </c>
      <c r="G143" t="str">
        <f>G$9 * (3.426515102386475 -G$8)</f>
        <v>0</v>
      </c>
      <c r="H143" t="str">
        <f>H$9 * (5.436677932739258 -H$8)</f>
        <v>0</v>
      </c>
      <c r="I143" t="str">
        <f>I$9 * (7.057353019714355 -I$8)</f>
        <v>0</v>
      </c>
    </row>
    <row r="144" spans="1:11">
      <c r="A144" t="str">
        <f>A$9 * (33.25033187866211 -A$8)</f>
        <v>0</v>
      </c>
      <c r="B144" t="str">
        <f>B$9 * (33.25033187866211 -B$8)</f>
        <v>0</v>
      </c>
      <c r="C144" t="str">
        <f>C$9 * (33.25033187866211 -C$8)</f>
        <v>0</v>
      </c>
      <c r="D144" t="str">
        <f>D$9 * (33.25033187866211 -D$8)</f>
        <v>0</v>
      </c>
      <c r="F144" t="str">
        <f>F$9 * (0.007340095937252045 -F$8)</f>
        <v>0</v>
      </c>
      <c r="G144" t="str">
        <f>G$9 * (2.902434110641479 -G$8)</f>
        <v>0</v>
      </c>
      <c r="H144" t="str">
        <f>H$9 * (6.799755096435547 -H$8)</f>
        <v>0</v>
      </c>
      <c r="I144" t="str">
        <f>I$9 * (6.107057094573975 -I$8)</f>
        <v>0</v>
      </c>
    </row>
    <row r="145" spans="1:11">
      <c r="A145" t="str">
        <f>A$9 * (33.50044631958008 -A$8)</f>
        <v>0</v>
      </c>
      <c r="B145" t="str">
        <f>B$9 * (33.50044631958008 -B$8)</f>
        <v>0</v>
      </c>
      <c r="C145" t="str">
        <f>C$9 * (33.50044631958008 -C$8)</f>
        <v>0</v>
      </c>
      <c r="D145" t="str">
        <f>D$9 * (33.50044631958008 -D$8)</f>
        <v>0</v>
      </c>
      <c r="F145" t="str">
        <f>F$9 * (0.008803675882518291 -F$8)</f>
        <v>0</v>
      </c>
      <c r="G145" t="str">
        <f>G$9 * (2.180047035217285 -G$8)</f>
        <v>0</v>
      </c>
      <c r="H145" t="str">
        <f>H$9 * (4.436789035797119 -H$8)</f>
        <v>0</v>
      </c>
      <c r="I145" t="str">
        <f>I$9 * (3.127177000045776 -I$8)</f>
        <v>0</v>
      </c>
    </row>
    <row r="146" spans="1:11">
      <c r="A146" t="str">
        <f>A$9 * (33.75041580200195 -A$8)</f>
        <v>0</v>
      </c>
      <c r="B146" t="str">
        <f>B$9 * (33.75041580200195 -B$8)</f>
        <v>0</v>
      </c>
      <c r="C146" t="str">
        <f>C$9 * (33.75041580200195 -C$8)</f>
        <v>0</v>
      </c>
      <c r="D146" t="str">
        <f>D$9 * (33.75041580200195 -D$8)</f>
        <v>0</v>
      </c>
      <c r="F146" t="str">
        <f>F$9 * (0.01412217039614916 -F$8)</f>
        <v>0</v>
      </c>
      <c r="G146" t="str">
        <f>G$9 * (3.314316987991333 -G$8)</f>
        <v>0</v>
      </c>
      <c r="H146" t="str">
        <f>H$9 * (5.154303073883057 -H$8)</f>
        <v>0</v>
      </c>
      <c r="I146" t="str">
        <f>I$9 * (6.579448223114014 -I$8)</f>
        <v>0</v>
      </c>
    </row>
    <row r="147" spans="1:11">
      <c r="A147" t="str">
        <f>A$9 * (34.00025177001953 -A$8)</f>
        <v>0</v>
      </c>
      <c r="B147" t="str">
        <f>B$9 * (34.00025177001953 -B$8)</f>
        <v>0</v>
      </c>
      <c r="C147" t="str">
        <f>C$9 * (34.00025177001953 -C$8)</f>
        <v>0</v>
      </c>
      <c r="D147" t="str">
        <f>D$9 * (34.00025177001953 -D$8)</f>
        <v>0</v>
      </c>
      <c r="F147" t="str">
        <f>F$9 * (0.007196750957518816 -F$8)</f>
        <v>0</v>
      </c>
      <c r="G147" t="str">
        <f>G$9 * (2.917191982269287 -G$8)</f>
        <v>0</v>
      </c>
      <c r="H147" t="str">
        <f>H$9 * (6.944352149963379 -H$8)</f>
        <v>0</v>
      </c>
      <c r="I147" t="str">
        <f>I$9 * (6.33045482635498 -I$8)</f>
        <v>0</v>
      </c>
    </row>
    <row r="148" spans="1:11">
      <c r="A148" t="str">
        <f>A$9 * (34.25036239624023 -A$8)</f>
        <v>0</v>
      </c>
      <c r="B148" t="str">
        <f>B$9 * (34.25036239624023 -B$8)</f>
        <v>0</v>
      </c>
      <c r="C148" t="str">
        <f>C$9 * (34.25036239624023 -C$8)</f>
        <v>0</v>
      </c>
      <c r="D148" t="str">
        <f>D$9 * (34.25036239624023 -D$8)</f>
        <v>0</v>
      </c>
      <c r="F148" t="str">
        <f>F$9 * (0.008387701585888863 -F$8)</f>
        <v>0</v>
      </c>
      <c r="G148" t="str">
        <f>G$9 * (2.214348077774048 -G$8)</f>
        <v>0</v>
      </c>
      <c r="H148" t="str">
        <f>H$9 * (4.663570880889893 -H$8)</f>
        <v>0</v>
      </c>
      <c r="I148" t="str">
        <f>I$9 * (3.262785911560059 -I$8)</f>
        <v>0</v>
      </c>
    </row>
    <row r="149" spans="1:11">
      <c r="A149" t="str">
        <f>A$9 * (34.50019454956055 -A$8)</f>
        <v>0</v>
      </c>
      <c r="B149" t="str">
        <f>B$9 * (34.50019454956055 -B$8)</f>
        <v>0</v>
      </c>
      <c r="C149" t="str">
        <f>C$9 * (34.50019454956055 -C$8)</f>
        <v>0</v>
      </c>
      <c r="D149" t="str">
        <f>D$9 * (34.50019454956055 -D$8)</f>
        <v>0</v>
      </c>
      <c r="F149" t="str">
        <f>F$9 * (0.01441016979515553 -F$8)</f>
        <v>0</v>
      </c>
      <c r="G149" t="str">
        <f>G$9 * (3.238375902175903 -G$8)</f>
        <v>0</v>
      </c>
      <c r="H149" t="str">
        <f>H$9 * (4.974408149719238 -H$8)</f>
        <v>0</v>
      </c>
      <c r="I149" t="str">
        <f>I$9 * (6.287505149841309 -I$8)</f>
        <v>0</v>
      </c>
    </row>
    <row r="150" spans="1:11">
      <c r="A150" t="str">
        <f>A$9 * (34.7501106262207 -A$8)</f>
        <v>0</v>
      </c>
      <c r="B150" t="str">
        <f>B$9 * (34.7501106262207 -B$8)</f>
        <v>0</v>
      </c>
      <c r="C150" t="str">
        <f>C$9 * (34.7501106262207 -C$8)</f>
        <v>0</v>
      </c>
      <c r="D150" t="str">
        <f>D$9 * (34.7501106262207 -D$8)</f>
        <v>0</v>
      </c>
      <c r="F150" t="str">
        <f>F$9 * (0.007204418070614338 -F$8)</f>
        <v>0</v>
      </c>
      <c r="G150" t="str">
        <f>G$9 * (2.945044040679932 -G$8)</f>
        <v>0</v>
      </c>
      <c r="H150" t="str">
        <f>H$9 * (6.998898029327393 -H$8)</f>
        <v>0</v>
      </c>
      <c r="I150" t="str">
        <f>I$9 * (6.448472023010254 -I$8)</f>
        <v>0</v>
      </c>
    </row>
    <row r="151" spans="1:11">
      <c r="A151" t="str">
        <f>A$9 * (35.00033187866211 -A$8)</f>
        <v>0</v>
      </c>
      <c r="B151" t="str">
        <f>B$9 * (35.00033187866211 -B$8)</f>
        <v>0</v>
      </c>
      <c r="C151" t="str">
        <f>C$9 * (35.00033187866211 -C$8)</f>
        <v>0</v>
      </c>
      <c r="D151" t="str">
        <f>D$9 * (35.00033187866211 -D$8)</f>
        <v>0</v>
      </c>
      <c r="F151" t="str">
        <f>F$9 * (0.008152798749506474 -F$8)</f>
        <v>0</v>
      </c>
      <c r="G151" t="str">
        <f>G$9 * (2.337065935134888 -G$8)</f>
        <v>0</v>
      </c>
      <c r="H151" t="str">
        <f>H$9 * (5.022091865539551 -H$8)</f>
        <v>0</v>
      </c>
      <c r="I151" t="str">
        <f>I$9 * (3.613322019577026 -I$8)</f>
        <v>0</v>
      </c>
    </row>
    <row r="152" spans="1:11">
      <c r="A152" t="str">
        <f>A$9 * (35.25030517578125 -A$8)</f>
        <v>0</v>
      </c>
      <c r="B152" t="str">
        <f>B$9 * (35.25030517578125 -B$8)</f>
        <v>0</v>
      </c>
      <c r="C152" t="str">
        <f>C$9 * (35.25030517578125 -C$8)</f>
        <v>0</v>
      </c>
      <c r="D152" t="str">
        <f>D$9 * (35.25030517578125 -D$8)</f>
        <v>0</v>
      </c>
      <c r="F152" t="str">
        <f>F$9 * (0.01460401993244886 -F$8)</f>
        <v>0</v>
      </c>
      <c r="G152" t="str">
        <f>G$9 * (3.100306987762451 -G$8)</f>
        <v>0</v>
      </c>
      <c r="H152" t="str">
        <f>H$9 * (4.715432167053223 -H$8)</f>
        <v>0</v>
      </c>
      <c r="I152" t="str">
        <f>I$9 * (5.777215003967285 -I$8)</f>
        <v>0</v>
      </c>
    </row>
    <row r="153" spans="1:11">
      <c r="A153" t="str">
        <f>A$9 * (35.50016784667969 -A$8)</f>
        <v>0</v>
      </c>
      <c r="B153" t="str">
        <f>B$9 * (35.50016784667969 -B$8)</f>
        <v>0</v>
      </c>
      <c r="C153" t="str">
        <f>C$9 * (35.50016784667969 -C$8)</f>
        <v>0</v>
      </c>
      <c r="D153" t="str">
        <f>D$9 * (35.50016784667969 -D$8)</f>
        <v>0</v>
      </c>
      <c r="F153" t="str">
        <f>F$9 * (0.007222640793770552 -F$8)</f>
        <v>0</v>
      </c>
      <c r="G153" t="str">
        <f>G$9 * (2.989054918289185 -G$8)</f>
        <v>0</v>
      </c>
      <c r="H153" t="str">
        <f>H$9 * (7.105713844299316 -H$8)</f>
        <v>0</v>
      </c>
      <c r="I153" t="str">
        <f>I$9 * (6.732113838195801 -I$8)</f>
        <v>0</v>
      </c>
    </row>
    <row r="154" spans="1:11">
      <c r="A154" t="str">
        <f>A$9 * (35.75019454956055 -A$8)</f>
        <v>0</v>
      </c>
      <c r="B154" t="str">
        <f>B$9 * (35.75019454956055 -B$8)</f>
        <v>0</v>
      </c>
      <c r="C154" t="str">
        <f>C$9 * (35.75019454956055 -C$8)</f>
        <v>0</v>
      </c>
      <c r="D154" t="str">
        <f>D$9 * (35.75019454956055 -D$8)</f>
        <v>0</v>
      </c>
      <c r="F154" t="str">
        <f>F$9 * (0.007773844059556723 -F$8)</f>
        <v>0</v>
      </c>
      <c r="G154" t="str">
        <f>G$9 * (2.400605916976929 -G$8)</f>
        <v>0</v>
      </c>
      <c r="H154" t="str">
        <f>H$9 * (5.343163013458252 -H$8)</f>
        <v>0</v>
      </c>
      <c r="I154" t="str">
        <f>I$9 * (3.887190103530884 -I$8)</f>
        <v>0</v>
      </c>
    </row>
    <row r="155" spans="1:11">
      <c r="A155" t="str">
        <f>A$9 * (36.00016784667969 -A$8)</f>
        <v>0</v>
      </c>
      <c r="B155" t="str">
        <f>B$9 * (36.00016784667969 -B$8)</f>
        <v>0</v>
      </c>
      <c r="C155" t="str">
        <f>C$9 * (36.00016784667969 -C$8)</f>
        <v>0</v>
      </c>
      <c r="D155" t="str">
        <f>D$9 * (36.00016784667969 -D$8)</f>
        <v>0</v>
      </c>
      <c r="F155" t="str">
        <f>F$9 * (0.01467788033187389 -F$8)</f>
        <v>0</v>
      </c>
      <c r="G155" t="str">
        <f>G$9 * (2.991997003555298 -G$8)</f>
        <v>0</v>
      </c>
      <c r="H155" t="str">
        <f>H$9 * (4.530832767486572 -H$8)</f>
        <v>0</v>
      </c>
      <c r="I155" t="str">
        <f>I$9 * (5.412991046905518 -I$8)</f>
        <v>0</v>
      </c>
    </row>
    <row r="156" spans="1:11">
      <c r="A156" t="str">
        <f>A$9 * (36.25002670288086 -A$8)</f>
        <v>0</v>
      </c>
      <c r="B156" t="str">
        <f>B$9 * (36.25002670288086 -B$8)</f>
        <v>0</v>
      </c>
      <c r="C156" t="str">
        <f>C$9 * (36.25002670288086 -C$8)</f>
        <v>0</v>
      </c>
      <c r="D156" t="str">
        <f>D$9 * (36.25002670288086 -D$8)</f>
        <v>0</v>
      </c>
      <c r="F156" t="str">
        <f>F$9 * (0.007286932785063982 -F$8)</f>
        <v>0</v>
      </c>
      <c r="G156" t="str">
        <f>G$9 * (3.031407117843628 -G$8)</f>
        <v>0</v>
      </c>
      <c r="H156" t="str">
        <f>H$9 * (7.155788898468018 -H$8)</f>
        <v>0</v>
      </c>
      <c r="I156" t="str">
        <f>I$9 * (6.895904064178467 -I$8)</f>
        <v>0</v>
      </c>
    </row>
    <row r="157" spans="1:11">
      <c r="A157" t="str">
        <f>A$9 * (36.50036239624023 -A$8)</f>
        <v>0</v>
      </c>
      <c r="B157" t="str">
        <f>B$9 * (36.50036239624023 -B$8)</f>
        <v>0</v>
      </c>
      <c r="C157" t="str">
        <f>C$9 * (36.50036239624023 -C$8)</f>
        <v>0</v>
      </c>
      <c r="D157" t="str">
        <f>D$9 * (36.50036239624023 -D$8)</f>
        <v>0</v>
      </c>
      <c r="F157" t="str">
        <f>F$9 * (0.007611479144543409 -F$8)</f>
        <v>0</v>
      </c>
      <c r="G157" t="str">
        <f>G$9 * (2.537409067153931 -G$8)</f>
        <v>0</v>
      </c>
      <c r="H157" t="str">
        <f>H$9 * (5.738008975982666 -H$8)</f>
        <v>0</v>
      </c>
      <c r="I157" t="str">
        <f>I$9 * (4.366106986999512 -I$8)</f>
        <v>0</v>
      </c>
    </row>
    <row r="158" spans="1:11">
      <c r="A158" t="str">
        <f>A$9 * (36.75036239624023 -A$8)</f>
        <v>0</v>
      </c>
      <c r="B158" t="str">
        <f>B$9 * (36.75036239624023 -B$8)</f>
        <v>0</v>
      </c>
      <c r="C158" t="str">
        <f>C$9 * (36.75036239624023 -C$8)</f>
        <v>0</v>
      </c>
      <c r="D158" t="str">
        <f>D$9 * (36.75036239624023 -D$8)</f>
        <v>0</v>
      </c>
      <c r="F158" t="str">
        <f>F$9 * (0.01437246985733509 -F$8)</f>
        <v>0</v>
      </c>
      <c r="G158" t="str">
        <f>G$9 * (2.835607051849365 -G$8)</f>
        <v>0</v>
      </c>
      <c r="H158" t="str">
        <f>H$9 * (4.33061408996582 -H$8)</f>
        <v>0</v>
      </c>
      <c r="I158" t="str">
        <f>I$9 * (4.888097763061523 -I$8)</f>
        <v>0</v>
      </c>
    </row>
    <row r="159" spans="1:11">
      <c r="A159" t="str">
        <f>A$9 * (37.00038909912109 -A$8)</f>
        <v>0</v>
      </c>
      <c r="B159" t="str">
        <f>B$9 * (37.00038909912109 -B$8)</f>
        <v>0</v>
      </c>
      <c r="C159" t="str">
        <f>C$9 * (37.00038909912109 -C$8)</f>
        <v>0</v>
      </c>
      <c r="D159" t="str">
        <f>D$9 * (37.00038909912109 -D$8)</f>
        <v>0</v>
      </c>
      <c r="F159" t="str">
        <f>F$9 * (0.007513808086514473 -F$8)</f>
        <v>0</v>
      </c>
      <c r="G159" t="str">
        <f>G$9 * (3.105654954910278 -G$8)</f>
        <v>0</v>
      </c>
      <c r="H159" t="str">
        <f>H$9 * (7.187423229217529 -H$8)</f>
        <v>0</v>
      </c>
      <c r="I159" t="str">
        <f>I$9 * (7.187819957733154 -I$8)</f>
        <v>0</v>
      </c>
    </row>
    <row r="160" spans="1:11">
      <c r="A160" t="str">
        <f>A$9 * (37.25016784667969 -A$8)</f>
        <v>0</v>
      </c>
      <c r="B160" t="str">
        <f>B$9 * (37.25016784667969 -B$8)</f>
        <v>0</v>
      </c>
      <c r="C160" t="str">
        <f>C$9 * (37.25016784667969 -C$8)</f>
        <v>0</v>
      </c>
      <c r="D160" t="str">
        <f>D$9 * (37.25016784667969 -D$8)</f>
        <v>0</v>
      </c>
      <c r="F160" t="str">
        <f>F$9 * (0.007306190207600594 -F$8)</f>
        <v>0</v>
      </c>
      <c r="G160" t="str">
        <f>G$9 * (2.595583915710449 -G$8)</f>
        <v>0</v>
      </c>
      <c r="H160" t="str">
        <f>H$9 * (6.05593204498291 -H$8)</f>
        <v>0</v>
      </c>
      <c r="I160" t="str">
        <f>I$9 * (4.705680847167969 -I$8)</f>
        <v>0</v>
      </c>
    </row>
    <row r="161" spans="1:11">
      <c r="A161" t="str">
        <f>A$9 * (37.50016784667969 -A$8)</f>
        <v>0</v>
      </c>
      <c r="B161" t="str">
        <f>B$9 * (37.50016784667969 -B$8)</f>
        <v>0</v>
      </c>
      <c r="C161" t="str">
        <f>C$9 * (37.50016784667969 -C$8)</f>
        <v>0</v>
      </c>
      <c r="D161" t="str">
        <f>D$9 * (37.50016784667969 -D$8)</f>
        <v>0</v>
      </c>
      <c r="F161" t="str">
        <f>F$9 * (0.0140657601878047 -F$8)</f>
        <v>0</v>
      </c>
      <c r="G161" t="str">
        <f>G$9 * (2.711559057235718 -G$8)</f>
        <v>0</v>
      </c>
      <c r="H161" t="str">
        <f>H$9 * (4.183204174041748 -H$8)</f>
        <v>0</v>
      </c>
      <c r="I161" t="str">
        <f>I$9 * (4.510526180267334 -I$8)</f>
        <v>0</v>
      </c>
    </row>
    <row r="162" spans="1:11">
      <c r="A162" t="str">
        <f>A$9 * (37.75047302246094 -A$8)</f>
        <v>0</v>
      </c>
      <c r="B162" t="str">
        <f>B$9 * (37.75047302246094 -B$8)</f>
        <v>0</v>
      </c>
      <c r="C162" t="str">
        <f>C$9 * (37.75047302246094 -C$8)</f>
        <v>0</v>
      </c>
      <c r="D162" t="str">
        <f>D$9 * (37.75047302246094 -D$8)</f>
        <v>0</v>
      </c>
      <c r="F162" t="str">
        <f>F$9 * (0.007665164768695831 -F$8)</f>
        <v>0</v>
      </c>
      <c r="G162" t="str">
        <f>G$9 * (3.157167911529541 -G$8)</f>
        <v>0</v>
      </c>
      <c r="H162" t="str">
        <f>H$9 * (7.201803207397461 -H$8)</f>
        <v>0</v>
      </c>
      <c r="I162" t="str">
        <f>I$9 * (7.349733829498291 -I$8)</f>
        <v>0</v>
      </c>
    </row>
    <row r="163" spans="1:11">
      <c r="A163" t="str">
        <f>A$9 * (38.00008392333984 -A$8)</f>
        <v>0</v>
      </c>
      <c r="B163" t="str">
        <f>B$9 * (38.00008392333984 -B$8)</f>
        <v>0</v>
      </c>
      <c r="C163" t="str">
        <f>C$9 * (38.00008392333984 -C$8)</f>
        <v>0</v>
      </c>
      <c r="D163" t="str">
        <f>D$9 * (38.00008392333984 -D$8)</f>
        <v>0</v>
      </c>
      <c r="F163" t="str">
        <f>F$9 * (0.00739124184474349 -F$8)</f>
        <v>0</v>
      </c>
      <c r="G163" t="str">
        <f>G$9 * (2.713840961456299 -G$8)</f>
        <v>0</v>
      </c>
      <c r="H163" t="str">
        <f>H$9 * (6.286606788635254 -H$8)</f>
        <v>0</v>
      </c>
      <c r="I163" t="str">
        <f>I$9 * (5.131444931030273 -I$8)</f>
        <v>0</v>
      </c>
    </row>
    <row r="164" spans="1:11">
      <c r="A164" t="str">
        <f>A$9 * (38.25008392333984 -A$8)</f>
        <v>0</v>
      </c>
      <c r="B164" t="str">
        <f>B$9 * (38.25008392333984 -B$8)</f>
        <v>0</v>
      </c>
      <c r="C164" t="str">
        <f>C$9 * (38.25008392333984 -C$8)</f>
        <v>0</v>
      </c>
      <c r="D164" t="str">
        <f>D$9 * (38.25008392333984 -D$8)</f>
        <v>0</v>
      </c>
      <c r="F164" t="str">
        <f>F$9 * (0.01348824985325336 -F$8)</f>
        <v>0</v>
      </c>
      <c r="G164" t="str">
        <f>G$9 * (2.564152002334595 -G$8)</f>
        <v>0</v>
      </c>
      <c r="H164" t="str">
        <f>H$9 * (4.037837982177734 -H$8)</f>
        <v>0</v>
      </c>
      <c r="I164" t="str">
        <f>I$9 * (4.068709850311279 -I$8)</f>
        <v>0</v>
      </c>
    </row>
    <row r="165" spans="1:11">
      <c r="A165" t="str">
        <f>A$9 * (38.50002670288086 -A$8)</f>
        <v>0</v>
      </c>
      <c r="B165" t="str">
        <f>B$9 * (38.50002670288086 -B$8)</f>
        <v>0</v>
      </c>
      <c r="C165" t="str">
        <f>C$9 * (38.50002670288086 -C$8)</f>
        <v>0</v>
      </c>
      <c r="D165" t="str">
        <f>D$9 * (38.50002670288086 -D$8)</f>
        <v>0</v>
      </c>
      <c r="F165" t="str">
        <f>F$9 * (0.008088978007435799 -F$8)</f>
        <v>0</v>
      </c>
      <c r="G165" t="str">
        <f>G$9 * (3.24968695640564 -G$8)</f>
        <v>0</v>
      </c>
      <c r="H165" t="str">
        <f>H$9 * (7.154993057250977 -H$8)</f>
        <v>0</v>
      </c>
      <c r="I165" t="str">
        <f>I$9 * (7.622943878173828 -I$8)</f>
        <v>0</v>
      </c>
    </row>
    <row r="166" spans="1:11">
      <c r="A166" t="str">
        <f>A$9 * (38.75022125244141 -A$8)</f>
        <v>0</v>
      </c>
      <c r="B166" t="str">
        <f>B$9 * (38.75022125244141 -B$8)</f>
        <v>0</v>
      </c>
      <c r="C166" t="str">
        <f>C$9 * (38.75022125244141 -C$8)</f>
        <v>0</v>
      </c>
      <c r="D166" t="str">
        <f>D$9 * (38.75022125244141 -D$8)</f>
        <v>0</v>
      </c>
      <c r="F166" t="str">
        <f>F$9 * (0.007301256991922855 -F$8)</f>
        <v>0</v>
      </c>
      <c r="G166" t="str">
        <f>G$9 * (2.750543117523193 -G$8)</f>
        <v>0</v>
      </c>
      <c r="H166" t="str">
        <f>H$9 * (6.443179130554199 -H$8)</f>
        <v>0</v>
      </c>
      <c r="I166" t="str">
        <f>I$9 * (5.367111206054688 -I$8)</f>
        <v>0</v>
      </c>
    </row>
    <row r="167" spans="1:11">
      <c r="A167" t="str">
        <f>A$9 * (39.00025177001953 -A$8)</f>
        <v>0</v>
      </c>
      <c r="B167" t="str">
        <f>B$9 * (39.00025177001953 -B$8)</f>
        <v>0</v>
      </c>
      <c r="C167" t="str">
        <f>C$9 * (39.00025177001953 -C$8)</f>
        <v>0</v>
      </c>
      <c r="D167" t="str">
        <f>D$9 * (39.00025177001953 -D$8)</f>
        <v>0</v>
      </c>
      <c r="F167" t="str">
        <f>F$9 * (0.01302857976406813 -F$8)</f>
        <v>0</v>
      </c>
      <c r="G167" t="str">
        <f>G$9 * (2.449069023132324 -G$8)</f>
        <v>0</v>
      </c>
      <c r="H167" t="str">
        <f>H$9 * (3.927589893341064 -H$8)</f>
        <v>0</v>
      </c>
      <c r="I167" t="str">
        <f>I$9 * (3.758970022201538 -I$8)</f>
        <v>0</v>
      </c>
    </row>
    <row r="168" spans="1:11">
      <c r="A168" t="str">
        <f>A$9 * (39.25005722045898 -A$8)</f>
        <v>0</v>
      </c>
      <c r="B168" t="str">
        <f>B$9 * (39.25005722045898 -B$8)</f>
        <v>0</v>
      </c>
      <c r="C168" t="str">
        <f>C$9 * (39.25005722045898 -C$8)</f>
        <v>0</v>
      </c>
      <c r="D168" t="str">
        <f>D$9 * (39.25005722045898 -D$8)</f>
        <v>0</v>
      </c>
      <c r="F168" t="str">
        <f>F$9 * (0.008391589857637882 -F$8)</f>
        <v>0</v>
      </c>
      <c r="G168" t="str">
        <f>G$9 * (3.312035083770752 -G$8)</f>
        <v>0</v>
      </c>
      <c r="H168" t="str">
        <f>H$9 * (7.111620903015137 -H$8)</f>
        <v>0</v>
      </c>
      <c r="I168" t="str">
        <f>I$9 * (7.7693772315979 -I$8)</f>
        <v>0</v>
      </c>
    </row>
    <row r="169" spans="1:11">
      <c r="A169" t="str">
        <f>A$9 * (39.50019454956055 -A$8)</f>
        <v>0</v>
      </c>
      <c r="B169" t="str">
        <f>B$9 * (39.50019454956055 -B$8)</f>
        <v>0</v>
      </c>
      <c r="C169" t="str">
        <f>C$9 * (39.50019454956055 -C$8)</f>
        <v>0</v>
      </c>
      <c r="D169" t="str">
        <f>D$9 * (39.50019454956055 -D$8)</f>
        <v>0</v>
      </c>
      <c r="F169" t="str">
        <f>F$9 * (0.007587509229779243 -F$8)</f>
        <v>0</v>
      </c>
      <c r="G169" t="str">
        <f>G$9 * (2.837546110153198 -G$8)</f>
        <v>0</v>
      </c>
      <c r="H169" t="str">
        <f>H$9 * (6.470232009887695 -H$8)</f>
        <v>0</v>
      </c>
      <c r="I169" t="str">
        <f>I$9 * (5.590756893157959 -I$8)</f>
        <v>0</v>
      </c>
    </row>
    <row r="170" spans="1:11">
      <c r="A170" t="str">
        <f>A$9 * (39.75041580200195 -A$8)</f>
        <v>0</v>
      </c>
      <c r="B170" t="str">
        <f>B$9 * (39.75041580200195 -B$8)</f>
        <v>0</v>
      </c>
      <c r="C170" t="str">
        <f>C$9 * (39.75041580200195 -C$8)</f>
        <v>0</v>
      </c>
      <c r="D170" t="str">
        <f>D$9 * (39.75041580200195 -D$8)</f>
        <v>0</v>
      </c>
      <c r="F170" t="str">
        <f>F$9 * (0.0124403303489089 -F$8)</f>
        <v>0</v>
      </c>
      <c r="G170" t="str">
        <f>G$9 * (2.349958896636963 -G$8)</f>
        <v>0</v>
      </c>
      <c r="H170" t="str">
        <f>H$9 * (3.862214088439941 -H$8)</f>
        <v>0</v>
      </c>
      <c r="I170" t="str">
        <f>I$9 * (3.487478971481323 -I$8)</f>
        <v>0</v>
      </c>
    </row>
    <row r="171" spans="1:11">
      <c r="A171" t="str">
        <f>A$9 * (40.00047302246094 -A$8)</f>
        <v>0</v>
      </c>
      <c r="B171" t="str">
        <f>B$9 * (40.00047302246094 -B$8)</f>
        <v>0</v>
      </c>
      <c r="C171" t="str">
        <f>C$9 * (40.00047302246094 -C$8)</f>
        <v>0</v>
      </c>
      <c r="D171" t="str">
        <f>D$9 * (40.00047302246094 -D$8)</f>
        <v>0</v>
      </c>
      <c r="F171" t="str">
        <f>F$9 * (0.009025014936923981 -F$8)</f>
        <v>0</v>
      </c>
      <c r="G171" t="str">
        <f>G$9 * (3.398590087890625 -G$8)</f>
        <v>0</v>
      </c>
      <c r="H171" t="str">
        <f>H$9 * (6.960109233856201 -H$8)</f>
        <v>0</v>
      </c>
      <c r="I171" t="str">
        <f>I$9 * (7.917684078216553 -I$8)</f>
        <v>0</v>
      </c>
    </row>
    <row r="172" spans="1:11">
      <c r="A172" t="str">
        <f>A$9 * (40.25027847290039 -A$8)</f>
        <v>0</v>
      </c>
      <c r="B172" t="str">
        <f>B$9 * (40.25027847290039 -B$8)</f>
        <v>0</v>
      </c>
      <c r="C172" t="str">
        <f>C$9 * (40.25027847290039 -C$8)</f>
        <v>0</v>
      </c>
      <c r="D172" t="str">
        <f>D$9 * (40.25027847290039 -D$8)</f>
        <v>0</v>
      </c>
      <c r="F172" t="str">
        <f>F$9 * (0.007500453852117062 -F$8)</f>
        <v>0</v>
      </c>
      <c r="G172" t="str">
        <f>G$9 * (2.839677095413208 -G$8)</f>
        <v>0</v>
      </c>
      <c r="H172" t="str">
        <f>H$9 * (6.542375087738037 -H$8)</f>
        <v>0</v>
      </c>
      <c r="I172" t="str">
        <f>I$9 * (5.689188003540039 -I$8)</f>
        <v>0</v>
      </c>
    </row>
    <row r="173" spans="1:11">
      <c r="A173" t="str">
        <f>A$9 * (40.50002670288086 -A$8)</f>
        <v>0</v>
      </c>
      <c r="B173" t="str">
        <f>B$9 * (40.50002670288086 -B$8)</f>
        <v>0</v>
      </c>
      <c r="C173" t="str">
        <f>C$9 * (40.50002670288086 -C$8)</f>
        <v>0</v>
      </c>
      <c r="D173" t="str">
        <f>D$9 * (40.50002670288086 -D$8)</f>
        <v>0</v>
      </c>
      <c r="F173" t="str">
        <f>F$9 * (0.01172138005495071 -F$8)</f>
        <v>0</v>
      </c>
      <c r="G173" t="str">
        <f>G$9 * (2.209765911102295 -G$8)</f>
        <v>0</v>
      </c>
      <c r="H173" t="str">
        <f>H$9 * (3.755398035049438 -H$8)</f>
        <v>0</v>
      </c>
      <c r="I173" t="str">
        <f>I$9 * (3.148298978805542 -I$8)</f>
        <v>0</v>
      </c>
    </row>
    <row r="174" spans="1:11">
      <c r="A174" t="str">
        <f>A$9 * (40.75044631958008 -A$8)</f>
        <v>0</v>
      </c>
      <c r="B174" t="str">
        <f>B$9 * (40.75044631958008 -B$8)</f>
        <v>0</v>
      </c>
      <c r="C174" t="str">
        <f>C$9 * (40.75044631958008 -C$8)</f>
        <v>0</v>
      </c>
      <c r="D174" t="str">
        <f>D$9 * (40.75044631958008 -D$8)</f>
        <v>0</v>
      </c>
      <c r="F174" t="str">
        <f>F$9 * (0.009559003636240959 -F$8)</f>
        <v>0</v>
      </c>
      <c r="G174" t="str">
        <f>G$9 * (3.476319074630737 -G$8)</f>
        <v>0</v>
      </c>
      <c r="H174" t="str">
        <f>H$9 * (6.858706951141357 -H$8)</f>
        <v>0</v>
      </c>
      <c r="I174" t="str">
        <f>I$9 * (8.089441299438477 -I$8)</f>
        <v>0</v>
      </c>
    </row>
    <row r="175" spans="1:11">
      <c r="A175" t="str">
        <f>A$9 * (41.00041580200195 -A$8)</f>
        <v>0</v>
      </c>
      <c r="B175" t="str">
        <f>B$9 * (41.00041580200195 -B$8)</f>
        <v>0</v>
      </c>
      <c r="C175" t="str">
        <f>C$9 * (41.00041580200195 -C$8)</f>
        <v>0</v>
      </c>
      <c r="D175" t="str">
        <f>D$9 * (41.00041580200195 -D$8)</f>
        <v>0</v>
      </c>
      <c r="F175" t="str">
        <f>F$9 * (0.007745270151644945 -F$8)</f>
        <v>0</v>
      </c>
      <c r="G175" t="str">
        <f>G$9 * (2.888107061386108 -G$8)</f>
        <v>0</v>
      </c>
      <c r="H175" t="str">
        <f>H$9 * (6.502394199371338 -H$8)</f>
        <v>0</v>
      </c>
      <c r="I175" t="str">
        <f>I$9 * (5.763122081756592 -I$8)</f>
        <v>0</v>
      </c>
    </row>
    <row r="176" spans="1:11">
      <c r="A176" t="str">
        <f>A$9 * (41.25030517578125 -A$8)</f>
        <v>0</v>
      </c>
      <c r="B176" t="str">
        <f>B$9 * (41.25030517578125 -B$8)</f>
        <v>0</v>
      </c>
      <c r="C176" t="str">
        <f>C$9 * (41.25030517578125 -C$8)</f>
        <v>0</v>
      </c>
      <c r="D176" t="str">
        <f>D$9 * (41.25030517578125 -D$8)</f>
        <v>0</v>
      </c>
      <c r="F176" t="str">
        <f>F$9 * (0.01139362994581461 -F$8)</f>
        <v>0</v>
      </c>
      <c r="G176" t="str">
        <f>G$9 * (2.212049007415771 -G$8)</f>
        <v>0</v>
      </c>
      <c r="H176" t="str">
        <f>H$9 * (3.82240104675293 -H$8)</f>
        <v>0</v>
      </c>
      <c r="I176" t="str">
        <f>I$9 * (3.141815900802612 -I$8)</f>
        <v>0</v>
      </c>
    </row>
    <row r="177" spans="1:11">
      <c r="A177" t="str">
        <f>A$9 * (41.5001106262207 -A$8)</f>
        <v>0</v>
      </c>
      <c r="B177" t="str">
        <f>B$9 * (41.5001106262207 -B$8)</f>
        <v>0</v>
      </c>
      <c r="C177" t="str">
        <f>C$9 * (41.5001106262207 -C$8)</f>
        <v>0</v>
      </c>
      <c r="D177" t="str">
        <f>D$9 * (41.5001106262207 -D$8)</f>
        <v>0</v>
      </c>
      <c r="F177" t="str">
        <f>F$9 * (0.01019048038870096 -F$8)</f>
        <v>0</v>
      </c>
      <c r="G177" t="str">
        <f>G$9 * (3.502717018127441 -G$8)</f>
        <v>0</v>
      </c>
      <c r="H177" t="str">
        <f>H$9 * (6.633776187896729 -H$8)</f>
        <v>0</v>
      </c>
      <c r="I177" t="str">
        <f>I$9 * (7.960316181182861 -I$8)</f>
        <v>0</v>
      </c>
    </row>
    <row r="178" spans="1:11">
      <c r="A178" t="str">
        <f>A$9 * (41.75019454956055 -A$8)</f>
        <v>0</v>
      </c>
      <c r="B178" t="str">
        <f>B$9 * (41.75019454956055 -B$8)</f>
        <v>0</v>
      </c>
      <c r="C178" t="str">
        <f>C$9 * (41.75019454956055 -C$8)</f>
        <v>0</v>
      </c>
      <c r="D178" t="str">
        <f>D$9 * (41.75019454956055 -D$8)</f>
        <v>0</v>
      </c>
      <c r="F178" t="str">
        <f>F$9 * (0.007671354804188013 -F$8)</f>
        <v>0</v>
      </c>
      <c r="G178" t="str">
        <f>G$9 * (2.883321046829224 -G$8)</f>
        <v>0</v>
      </c>
      <c r="H178" t="str">
        <f>H$9 * (6.53879976272583 -H$8)</f>
        <v>0</v>
      </c>
      <c r="I178" t="str">
        <f>I$9 * (5.791355133056641 -I$8)</f>
        <v>0</v>
      </c>
    </row>
    <row r="179" spans="1:11">
      <c r="A179" t="str">
        <f>A$9 * (42.00038909912109 -A$8)</f>
        <v>0</v>
      </c>
      <c r="B179" t="str">
        <f>B$9 * (42.00038909912109 -B$8)</f>
        <v>0</v>
      </c>
      <c r="C179" t="str">
        <f>C$9 * (42.00038909912109 -C$8)</f>
        <v>0</v>
      </c>
      <c r="D179" t="str">
        <f>D$9 * (42.00038909912109 -D$8)</f>
        <v>0</v>
      </c>
      <c r="F179" t="str">
        <f>F$9 * (0.01067712996155024 -F$8)</f>
        <v>0</v>
      </c>
      <c r="G179" t="str">
        <f>G$9 * (2.117595911026001 -G$8)</f>
        <v>0</v>
      </c>
      <c r="H179" t="str">
        <f>H$9 * (3.803086042404175 -H$8)</f>
        <v>0</v>
      </c>
      <c r="I179" t="str">
        <f>I$9 * (2.926549911499023 -I$8)</f>
        <v>0</v>
      </c>
    </row>
    <row r="180" spans="1:11">
      <c r="A180" t="str">
        <f>A$9 * (42.25030517578125 -A$8)</f>
        <v>0</v>
      </c>
      <c r="B180" t="str">
        <f>B$9 * (42.25030517578125 -B$8)</f>
        <v>0</v>
      </c>
      <c r="C180" t="str">
        <f>C$9 * (42.25030517578125 -C$8)</f>
        <v>0</v>
      </c>
      <c r="D180" t="str">
        <f>D$9 * (42.25030517578125 -D$8)</f>
        <v>0</v>
      </c>
      <c r="F180" t="str">
        <f>F$9 * (0.0109892301261425 -F$8)</f>
        <v>0</v>
      </c>
      <c r="G180" t="str">
        <f>G$9 * (3.54616904258728 -G$8)</f>
        <v>0</v>
      </c>
      <c r="H180" t="str">
        <f>H$9 * (6.410617828369141 -H$8)</f>
        <v>0</v>
      </c>
      <c r="I180" t="str">
        <f>I$9 * (7.954292774200439 -I$8)</f>
        <v>0</v>
      </c>
    </row>
    <row r="181" spans="1:11">
      <c r="A181" t="str">
        <f>A$9 * (42.50013732910156 -A$8)</f>
        <v>0</v>
      </c>
      <c r="B181" t="str">
        <f>B$9 * (42.50013732910156 -B$8)</f>
        <v>0</v>
      </c>
      <c r="C181" t="str">
        <f>C$9 * (42.50013732910156 -C$8)</f>
        <v>0</v>
      </c>
      <c r="D181" t="str">
        <f>D$9 * (42.50013732910156 -D$8)</f>
        <v>0</v>
      </c>
      <c r="F181" t="str">
        <f>F$9 * (0.007717770058661699 -F$8)</f>
        <v>0</v>
      </c>
      <c r="G181" t="str">
        <f>G$9 * (2.893168926239014 -G$8)</f>
        <v>0</v>
      </c>
      <c r="H181" t="str">
        <f>H$9 * (6.539575099945068 -H$8)</f>
        <v>0</v>
      </c>
      <c r="I181" t="str">
        <f>I$9 * (5.8317551612854 -I$8)</f>
        <v>0</v>
      </c>
    </row>
    <row r="182" spans="1:11">
      <c r="A182" t="str">
        <f>A$9 * (42.75005722045898 -A$8)</f>
        <v>0</v>
      </c>
      <c r="B182" t="str">
        <f>B$9 * (42.75005722045898 -B$8)</f>
        <v>0</v>
      </c>
      <c r="C182" t="str">
        <f>C$9 * (42.75005722045898 -C$8)</f>
        <v>0</v>
      </c>
      <c r="D182" t="str">
        <f>D$9 * (42.75005722045898 -D$8)</f>
        <v>0</v>
      </c>
      <c r="F182" t="str">
        <f>F$9 * (0.01021899003535509 -F$8)</f>
        <v>0</v>
      </c>
      <c r="G182" t="str">
        <f>G$9 * (2.093985080718994 -G$8)</f>
        <v>0</v>
      </c>
      <c r="H182" t="str">
        <f>H$9 * (3.864810943603516 -H$8)</f>
        <v>0</v>
      </c>
      <c r="I182" t="str">
        <f>I$9 * (2.878194093704224 -I$8)</f>
        <v>0</v>
      </c>
    </row>
    <row r="183" spans="1:11">
      <c r="A183" t="str">
        <f>A$9 * (43.00013732910156 -A$8)</f>
        <v>0</v>
      </c>
      <c r="B183" t="str">
        <f>B$9 * (43.00013732910156 -B$8)</f>
        <v>0</v>
      </c>
      <c r="C183" t="str">
        <f>C$9 * (43.00013732910156 -C$8)</f>
        <v>0</v>
      </c>
      <c r="D183" t="str">
        <f>D$9 * (43.00013732910156 -D$8)</f>
        <v>0</v>
      </c>
      <c r="F183" t="str">
        <f>F$9 * (0.01174987014383078 -F$8)</f>
        <v>0</v>
      </c>
      <c r="G183" t="str">
        <f>G$9 * (3.550196886062622 -G$8)</f>
        <v>0</v>
      </c>
      <c r="H183" t="str">
        <f>H$9 * (6.162007808685303 -H$8)</f>
        <v>0</v>
      </c>
      <c r="I183" t="str">
        <f>I$9 * (7.80686092376709 -I$8)</f>
        <v>0</v>
      </c>
    </row>
    <row r="184" spans="1:11">
      <c r="A184" t="str">
        <f>A$9 * (43.25036239624023 -A$8)</f>
        <v>0</v>
      </c>
      <c r="B184" t="str">
        <f>B$9 * (43.25036239624023 -B$8)</f>
        <v>0</v>
      </c>
      <c r="C184" t="str">
        <f>C$9 * (43.25036239624023 -C$8)</f>
        <v>0</v>
      </c>
      <c r="D184" t="str">
        <f>D$9 * (43.25036239624023 -D$8)</f>
        <v>0</v>
      </c>
      <c r="F184" t="str">
        <f>F$9 * (0.007660763803869486 -F$8)</f>
        <v>0</v>
      </c>
      <c r="G184" t="str">
        <f>G$9 * (2.898469924926758 -G$8)</f>
        <v>0</v>
      </c>
      <c r="H184" t="str">
        <f>H$9 * (6.5870361328125 -H$8)</f>
        <v>0</v>
      </c>
      <c r="I184" t="str">
        <f>I$9 * (5.890172004699707 -I$8)</f>
        <v>0</v>
      </c>
    </row>
    <row r="185" spans="1:11">
      <c r="A185" t="str">
        <f>A$9 * (43.50036239624023 -A$8)</f>
        <v>0</v>
      </c>
      <c r="B185" t="str">
        <f>B$9 * (43.50036239624023 -B$8)</f>
        <v>0</v>
      </c>
      <c r="C185" t="str">
        <f>C$9 * (43.50036239624023 -C$8)</f>
        <v>0</v>
      </c>
      <c r="D185" t="str">
        <f>D$9 * (43.50036239624023 -D$8)</f>
        <v>0</v>
      </c>
      <c r="F185" t="str">
        <f>F$9 * (0.009828580543398857 -F$8)</f>
        <v>0</v>
      </c>
      <c r="G185" t="str">
        <f>G$9 * (2.086788892745972 -G$8)</f>
        <v>0</v>
      </c>
      <c r="H185" t="str">
        <f>H$9 * (3.948085069656372 -H$8)</f>
        <v>0</v>
      </c>
      <c r="I185" t="str">
        <f>I$9 * (2.868483066558838 -I$8)</f>
        <v>0</v>
      </c>
    </row>
    <row r="186" spans="1:11">
      <c r="A186" t="str">
        <f>A$9 * (43.75041580200195 -A$8)</f>
        <v>0</v>
      </c>
      <c r="B186" t="str">
        <f>B$9 * (43.75041580200195 -B$8)</f>
        <v>0</v>
      </c>
      <c r="C186" t="str">
        <f>C$9 * (43.75041580200195 -C$8)</f>
        <v>0</v>
      </c>
      <c r="D186" t="str">
        <f>D$9 * (43.75041580200195 -D$8)</f>
        <v>0</v>
      </c>
      <c r="F186" t="str">
        <f>F$9 * (0.01243223994970322 -F$8)</f>
        <v>0</v>
      </c>
      <c r="G186" t="str">
        <f>G$9 * (3.528004884719849 -G$8)</f>
        <v>0</v>
      </c>
      <c r="H186" t="str">
        <f>H$9 * (5.920084953308105 -H$8)</f>
        <v>0</v>
      </c>
      <c r="I186" t="str">
        <f>I$9 * (7.598124027252197 -I$8)</f>
        <v>0</v>
      </c>
    </row>
    <row r="187" spans="1:11">
      <c r="A187" t="str">
        <f>A$9 * (44.00030517578125 -A$8)</f>
        <v>0</v>
      </c>
      <c r="B187" t="str">
        <f>B$9 * (44.00030517578125 -B$8)</f>
        <v>0</v>
      </c>
      <c r="C187" t="str">
        <f>C$9 * (44.00030517578125 -C$8)</f>
        <v>0</v>
      </c>
      <c r="D187" t="str">
        <f>D$9 * (44.00030517578125 -D$8)</f>
        <v>0</v>
      </c>
      <c r="F187" t="str">
        <f>F$9 * (0.007576397154480219 -F$8)</f>
        <v>0</v>
      </c>
      <c r="G187" t="str">
        <f>G$9 * (2.897937059402466 -G$8)</f>
        <v>0</v>
      </c>
      <c r="H187" t="str">
        <f>H$9 * (6.639135837554932 -H$8)</f>
        <v>0</v>
      </c>
      <c r="I187" t="str">
        <f>I$9 * (5.940971851348877 -I$8)</f>
        <v>0</v>
      </c>
    </row>
    <row r="188" spans="1:11">
      <c r="A188" t="str">
        <f>A$9 * (44.25016784667969 -A$8)</f>
        <v>0</v>
      </c>
      <c r="B188" t="str">
        <f>B$9 * (44.25016784667969 -B$8)</f>
        <v>0</v>
      </c>
      <c r="C188" t="str">
        <f>C$9 * (44.25016784667969 -C$8)</f>
        <v>0</v>
      </c>
      <c r="D188" t="str">
        <f>D$9 * (44.25016784667969 -D$8)</f>
        <v>0</v>
      </c>
      <c r="F188" t="str">
        <f>F$9 * (0.009368063881993294 -F$8)</f>
        <v>0</v>
      </c>
      <c r="G188" t="str">
        <f>G$9 * (2.085786104202271 -G$8)</f>
        <v>0</v>
      </c>
      <c r="H188" t="str">
        <f>H$9 * (4.070652008056641 -H$8)</f>
        <v>0</v>
      </c>
      <c r="I188" t="str">
        <f>I$9 * (2.879471063613892 -I$8)</f>
        <v>0</v>
      </c>
    </row>
    <row r="189" spans="1:11">
      <c r="A189" t="str">
        <f>A$9 * (44.50002670288086 -A$8)</f>
        <v>0</v>
      </c>
      <c r="B189" t="str">
        <f>B$9 * (44.50002670288086 -B$8)</f>
        <v>0</v>
      </c>
      <c r="C189" t="str">
        <f>C$9 * (44.50002670288086 -C$8)</f>
        <v>0</v>
      </c>
      <c r="D189" t="str">
        <f>D$9 * (44.50002670288086 -D$8)</f>
        <v>0</v>
      </c>
      <c r="F189" t="str">
        <f>F$9 * (0.01338431984186172 -F$8)</f>
        <v>0</v>
      </c>
      <c r="G189" t="str">
        <f>G$9 * (3.470005035400391 -G$8)</f>
        <v>0</v>
      </c>
      <c r="H189" t="str">
        <f>H$9 * (5.575901985168457 -H$8)</f>
        <v>0</v>
      </c>
      <c r="I189" t="str">
        <f>I$9 * (7.261919975280762 -I$8)</f>
        <v>0</v>
      </c>
    </row>
    <row r="190" spans="1:11">
      <c r="A190" t="str">
        <f>A$9 * (44.75016784667969 -A$8)</f>
        <v>0</v>
      </c>
      <c r="B190" t="str">
        <f>B$9 * (44.75016784667969 -B$8)</f>
        <v>0</v>
      </c>
      <c r="C190" t="str">
        <f>C$9 * (44.75016784667969 -C$8)</f>
        <v>0</v>
      </c>
      <c r="D190" t="str">
        <f>D$9 * (44.75016784667969 -D$8)</f>
        <v>0</v>
      </c>
      <c r="F190" t="str">
        <f>F$9 * (0.007353464141488075 -F$8)</f>
        <v>0</v>
      </c>
      <c r="G190" t="str">
        <f>G$9 * (2.89057993888855 -G$8)</f>
        <v>0</v>
      </c>
      <c r="H190" t="str">
        <f>H$9 * (6.770930767059326 -H$8)</f>
        <v>0</v>
      </c>
      <c r="I190" t="str">
        <f>I$9 * (6.067016124725342 -I$8)</f>
        <v>0</v>
      </c>
    </row>
    <row r="191" spans="1:11">
      <c r="A191" t="str">
        <f>A$9 * (45.00008392333984 -A$8)</f>
        <v>0</v>
      </c>
      <c r="B191" t="str">
        <f>B$9 * (45.00008392333984 -B$8)</f>
        <v>0</v>
      </c>
      <c r="C191" t="str">
        <f>C$9 * (45.00008392333984 -C$8)</f>
        <v>0</v>
      </c>
      <c r="D191" t="str">
        <f>D$9 * (45.00008392333984 -D$8)</f>
        <v>0</v>
      </c>
      <c r="F191" t="str">
        <f>F$9 * (0.009018778800964355 -F$8)</f>
        <v>0</v>
      </c>
      <c r="G191" t="str">
        <f>G$9 * (2.102943897247314 -G$8)</f>
        <v>0</v>
      </c>
      <c r="H191" t="str">
        <f>H$9 * (4.21200704574585 -H$8)</f>
        <v>0</v>
      </c>
      <c r="I191" t="str">
        <f>I$9 * (2.940484046936035 -I$8)</f>
        <v>0</v>
      </c>
    </row>
    <row r="192" spans="1:11">
      <c r="A192" t="str">
        <f>A$9 * (45.25002670288086 -A$8)</f>
        <v>0</v>
      </c>
      <c r="B192" t="str">
        <f>B$9 * (45.25002670288086 -B$8)</f>
        <v>0</v>
      </c>
      <c r="C192" t="str">
        <f>C$9 * (45.25002670288086 -C$8)</f>
        <v>0</v>
      </c>
      <c r="D192" t="str">
        <f>D$9 * (45.25002670288086 -D$8)</f>
        <v>0</v>
      </c>
      <c r="F192" t="str">
        <f>F$9 * (0.01373957004398108 -F$8)</f>
        <v>0</v>
      </c>
      <c r="G192" t="str">
        <f>G$9 * (3.411572933197021 -G$8)</f>
        <v>0</v>
      </c>
      <c r="H192" t="str">
        <f>H$9 * (5.397088050842285 -H$8)</f>
        <v>0</v>
      </c>
      <c r="I192" t="str">
        <f>I$9 * (6.995449066162109 -I$8)</f>
        <v>0</v>
      </c>
    </row>
    <row r="193" spans="1:11">
      <c r="A193" t="str">
        <f>A$9 * (45.50041580200195 -A$8)</f>
        <v>0</v>
      </c>
      <c r="B193" t="str">
        <f>B$9 * (45.50041580200195 -B$8)</f>
        <v>0</v>
      </c>
      <c r="C193" t="str">
        <f>C$9 * (45.50041580200195 -C$8)</f>
        <v>0</v>
      </c>
      <c r="D193" t="str">
        <f>D$9 * (45.50041580200195 -D$8)</f>
        <v>0</v>
      </c>
      <c r="F193" t="str">
        <f>F$9 * (0.00730728916823864 -F$8)</f>
        <v>0</v>
      </c>
      <c r="G193" t="str">
        <f>G$9 * (2.903558969497681 -G$8)</f>
        <v>0</v>
      </c>
      <c r="H193" t="str">
        <f>H$9 * (6.82501220703125 -H$8)</f>
        <v>0</v>
      </c>
      <c r="I193" t="str">
        <f>I$9 * (6.13798999786377 -I$8)</f>
        <v>0</v>
      </c>
    </row>
    <row r="194" spans="1:11">
      <c r="A194" t="str">
        <f>A$9 * (45.75016784667969 -A$8)</f>
        <v>0</v>
      </c>
      <c r="B194" t="str">
        <f>B$9 * (45.75016784667969 -B$8)</f>
        <v>0</v>
      </c>
      <c r="C194" t="str">
        <f>C$9 * (45.75016784667969 -C$8)</f>
        <v>0</v>
      </c>
      <c r="D194" t="str">
        <f>D$9 * (45.75016784667969 -D$8)</f>
        <v>0</v>
      </c>
      <c r="F194" t="str">
        <f>F$9 * (0.008724917657673359 -F$8)</f>
        <v>0</v>
      </c>
      <c r="G194" t="str">
        <f>G$9 * (2.177488088607788 -G$8)</f>
        <v>0</v>
      </c>
      <c r="H194" t="str">
        <f>H$9 * (4.458590984344482 -H$8)</f>
        <v>0</v>
      </c>
      <c r="I194" t="str">
        <f>I$9 * (3.128098964691162 -I$8)</f>
        <v>0</v>
      </c>
    </row>
    <row r="195" spans="1:11">
      <c r="A195" t="str">
        <f>A$9 * (46 -A$8)</f>
        <v>0</v>
      </c>
      <c r="B195" t="str">
        <f>B$9 * (46 -B$8)</f>
        <v>0</v>
      </c>
      <c r="C195" t="str">
        <f>C$9 * (46 -C$8)</f>
        <v>0</v>
      </c>
      <c r="D195" t="str">
        <f>D$9 * (46 -D$8)</f>
        <v>0</v>
      </c>
      <c r="F195" t="str">
        <f>F$9 * (0.01425296999514103 -F$8)</f>
        <v>0</v>
      </c>
      <c r="G195" t="str">
        <f>G$9 * (3.296284914016724 -G$8)</f>
        <v>0</v>
      </c>
      <c r="H195" t="str">
        <f>H$9 * (5.099141120910645 -H$8)</f>
        <v>0</v>
      </c>
      <c r="I195" t="str">
        <f>I$9 * (6.513269901275635 -I$8)</f>
        <v>0</v>
      </c>
    </row>
    <row r="196" spans="1:11">
      <c r="A196" t="str">
        <f>A$9 * (46.25013732910156 -A$8)</f>
        <v>0</v>
      </c>
      <c r="B196" t="str">
        <f>B$9 * (46.25013732910156 -B$8)</f>
        <v>0</v>
      </c>
      <c r="C196" t="str">
        <f>C$9 * (46.25013732910156 -C$8)</f>
        <v>0</v>
      </c>
      <c r="D196" t="str">
        <f>D$9 * (46.25013732910156 -D$8)</f>
        <v>0</v>
      </c>
      <c r="F196" t="str">
        <f>F$9 * (0.007145764771848917 -F$8)</f>
        <v>0</v>
      </c>
      <c r="G196" t="str">
        <f>G$9 * (2.915066957473755 -G$8)</f>
        <v>0</v>
      </c>
      <c r="H196" t="str">
        <f>H$9 * (6.975841999053955 -H$8)</f>
        <v>0</v>
      </c>
      <c r="I196" t="str">
        <f>I$9 * (6.362536907196045 -I$8)</f>
        <v>0</v>
      </c>
    </row>
    <row r="197" spans="1:11">
      <c r="A197" t="str">
        <f>A$9 * (46.50044631958008 -A$8)</f>
        <v>0</v>
      </c>
      <c r="B197" t="str">
        <f>B$9 * (46.50044631958008 -B$8)</f>
        <v>0</v>
      </c>
      <c r="C197" t="str">
        <f>C$9 * (46.50044631958008 -C$8)</f>
        <v>0</v>
      </c>
      <c r="D197" t="str">
        <f>D$9 * (46.50044631958008 -D$8)</f>
        <v>0</v>
      </c>
      <c r="F197" t="str">
        <f>F$9 * (0.008327540010213852 -F$8)</f>
        <v>0</v>
      </c>
      <c r="G197" t="str">
        <f>G$9 * (2.21268892288208 -G$8)</f>
        <v>0</v>
      </c>
      <c r="H197" t="str">
        <f>H$9 * (4.682896137237549 -H$8)</f>
        <v>0</v>
      </c>
      <c r="I197" t="str">
        <f>I$9 * (3.265480995178223 -I$8)</f>
        <v>0</v>
      </c>
    </row>
    <row r="198" spans="1:11">
      <c r="A198" t="str">
        <f>A$9 * (46.75022125244141 -A$8)</f>
        <v>0</v>
      </c>
      <c r="B198" t="str">
        <f>B$9 * (46.75022125244141 -B$8)</f>
        <v>0</v>
      </c>
      <c r="C198" t="str">
        <f>C$9 * (46.75022125244141 -C$8)</f>
        <v>0</v>
      </c>
      <c r="D198" t="str">
        <f>D$9 * (46.75022125244141 -D$8)</f>
        <v>0</v>
      </c>
      <c r="F198" t="str">
        <f>F$9 * (0.01453674025833607 -F$8)</f>
        <v>0</v>
      </c>
      <c r="G198" t="str">
        <f>G$9 * (3.222590923309326 -G$8)</f>
        <v>0</v>
      </c>
      <c r="H198" t="str">
        <f>H$9 * (4.925406932830811 -H$8)</f>
        <v>0</v>
      </c>
      <c r="I198" t="str">
        <f>I$9 * (6.233599185943604 -I$8)</f>
        <v>0</v>
      </c>
    </row>
    <row r="199" spans="1:11">
      <c r="A199" t="str">
        <f>A$9 * (47.00041580200195 -A$8)</f>
        <v>0</v>
      </c>
      <c r="B199" t="str">
        <f>B$9 * (47.00041580200195 -B$8)</f>
        <v>0</v>
      </c>
      <c r="C199" t="str">
        <f>C$9 * (47.00041580200195 -C$8)</f>
        <v>0</v>
      </c>
      <c r="D199" t="str">
        <f>D$9 * (47.00041580200195 -D$8)</f>
        <v>0</v>
      </c>
      <c r="F199" t="str">
        <f>F$9 * (0.00716075487434864 -F$8)</f>
        <v>0</v>
      </c>
      <c r="G199" t="str">
        <f>G$9 * (2.944432973861694 -G$8)</f>
        <v>0</v>
      </c>
      <c r="H199" t="str">
        <f>H$9 * (7.028164863586426 -H$8)</f>
        <v>0</v>
      </c>
      <c r="I199" t="str">
        <f>I$9 * (6.480965137481689 -I$8)</f>
        <v>0</v>
      </c>
    </row>
    <row r="200" spans="1:11">
      <c r="A200" t="str">
        <f>A$9 * (47.25036239624023 -A$8)</f>
        <v>0</v>
      </c>
      <c r="B200" t="str">
        <f>B$9 * (47.25036239624023 -B$8)</f>
        <v>0</v>
      </c>
      <c r="C200" t="str">
        <f>C$9 * (47.25036239624023 -C$8)</f>
        <v>0</v>
      </c>
      <c r="D200" t="str">
        <f>D$9 * (47.25036239624023 -D$8)</f>
        <v>0</v>
      </c>
      <c r="F200" t="str">
        <f>F$9 * (0.008115692064166069 -F$8)</f>
        <v>0</v>
      </c>
      <c r="G200" t="str">
        <f>G$9 * (2.342251062393188 -G$8)</f>
        <v>0</v>
      </c>
      <c r="H200" t="str">
        <f>H$9 * (5.048895835876465 -H$8)</f>
        <v>0</v>
      </c>
      <c r="I200" t="str">
        <f>I$9 * (3.632930040359497 -I$8)</f>
        <v>0</v>
      </c>
    </row>
    <row r="201" spans="1:11">
      <c r="A201" t="str">
        <f>A$9 * (47.50038909912109 -A$8)</f>
        <v>0</v>
      </c>
      <c r="B201" t="str">
        <f>B$9 * (47.50038909912109 -B$8)</f>
        <v>0</v>
      </c>
      <c r="C201" t="str">
        <f>C$9 * (47.50038909912109 -C$8)</f>
        <v>0</v>
      </c>
      <c r="D201" t="str">
        <f>D$9 * (47.50038909912109 -D$8)</f>
        <v>0</v>
      </c>
      <c r="F201" t="str">
        <f>F$9 * (0.01465092971920967 -F$8)</f>
        <v>0</v>
      </c>
      <c r="G201" t="str">
        <f>G$9 * (3.083262920379639 -G$8)</f>
        <v>0</v>
      </c>
      <c r="H201" t="str">
        <f>H$9 * (4.680179119110107 -H$8)</f>
        <v>0</v>
      </c>
      <c r="I201" t="str">
        <f>I$9 * (5.720915794372559 -I$8)</f>
        <v>0</v>
      </c>
    </row>
    <row r="202" spans="1:11">
      <c r="A202" t="str">
        <f>A$9 * (47.75025177001953 -A$8)</f>
        <v>0</v>
      </c>
      <c r="B202" t="str">
        <f>B$9 * (47.75025177001953 -B$8)</f>
        <v>0</v>
      </c>
      <c r="C202" t="str">
        <f>C$9 * (47.75025177001953 -C$8)</f>
        <v>0</v>
      </c>
      <c r="D202" t="str">
        <f>D$9 * (47.75025177001953 -D$8)</f>
        <v>0</v>
      </c>
      <c r="F202" t="str">
        <f>F$9 * (0.00720489677041769 -F$8)</f>
        <v>0</v>
      </c>
      <c r="G202" t="str">
        <f>G$9 * (2.991806983947754 -G$8)</f>
        <v>0</v>
      </c>
      <c r="H202" t="str">
        <f>H$9 * (7.125347137451172 -H$8)</f>
        <v>0</v>
      </c>
      <c r="I202" t="str">
        <f>I$9 * (6.76483678817749 -I$8)</f>
        <v>0</v>
      </c>
    </row>
    <row r="203" spans="1:11">
      <c r="A203" t="str">
        <f>A$9 * (48.00038909912109 -A$8)</f>
        <v>0</v>
      </c>
      <c r="B203" t="str">
        <f>B$9 * (48.00038909912109 -B$8)</f>
        <v>0</v>
      </c>
      <c r="C203" t="str">
        <f>C$9 * (48.00038909912109 -C$8)</f>
        <v>0</v>
      </c>
      <c r="D203" t="str">
        <f>D$9 * (48.00038909912109 -D$8)</f>
        <v>0</v>
      </c>
      <c r="F203" t="str">
        <f>F$9 * (0.007737455889582634 -F$8)</f>
        <v>0</v>
      </c>
      <c r="G203" t="str">
        <f>G$9 * (2.405102968215942 -G$8)</f>
        <v>0</v>
      </c>
      <c r="H203" t="str">
        <f>H$9 * (5.370346069335938 -H$8)</f>
        <v>0</v>
      </c>
      <c r="I203" t="str">
        <f>I$9 * (3.907546043395996 -I$8)</f>
        <v>0</v>
      </c>
    </row>
    <row r="204" spans="1:11">
      <c r="A204" t="str">
        <f>A$9 * (48.25030517578125 -A$8)</f>
        <v>0</v>
      </c>
      <c r="B204" t="str">
        <f>B$9 * (48.25030517578125 -B$8)</f>
        <v>0</v>
      </c>
      <c r="C204" t="str">
        <f>C$9 * (48.25030517578125 -C$8)</f>
        <v>0</v>
      </c>
      <c r="D204" t="str">
        <f>D$9 * (48.25030517578125 -D$8)</f>
        <v>0</v>
      </c>
      <c r="F204" t="str">
        <f>F$9 * (0.0146799897775054 -F$8)</f>
        <v>0</v>
      </c>
      <c r="G204" t="str">
        <f>G$9 * (2.977686882019043 -G$8)</f>
        <v>0</v>
      </c>
      <c r="H204" t="str">
        <f>H$9 * (4.507615089416504 -H$8)</f>
        <v>0</v>
      </c>
      <c r="I204" t="str">
        <f>I$9 * (5.365118026733398 -I$8)</f>
        <v>0</v>
      </c>
    </row>
    <row r="205" spans="1:11">
      <c r="A205" t="str">
        <f>A$9 * (48.50002670288086 -A$8)</f>
        <v>0</v>
      </c>
      <c r="B205" t="str">
        <f>B$9 * (48.50002670288086 -B$8)</f>
        <v>0</v>
      </c>
      <c r="C205" t="str">
        <f>C$9 * (48.50002670288086 -C$8)</f>
        <v>0</v>
      </c>
      <c r="D205" t="str">
        <f>D$9 * (48.50002670288086 -D$8)</f>
        <v>0</v>
      </c>
      <c r="F205" t="str">
        <f>F$9 * (0.007280483841896057 -F$8)</f>
        <v>0</v>
      </c>
      <c r="G205" t="str">
        <f>G$9 * (3.034106016159058 -G$8)</f>
        <v>0</v>
      </c>
      <c r="H205" t="str">
        <f>H$9 * (7.166357040405273 -H$8)</f>
        <v>0</v>
      </c>
      <c r="I205" t="str">
        <f>I$9 * (6.915619850158691 -I$8)</f>
        <v>0</v>
      </c>
    </row>
    <row r="206" spans="1:11">
      <c r="A206" t="str">
        <f>A$9 * (48.75038909912109 -A$8)</f>
        <v>0</v>
      </c>
      <c r="B206" t="str">
        <f>B$9 * (48.75038909912109 -B$8)</f>
        <v>0</v>
      </c>
      <c r="C206" t="str">
        <f>C$9 * (48.75038909912109 -C$8)</f>
        <v>0</v>
      </c>
      <c r="D206" t="str">
        <f>D$9 * (48.75038909912109 -D$8)</f>
        <v>0</v>
      </c>
      <c r="F206" t="str">
        <f>F$9 * (0.007578987162560225 -F$8)</f>
        <v>0</v>
      </c>
      <c r="G206" t="str">
        <f>G$9 * (2.540873050689697 -G$8)</f>
        <v>0</v>
      </c>
      <c r="H206" t="str">
        <f>H$9 * (5.762549877166748 -H$8)</f>
        <v>0</v>
      </c>
      <c r="I206" t="str">
        <f>I$9 * (4.385890007019043 -I$8)</f>
        <v>0</v>
      </c>
    </row>
    <row r="207" spans="1:11">
      <c r="A207" t="str">
        <f>A$9 * (49.00033187866211 -A$8)</f>
        <v>0</v>
      </c>
      <c r="B207" t="str">
        <f>B$9 * (49.00033187866211 -B$8)</f>
        <v>0</v>
      </c>
      <c r="C207" t="str">
        <f>C$9 * (49.00033187866211 -C$8)</f>
        <v>0</v>
      </c>
      <c r="D207" t="str">
        <f>D$9 * (49.00033187866211 -D$8)</f>
        <v>0</v>
      </c>
      <c r="F207" t="str">
        <f>F$9 * (0.01436902955174446 -F$8)</f>
        <v>0</v>
      </c>
      <c r="G207" t="str">
        <f>G$9 * (2.816361904144287 -G$8)</f>
        <v>0</v>
      </c>
      <c r="H207" t="str">
        <f>H$9 * (4.300260066986084 -H$8)</f>
        <v>0</v>
      </c>
      <c r="I207" t="str">
        <f>I$9 * (4.829037189483643 -I$8)</f>
        <v>0</v>
      </c>
    </row>
    <row r="208" spans="1:11">
      <c r="A208" t="str">
        <f>A$9 * (49.25038909912109 -A$8)</f>
        <v>0</v>
      </c>
      <c r="B208" t="str">
        <f>B$9 * (49.25038909912109 -B$8)</f>
        <v>0</v>
      </c>
      <c r="C208" t="str">
        <f>C$9 * (49.25038909912109 -C$8)</f>
        <v>0</v>
      </c>
      <c r="D208" t="str">
        <f>D$9 * (49.25038909912109 -D$8)</f>
        <v>0</v>
      </c>
      <c r="F208" t="str">
        <f>F$9 * (0.007499301806092262 -F$8)</f>
        <v>0</v>
      </c>
      <c r="G208" t="str">
        <f>G$9 * (3.10643196105957 -G$8)</f>
        <v>0</v>
      </c>
      <c r="H208" t="str">
        <f>H$9 * (7.19988489151001 -H$8)</f>
        <v>0</v>
      </c>
      <c r="I208" t="str">
        <f>I$9 * (7.208725929260254 -I$8)</f>
        <v>0</v>
      </c>
    </row>
    <row r="209" spans="1:11">
      <c r="A209" t="str">
        <f>A$9 * (49.50036239624023 -A$8)</f>
        <v>0</v>
      </c>
      <c r="B209" t="str">
        <f>B$9 * (49.50036239624023 -B$8)</f>
        <v>0</v>
      </c>
      <c r="C209" t="str">
        <f>C$9 * (49.50036239624023 -C$8)</f>
        <v>0</v>
      </c>
      <c r="D209" t="str">
        <f>D$9 * (49.50036239624023 -D$8)</f>
        <v>0</v>
      </c>
      <c r="F209" t="str">
        <f>F$9 * (0.007300821132957935 -F$8)</f>
        <v>0</v>
      </c>
      <c r="G209" t="str">
        <f>G$9 * (2.59998607635498 -G$8)</f>
        <v>0</v>
      </c>
      <c r="H209" t="str">
        <f>H$9 * (6.069766998291016 -H$8)</f>
        <v>0</v>
      </c>
      <c r="I209" t="str">
        <f>I$9 * (4.724885940551758 -I$8)</f>
        <v>0</v>
      </c>
    </row>
    <row r="210" spans="1:11">
      <c r="A210" t="str">
        <f>A$9 * (49.75038909912109 -A$8)</f>
        <v>0</v>
      </c>
      <c r="B210" t="str">
        <f>B$9 * (49.75038909912109 -B$8)</f>
        <v>0</v>
      </c>
      <c r="C210" t="str">
        <f>C$9 * (49.75038909912109 -C$8)</f>
        <v>0</v>
      </c>
      <c r="D210" t="str">
        <f>D$9 * (49.75038909912109 -D$8)</f>
        <v>0</v>
      </c>
      <c r="F210" t="str">
        <f>F$9 * (0.01407647039741278 -F$8)</f>
        <v>0</v>
      </c>
      <c r="G210" t="str">
        <f>G$9 * (2.697180032730103 -G$8)</f>
        <v>0</v>
      </c>
      <c r="H210" t="str">
        <f>H$9 * (4.158113956451416 -H$8)</f>
        <v>0</v>
      </c>
      <c r="I210" t="str">
        <f>I$9 * (4.469821929931641 -I$8)</f>
        <v>0</v>
      </c>
    </row>
    <row r="211" spans="1:11">
      <c r="A211" t="str">
        <f>A$9 * (50.00002670288086 -A$8)</f>
        <v>0</v>
      </c>
      <c r="B211" t="str">
        <f>B$9 * (50.00002670288086 -B$8)</f>
        <v>0</v>
      </c>
      <c r="C211" t="str">
        <f>C$9 * (50.00002670288086 -C$8)</f>
        <v>0</v>
      </c>
      <c r="D211" t="str">
        <f>D$9 * (50.00002670288086 -D$8)</f>
        <v>0</v>
      </c>
      <c r="F211" t="str">
        <f>F$9 * (0.007674968801438808 -F$8)</f>
        <v>0</v>
      </c>
      <c r="G211" t="str">
        <f>G$9 * (3.16397500038147 -G$8)</f>
        <v>0</v>
      </c>
      <c r="H211" t="str">
        <f>H$9 * (7.212168216705322 -H$8)</f>
        <v>0</v>
      </c>
      <c r="I211" t="str">
        <f>I$9 * (7.387997150421143 -I$8)</f>
        <v>0</v>
      </c>
    </row>
    <row r="212" spans="1:11">
      <c r="A212" t="str">
        <f>A$9 * (50.25038909912109 -A$8)</f>
        <v>0</v>
      </c>
      <c r="B212" t="str">
        <f>B$9 * (50.25038909912109 -B$8)</f>
        <v>0</v>
      </c>
      <c r="C212" t="str">
        <f>C$9 * (50.25038909912109 -C$8)</f>
        <v>0</v>
      </c>
      <c r="D212" t="str">
        <f>D$9 * (50.25038909912109 -D$8)</f>
        <v>0</v>
      </c>
      <c r="F212" t="str">
        <f>F$9 * (0.007411932107061148 -F$8)</f>
        <v>0</v>
      </c>
      <c r="G212" t="str">
        <f>G$9 * (2.723120927810669 -G$8)</f>
        <v>0</v>
      </c>
      <c r="H212" t="str">
        <f>H$9 * (6.296497821807861 -H$8)</f>
        <v>0</v>
      </c>
      <c r="I212" t="str">
        <f>I$9 * (5.160880088806152 -I$8)</f>
        <v>0</v>
      </c>
    </row>
    <row r="213" spans="1:11">
      <c r="A213" t="str">
        <f>A$9 * (50.50008392333984 -A$8)</f>
        <v>0</v>
      </c>
      <c r="B213" t="str">
        <f>B$9 * (50.50008392333984 -B$8)</f>
        <v>0</v>
      </c>
      <c r="C213" t="str">
        <f>C$9 * (50.50008392333984 -C$8)</f>
        <v>0</v>
      </c>
      <c r="D213" t="str">
        <f>D$9 * (50.50008392333984 -D$8)</f>
        <v>0</v>
      </c>
      <c r="F213" t="str">
        <f>F$9 * (0.0134868398308754 -F$8)</f>
        <v>0</v>
      </c>
      <c r="G213" t="str">
        <f>G$9 * (2.566283941268921 -G$8)</f>
        <v>0</v>
      </c>
      <c r="H213" t="str">
        <f>H$9 * (4.041484832763672 -H$8)</f>
        <v>0</v>
      </c>
      <c r="I213" t="str">
        <f>I$9 * (4.074227809906006 -I$8)</f>
        <v>0</v>
      </c>
    </row>
    <row r="214" spans="1:11">
      <c r="A214" t="str">
        <f>A$9 * (50.75016784667969 -A$8)</f>
        <v>0</v>
      </c>
      <c r="B214" t="str">
        <f>B$9 * (50.75016784667969 -B$8)</f>
        <v>0</v>
      </c>
      <c r="C214" t="str">
        <f>C$9 * (50.75016784667969 -C$8)</f>
        <v>0</v>
      </c>
      <c r="D214" t="str">
        <f>D$9 * (50.75016784667969 -D$8)</f>
        <v>0</v>
      </c>
      <c r="F214" t="str">
        <f>F$9 * (0.008113854564726353 -F$8)</f>
        <v>0</v>
      </c>
      <c r="G214" t="str">
        <f>G$9 * (3.252207040786743 -G$8)</f>
        <v>0</v>
      </c>
      <c r="H214" t="str">
        <f>H$9 * (7.146184921264648 -H$8)</f>
        <v>0</v>
      </c>
      <c r="I214" t="str">
        <f>I$9 * (7.622204780578613 -I$8)</f>
        <v>0</v>
      </c>
    </row>
    <row r="215" spans="1:11">
      <c r="A215" t="str">
        <f>A$9 * (51.00038909912109 -A$8)</f>
        <v>0</v>
      </c>
      <c r="B215" t="str">
        <f>B$9 * (51.00038909912109 -B$8)</f>
        <v>0</v>
      </c>
      <c r="C215" t="str">
        <f>C$9 * (51.00038909912109 -C$8)</f>
        <v>0</v>
      </c>
      <c r="D215" t="str">
        <f>D$9 * (51.00038909912109 -D$8)</f>
        <v>0</v>
      </c>
      <c r="F215" t="str">
        <f>F$9 * (0.007296094205230474 -F$8)</f>
        <v>0</v>
      </c>
      <c r="G215" t="str">
        <f>G$9 * (2.756367921829224 -G$8)</f>
        <v>0</v>
      </c>
      <c r="H215" t="str">
        <f>H$9 * (6.460537910461426 -H$8)</f>
        <v>0</v>
      </c>
      <c r="I215" t="str">
        <f>I$9 * (5.395356178283691 -I$8)</f>
        <v>0</v>
      </c>
    </row>
    <row r="216" spans="1:11">
      <c r="A216" t="str">
        <f>A$9 * (51.25027847290039 -A$8)</f>
        <v>0</v>
      </c>
      <c r="B216" t="str">
        <f>B$9 * (51.25027847290039 -B$8)</f>
        <v>0</v>
      </c>
      <c r="C216" t="str">
        <f>C$9 * (51.25027847290039 -C$8)</f>
        <v>0</v>
      </c>
      <c r="D216" t="str">
        <f>D$9 * (51.25027847290039 -D$8)</f>
        <v>0</v>
      </c>
      <c r="F216" t="str">
        <f>F$9 * (0.01293134037405252 -F$8)</f>
        <v>0</v>
      </c>
      <c r="G216" t="str">
        <f>G$9 * (2.426181077957153 -G$8)</f>
        <v>0</v>
      </c>
      <c r="H216" t="str">
        <f>H$9 * (3.90587306022644 -H$8)</f>
        <v>0</v>
      </c>
      <c r="I216" t="str">
        <f>I$9 * (3.697041988372803 -I$8)</f>
        <v>0</v>
      </c>
    </row>
    <row r="217" spans="1:11">
      <c r="A217" t="str">
        <f>A$9 * (51.50041580200195 -A$8)</f>
        <v>0</v>
      </c>
      <c r="B217" t="str">
        <f>B$9 * (51.50041580200195 -B$8)</f>
        <v>0</v>
      </c>
      <c r="C217" t="str">
        <f>C$9 * (51.50041580200195 -C$8)</f>
        <v>0</v>
      </c>
      <c r="D217" t="str">
        <f>D$9 * (51.50041580200195 -D$8)</f>
        <v>0</v>
      </c>
      <c r="F217" t="str">
        <f>F$9 * (0.008461630903184414 -F$8)</f>
        <v>0</v>
      </c>
      <c r="G217" t="str">
        <f>G$9 * (3.324151039123535 -G$8)</f>
        <v>0</v>
      </c>
      <c r="H217" t="str">
        <f>H$9 * (7.098740100860596 -H$8)</f>
        <v>0</v>
      </c>
      <c r="I217" t="str">
        <f>I$9 * (7.797679901123047 -I$8)</f>
        <v>0</v>
      </c>
    </row>
    <row r="218" spans="1:11">
      <c r="A218" t="str">
        <f>A$9 * (51.75005722045898 -A$8)</f>
        <v>0</v>
      </c>
      <c r="B218" t="str">
        <f>B$9 * (51.75005722045898 -B$8)</f>
        <v>0</v>
      </c>
      <c r="C218" t="str">
        <f>C$9 * (51.75005722045898 -C$8)</f>
        <v>0</v>
      </c>
      <c r="D218" t="str">
        <f>D$9 * (51.75005722045898 -D$8)</f>
        <v>0</v>
      </c>
      <c r="F218" t="str">
        <f>F$9 * (0.007576905190944672 -F$8)</f>
        <v>0</v>
      </c>
      <c r="G218" t="str">
        <f>G$9 * (2.841521024703979 -G$8)</f>
        <v>0</v>
      </c>
      <c r="H218" t="str">
        <f>H$9 * (6.486661911010742 -H$8)</f>
        <v>0</v>
      </c>
      <c r="I218" t="str">
        <f>I$9 * (5.615977764129639 -I$8)</f>
        <v>0</v>
      </c>
    </row>
    <row r="219" spans="1:11">
      <c r="A219" t="str">
        <f>A$9 * (52.00044631958008 -A$8)</f>
        <v>0</v>
      </c>
      <c r="B219" t="str">
        <f>B$9 * (52.00044631958008 -B$8)</f>
        <v>0</v>
      </c>
      <c r="C219" t="str">
        <f>C$9 * (52.00044631958008 -C$8)</f>
        <v>0</v>
      </c>
      <c r="D219" t="str">
        <f>D$9 * (52.00044631958008 -D$8)</f>
        <v>0</v>
      </c>
      <c r="F219" t="str">
        <f>F$9 * (0.01243444997817278 -F$8)</f>
        <v>0</v>
      </c>
      <c r="G219" t="str">
        <f>G$9 * (2.36919093132019 -G$8)</f>
        <v>0</v>
      </c>
      <c r="H219" t="str">
        <f>H$9 * (3.896177053451538 -H$8)</f>
        <v>0</v>
      </c>
      <c r="I219" t="str">
        <f>I$9 * (3.533170938491821 -I$8)</f>
        <v>0</v>
      </c>
    </row>
    <row r="220" spans="1:11">
      <c r="A220" t="str">
        <f>A$9 * (52.25002670288086 -A$8)</f>
        <v>0</v>
      </c>
      <c r="B220" t="str">
        <f>B$9 * (52.25002670288086 -B$8)</f>
        <v>0</v>
      </c>
      <c r="C220" t="str">
        <f>C$9 * (52.25002670288086 -C$8)</f>
        <v>0</v>
      </c>
      <c r="D220" t="str">
        <f>D$9 * (52.25002670288086 -D$8)</f>
        <v>0</v>
      </c>
      <c r="F220" t="str">
        <f>F$9 * (0.009027148596942425 -F$8)</f>
        <v>0</v>
      </c>
      <c r="G220" t="str">
        <f>G$9 * (3.392487049102783 -G$8)</f>
        <v>0</v>
      </c>
      <c r="H220" t="str">
        <f>H$9 * (6.941963195800781 -H$8)</f>
        <v>0</v>
      </c>
      <c r="I220" t="str">
        <f>I$9 * (7.856252193450928 -I$8)</f>
        <v>0</v>
      </c>
    </row>
    <row r="221" spans="1:11">
      <c r="A221" t="str">
        <f>A$9 * (52.50016784667969 -A$8)</f>
        <v>0</v>
      </c>
      <c r="B221" t="str">
        <f>B$9 * (52.50016784667969 -B$8)</f>
        <v>0</v>
      </c>
      <c r="C221" t="str">
        <f>C$9 * (52.50016784667969 -C$8)</f>
        <v>0</v>
      </c>
      <c r="D221" t="str">
        <f>D$9 * (52.50016784667969 -D$8)</f>
        <v>0</v>
      </c>
      <c r="F221" t="str">
        <f>F$9 * (0.00759629113599658 -F$8)</f>
        <v>0</v>
      </c>
      <c r="G221" t="str">
        <f>G$9 * (2.858586072921753 -G$8)</f>
        <v>0</v>
      </c>
      <c r="H221" t="str">
        <f>H$9 * (6.520726203918457 -H$8)</f>
        <v>0</v>
      </c>
      <c r="I221" t="str">
        <f>I$9 * (5.699862003326416 -I$8)</f>
        <v>0</v>
      </c>
    </row>
    <row r="222" spans="1:11">
      <c r="A222" t="str">
        <f>A$9 * (52.75002670288086 -A$8)</f>
        <v>0</v>
      </c>
      <c r="B222" t="str">
        <f>B$9 * (52.75002670288086 -B$8)</f>
        <v>0</v>
      </c>
      <c r="C222" t="str">
        <f>C$9 * (52.75002670288086 -C$8)</f>
        <v>0</v>
      </c>
      <c r="D222" t="str">
        <f>D$9 * (52.75002670288086 -D$8)</f>
        <v>0</v>
      </c>
      <c r="F222" t="str">
        <f>F$9 * (0.01176937017589808 -F$8)</f>
        <v>0</v>
      </c>
      <c r="G222" t="str">
        <f>G$9 * (2.264319896697998 -G$8)</f>
        <v>0</v>
      </c>
      <c r="H222" t="str">
        <f>H$9 * (3.84125804901123 -H$8)</f>
        <v>0</v>
      </c>
      <c r="I222" t="str">
        <f>I$9 * (3.271106958389282 -I$8)</f>
        <v>0</v>
      </c>
    </row>
    <row r="223" spans="1:11">
      <c r="A223" t="str">
        <f>A$9 * (53.00041580200195 -A$8)</f>
        <v>0</v>
      </c>
      <c r="B223" t="str">
        <f>B$9 * (53.00041580200195 -B$8)</f>
        <v>0</v>
      </c>
      <c r="C223" t="str">
        <f>C$9 * (53.00041580200195 -C$8)</f>
        <v>0</v>
      </c>
      <c r="D223" t="str">
        <f>D$9 * (53.00041580200195 -D$8)</f>
        <v>0</v>
      </c>
      <c r="F223" t="str">
        <f>F$9 * (0.009621881879866123 -F$8)</f>
        <v>0</v>
      </c>
      <c r="G223" t="str">
        <f>G$9 * (3.455404996871948 -G$8)</f>
        <v>0</v>
      </c>
      <c r="H223" t="str">
        <f>H$9 * (6.786829948425293 -H$8)</f>
        <v>0</v>
      </c>
      <c r="I223" t="str">
        <f>I$9 * (7.929275035858154 -I$8)</f>
        <v>0</v>
      </c>
    </row>
    <row r="224" spans="1:11">
      <c r="A224" t="str">
        <f>A$9 * (53.25033187866211 -A$8)</f>
        <v>0</v>
      </c>
      <c r="B224" t="str">
        <f>B$9 * (53.25033187866211 -B$8)</f>
        <v>0</v>
      </c>
      <c r="C224" t="str">
        <f>C$9 * (53.25033187866211 -C$8)</f>
        <v>0</v>
      </c>
      <c r="D224" t="str">
        <f>D$9 * (53.25033187866211 -D$8)</f>
        <v>0</v>
      </c>
      <c r="F224" t="str">
        <f>F$9 * (0.007694755215197802 -F$8)</f>
        <v>0</v>
      </c>
      <c r="G224" t="str">
        <f>G$9 * (2.876005887985229 -G$8)</f>
        <v>0</v>
      </c>
      <c r="H224" t="str">
        <f>H$9 * (6.508265018463135 -H$8)</f>
        <v>0</v>
      </c>
      <c r="I224" t="str">
        <f>I$9 * (5.747057914733887 -I$8)</f>
        <v>0</v>
      </c>
    </row>
    <row r="225" spans="1:11">
      <c r="A225" t="str">
        <f>A$9 * (53.50038909912109 -A$8)</f>
        <v>0</v>
      </c>
      <c r="B225" t="str">
        <f>B$9 * (53.50038909912109 -B$8)</f>
        <v>0</v>
      </c>
      <c r="C225" t="str">
        <f>C$9 * (53.50038909912109 -C$8)</f>
        <v>0</v>
      </c>
      <c r="D225" t="str">
        <f>D$9 * (53.50038909912109 -D$8)</f>
        <v>0</v>
      </c>
      <c r="F225" t="str">
        <f>F$9 * (0.01099762972444296 -F$8)</f>
        <v>0</v>
      </c>
      <c r="G225" t="str">
        <f>G$9 * (2.135152101516724 -G$8)</f>
        <v>0</v>
      </c>
      <c r="H225" t="str">
        <f>H$9 * (3.76617693901062 -H$8)</f>
        <v>0</v>
      </c>
      <c r="I225" t="str">
        <f>I$9 * (2.967380046844482 -I$8)</f>
        <v>0</v>
      </c>
    </row>
    <row r="226" spans="1:11">
      <c r="A226" t="str">
        <f>A$9 * (53.7501106262207 -A$8)</f>
        <v>0</v>
      </c>
      <c r="B226" t="str">
        <f>B$9 * (53.7501106262207 -B$8)</f>
        <v>0</v>
      </c>
      <c r="C226" t="str">
        <f>C$9 * (53.7501106262207 -C$8)</f>
        <v>0</v>
      </c>
      <c r="D226" t="str">
        <f>D$9 * (53.7501106262207 -D$8)</f>
        <v>0</v>
      </c>
      <c r="F226" t="str">
        <f>F$9 * (0.01060855016112328 -F$8)</f>
        <v>0</v>
      </c>
      <c r="G226" t="str">
        <f>G$9 * (3.545063972473145 -G$8)</f>
        <v>0</v>
      </c>
      <c r="H226" t="str">
        <f>H$9 * (6.552419185638428 -H$8)</f>
        <v>0</v>
      </c>
      <c r="I226" t="str">
        <f>I$9 * (8.076704025268555 -I$8)</f>
        <v>0</v>
      </c>
    </row>
    <row r="227" spans="1:11">
      <c r="A227" t="str">
        <f>A$9 * (54.00013732910156 -A$8)</f>
        <v>0</v>
      </c>
      <c r="B227" t="str">
        <f>B$9 * (54.00013732910156 -B$8)</f>
        <v>0</v>
      </c>
      <c r="C227" t="str">
        <f>C$9 * (54.00013732910156 -C$8)</f>
        <v>0</v>
      </c>
      <c r="D227" t="str">
        <f>D$9 * (54.00013732910156 -D$8)</f>
        <v>0</v>
      </c>
      <c r="F227" t="str">
        <f>F$9 * (0.00766035495325923 -F$8)</f>
        <v>0</v>
      </c>
      <c r="G227" t="str">
        <f>G$9 * (2.882134914398193 -G$8)</f>
        <v>0</v>
      </c>
      <c r="H227" t="str">
        <f>H$9 * (6.552462100982666 -H$8)</f>
        <v>0</v>
      </c>
      <c r="I227" t="str">
        <f>I$9 * (5.824912071228027 -I$8)</f>
        <v>0</v>
      </c>
    </row>
    <row r="228" spans="1:11">
      <c r="A228" t="str">
        <f>A$9 * (54.25019454956055 -A$8)</f>
        <v>0</v>
      </c>
      <c r="B228" t="str">
        <f>B$9 * (54.25019454956055 -B$8)</f>
        <v>0</v>
      </c>
      <c r="C228" t="str">
        <f>C$9 * (54.25019454956055 -C$8)</f>
        <v>0</v>
      </c>
      <c r="D228" t="str">
        <f>D$9 * (54.25019454956055 -D$8)</f>
        <v>0</v>
      </c>
      <c r="F228" t="str">
        <f>F$9 * (0.01060623954981565 -F$8)</f>
        <v>0</v>
      </c>
      <c r="G228" t="str">
        <f>G$9 * (2.098931074142456 -G$8)</f>
        <v>0</v>
      </c>
      <c r="H228" t="str">
        <f>H$9 * (3.786041975021362 -H$8)</f>
        <v>0</v>
      </c>
      <c r="I228" t="str">
        <f>I$9 * (2.891026973724365 -I$8)</f>
        <v>0</v>
      </c>
    </row>
    <row r="229" spans="1:11">
      <c r="A229" t="str">
        <f>A$9 * (54.50030517578125 -A$8)</f>
        <v>0</v>
      </c>
      <c r="B229" t="str">
        <f>B$9 * (54.50030517578125 -B$8)</f>
        <v>0</v>
      </c>
      <c r="C229" t="str">
        <f>C$9 * (54.50030517578125 -C$8)</f>
        <v>0</v>
      </c>
      <c r="D229" t="str">
        <f>D$9 * (54.50030517578125 -D$8)</f>
        <v>0</v>
      </c>
      <c r="F229" t="str">
        <f>F$9 * (0.01112870033830404 -F$8)</f>
        <v>0</v>
      </c>
      <c r="G229" t="str">
        <f>G$9 * (3.563368082046509 -G$8)</f>
        <v>0</v>
      </c>
      <c r="H229" t="str">
        <f>H$9 * (6.394453048706055 -H$8)</f>
        <v>0</v>
      </c>
      <c r="I229" t="str">
        <f>I$9 * (8.021777153015137 -I$8)</f>
        <v>0</v>
      </c>
    </row>
    <row r="230" spans="1:11">
      <c r="A230" t="str">
        <f>A$9 * (54.75027847290039 -A$8)</f>
        <v>0</v>
      </c>
      <c r="B230" t="str">
        <f>B$9 * (54.75027847290039 -B$8)</f>
        <v>0</v>
      </c>
      <c r="C230" t="str">
        <f>C$9 * (54.75027847290039 -C$8)</f>
        <v>0</v>
      </c>
      <c r="D230" t="str">
        <f>D$9 * (54.75027847290039 -D$8)</f>
        <v>0</v>
      </c>
      <c r="F230" t="str">
        <f>F$9 * (0.007763781119138002 -F$8)</f>
        <v>0</v>
      </c>
      <c r="G230" t="str">
        <f>G$9 * (2.905654907226562 -G$8)</f>
        <v>0</v>
      </c>
      <c r="H230" t="str">
        <f>H$9 * (6.538072109222412 -H$8)</f>
        <v>0</v>
      </c>
      <c r="I230" t="str">
        <f>I$9 * (5.854876041412354 -I$8)</f>
        <v>0</v>
      </c>
    </row>
    <row r="231" spans="1:11">
      <c r="A231" t="str">
        <f>A$9 * (55.00038909912109 -A$8)</f>
        <v>0</v>
      </c>
      <c r="B231" t="str">
        <f>B$9 * (55.00038909912109 -B$8)</f>
        <v>0</v>
      </c>
      <c r="C231" t="str">
        <f>C$9 * (55.00038909912109 -C$8)</f>
        <v>0</v>
      </c>
      <c r="D231" t="str">
        <f>D$9 * (55.00038909912109 -D$8)</f>
        <v>0</v>
      </c>
      <c r="F231" t="str">
        <f>F$9 * (0.01016093045473099 -F$8)</f>
        <v>0</v>
      </c>
      <c r="G231" t="str">
        <f>G$9 * (2.083254098892212 -G$8)</f>
        <v>0</v>
      </c>
      <c r="H231" t="str">
        <f>H$9 * (3.856488943099976 -H$8)</f>
        <v>0</v>
      </c>
      <c r="I231" t="str">
        <f>I$9 * (2.851238965988159 -I$8)</f>
        <v>0</v>
      </c>
    </row>
    <row r="232" spans="1:11">
      <c r="A232" t="str">
        <f>A$9 * (55.2504997253418 -A$8)</f>
        <v>0</v>
      </c>
      <c r="B232" t="str">
        <f>B$9 * (55.2504997253418 -B$8)</f>
        <v>0</v>
      </c>
      <c r="C232" t="str">
        <f>C$9 * (55.2504997253418 -C$8)</f>
        <v>0</v>
      </c>
      <c r="D232" t="str">
        <f>D$9 * (55.2504997253418 -D$8)</f>
        <v>0</v>
      </c>
      <c r="F232" t="str">
        <f>F$9 * (0.01198150962591171 -F$8)</f>
        <v>0</v>
      </c>
      <c r="G232" t="str">
        <f>G$9 * (3.555669069290161 -G$8)</f>
        <v>0</v>
      </c>
      <c r="H232" t="str">
        <f>H$9 * (6.102621078491211 -H$8)</f>
        <v>0</v>
      </c>
      <c r="I232" t="str">
        <f>I$9 * (7.813097953796387 -I$8)</f>
        <v>0</v>
      </c>
    </row>
    <row r="233" spans="1:11">
      <c r="A233" t="str">
        <f>A$9 * (55.50038909912109 -A$8)</f>
        <v>0</v>
      </c>
      <c r="B233" t="str">
        <f>B$9 * (55.50038909912109 -B$8)</f>
        <v>0</v>
      </c>
      <c r="C233" t="str">
        <f>C$9 * (55.50038909912109 -C$8)</f>
        <v>0</v>
      </c>
      <c r="D233" t="str">
        <f>D$9 * (55.50038909912109 -D$8)</f>
        <v>0</v>
      </c>
      <c r="F233" t="str">
        <f>F$9 * (0.007519451901316643 -F$8)</f>
        <v>0</v>
      </c>
      <c r="G233" t="str">
        <f>G$9 * (2.882153034210205 -G$8)</f>
        <v>0</v>
      </c>
      <c r="H233" t="str">
        <f>H$9 * (6.642223834991455 -H$8)</f>
        <v>0</v>
      </c>
      <c r="I233" t="str">
        <f>I$9 * (5.914239883422852 -I$8)</f>
        <v>0</v>
      </c>
    </row>
    <row r="234" spans="1:11">
      <c r="A234" t="str">
        <f>A$9 * (55.75038909912109 -A$8)</f>
        <v>0</v>
      </c>
      <c r="B234" t="str">
        <f>B$9 * (55.75038909912109 -B$8)</f>
        <v>0</v>
      </c>
      <c r="C234" t="str">
        <f>C$9 * (55.75038909912109 -C$8)</f>
        <v>0</v>
      </c>
      <c r="D234" t="str">
        <f>D$9 * (55.75038909912109 -D$8)</f>
        <v>0</v>
      </c>
      <c r="F234" t="str">
        <f>F$9 * (0.009720649570226669 -F$8)</f>
        <v>0</v>
      </c>
      <c r="G234" t="str">
        <f>G$9 * (2.051058053970337 -G$8)</f>
        <v>0</v>
      </c>
      <c r="H234" t="str">
        <f>H$9 * (3.90700888633728 -H$8)</f>
        <v>0</v>
      </c>
      <c r="I234" t="str">
        <f>I$9 * (2.79436206817627 -I$8)</f>
        <v>0</v>
      </c>
    </row>
    <row r="235" spans="1:11">
      <c r="A235" t="str">
        <f>A$9 * (56.00033187866211 -A$8)</f>
        <v>0</v>
      </c>
      <c r="B235" t="str">
        <f>B$9 * (56.00033187866211 -B$8)</f>
        <v>0</v>
      </c>
      <c r="C235" t="str">
        <f>C$9 * (56.00033187866211 -C$8)</f>
        <v>0</v>
      </c>
      <c r="D235" t="str">
        <f>D$9 * (56.00033187866211 -D$8)</f>
        <v>0</v>
      </c>
      <c r="F235" t="str">
        <f>F$9 * (0.01255446020513773 -F$8)</f>
        <v>0</v>
      </c>
      <c r="G235" t="str">
        <f>G$9 * (3.539230108261108 -G$8)</f>
        <v>0</v>
      </c>
      <c r="H235" t="str">
        <f>H$9 * (5.905809879302979 -H$8)</f>
        <v>0</v>
      </c>
      <c r="I235" t="str">
        <f>I$9 * (7.641905784606934 -I$8)</f>
        <v>0</v>
      </c>
    </row>
    <row r="236" spans="1:11">
      <c r="A236" t="str">
        <f>A$9 * (56.25002670288086 -A$8)</f>
        <v>0</v>
      </c>
      <c r="B236" t="str">
        <f>B$9 * (56.25002670288086 -B$8)</f>
        <v>0</v>
      </c>
      <c r="C236" t="str">
        <f>C$9 * (56.25002670288086 -C$8)</f>
        <v>0</v>
      </c>
      <c r="D236" t="str">
        <f>D$9 * (56.25002670288086 -D$8)</f>
        <v>0</v>
      </c>
      <c r="F236" t="str">
        <f>F$9 * (0.007540646940469742 -F$8)</f>
        <v>0</v>
      </c>
      <c r="G236" t="str">
        <f>G$9 * (2.893441915512085 -G$8)</f>
        <v>0</v>
      </c>
      <c r="H236" t="str">
        <f>H$9 * (6.645639896392822 -H$8)</f>
        <v>0</v>
      </c>
      <c r="I236" t="str">
        <f>I$9 * (5.922047138214111 -I$8)</f>
        <v>0</v>
      </c>
    </row>
    <row r="237" spans="1:11">
      <c r="A237" t="str">
        <f>A$9 * (56.50038909912109 -A$8)</f>
        <v>0</v>
      </c>
      <c r="B237" t="str">
        <f>B$9 * (56.50038909912109 -B$8)</f>
        <v>0</v>
      </c>
      <c r="C237" t="str">
        <f>C$9 * (56.50038909912109 -C$8)</f>
        <v>0</v>
      </c>
      <c r="D237" t="str">
        <f>D$9 * (56.50038909912109 -D$8)</f>
        <v>0</v>
      </c>
      <c r="F237" t="str">
        <f>F$9 * (0.009393609128892422 -F$8)</f>
        <v>0</v>
      </c>
      <c r="G237" t="str">
        <f>G$9 * (2.084834098815918 -G$8)</f>
        <v>0</v>
      </c>
      <c r="H237" t="str">
        <f>H$9 * (4.058796882629395 -H$8)</f>
        <v>0</v>
      </c>
      <c r="I237" t="str">
        <f>I$9 * (2.870313882827759 -I$8)</f>
        <v>0</v>
      </c>
    </row>
    <row r="238" spans="1:11">
      <c r="A238" t="str">
        <f>A$9 * (56.75008392333984 -A$8)</f>
        <v>0</v>
      </c>
      <c r="B238" t="str">
        <f>B$9 * (56.75008392333984 -B$8)</f>
        <v>0</v>
      </c>
      <c r="C238" t="str">
        <f>C$9 * (56.75008392333984 -C$8)</f>
        <v>0</v>
      </c>
      <c r="D238" t="str">
        <f>D$9 * (56.75008392333984 -D$8)</f>
        <v>0</v>
      </c>
      <c r="F238" t="str">
        <f>F$9 * (0.01336393970996141 -F$8)</f>
        <v>0</v>
      </c>
      <c r="G238" t="str">
        <f>G$9 * (3.470108985900879 -G$8)</f>
        <v>0</v>
      </c>
      <c r="H238" t="str">
        <f>H$9 * (5.580936908721924 -H$8)</f>
        <v>0</v>
      </c>
      <c r="I238" t="str">
        <f>I$9 * (7.263559818267822 -I$8)</f>
        <v>0</v>
      </c>
    </row>
    <row r="239" spans="1:11">
      <c r="A239" t="str">
        <f>A$9 * (57.00025177001953 -A$8)</f>
        <v>0</v>
      </c>
      <c r="B239" t="str">
        <f>B$9 * (57.00025177001953 -B$8)</f>
        <v>0</v>
      </c>
      <c r="C239" t="str">
        <f>C$9 * (57.00025177001953 -C$8)</f>
        <v>0</v>
      </c>
      <c r="D239" t="str">
        <f>D$9 * (57.00025177001953 -D$8)</f>
        <v>0</v>
      </c>
      <c r="F239" t="str">
        <f>F$9 * (0.007297287229448557 -F$8)</f>
        <v>0</v>
      </c>
      <c r="G239" t="str">
        <f>G$9 * (2.882551908493042 -G$8)</f>
        <v>0</v>
      </c>
      <c r="H239" t="str">
        <f>H$9 * (6.788027763366699 -H$8)</f>
        <v>0</v>
      </c>
      <c r="I239" t="str">
        <f>I$9 * (6.061196804046631 -I$8)</f>
        <v>0</v>
      </c>
    </row>
    <row r="240" spans="1:11">
      <c r="A240" t="str">
        <f>A$9 * (57.25 -A$8)</f>
        <v>0</v>
      </c>
      <c r="B240" t="str">
        <f>B$9 * (57.25 -B$8)</f>
        <v>0</v>
      </c>
      <c r="C240" t="str">
        <f>C$9 * (57.25 -C$8)</f>
        <v>0</v>
      </c>
      <c r="D240" t="str">
        <f>D$9 * (57.25 -D$8)</f>
        <v>0</v>
      </c>
      <c r="F240" t="str">
        <f>F$9 * (0.009002145379781723 -F$8)</f>
        <v>0</v>
      </c>
      <c r="G240" t="str">
        <f>G$9 * (2.090630054473877 -G$8)</f>
        <v>0</v>
      </c>
      <c r="H240" t="str">
        <f>H$9 * (4.190818786621094 -H$8)</f>
        <v>0</v>
      </c>
      <c r="I240" t="str">
        <f>I$9 * (2.910908937454224 -I$8)</f>
        <v>0</v>
      </c>
    </row>
    <row r="241" spans="1:11">
      <c r="A241" t="str">
        <f>A$9 * (57.50022125244141 -A$8)</f>
        <v>0</v>
      </c>
      <c r="B241" t="str">
        <f>B$9 * (57.50022125244141 -B$8)</f>
        <v>0</v>
      </c>
      <c r="C241" t="str">
        <f>C$9 * (57.50022125244141 -C$8)</f>
        <v>0</v>
      </c>
      <c r="D241" t="str">
        <f>D$9 * (57.50022125244141 -D$8)</f>
        <v>0</v>
      </c>
      <c r="F241" t="str">
        <f>F$9 * (0.01376369036734104 -F$8)</f>
        <v>0</v>
      </c>
      <c r="G241" t="str">
        <f>G$9 * (3.416707992553711 -G$8)</f>
        <v>0</v>
      </c>
      <c r="H241" t="str">
        <f>H$9 * (5.400105953216553 -H$8)</f>
        <v>0</v>
      </c>
      <c r="I241" t="str">
        <f>I$9 * (7.01652717590332 -I$8)</f>
        <v>0</v>
      </c>
    </row>
    <row r="242" spans="1:11">
      <c r="A242" t="str">
        <f>A$9 * (57.7501106262207 -A$8)</f>
        <v>0</v>
      </c>
      <c r="B242" t="str">
        <f>B$9 * (57.7501106262207 -B$8)</f>
        <v>0</v>
      </c>
      <c r="C242" t="str">
        <f>C$9 * (57.7501106262207 -C$8)</f>
        <v>0</v>
      </c>
      <c r="D242" t="str">
        <f>D$9 * (57.7501106262207 -D$8)</f>
        <v>0</v>
      </c>
      <c r="F242" t="str">
        <f>F$9 * (0.007286656182259321 -F$8)</f>
        <v>0</v>
      </c>
      <c r="G242" t="str">
        <f>G$9 * (2.898998022079468 -G$8)</f>
        <v>0</v>
      </c>
      <c r="H242" t="str">
        <f>H$9 * (6.826591014862061 -H$8)</f>
        <v>0</v>
      </c>
      <c r="I242" t="str">
        <f>I$9 * (6.124423027038574 -I$8)</f>
        <v>0</v>
      </c>
    </row>
    <row r="243" spans="1:11">
      <c r="A243" t="str">
        <f>A$9 * (58.00036239624023 -A$8)</f>
        <v>0</v>
      </c>
      <c r="B243" t="str">
        <f>B$9 * (58.00036239624023 -B$8)</f>
        <v>0</v>
      </c>
      <c r="C243" t="str">
        <f>C$9 * (58.00036239624023 -C$8)</f>
        <v>0</v>
      </c>
      <c r="D243" t="str">
        <f>D$9 * (58.00036239624023 -D$8)</f>
        <v>0</v>
      </c>
      <c r="F243" t="str">
        <f>F$9 * (0.008771746419370174 -F$8)</f>
        <v>0</v>
      </c>
      <c r="G243" t="str">
        <f>G$9 * (2.180913925170898 -G$8)</f>
        <v>0</v>
      </c>
      <c r="H243" t="str">
        <f>H$9 * (4.448690891265869 -H$8)</f>
        <v>0</v>
      </c>
      <c r="I243" t="str">
        <f>I$9 * (3.130263090133667 -I$8)</f>
        <v>0</v>
      </c>
    </row>
    <row r="244" spans="1:11">
      <c r="A244" t="str">
        <f>A$9 * (58.25016784667969 -A$8)</f>
        <v>0</v>
      </c>
      <c r="B244" t="str">
        <f>B$9 * (58.25016784667969 -B$8)</f>
        <v>0</v>
      </c>
      <c r="C244" t="str">
        <f>C$9 * (58.25016784667969 -C$8)</f>
        <v>0</v>
      </c>
      <c r="D244" t="str">
        <f>D$9 * (58.25016784667969 -D$8)</f>
        <v>0</v>
      </c>
      <c r="F244" t="str">
        <f>F$9 * (0.01417567022144794 -F$8)</f>
        <v>0</v>
      </c>
      <c r="G244" t="str">
        <f>G$9 * (3.303519010543823 -G$8)</f>
        <v>0</v>
      </c>
      <c r="H244" t="str">
        <f>H$9 * (5.125968933105469 -H$8)</f>
        <v>0</v>
      </c>
      <c r="I244" t="str">
        <f>I$9 * (6.537824153900146 -I$8)</f>
        <v>0</v>
      </c>
    </row>
    <row r="245" spans="1:11">
      <c r="A245" t="str">
        <f>A$9 * (58.5001106262207 -A$8)</f>
        <v>0</v>
      </c>
      <c r="B245" t="str">
        <f>B$9 * (58.5001106262207 -B$8)</f>
        <v>0</v>
      </c>
      <c r="C245" t="str">
        <f>C$9 * (58.5001106262207 -C$8)</f>
        <v>0</v>
      </c>
      <c r="D245" t="str">
        <f>D$9 * (58.5001106262207 -D$8)</f>
        <v>0</v>
      </c>
      <c r="F245" t="str">
        <f>F$9 * (0.007172975223511457 -F$8)</f>
        <v>0</v>
      </c>
      <c r="G245" t="str">
        <f>G$9 * (2.91794490814209 -G$8)</f>
        <v>0</v>
      </c>
      <c r="H245" t="str">
        <f>H$9 * (6.963249206542969 -H$8)</f>
        <v>0</v>
      </c>
      <c r="I245" t="str">
        <f>I$9 * (6.354791164398193 -I$8)</f>
        <v>0</v>
      </c>
    </row>
    <row r="246" spans="1:11">
      <c r="A246" t="str">
        <f>A$9 * (58.75027847290039 -A$8)</f>
        <v>0</v>
      </c>
      <c r="B246" t="str">
        <f>B$9 * (58.75027847290039 -B$8)</f>
        <v>0</v>
      </c>
      <c r="C246" t="str">
        <f>C$9 * (58.75027847290039 -C$8)</f>
        <v>0</v>
      </c>
      <c r="D246" t="str">
        <f>D$9 * (58.75027847290039 -D$8)</f>
        <v>0</v>
      </c>
      <c r="F246" t="str">
        <f>F$9 * (0.008368276990950108 -F$8)</f>
        <v>0</v>
      </c>
      <c r="G246" t="str">
        <f>G$9 * (2.22148609161377 -G$8)</f>
        <v>0</v>
      </c>
      <c r="H246" t="str">
        <f>H$9 * (4.686252117156982 -H$8)</f>
        <v>0</v>
      </c>
      <c r="I246" t="str">
        <f>I$9 * (3.282994985580444 -I$8)</f>
        <v>0</v>
      </c>
    </row>
    <row r="247" spans="1:11">
      <c r="A247" t="str">
        <f>A$9 * (59.00030517578125 -A$8)</f>
        <v>0</v>
      </c>
      <c r="B247" t="str">
        <f>B$9 * (59.00030517578125 -B$8)</f>
        <v>0</v>
      </c>
      <c r="C247" t="str">
        <f>C$9 * (59.00030517578125 -C$8)</f>
        <v>0</v>
      </c>
      <c r="D247" t="str">
        <f>D$9 * (59.00030517578125 -D$8)</f>
        <v>0</v>
      </c>
      <c r="F247" t="str">
        <f>F$9 * (0.01451139990240335 -F$8)</f>
        <v>0</v>
      </c>
      <c r="G247" t="str">
        <f>G$9 * (3.218096017837524 -G$8)</f>
        <v>0</v>
      </c>
      <c r="H247" t="str">
        <f>H$9 * (4.922595977783203 -H$8)</f>
        <v>0</v>
      </c>
      <c r="I247" t="str">
        <f>I$9 * (6.213179111480713 -I$8)</f>
        <v>0</v>
      </c>
    </row>
    <row r="248" spans="1:11">
      <c r="A248" t="str">
        <f>A$9 * (59.25044631958008 -A$8)</f>
        <v>0</v>
      </c>
      <c r="B248" t="str">
        <f>B$9 * (59.25044631958008 -B$8)</f>
        <v>0</v>
      </c>
      <c r="C248" t="str">
        <f>C$9 * (59.25044631958008 -C$8)</f>
        <v>0</v>
      </c>
      <c r="D248" t="str">
        <f>D$9 * (59.25044631958008 -D$8)</f>
        <v>0</v>
      </c>
      <c r="F248" t="str">
        <f>F$9 * (0.007194290868937969 -F$8)</f>
        <v>0</v>
      </c>
      <c r="G248" t="str">
        <f>G$9 * (2.952049016952515 -G$8)</f>
        <v>0</v>
      </c>
      <c r="H248" t="str">
        <f>H$9 * (7.023534774780273 -H$8)</f>
        <v>0</v>
      </c>
      <c r="I248" t="str">
        <f>I$9 * (6.497645854949951 -I$8)</f>
        <v>0</v>
      </c>
    </row>
    <row r="249" spans="1:11">
      <c r="A249" t="str">
        <f>A$9 * (59.50002670288086 -A$8)</f>
        <v>0</v>
      </c>
      <c r="B249" t="str">
        <f>B$9 * (59.50002670288086 -B$8)</f>
        <v>0</v>
      </c>
      <c r="C249" t="str">
        <f>C$9 * (59.50002670288086 -C$8)</f>
        <v>0</v>
      </c>
      <c r="D249" t="str">
        <f>D$9 * (59.50002670288086 -D$8)</f>
        <v>0</v>
      </c>
      <c r="F249" t="str">
        <f>F$9 * (0.008140940219163895 -F$8)</f>
        <v>0</v>
      </c>
      <c r="G249" t="str">
        <f>G$9 * (2.350200891494751 -G$8)</f>
        <v>0</v>
      </c>
      <c r="H249" t="str">
        <f>H$9 * (5.056305885314941 -H$8)</f>
        <v>0</v>
      </c>
      <c r="I249" t="str">
        <f>I$9 * (3.652405023574829 -I$8)</f>
        <v>0</v>
      </c>
    </row>
    <row r="250" spans="1:11">
      <c r="A250" t="str">
        <f>A$9 * (59.7501106262207 -A$8)</f>
        <v>0</v>
      </c>
      <c r="B250" t="str">
        <f>B$9 * (59.7501106262207 -B$8)</f>
        <v>0</v>
      </c>
      <c r="C250" t="str">
        <f>C$9 * (59.7501106262207 -C$8)</f>
        <v>0</v>
      </c>
      <c r="D250" t="str">
        <f>D$9 * (59.7501106262207 -D$8)</f>
        <v>0</v>
      </c>
      <c r="F250" t="str">
        <f>F$9 * (0.01440106984227896 -F$8)</f>
        <v>0</v>
      </c>
      <c r="G250" t="str">
        <f>G$9 * (3.113358020782471 -G$8)</f>
        <v>0</v>
      </c>
      <c r="H250" t="str">
        <f>H$9 * (4.772546768188477 -H$8)</f>
        <v>0</v>
      </c>
      <c r="I250" t="str">
        <f>I$9 * (5.811759948730469 -I$8)</f>
        <v>0</v>
      </c>
    </row>
    <row r="251" spans="1:11">
      <c r="A251" t="str">
        <f>A$9 * (60.00033187866211 -A$8)</f>
        <v>0</v>
      </c>
      <c r="B251" t="str">
        <f>B$9 * (60.00033187866211 -B$8)</f>
        <v>0</v>
      </c>
      <c r="C251" t="str">
        <f>C$9 * (60.00033187866211 -C$8)</f>
        <v>0</v>
      </c>
      <c r="D251" t="str">
        <f>D$9 * (60.00033187866211 -D$8)</f>
        <v>0</v>
      </c>
      <c r="F251" t="str">
        <f>F$9 * (0.007297694217413664 -F$8)</f>
        <v>0</v>
      </c>
      <c r="G251" t="str">
        <f>G$9 * (2.994996070861816 -G$8)</f>
        <v>0</v>
      </c>
      <c r="H251" t="str">
        <f>H$9 * (7.058976173400879 -H$8)</f>
        <v>0</v>
      </c>
      <c r="I251" t="str">
        <f>I$9 * (6.669397830963135 -I$8)</f>
        <v>0</v>
      </c>
    </row>
    <row r="252" spans="1:11">
      <c r="A252" t="str">
        <f>A$9 * (60.25041580200195 -A$8)</f>
        <v>0</v>
      </c>
      <c r="B252" t="str">
        <f>B$9 * (60.25041580200195 -B$8)</f>
        <v>0</v>
      </c>
      <c r="C252" t="str">
        <f>C$9 * (60.25041580200195 -C$8)</f>
        <v>0</v>
      </c>
      <c r="D252" t="str">
        <f>D$9 * (60.25041580200195 -D$8)</f>
        <v>0</v>
      </c>
      <c r="F252" t="str">
        <f>F$9 * (0.00772905396297574 -F$8)</f>
        <v>0</v>
      </c>
      <c r="G252" t="str">
        <f>G$9 * (2.426315069198608 -G$8)</f>
        <v>0</v>
      </c>
      <c r="H252" t="str">
        <f>H$9 * (5.419768810272217 -H$8)</f>
        <v>0</v>
      </c>
      <c r="I252" t="str">
        <f>I$9 * (3.966839075088501 -I$8)</f>
        <v>0</v>
      </c>
    </row>
    <row r="253" spans="1:11">
      <c r="A253" t="str">
        <f>A$9 * (60.50005722045898 -A$8)</f>
        <v>0</v>
      </c>
      <c r="B253" t="str">
        <f>B$9 * (60.50005722045898 -B$8)</f>
        <v>0</v>
      </c>
      <c r="C253" t="str">
        <f>C$9 * (60.50005722045898 -C$8)</f>
        <v>0</v>
      </c>
      <c r="D253" t="str">
        <f>D$9 * (60.50005722045898 -D$8)</f>
        <v>0</v>
      </c>
      <c r="F253" t="str">
        <f>F$9 * (0.01447047013789415 -F$8)</f>
        <v>0</v>
      </c>
      <c r="G253" t="str">
        <f>G$9 * (2.962693929672241 -G$8)</f>
        <v>0</v>
      </c>
      <c r="H253" t="str">
        <f>H$9 * (4.518293857574463 -H$8)</f>
        <v>0</v>
      </c>
      <c r="I253" t="str">
        <f>I$9 * (5.298420906066895 -I$8)</f>
        <v>0</v>
      </c>
    </row>
    <row r="254" spans="1:11">
      <c r="A254" t="str">
        <f>A$9 * (60.75005722045898 -A$8)</f>
        <v>0</v>
      </c>
      <c r="B254" t="str">
        <f>B$9 * (60.75005722045898 -B$8)</f>
        <v>0</v>
      </c>
      <c r="C254" t="str">
        <f>C$9 * (60.75005722045898 -C$8)</f>
        <v>0</v>
      </c>
      <c r="D254" t="str">
        <f>D$9 * (60.75005722045898 -D$8)</f>
        <v>0</v>
      </c>
      <c r="F254" t="str">
        <f>F$9 * (0.007350789848715067 -F$8)</f>
        <v>0</v>
      </c>
      <c r="G254" t="str">
        <f>G$9 * (3.040066003799438 -G$8)</f>
        <v>0</v>
      </c>
      <c r="H254" t="str">
        <f>H$9 * (7.135069847106934 -H$8)</f>
        <v>0</v>
      </c>
      <c r="I254" t="str">
        <f>I$9 * (6.903546810150146 -I$8)</f>
        <v>0</v>
      </c>
    </row>
    <row r="255" spans="1:11">
      <c r="A255" t="str">
        <f>A$9 * (61.00033187866211 -A$8)</f>
        <v>0</v>
      </c>
      <c r="B255" t="str">
        <f>B$9 * (61.00033187866211 -B$8)</f>
        <v>0</v>
      </c>
      <c r="C255" t="str">
        <f>C$9 * (61.00033187866211 -C$8)</f>
        <v>0</v>
      </c>
      <c r="D255" t="str">
        <f>D$9 * (61.00033187866211 -D$8)</f>
        <v>0</v>
      </c>
      <c r="F255" t="str">
        <f>F$9 * (0.007484361063688993 -F$8)</f>
        <v>0</v>
      </c>
      <c r="G255" t="str">
        <f>G$9 * (2.545028924942017 -G$8)</f>
        <v>0</v>
      </c>
      <c r="H255" t="str">
        <f>H$9 * (5.82887077331543 -H$8)</f>
        <v>0</v>
      </c>
      <c r="I255" t="str">
        <f>I$9 * (4.4429612159729 -I$8)</f>
        <v>0</v>
      </c>
    </row>
    <row r="256" spans="1:11">
      <c r="A256" t="str">
        <f>A$9 * (61.25008392333984 -A$8)</f>
        <v>0</v>
      </c>
      <c r="B256" t="str">
        <f>B$9 * (61.25008392333984 -B$8)</f>
        <v>0</v>
      </c>
      <c r="C256" t="str">
        <f>C$9 * (61.25008392333984 -C$8)</f>
        <v>0</v>
      </c>
      <c r="D256" t="str">
        <f>D$9 * (61.25008392333984 -D$8)</f>
        <v>0</v>
      </c>
      <c r="F256" t="str">
        <f>F$9 * (0.01425790973007679 -F$8)</f>
        <v>0</v>
      </c>
      <c r="G256" t="str">
        <f>G$9 * (2.767000913619995 -G$8)</f>
        <v>0</v>
      </c>
      <c r="H256" t="str">
        <f>H$9 * (4.239988803863525 -H$8)</f>
        <v>0</v>
      </c>
      <c r="I256" t="str">
        <f>I$9 * (4.678343772888184 -I$8)</f>
        <v>0</v>
      </c>
    </row>
    <row r="257" spans="1:11">
      <c r="A257" t="str">
        <f>A$9 * (61.5001106262207 -A$8)</f>
        <v>0</v>
      </c>
      <c r="B257" t="str">
        <f>B$9 * (61.5001106262207 -B$8)</f>
        <v>0</v>
      </c>
      <c r="C257" t="str">
        <f>C$9 * (61.5001106262207 -C$8)</f>
        <v>0</v>
      </c>
      <c r="D257" t="str">
        <f>D$9 * (61.5001106262207 -D$8)</f>
        <v>0</v>
      </c>
      <c r="F257" t="str">
        <f>F$9 * (0.007562834769487381 -F$8)</f>
        <v>0</v>
      </c>
      <c r="G257" t="str">
        <f>G$9 * (3.126867055892944 -G$8)</f>
        <v>0</v>
      </c>
      <c r="H257" t="str">
        <f>H$9 * (7.205591201782227 -H$8)</f>
        <v>0</v>
      </c>
      <c r="I257" t="str">
        <f>I$9 * (7.280663013458252 -I$8)</f>
        <v>0</v>
      </c>
    </row>
    <row r="258" spans="1:11">
      <c r="A258" t="str">
        <f>A$9 * (61.75041580200195 -A$8)</f>
        <v>0</v>
      </c>
      <c r="B258" t="str">
        <f>B$9 * (61.75041580200195 -B$8)</f>
        <v>0</v>
      </c>
      <c r="C258" t="str">
        <f>C$9 * (61.75041580200195 -C$8)</f>
        <v>0</v>
      </c>
      <c r="D258" t="str">
        <f>D$9 * (61.75041580200195 -D$8)</f>
        <v>0</v>
      </c>
      <c r="F258" t="str">
        <f>F$9 * (0.007322297897189856 -F$8)</f>
        <v>0</v>
      </c>
      <c r="G258" t="str">
        <f>G$9 * (2.631724119186401 -G$8)</f>
        <v>0</v>
      </c>
      <c r="H258" t="str">
        <f>H$9 * (6.135772228240967 -H$8)</f>
        <v>0</v>
      </c>
      <c r="I258" t="str">
        <f>I$9 * (4.845559120178223 -I$8)</f>
        <v>0</v>
      </c>
    </row>
    <row r="259" spans="1:11">
      <c r="A259" t="str">
        <f>A$9 * (62.00008392333984 -A$8)</f>
        <v>0</v>
      </c>
      <c r="B259" t="str">
        <f>B$9 * (62.00008392333984 -B$8)</f>
        <v>0</v>
      </c>
      <c r="C259" t="str">
        <f>C$9 * (62.00008392333984 -C$8)</f>
        <v>0</v>
      </c>
      <c r="D259" t="str">
        <f>D$9 * (62.00008392333984 -D$8)</f>
        <v>0</v>
      </c>
      <c r="F259" t="str">
        <f>F$9 * (0.01391497999429703 -F$8)</f>
        <v>0</v>
      </c>
      <c r="G259" t="str">
        <f>G$9 * (2.644148111343384 -G$8)</f>
        <v>0</v>
      </c>
      <c r="H259" t="str">
        <f>H$9 * (4.099374771118164 -H$8)</f>
        <v>0</v>
      </c>
      <c r="I259" t="str">
        <f>I$9 * (4.315279960632324 -I$8)</f>
        <v>0</v>
      </c>
    </row>
    <row r="260" spans="1:11">
      <c r="A260" t="str">
        <f>A$9 * (62.25016784667969 -A$8)</f>
        <v>0</v>
      </c>
      <c r="B260" t="str">
        <f>B$9 * (62.25016784667969 -B$8)</f>
        <v>0</v>
      </c>
      <c r="C260" t="str">
        <f>C$9 * (62.25016784667969 -C$8)</f>
        <v>0</v>
      </c>
      <c r="D260" t="str">
        <f>D$9 * (62.25016784667969 -D$8)</f>
        <v>0</v>
      </c>
      <c r="F260" t="str">
        <f>F$9 * (0.007798261940479279 -F$8)</f>
        <v>0</v>
      </c>
      <c r="G260" t="str">
        <f>G$9 * (3.193819999694824 -G$8)</f>
        <v>0</v>
      </c>
      <c r="H260" t="str">
        <f>H$9 * (7.20416784286499 -H$8)</f>
        <v>0</v>
      </c>
      <c r="I260" t="str">
        <f>I$9 * (7.483457088470459 -I$8)</f>
        <v>0</v>
      </c>
    </row>
    <row r="261" spans="1:11">
      <c r="A261" t="str">
        <f>A$9 * (62.50036239624023 -A$8)</f>
        <v>0</v>
      </c>
      <c r="B261" t="str">
        <f>B$9 * (62.50036239624023 -B$8)</f>
        <v>0</v>
      </c>
      <c r="C261" t="str">
        <f>C$9 * (62.50036239624023 -C$8)</f>
        <v>0</v>
      </c>
      <c r="D261" t="str">
        <f>D$9 * (62.50036239624023 -D$8)</f>
        <v>0</v>
      </c>
      <c r="F261" t="str">
        <f>F$9 * (0.007389152888208628 -F$8)</f>
        <v>0</v>
      </c>
      <c r="G261" t="str">
        <f>G$9 * (2.737838983535767 -G$8)</f>
        <v>0</v>
      </c>
      <c r="H261" t="str">
        <f>H$9 * (6.347830772399902 -H$8)</f>
        <v>0</v>
      </c>
      <c r="I261" t="str">
        <f>I$9 * (5.240100860595703 -I$8)</f>
        <v>0</v>
      </c>
    </row>
    <row r="262" spans="1:11">
      <c r="A262" t="str">
        <f>A$9 * (62.75036239624023 -A$8)</f>
        <v>0</v>
      </c>
      <c r="B262" t="str">
        <f>B$9 * (62.75036239624023 -B$8)</f>
        <v>0</v>
      </c>
      <c r="C262" t="str">
        <f>C$9 * (62.75036239624023 -C$8)</f>
        <v>0</v>
      </c>
      <c r="D262" t="str">
        <f>D$9 * (62.75036239624023 -D$8)</f>
        <v>0</v>
      </c>
      <c r="F262" t="str">
        <f>F$9 * (0.01343587040901184 -F$8)</f>
        <v>0</v>
      </c>
      <c r="G262" t="str">
        <f>G$9 * (2.574770927429199 -G$8)</f>
        <v>0</v>
      </c>
      <c r="H262" t="str">
        <f>H$9 * (4.064669132232666 -H$8)</f>
        <v>0</v>
      </c>
      <c r="I262" t="str">
        <f>I$9 * (4.096313953399658 -I$8)</f>
        <v>0</v>
      </c>
    </row>
    <row r="263" spans="1:11">
      <c r="A263" t="str">
        <f>A$9 * (63.00019454956055 -A$8)</f>
        <v>0</v>
      </c>
      <c r="B263" t="str">
        <f>B$9 * (63.00019454956055 -B$8)</f>
        <v>0</v>
      </c>
      <c r="C263" t="str">
        <f>C$9 * (63.00019454956055 -C$8)</f>
        <v>0</v>
      </c>
      <c r="D263" t="str">
        <f>D$9 * (63.00019454956055 -D$8)</f>
        <v>0</v>
      </c>
      <c r="F263" t="str">
        <f>F$9 * (0.008171918801963329 -F$8)</f>
        <v>0</v>
      </c>
      <c r="G263" t="str">
        <f>G$9 * (3.256726980209351 -G$8)</f>
        <v>0</v>
      </c>
      <c r="H263" t="str">
        <f>H$9 * (7.116489887237549 -H$8)</f>
        <v>0</v>
      </c>
      <c r="I263" t="str">
        <f>I$9 * (7.581774234771729 -I$8)</f>
        <v>0</v>
      </c>
    </row>
    <row r="264" spans="1:11">
      <c r="A264" t="str">
        <f>A$9 * (63.25027847290039 -A$8)</f>
        <v>0</v>
      </c>
      <c r="B264" t="str">
        <f>B$9 * (63.25027847290039 -B$8)</f>
        <v>0</v>
      </c>
      <c r="C264" t="str">
        <f>C$9 * (63.25027847290039 -C$8)</f>
        <v>0</v>
      </c>
      <c r="D264" t="str">
        <f>D$9 * (63.25027847290039 -D$8)</f>
        <v>0</v>
      </c>
      <c r="F264" t="str">
        <f>F$9 * (0.007443883921951056 -F$8)</f>
        <v>0</v>
      </c>
      <c r="G264" t="str">
        <f>G$9 * (2.795078039169312 -G$8)</f>
        <v>0</v>
      </c>
      <c r="H264" t="str">
        <f>H$9 * (6.456955909729004 -H$8)</f>
        <v>0</v>
      </c>
      <c r="I264" t="str">
        <f>I$9 * (5.475801944732666 -I$8)</f>
        <v>0</v>
      </c>
    </row>
    <row r="265" spans="1:11">
      <c r="A265" t="str">
        <f>A$9 * (63.50022125244141 -A$8)</f>
        <v>0</v>
      </c>
      <c r="B265" t="str">
        <f>B$9 * (63.50022125244141 -B$8)</f>
        <v>0</v>
      </c>
      <c r="C265" t="str">
        <f>C$9 * (63.50022125244141 -C$8)</f>
        <v>0</v>
      </c>
      <c r="D265" t="str">
        <f>D$9 * (63.50022125244141 -D$8)</f>
        <v>0</v>
      </c>
      <c r="F265" t="str">
        <f>F$9 * (0.01265512034296989 -F$8)</f>
        <v>0</v>
      </c>
      <c r="G265" t="str">
        <f>G$9 * (2.382340908050537 -G$8)</f>
        <v>0</v>
      </c>
      <c r="H265" t="str">
        <f>H$9 * (3.879815101623535 -H$8)</f>
        <v>0</v>
      </c>
      <c r="I265" t="str">
        <f>I$9 * (3.576598882675171 -I$8)</f>
        <v>0</v>
      </c>
    </row>
    <row r="266" spans="1:11">
      <c r="A266" t="str">
        <f>A$9 * (63.75005722045898 -A$8)</f>
        <v>0</v>
      </c>
      <c r="B266" t="str">
        <f>B$9 * (63.75005722045898 -B$8)</f>
        <v>0</v>
      </c>
      <c r="C266" t="str">
        <f>C$9 * (63.75005722045898 -C$8)</f>
        <v>0</v>
      </c>
      <c r="D266" t="str">
        <f>D$9 * (63.75005722045898 -D$8)</f>
        <v>0</v>
      </c>
      <c r="F266" t="str">
        <f>F$9 * (0.008723307400941849 -F$8)</f>
        <v>0</v>
      </c>
      <c r="G266" t="str">
        <f>G$9 * (3.359639883041382 -G$8)</f>
        <v>0</v>
      </c>
      <c r="H266" t="str">
        <f>H$9 * (7.038296222686768 -H$8)</f>
        <v>0</v>
      </c>
      <c r="I266" t="str">
        <f>I$9 * (7.879076957702637 -I$8)</f>
        <v>0</v>
      </c>
    </row>
    <row r="267" spans="1:11">
      <c r="A267" t="str">
        <f>A$9 * (64.00041961669922 -A$8)</f>
        <v>0</v>
      </c>
      <c r="B267" t="str">
        <f>B$9 * (64.00041961669922 -B$8)</f>
        <v>0</v>
      </c>
      <c r="C267" t="str">
        <f>C$9 * (64.00041961669922 -C$8)</f>
        <v>0</v>
      </c>
      <c r="D267" t="str">
        <f>D$9 * (64.00041961669922 -D$8)</f>
        <v>0</v>
      </c>
      <c r="F267" t="str">
        <f>F$9 * (0.007473330944776535 -F$8)</f>
        <v>0</v>
      </c>
      <c r="G267" t="str">
        <f>G$9 * (2.824007034301758 -G$8)</f>
        <v>0</v>
      </c>
      <c r="H267" t="str">
        <f>H$9 * (6.52156400680542 -H$8)</f>
        <v>0</v>
      </c>
      <c r="I267" t="str">
        <f>I$9 * (5.631742000579834 -I$8)</f>
        <v>0</v>
      </c>
    </row>
    <row r="268" spans="1:11">
      <c r="A268" t="str">
        <f>A$9 * (64.25038909912109 -A$8)</f>
        <v>0</v>
      </c>
      <c r="B268" t="str">
        <f>B$9 * (64.25038909912109 -B$8)</f>
        <v>0</v>
      </c>
      <c r="C268" t="str">
        <f>C$9 * (64.25038909912109 -C$8)</f>
        <v>0</v>
      </c>
      <c r="D268" t="str">
        <f>D$9 * (64.25038909912109 -D$8)</f>
        <v>0</v>
      </c>
      <c r="F268" t="str">
        <f>F$9 * (0.01222623977810144 -F$8)</f>
        <v>0</v>
      </c>
      <c r="G268" t="str">
        <f>G$9 * (2.297624111175537 -G$8)</f>
        <v>0</v>
      </c>
      <c r="H268" t="str">
        <f>H$9 * (3.813497066497803 -H$8)</f>
        <v>0</v>
      </c>
      <c r="I268" t="str">
        <f>I$9 * (3.363261938095093 -I$8)</f>
        <v>0</v>
      </c>
    </row>
    <row r="269" spans="1:11">
      <c r="A269" t="str">
        <f>A$9 * (64.50041961669922 -A$8)</f>
        <v>0</v>
      </c>
      <c r="B269" t="str">
        <f>B$9 * (64.50041961669922 -B$8)</f>
        <v>0</v>
      </c>
      <c r="C269" t="str">
        <f>C$9 * (64.50041961669922 -C$8)</f>
        <v>0</v>
      </c>
      <c r="D269" t="str">
        <f>D$9 * (64.50041961669922 -D$8)</f>
        <v>0</v>
      </c>
      <c r="F269" t="str">
        <f>F$9 * (0.009126373566687107 -F$8)</f>
        <v>0</v>
      </c>
      <c r="G269" t="str">
        <f>G$9 * (3.420893907546997 -G$8)</f>
        <v>0</v>
      </c>
      <c r="H269" t="str">
        <f>H$9 * (6.952524185180664 -H$8)</f>
        <v>0</v>
      </c>
      <c r="I269" t="str">
        <f>I$9 * (7.978912830352783 -I$8)</f>
        <v>0</v>
      </c>
    </row>
    <row r="270" spans="1:11">
      <c r="A270" t="str">
        <f>A$9 * (64.75033569335938 -A$8)</f>
        <v>0</v>
      </c>
      <c r="B270" t="str">
        <f>B$9 * (64.75033569335938 -B$8)</f>
        <v>0</v>
      </c>
      <c r="C270" t="str">
        <f>C$9 * (64.75033569335938 -C$8)</f>
        <v>0</v>
      </c>
      <c r="D270" t="str">
        <f>D$9 * (64.75033569335938 -D$8)</f>
        <v>0</v>
      </c>
      <c r="F270" t="str">
        <f>F$9 * (0.007733456790447235 -F$8)</f>
        <v>0</v>
      </c>
      <c r="G270" t="str">
        <f>G$9 * (2.88285493850708 -G$8)</f>
        <v>0</v>
      </c>
      <c r="H270" t="str">
        <f>H$9 * (6.494247913360596 -H$8)</f>
        <v>0</v>
      </c>
      <c r="I270" t="str">
        <f>I$9 * (5.735674858093262 -I$8)</f>
        <v>0</v>
      </c>
    </row>
    <row r="271" spans="1:11">
      <c r="A271" t="str">
        <f>A$9 * (65.00013732910156 -A$8)</f>
        <v>0</v>
      </c>
      <c r="B271" t="str">
        <f>B$9 * (65.00013732910156 -B$8)</f>
        <v>0</v>
      </c>
      <c r="C271" t="str">
        <f>C$9 * (65.00013732910156 -C$8)</f>
        <v>0</v>
      </c>
      <c r="D271" t="str">
        <f>D$9 * (65.00013732910156 -D$8)</f>
        <v>0</v>
      </c>
      <c r="F271" t="str">
        <f>F$9 * (0.01159546989947557 -F$8)</f>
        <v>0</v>
      </c>
      <c r="G271" t="str">
        <f>G$9 * (2.2184898853302 -G$8)</f>
        <v>0</v>
      </c>
      <c r="H271" t="str">
        <f>H$9 * (3.792924880981445 -H$8)</f>
        <v>0</v>
      </c>
      <c r="I271" t="str">
        <f>I$9 * (3.158857107162476 -I$8)</f>
        <v>0</v>
      </c>
    </row>
    <row r="272" spans="1:11">
      <c r="A272" t="str">
        <f>A$9 * (65.25033569335938 -A$8)</f>
        <v>0</v>
      </c>
      <c r="B272" t="str">
        <f>B$9 * (65.25033569335938 -B$8)</f>
        <v>0</v>
      </c>
      <c r="C272" t="str">
        <f>C$9 * (65.25033569335938 -C$8)</f>
        <v>0</v>
      </c>
      <c r="D272" t="str">
        <f>D$9 * (65.25033569335938 -D$8)</f>
        <v>0</v>
      </c>
      <c r="F272" t="str">
        <f>F$9 * (0.00991057138890028 -F$8)</f>
        <v>0</v>
      </c>
      <c r="G272" t="str">
        <f>G$9 * (3.497858047485352 -G$8)</f>
        <v>0</v>
      </c>
      <c r="H272" t="str">
        <f>H$9 * (6.747334957122803 -H$8)</f>
        <v>0</v>
      </c>
      <c r="I272" t="str">
        <f>I$9 * (8.073857307434082 -I$8)</f>
        <v>0</v>
      </c>
    </row>
    <row r="273" spans="1:11">
      <c r="A273" t="str">
        <f>A$9 * (65.50044250488281 -A$8)</f>
        <v>0</v>
      </c>
      <c r="B273" t="str">
        <f>B$9 * (65.50044250488281 -B$8)</f>
        <v>0</v>
      </c>
      <c r="C273" t="str">
        <f>C$9 * (65.50044250488281 -C$8)</f>
        <v>0</v>
      </c>
      <c r="D273" t="str">
        <f>D$9 * (65.50044250488281 -D$8)</f>
        <v>0</v>
      </c>
      <c r="F273" t="str">
        <f>F$9 * (0.007591776084154844 -F$8)</f>
        <v>0</v>
      </c>
      <c r="G273" t="str">
        <f>G$9 * (2.867136001586914 -G$8)</f>
        <v>0</v>
      </c>
      <c r="H273" t="str">
        <f>H$9 * (6.556840896606445 -H$8)</f>
        <v>0</v>
      </c>
      <c r="I273" t="str">
        <f>I$9 * (5.784961223602295 -I$8)</f>
        <v>0</v>
      </c>
    </row>
    <row r="274" spans="1:11">
      <c r="A274" t="str">
        <f>A$9 * (65.75038909912109 -A$8)</f>
        <v>0</v>
      </c>
      <c r="B274" t="str">
        <f>B$9 * (65.75038909912109 -B$8)</f>
        <v>0</v>
      </c>
      <c r="C274" t="str">
        <f>C$9 * (65.75038909912109 -C$8)</f>
        <v>0</v>
      </c>
      <c r="D274" t="str">
        <f>D$9 * (65.75038909912109 -D$8)</f>
        <v>0</v>
      </c>
      <c r="F274" t="str">
        <f>F$9 * (0.01109145022928715 -F$8)</f>
        <v>0</v>
      </c>
      <c r="G274" t="str">
        <f>G$9 * (2.150203943252563 -G$8)</f>
        <v>0</v>
      </c>
      <c r="H274" t="str">
        <f>H$9 * (3.775369882583618 -H$8)</f>
        <v>0</v>
      </c>
      <c r="I274" t="str">
        <f>I$9 * (3.00553297996521 -I$8)</f>
        <v>0</v>
      </c>
    </row>
    <row r="275" spans="1:11">
      <c r="A275" t="str">
        <f>A$9 * (66.00016784667969 -A$8)</f>
        <v>0</v>
      </c>
      <c r="B275" t="str">
        <f>B$9 * (66.00016784667969 -B$8)</f>
        <v>0</v>
      </c>
      <c r="C275" t="str">
        <f>C$9 * (66.00016784667969 -C$8)</f>
        <v>0</v>
      </c>
      <c r="D275" t="str">
        <f>D$9 * (66.00016784667969 -D$8)</f>
        <v>0</v>
      </c>
      <c r="F275" t="str">
        <f>F$9 * (0.01040938030928373 -F$8)</f>
        <v>0</v>
      </c>
      <c r="G275" t="str">
        <f>G$9 * (3.52872896194458 -G$8)</f>
        <v>0</v>
      </c>
      <c r="H275" t="str">
        <f>H$9 * (6.596586227416992 -H$8)</f>
        <v>0</v>
      </c>
      <c r="I275" t="str">
        <f>I$9 * (8.035584449768066 -I$8)</f>
        <v>0</v>
      </c>
    </row>
    <row r="276" spans="1:11">
      <c r="A276" t="str">
        <f>A$9 * (66.25008392333984 -A$8)</f>
        <v>0</v>
      </c>
      <c r="B276" t="str">
        <f>B$9 * (66.25008392333984 -B$8)</f>
        <v>0</v>
      </c>
      <c r="C276" t="str">
        <f>C$9 * (66.25008392333984 -C$8)</f>
        <v>0</v>
      </c>
      <c r="D276" t="str">
        <f>D$9 * (66.25008392333984 -D$8)</f>
        <v>0</v>
      </c>
      <c r="F276" t="str">
        <f>F$9 * (0.007764978799968958 -F$8)</f>
        <v>0</v>
      </c>
      <c r="G276" t="str">
        <f>G$9 * (2.896488904953003 -G$8)</f>
        <v>0</v>
      </c>
      <c r="H276" t="str">
        <f>H$9 * (6.512275218963623 -H$8)</f>
        <v>0</v>
      </c>
      <c r="I276" t="str">
        <f>I$9 * (5.798319816589355 -I$8)</f>
        <v>0</v>
      </c>
    </row>
    <row r="277" spans="1:11">
      <c r="A277" t="str">
        <f>A$9 * (66.50025177001953 -A$8)</f>
        <v>0</v>
      </c>
      <c r="B277" t="str">
        <f>B$9 * (66.50025177001953 -B$8)</f>
        <v>0</v>
      </c>
      <c r="C277" t="str">
        <f>C$9 * (66.50025177001953 -C$8)</f>
        <v>0</v>
      </c>
      <c r="D277" t="str">
        <f>D$9 * (66.50025177001953 -D$8)</f>
        <v>0</v>
      </c>
      <c r="F277" t="str">
        <f>F$9 * (0.01053455006331205 -F$8)</f>
        <v>0</v>
      </c>
      <c r="G277" t="str">
        <f>G$9 * (2.102935075759888 -G$8)</f>
        <v>0</v>
      </c>
      <c r="H277" t="str">
        <f>H$9 * (3.805906057357788 -H$8)</f>
        <v>0</v>
      </c>
      <c r="I277" t="str">
        <f>I$9 * (2.890324115753174 -I$8)</f>
        <v>0</v>
      </c>
    </row>
    <row r="278" spans="1:11">
      <c r="A278" t="str">
        <f>A$9 * (66.75033569335938 -A$8)</f>
        <v>0</v>
      </c>
      <c r="B278" t="str">
        <f>B$9 * (66.75033569335938 -B$8)</f>
        <v>0</v>
      </c>
      <c r="C278" t="str">
        <f>C$9 * (66.75033569335938 -C$8)</f>
        <v>0</v>
      </c>
      <c r="D278" t="str">
        <f>D$9 * (66.75033569335938 -D$8)</f>
        <v>0</v>
      </c>
      <c r="F278" t="str">
        <f>F$9 * (0.01134822983294725 -F$8)</f>
        <v>0</v>
      </c>
      <c r="G278" t="str">
        <f>G$9 * (3.561697959899902 -G$8)</f>
        <v>0</v>
      </c>
      <c r="H278" t="str">
        <f>H$9 * (6.316212177276611 -H$8)</f>
        <v>0</v>
      </c>
      <c r="I278" t="str">
        <f>I$9 * (7.963304042816162 -I$8)</f>
        <v>0</v>
      </c>
    </row>
    <row r="279" spans="1:11">
      <c r="A279" t="str">
        <f>A$9 * (67.00005340576172 -A$8)</f>
        <v>0</v>
      </c>
      <c r="B279" t="str">
        <f>B$9 * (67.00005340576172 -B$8)</f>
        <v>0</v>
      </c>
      <c r="C279" t="str">
        <f>C$9 * (67.00005340576172 -C$8)</f>
        <v>0</v>
      </c>
      <c r="D279" t="str">
        <f>D$9 * (67.00005340576172 -D$8)</f>
        <v>0</v>
      </c>
      <c r="F279" t="str">
        <f>F$9 * (0.007593546062707901 -F$8)</f>
        <v>0</v>
      </c>
      <c r="G279" t="str">
        <f>G$9 * (2.883148908615112 -G$8)</f>
        <v>0</v>
      </c>
      <c r="H279" t="str">
        <f>H$9 * (6.597070217132568 -H$8)</f>
        <v>0</v>
      </c>
      <c r="I279" t="str">
        <f>I$9 * (5.871366024017334 -I$8)</f>
        <v>0</v>
      </c>
    </row>
    <row r="280" spans="1:11">
      <c r="A280" t="str">
        <f>A$9 * (67.25005340576172 -A$8)</f>
        <v>0</v>
      </c>
      <c r="B280" t="str">
        <f>B$9 * (67.25005340576172 -B$8)</f>
        <v>0</v>
      </c>
      <c r="C280" t="str">
        <f>C$9 * (67.25005340576172 -C$8)</f>
        <v>0</v>
      </c>
      <c r="D280" t="str">
        <f>D$9 * (67.25005340576172 -D$8)</f>
        <v>0</v>
      </c>
      <c r="F280" t="str">
        <f>F$9 * (0.01003632042557001 -F$8)</f>
        <v>0</v>
      </c>
      <c r="G280" t="str">
        <f>G$9 * (2.057533025741577 -G$8)</f>
        <v>0</v>
      </c>
      <c r="H280" t="str">
        <f>H$9 * (3.840014934539795 -H$8)</f>
        <v>0</v>
      </c>
      <c r="I280" t="str">
        <f>I$9 * (2.802776098251343 -I$8)</f>
        <v>0</v>
      </c>
    </row>
    <row r="281" spans="1:11">
      <c r="A281" t="str">
        <f>A$9 * (67.50008392333984 -A$8)</f>
        <v>0</v>
      </c>
      <c r="B281" t="str">
        <f>B$9 * (67.50008392333984 -B$8)</f>
        <v>0</v>
      </c>
      <c r="C281" t="str">
        <f>C$9 * (67.50008392333984 -C$8)</f>
        <v>0</v>
      </c>
      <c r="D281" t="str">
        <f>D$9 * (67.50008392333984 -D$8)</f>
        <v>0</v>
      </c>
      <c r="F281" t="str">
        <f>F$9 * (0.01196430996060371 -F$8)</f>
        <v>0</v>
      </c>
      <c r="G281" t="str">
        <f>G$9 * (3.558593988418579 -G$8)</f>
        <v>0</v>
      </c>
      <c r="H281" t="str">
        <f>H$9 * (6.110992908477783 -H$8)</f>
        <v>0</v>
      </c>
      <c r="I281" t="str">
        <f>I$9 * (7.817253112792969 -I$8)</f>
        <v>0</v>
      </c>
    </row>
    <row r="282" spans="1:11">
      <c r="A282" t="str">
        <f>A$9 * (67.75033569335938 -A$8)</f>
        <v>0</v>
      </c>
      <c r="B282" t="str">
        <f>B$9 * (67.75033569335938 -B$8)</f>
        <v>0</v>
      </c>
      <c r="C282" t="str">
        <f>C$9 * (67.75033569335938 -C$8)</f>
        <v>0</v>
      </c>
      <c r="D282" t="str">
        <f>D$9 * (67.75033569335938 -D$8)</f>
        <v>0</v>
      </c>
      <c r="F282" t="str">
        <f>F$9 * (0.007658509071916342 -F$8)</f>
        <v>0</v>
      </c>
      <c r="G282" t="str">
        <f>G$9 * (2.903007030487061 -G$8)</f>
        <v>0</v>
      </c>
      <c r="H282" t="str">
        <f>H$9 * (6.595284938812256 -H$8)</f>
        <v>0</v>
      </c>
      <c r="I282" t="str">
        <f>I$9 * (5.899669170379639 -I$8)</f>
        <v>0</v>
      </c>
    </row>
    <row r="283" spans="1:11">
      <c r="A283" t="str">
        <f>A$9 * (68.00003051757812 -A$8)</f>
        <v>0</v>
      </c>
      <c r="B283" t="str">
        <f>B$9 * (68.00003051757812 -B$8)</f>
        <v>0</v>
      </c>
      <c r="C283" t="str">
        <f>C$9 * (68.00003051757812 -C$8)</f>
        <v>0</v>
      </c>
      <c r="D283" t="str">
        <f>D$9 * (68.00003051757812 -D$8)</f>
        <v>0</v>
      </c>
      <c r="F283" t="str">
        <f>F$9 * (0.009777150116860867 -F$8)</f>
        <v>0</v>
      </c>
      <c r="G283" t="str">
        <f>G$9 * (2.101152896881104 -G$8)</f>
        <v>0</v>
      </c>
      <c r="H283" t="str">
        <f>H$9 * (3.987099885940552 -H$8)</f>
        <v>0</v>
      </c>
      <c r="I283" t="str">
        <f>I$9 * (2.895915985107422 -I$8)</f>
        <v>0</v>
      </c>
    </row>
    <row r="284" spans="1:11">
      <c r="A284" t="str">
        <f>A$9 * (68.25041961669922 -A$8)</f>
        <v>0</v>
      </c>
      <c r="B284" t="str">
        <f>B$9 * (68.25041961669922 -B$8)</f>
        <v>0</v>
      </c>
      <c r="C284" t="str">
        <f>C$9 * (68.25041961669922 -C$8)</f>
        <v>0</v>
      </c>
      <c r="D284" t="str">
        <f>D$9 * (68.25041961669922 -D$8)</f>
        <v>0</v>
      </c>
      <c r="F284" t="str">
        <f>F$9 * (0.01255204994231462 -F$8)</f>
        <v>0</v>
      </c>
      <c r="G284" t="str">
        <f>G$9 * (3.513015985488892 -G$8)</f>
        <v>0</v>
      </c>
      <c r="H284" t="str">
        <f>H$9 * (5.859766960144043 -H$8)</f>
        <v>0</v>
      </c>
      <c r="I284" t="str">
        <f>I$9 * (7.505496978759766 -I$8)</f>
        <v>0</v>
      </c>
    </row>
    <row r="285" spans="1:11">
      <c r="A285" t="str">
        <f>A$9 * (68.50008392333984 -A$8)</f>
        <v>0</v>
      </c>
      <c r="B285" t="str">
        <f>B$9 * (68.50008392333984 -B$8)</f>
        <v>0</v>
      </c>
      <c r="C285" t="str">
        <f>C$9 * (68.50008392333984 -C$8)</f>
        <v>0</v>
      </c>
      <c r="D285" t="str">
        <f>D$9 * (68.50008392333984 -D$8)</f>
        <v>0</v>
      </c>
      <c r="F285" t="str">
        <f>F$9 * (0.007535624783486128 -F$8)</f>
        <v>0</v>
      </c>
      <c r="G285" t="str">
        <f>G$9 * (2.899708986282349 -G$8)</f>
        <v>0</v>
      </c>
      <c r="H285" t="str">
        <f>H$9 * (6.667280197143555 -H$8)</f>
        <v>0</v>
      </c>
      <c r="I285" t="str">
        <f>I$9 * (5.968496799468994 -I$8)</f>
        <v>0</v>
      </c>
    </row>
    <row r="286" spans="1:11">
      <c r="A286" t="str">
        <f>A$9 * (68.75 -A$8)</f>
        <v>0</v>
      </c>
      <c r="B286" t="str">
        <f>B$9 * (68.75 -B$8)</f>
        <v>0</v>
      </c>
      <c r="C286" t="str">
        <f>C$9 * (68.75 -C$8)</f>
        <v>0</v>
      </c>
      <c r="D286" t="str">
        <f>D$9 * (68.75 -D$8)</f>
        <v>0</v>
      </c>
      <c r="F286" t="str">
        <f>F$9 * (0.009328259155154228 -F$8)</f>
        <v>0</v>
      </c>
      <c r="G286" t="str">
        <f>G$9 * (2.105874061584473 -G$8)</f>
        <v>0</v>
      </c>
      <c r="H286" t="str">
        <f>H$9 * (4.122146129608154 -H$8)</f>
        <v>0</v>
      </c>
      <c r="I286" t="str">
        <f>I$9 * (2.925187110900879 -I$8)</f>
        <v>0</v>
      </c>
    </row>
    <row r="287" spans="1:11">
      <c r="A287" t="str">
        <f>A$9 * (69.00019073486328 -A$8)</f>
        <v>0</v>
      </c>
      <c r="B287" t="str">
        <f>B$9 * (69.00019073486328 -B$8)</f>
        <v>0</v>
      </c>
      <c r="C287" t="str">
        <f>C$9 * (69.00019073486328 -C$8)</f>
        <v>0</v>
      </c>
      <c r="D287" t="str">
        <f>D$9 * (69.00019073486328 -D$8)</f>
        <v>0</v>
      </c>
      <c r="F287" t="str">
        <f>F$9 * (0.01320531032979488 -F$8)</f>
        <v>0</v>
      </c>
      <c r="G287" t="str">
        <f>G$9 * (3.449009895324707 -G$8)</f>
        <v>0</v>
      </c>
      <c r="H287" t="str">
        <f>H$9 * (5.582119941711426 -H$8)</f>
        <v>0</v>
      </c>
      <c r="I287" t="str">
        <f>I$9 * (7.163893222808838 -I$8)</f>
        <v>0</v>
      </c>
    </row>
    <row r="288" spans="1:11">
      <c r="A288" t="str">
        <f>A$9 * (69.25033569335938 -A$8)</f>
        <v>0</v>
      </c>
      <c r="B288" t="str">
        <f>B$9 * (69.25033569335938 -B$8)</f>
        <v>0</v>
      </c>
      <c r="C288" t="str">
        <f>C$9 * (69.25033569335938 -C$8)</f>
        <v>0</v>
      </c>
      <c r="D288" t="str">
        <f>D$9 * (69.25033569335938 -D$8)</f>
        <v>0</v>
      </c>
      <c r="F288" t="str">
        <f>F$9 * (0.00739759486168623 -F$8)</f>
        <v>0</v>
      </c>
      <c r="G288" t="str">
        <f>G$9 * (2.894145965576172 -G$8)</f>
        <v>0</v>
      </c>
      <c r="H288" t="str">
        <f>H$9 * (6.74502420425415 -H$8)</f>
        <v>0</v>
      </c>
      <c r="I288" t="str">
        <f>I$9 * (6.036893844604492 -I$8)</f>
        <v>0</v>
      </c>
    </row>
    <row r="289" spans="1:11">
      <c r="A289" t="str">
        <f>A$9 * (69.50030517578125 -A$8)</f>
        <v>0</v>
      </c>
      <c r="B289" t="str">
        <f>B$9 * (69.50030517578125 -B$8)</f>
        <v>0</v>
      </c>
      <c r="C289" t="str">
        <f>C$9 * (69.50030517578125 -C$8)</f>
        <v>0</v>
      </c>
      <c r="D289" t="str">
        <f>D$9 * (69.50030517578125 -D$8)</f>
        <v>0</v>
      </c>
      <c r="F289" t="str">
        <f>F$9 * (0.008881947956979275 -F$8)</f>
        <v>0</v>
      </c>
      <c r="G289" t="str">
        <f>G$9 * (2.129511117935181 -G$8)</f>
        <v>0</v>
      </c>
      <c r="H289" t="str">
        <f>H$9 * (4.307486057281494 -H$8)</f>
        <v>0</v>
      </c>
      <c r="I289" t="str">
        <f>I$9 * (3.004544973373413 -I$8)</f>
        <v>0</v>
      </c>
    </row>
    <row r="290" spans="1:11">
      <c r="A290" t="str">
        <f>A$9 * (69.75013732910156 -A$8)</f>
        <v>0</v>
      </c>
      <c r="B290" t="str">
        <f>B$9 * (69.75013732910156 -B$8)</f>
        <v>0</v>
      </c>
      <c r="C290" t="str">
        <f>C$9 * (69.75013732910156 -C$8)</f>
        <v>0</v>
      </c>
      <c r="D290" t="str">
        <f>D$9 * (69.75013732910156 -D$8)</f>
        <v>0</v>
      </c>
      <c r="F290" t="str">
        <f>F$9 * (0.01404829043895006 -F$8)</f>
        <v>0</v>
      </c>
      <c r="G290" t="str">
        <f>G$9 * (3.350882053375244 -G$8)</f>
        <v>0</v>
      </c>
      <c r="H290" t="str">
        <f>H$9 * (5.229804039001465 -H$8)</f>
        <v>0</v>
      </c>
      <c r="I290" t="str">
        <f>I$9 * (6.731113910675049 -I$8)</f>
        <v>0</v>
      </c>
    </row>
    <row r="291" spans="1:11">
      <c r="A291" t="str">
        <f>A$9 * (70.00013732910156 -A$8)</f>
        <v>0</v>
      </c>
      <c r="B291" t="str">
        <f>B$9 * (70.00013732910156 -B$8)</f>
        <v>0</v>
      </c>
      <c r="C291" t="str">
        <f>C$9 * (70.00013732910156 -C$8)</f>
        <v>0</v>
      </c>
      <c r="D291" t="str">
        <f>D$9 * (70.00013732910156 -D$8)</f>
        <v>0</v>
      </c>
      <c r="F291" t="str">
        <f>F$9 * (0.007199461106210947 -F$8)</f>
        <v>0</v>
      </c>
      <c r="G291" t="str">
        <f>G$9 * (2.903002977371216 -G$8)</f>
        <v>0</v>
      </c>
      <c r="H291" t="str">
        <f>H$9 * (6.907113075256348 -H$8)</f>
        <v>0</v>
      </c>
      <c r="I291" t="str">
        <f>I$9 * (6.249177932739258 -I$8)</f>
        <v>0</v>
      </c>
    </row>
    <row r="292" spans="1:11">
      <c r="A292" t="str">
        <f>A$9 * (70.25019073486328 -A$8)</f>
        <v>0</v>
      </c>
      <c r="B292" t="str">
        <f>B$9 * (70.25019073486328 -B$8)</f>
        <v>0</v>
      </c>
      <c r="C292" t="str">
        <f>C$9 * (70.25019073486328 -C$8)</f>
        <v>0</v>
      </c>
      <c r="D292" t="str">
        <f>D$9 * (70.25019073486328 -D$8)</f>
        <v>0</v>
      </c>
      <c r="F292" t="str">
        <f>F$9 * (0.00855299923568964 -F$8)</f>
        <v>0</v>
      </c>
      <c r="G292" t="str">
        <f>G$9 * (2.176704883575439 -G$8)</f>
        <v>0</v>
      </c>
      <c r="H292" t="str">
        <f>H$9 * (4.521963119506836 -H$8)</f>
        <v>0</v>
      </c>
      <c r="I292" t="str">
        <f>I$9 * (3.151527881622314 -I$8)</f>
        <v>0</v>
      </c>
    </row>
    <row r="293" spans="1:11">
      <c r="A293" t="str">
        <f>A$9 * (70.50030517578125 -A$8)</f>
        <v>0</v>
      </c>
      <c r="B293" t="str">
        <f>B$9 * (70.50030517578125 -B$8)</f>
        <v>0</v>
      </c>
      <c r="C293" t="str">
        <f>C$9 * (70.50030517578125 -C$8)</f>
        <v>0</v>
      </c>
      <c r="D293" t="str">
        <f>D$9 * (70.50030517578125 -D$8)</f>
        <v>0</v>
      </c>
      <c r="F293" t="str">
        <f>F$9 * (0.0143689401447773 -F$8)</f>
        <v>0</v>
      </c>
      <c r="G293" t="str">
        <f>G$9 * (3.287394046783447 -G$8)</f>
        <v>0</v>
      </c>
      <c r="H293" t="str">
        <f>H$9 * (5.062520027160645 -H$8)</f>
        <v>0</v>
      </c>
      <c r="I293" t="str">
        <f>I$9 * (6.485333919525146 -I$8)</f>
        <v>0</v>
      </c>
    </row>
    <row r="294" spans="1:11">
      <c r="A294" t="str">
        <f>A$9 * (70.75022125244141 -A$8)</f>
        <v>0</v>
      </c>
      <c r="B294" t="str">
        <f>B$9 * (70.75022125244141 -B$8)</f>
        <v>0</v>
      </c>
      <c r="C294" t="str">
        <f>C$9 * (70.75022125244141 -C$8)</f>
        <v>0</v>
      </c>
      <c r="D294" t="str">
        <f>D$9 * (70.75022125244141 -D$8)</f>
        <v>0</v>
      </c>
      <c r="F294" t="str">
        <f>F$9 * (0.007197733037173748 -F$8)</f>
        <v>0</v>
      </c>
      <c r="G294" t="str">
        <f>G$9 * (2.93151593208313 -G$8)</f>
        <v>0</v>
      </c>
      <c r="H294" t="str">
        <f>H$9 * (6.971278190612793 -H$8)</f>
        <v>0</v>
      </c>
      <c r="I294" t="str">
        <f>I$9 * (6.381387233734131 -I$8)</f>
        <v>0</v>
      </c>
    </row>
    <row r="295" spans="1:11">
      <c r="A295" t="str">
        <f>A$9 * (71.00041961669922 -A$8)</f>
        <v>0</v>
      </c>
      <c r="B295" t="str">
        <f>B$9 * (71.00041961669922 -B$8)</f>
        <v>0</v>
      </c>
      <c r="C295" t="str">
        <f>C$9 * (71.00041961669922 -C$8)</f>
        <v>0</v>
      </c>
      <c r="D295" t="str">
        <f>D$9 * (71.00041961669922 -D$8)</f>
        <v>0</v>
      </c>
      <c r="F295" t="str">
        <f>F$9 * (0.008387698791921139 -F$8)</f>
        <v>0</v>
      </c>
      <c r="G295" t="str">
        <f>G$9 * (2.310441970825195 -G$8)</f>
        <v>0</v>
      </c>
      <c r="H295" t="str">
        <f>H$9 * (4.868800163269043 -H$8)</f>
        <v>0</v>
      </c>
      <c r="I295" t="str">
        <f>I$9 * (3.508722066879272 -I$8)</f>
        <v>0</v>
      </c>
    </row>
    <row r="296" spans="1:11">
      <c r="A296" t="str">
        <f>A$9 * (71.25033569335938 -A$8)</f>
        <v>0</v>
      </c>
      <c r="B296" t="str">
        <f>B$9 * (71.25033569335938 -B$8)</f>
        <v>0</v>
      </c>
      <c r="C296" t="str">
        <f>C$9 * (71.25033569335938 -C$8)</f>
        <v>0</v>
      </c>
      <c r="D296" t="str">
        <f>D$9 * (71.25033569335938 -D$8)</f>
        <v>0</v>
      </c>
      <c r="F296" t="str">
        <f>F$9 * (0.0144641101360321 -F$8)</f>
        <v>0</v>
      </c>
      <c r="G296" t="str">
        <f>G$9 * (3.141829013824463 -G$8)</f>
        <v>0</v>
      </c>
      <c r="H296" t="str">
        <f>H$9 * (4.80764102935791 -H$8)</f>
        <v>0</v>
      </c>
      <c r="I296" t="str">
        <f>I$9 * (5.921757221221924 -I$8)</f>
        <v>0</v>
      </c>
    </row>
    <row r="297" spans="1:11">
      <c r="A297" t="str">
        <f>A$9 * (71.50008392333984 -A$8)</f>
        <v>0</v>
      </c>
      <c r="B297" t="str">
        <f>B$9 * (71.50008392333984 -B$8)</f>
        <v>0</v>
      </c>
      <c r="C297" t="str">
        <f>C$9 * (71.50008392333984 -C$8)</f>
        <v>0</v>
      </c>
      <c r="D297" t="str">
        <f>D$9 * (71.50008392333984 -D$8)</f>
        <v>0</v>
      </c>
      <c r="F297" t="str">
        <f>F$9 * (0.007230653893202543 -F$8)</f>
        <v>0</v>
      </c>
      <c r="G297" t="str">
        <f>G$9 * (2.978333950042725 -G$8)</f>
        <v>0</v>
      </c>
      <c r="H297" t="str">
        <f>H$9 * (7.074029922485352 -H$8)</f>
        <v>0</v>
      </c>
      <c r="I297" t="str">
        <f>I$9 * (6.663112163543701 -I$8)</f>
        <v>0</v>
      </c>
    </row>
    <row r="298" spans="1:11">
      <c r="A298" t="str">
        <f>A$9 * (71.75025177001953 -A$8)</f>
        <v>0</v>
      </c>
      <c r="B298" t="str">
        <f>B$9 * (71.75025177001953 -B$8)</f>
        <v>0</v>
      </c>
      <c r="C298" t="str">
        <f>C$9 * (71.75025177001953 -C$8)</f>
        <v>0</v>
      </c>
      <c r="D298" t="str">
        <f>D$9 * (71.75025177001953 -D$8)</f>
        <v>0</v>
      </c>
      <c r="F298" t="str">
        <f>F$9 * (0.007870321162045002 -F$8)</f>
        <v>0</v>
      </c>
      <c r="G298" t="str">
        <f>G$9 * (2.363074064254761 -G$8)</f>
        <v>0</v>
      </c>
      <c r="H298" t="str">
        <f>H$9 * (5.212789058685303 -H$8)</f>
        <v>0</v>
      </c>
      <c r="I298" t="str">
        <f>I$9 * (3.755445957183838 -I$8)</f>
        <v>0</v>
      </c>
    </row>
    <row r="299" spans="1:11">
      <c r="A299" t="str">
        <f>A$9 * (72.00019073486328 -A$8)</f>
        <v>0</v>
      </c>
      <c r="B299" t="str">
        <f>B$9 * (72.00019073486328 -B$8)</f>
        <v>0</v>
      </c>
      <c r="C299" t="str">
        <f>C$9 * (72.00019073486328 -C$8)</f>
        <v>0</v>
      </c>
      <c r="D299" t="str">
        <f>D$9 * (72.00019073486328 -D$8)</f>
        <v>0</v>
      </c>
      <c r="F299" t="str">
        <f>F$9 * (0.01466907002031803 -F$8)</f>
        <v>0</v>
      </c>
      <c r="G299" t="str">
        <f>G$9 * (3.040718078613281 -G$8)</f>
        <v>0</v>
      </c>
      <c r="H299" t="str">
        <f>H$9 * (4.609993934631348 -H$8)</f>
        <v>0</v>
      </c>
      <c r="I299" t="str">
        <f>I$9 * (5.578053951263428 -I$8)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9"/>
  <sheetViews>
    <sheetView tabSelected="0" workbookViewId="0" showGridLines="true" showRowColHeaders="1">
      <selection activeCell="I10" sqref="I10"/>
    </sheetView>
  </sheetViews>
  <sheetFormatPr defaultRowHeight="14.4" outlineLevelRow="0" outlineLevelCol="0"/>
  <sheetData>
    <row r="1" spans="1:11">
      <c r="A1" s="2" t="s">
        <v>10</v>
      </c>
      <c r="B1" s="2" t="s">
        <v>10</v>
      </c>
      <c r="C1" s="2" t="s">
        <v>10</v>
      </c>
      <c r="D1" s="2" t="s">
        <v>10</v>
      </c>
      <c r="E1" s="1"/>
      <c r="F1" s="2" t="s">
        <v>11</v>
      </c>
      <c r="G1" s="2" t="s">
        <v>12</v>
      </c>
      <c r="H1" s="2" t="s">
        <v>12</v>
      </c>
      <c r="I1" s="2" t="s">
        <v>13</v>
      </c>
    </row>
    <row r="2" spans="1:11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tr">
        <f>'Legends'!B2</f>
        <v>0</v>
      </c>
      <c r="G2" s="1" t="str">
        <f>'Legends'!B3</f>
        <v>0</v>
      </c>
      <c r="H2" s="1" t="str">
        <f>'Legends'!B4</f>
        <v>0</v>
      </c>
      <c r="I2" s="1" t="str">
        <f>'Legends'!B5</f>
        <v>0</v>
      </c>
      <c r="K2" s="3" t="s">
        <v>27</v>
      </c>
    </row>
    <row r="3" spans="1:11">
      <c r="A3" t="str">
        <f>MIN($A$11:$A$299)</f>
        <v>0</v>
      </c>
      <c r="B3" t="str">
        <f>MIN($B$11:$B$299)</f>
        <v>0</v>
      </c>
      <c r="C3" t="str">
        <f>MIN($C$11:$C$299)</f>
        <v>0</v>
      </c>
      <c r="D3" t="str">
        <f>MIN($D$11:$D$299)</f>
        <v>0</v>
      </c>
      <c r="E3" s="1" t="s">
        <v>19</v>
      </c>
      <c r="F3" t="str">
        <f>MIN($F$11:$F$299)</f>
        <v>0</v>
      </c>
      <c r="G3" t="str">
        <f>MIN($G$11:$G$299)</f>
        <v>0</v>
      </c>
      <c r="H3" t="str">
        <f>MIN($H$11:$H$299)</f>
        <v>0</v>
      </c>
      <c r="I3" t="str">
        <f>MIN($I$11:$I$299)</f>
        <v>0</v>
      </c>
    </row>
    <row r="4" spans="1:11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t="str">
        <f>MEDIAN($D$11:$D$299)</f>
        <v>0</v>
      </c>
      <c r="E4" s="1" t="s">
        <v>20</v>
      </c>
      <c r="F4" t="str">
        <f>MEDIAN($F$11:$F$299)</f>
        <v>0</v>
      </c>
      <c r="G4" t="str">
        <f>MEDIAN($G$11:$G$299)</f>
        <v>0</v>
      </c>
      <c r="H4" t="str">
        <f>MEDIAN($H$11:$H$299)</f>
        <v>0</v>
      </c>
      <c r="I4" t="str">
        <f>MEDIAN($I$11:$I$299)</f>
        <v>0</v>
      </c>
    </row>
    <row r="5" spans="1:11">
      <c r="A5" t="str">
        <f>MAX($A$11:$A$299)</f>
        <v>0</v>
      </c>
      <c r="B5" t="str">
        <f>MAX($B$11:$B$299)</f>
        <v>0</v>
      </c>
      <c r="C5" t="str">
        <f>MAX($C$11:$C$299)</f>
        <v>0</v>
      </c>
      <c r="D5" t="str">
        <f>MAX($D$11:$D$299)</f>
        <v>0</v>
      </c>
      <c r="E5" s="1" t="s">
        <v>21</v>
      </c>
      <c r="F5" t="str">
        <f>MAX($F$11:$F$299)</f>
        <v>0</v>
      </c>
      <c r="G5" t="str">
        <f>MAX($G$11:$G$299)</f>
        <v>0</v>
      </c>
      <c r="H5" t="str">
        <f>MAX($H$11:$H$299)</f>
        <v>0</v>
      </c>
      <c r="I5" t="str">
        <f>MAX($I$11:$I$299)</f>
        <v>0</v>
      </c>
    </row>
    <row r="6" spans="1:11">
      <c r="A6" t="str">
        <f>$A5-$A3</f>
        <v>0</v>
      </c>
      <c r="B6" t="str">
        <f>$B5-$B3</f>
        <v>0</v>
      </c>
      <c r="C6" t="str">
        <f>$C5-$C3</f>
        <v>0</v>
      </c>
      <c r="D6" t="str">
        <f>$D5-$D3</f>
        <v>0</v>
      </c>
      <c r="E6" s="1" t="s">
        <v>22</v>
      </c>
      <c r="F6" t="str">
        <f>$F5-$F3</f>
        <v>0</v>
      </c>
      <c r="G6" t="str">
        <f>$G5-$G3</f>
        <v>0</v>
      </c>
      <c r="H6" t="str">
        <f>$H5-$H3</f>
        <v>0</v>
      </c>
      <c r="I6" t="str">
        <f>$I5-$I3</f>
        <v>0</v>
      </c>
    </row>
    <row r="7" spans="1:11">
      <c r="A7" s="2" t="s">
        <v>10</v>
      </c>
      <c r="B7" s="2" t="s">
        <v>10</v>
      </c>
      <c r="C7" s="2" t="s">
        <v>10</v>
      </c>
      <c r="D7" s="2" t="s">
        <v>10</v>
      </c>
      <c r="E7" s="1"/>
      <c r="F7" s="2" t="s">
        <v>11</v>
      </c>
      <c r="G7" s="2" t="s">
        <v>12</v>
      </c>
      <c r="H7" s="2" t="s">
        <v>12</v>
      </c>
      <c r="I7" s="2" t="s">
        <v>13</v>
      </c>
    </row>
    <row r="8" spans="1:11">
      <c r="A8">
        <v>0</v>
      </c>
      <c r="B8">
        <v>0</v>
      </c>
      <c r="C8">
        <v>0</v>
      </c>
      <c r="D8">
        <v>0</v>
      </c>
      <c r="E8" s="1" t="s">
        <v>23</v>
      </c>
      <c r="F8">
        <v>0</v>
      </c>
      <c r="G8">
        <v>0</v>
      </c>
      <c r="H8">
        <v>0</v>
      </c>
      <c r="I8">
        <v>0</v>
      </c>
    </row>
    <row r="9" spans="1:11">
      <c r="A9">
        <v>1</v>
      </c>
      <c r="B9">
        <v>1</v>
      </c>
      <c r="C9">
        <v>1</v>
      </c>
      <c r="D9">
        <v>1</v>
      </c>
      <c r="E9" s="1" t="s">
        <v>24</v>
      </c>
      <c r="F9">
        <v>1</v>
      </c>
      <c r="G9">
        <v>1</v>
      </c>
      <c r="H9">
        <v>1</v>
      </c>
      <c r="I9">
        <v>1</v>
      </c>
    </row>
    <row r="10" spans="1:11">
      <c r="A10" s="1" t="s">
        <v>14</v>
      </c>
      <c r="B10" s="1" t="s">
        <v>15</v>
      </c>
      <c r="C10" s="1" t="s">
        <v>16</v>
      </c>
      <c r="D10" s="1" t="s">
        <v>17</v>
      </c>
      <c r="E10" s="1"/>
      <c r="F10" s="1" t="str">
        <f>'Legends'!B2</f>
        <v>0</v>
      </c>
      <c r="G10" s="1" t="str">
        <f>'Legends'!B3</f>
        <v>0</v>
      </c>
      <c r="H10" s="1" t="str">
        <f>'Legends'!B4</f>
        <v>0</v>
      </c>
      <c r="I10" s="1" t="str">
        <f>'Legends'!B5</f>
        <v>0</v>
      </c>
    </row>
    <row r="11" spans="1:11">
      <c r="A11" t="str">
        <f>A$9 * (0 -A$8)</f>
        <v>0</v>
      </c>
      <c r="B11" t="str">
        <f>B$9 * (0 -B$8)</f>
        <v>0</v>
      </c>
      <c r="C11" t="str">
        <f>C$9 * (0 -C$8)</f>
        <v>0</v>
      </c>
      <c r="D11" t="str">
        <f>D$9 * (0 -D$8)</f>
        <v>0</v>
      </c>
      <c r="F11" t="str">
        <f>F$9 * (0.01899014040827751 -F$8)</f>
        <v>0</v>
      </c>
      <c r="G11" t="str">
        <f>G$9 * (6.976023197174072 -G$8)</f>
        <v>0</v>
      </c>
      <c r="H11" t="str">
        <f>H$9 * (9.87746524810791 -H$8)</f>
        <v>0</v>
      </c>
      <c r="I11" t="str">
        <f>I$9 * (0.04023474827408791 -I$8)</f>
        <v>0</v>
      </c>
    </row>
    <row r="12" spans="1:11">
      <c r="A12" t="str">
        <f>A$9 * (0.2503923773765564 -A$8)</f>
        <v>0</v>
      </c>
      <c r="B12" t="str">
        <f>B$9 * (0.2503923773765564 -B$8)</f>
        <v>0</v>
      </c>
      <c r="C12" t="str">
        <f>C$9 * (0.2503923773765564 -C$8)</f>
        <v>0</v>
      </c>
      <c r="D12" t="str">
        <f>D$9 * (0.2503923773765564 -D$8)</f>
        <v>0</v>
      </c>
      <c r="F12" t="str">
        <f>F$9 * (0.0130656398832798 -F$8)</f>
        <v>0</v>
      </c>
      <c r="G12" t="str">
        <f>G$9 * (6.005105018615723 -G$8)</f>
        <v>0</v>
      </c>
      <c r="H12" t="str">
        <f>H$9 * (10.26500034332275 -H$8)</f>
        <v>0</v>
      </c>
      <c r="I12" t="str">
        <f>I$9 * (0.03208952024579048 -I$8)</f>
        <v>0</v>
      </c>
    </row>
    <row r="13" spans="1:11">
      <c r="A13" t="str">
        <f>A$9 * (0.5000028014183044 -A$8)</f>
        <v>0</v>
      </c>
      <c r="B13" t="str">
        <f>B$9 * (0.5000028014183044 -B$8)</f>
        <v>0</v>
      </c>
      <c r="C13" t="str">
        <f>C$9 * (0.5000028014183044 -C$8)</f>
        <v>0</v>
      </c>
      <c r="D13" t="str">
        <f>D$9 * (0.5000028014183044 -D$8)</f>
        <v>0</v>
      </c>
      <c r="F13" t="str">
        <f>F$9 * (0.009224898181855679 -F$8)</f>
        <v>0</v>
      </c>
      <c r="G13" t="str">
        <f>G$9 * (4.252870082855225 -G$8)</f>
        <v>0</v>
      </c>
      <c r="H13" t="str">
        <f>H$9 * (8.758434295654297 -H$8)</f>
        <v>0</v>
      </c>
      <c r="I13" t="str">
        <f>I$9 * (0.02026757970452309 -I$8)</f>
        <v>0</v>
      </c>
    </row>
    <row r="14" spans="1:11">
      <c r="A14" t="str">
        <f>A$9 * (0.7500805258750916 -A$8)</f>
        <v>0</v>
      </c>
      <c r="B14" t="str">
        <f>B$9 * (0.7500805258750916 -B$8)</f>
        <v>0</v>
      </c>
      <c r="C14" t="str">
        <f>C$9 * (0.7500805258750916 -C$8)</f>
        <v>0</v>
      </c>
      <c r="D14" t="str">
        <f>D$9 * (0.7500805258750916 -D$8)</f>
        <v>0</v>
      </c>
      <c r="F14" t="str">
        <f>F$9 * (0.01388760004192591 -F$8)</f>
        <v>0</v>
      </c>
      <c r="G14" t="str">
        <f>G$9 * (4.405671119689941 -G$8)</f>
        <v>0</v>
      </c>
      <c r="H14" t="str">
        <f>H$9 * (7.069362163543701 -H$8)</f>
        <v>0</v>
      </c>
      <c r="I14" t="str">
        <f>I$9 * (0.02031189016997814 -I$8)</f>
        <v>0</v>
      </c>
    </row>
    <row r="15" spans="1:11">
      <c r="A15" t="str">
        <f>A$9 * (1.00001060962677 -A$8)</f>
        <v>0</v>
      </c>
      <c r="B15" t="str">
        <f>B$9 * (1.00001060962677 -B$8)</f>
        <v>0</v>
      </c>
      <c r="C15" t="str">
        <f>C$9 * (1.00001060962677 -C$8)</f>
        <v>0</v>
      </c>
      <c r="D15" t="str">
        <f>D$9 * (1.00001060962677 -D$8)</f>
        <v>0</v>
      </c>
      <c r="F15" t="str">
        <f>F$9 * (-0.003372678067535162 -F$8)</f>
        <v>0</v>
      </c>
      <c r="G15" t="str">
        <f>G$9 * (-1.612897992134094 -G$8)</f>
        <v>0</v>
      </c>
      <c r="H15" t="str">
        <f>H$9 * (-2.599679946899414 -H$8)</f>
        <v>0</v>
      </c>
      <c r="I15" t="str">
        <f>I$9 * (9.708891868591309 -I$8)</f>
        <v>0</v>
      </c>
    </row>
    <row r="16" spans="1:11">
      <c r="A16" t="str">
        <f>A$9 * (1.250212550163269 -A$8)</f>
        <v>0</v>
      </c>
      <c r="B16" t="str">
        <f>B$9 * (1.250212550163269 -B$8)</f>
        <v>0</v>
      </c>
      <c r="C16" t="str">
        <f>C$9 * (1.250212550163269 -C$8)</f>
        <v>0</v>
      </c>
      <c r="D16" t="str">
        <f>D$9 * (1.250212550163269 -D$8)</f>
        <v>0</v>
      </c>
      <c r="F16" t="str">
        <f>F$9 * (-0.0003163136134389788 -F$8)</f>
        <v>0</v>
      </c>
      <c r="G16" t="str">
        <f>G$9 * (-2.18445611000061 -G$8)</f>
        <v>0</v>
      </c>
      <c r="H16" t="str">
        <f>H$9 * (1.790732979774475 -H$8)</f>
        <v>0</v>
      </c>
      <c r="I16" t="str">
        <f>I$9 * (4.851388931274414 -I$8)</f>
        <v>0</v>
      </c>
    </row>
    <row r="17" spans="1:11">
      <c r="A17" t="str">
        <f>A$9 * (1.50015115737915 -A$8)</f>
        <v>0</v>
      </c>
      <c r="B17" t="str">
        <f>B$9 * (1.50015115737915 -B$8)</f>
        <v>0</v>
      </c>
      <c r="C17" t="str">
        <f>C$9 * (1.50015115737915 -C$8)</f>
        <v>0</v>
      </c>
      <c r="D17" t="str">
        <f>D$9 * (1.50015115737915 -D$8)</f>
        <v>0</v>
      </c>
      <c r="F17" t="str">
        <f>F$9 * (0.001392820966430008 -F$8)</f>
        <v>0</v>
      </c>
      <c r="G17" t="str">
        <f>G$9 * (-1.745538949966431 -G$8)</f>
        <v>0</v>
      </c>
      <c r="H17" t="str">
        <f>H$9 * (1.393306970596313 -H$8)</f>
        <v>0</v>
      </c>
      <c r="I17" t="str">
        <f>I$9 * (5.958818912506104 -I$8)</f>
        <v>0</v>
      </c>
    </row>
    <row r="18" spans="1:11">
      <c r="A18" t="str">
        <f>A$9 * (1.750082492828369 -A$8)</f>
        <v>0</v>
      </c>
      <c r="B18" t="str">
        <f>B$9 * (1.750082492828369 -B$8)</f>
        <v>0</v>
      </c>
      <c r="C18" t="str">
        <f>C$9 * (1.750082492828369 -C$8)</f>
        <v>0</v>
      </c>
      <c r="D18" t="str">
        <f>D$9 * (1.750082492828369 -D$8)</f>
        <v>0</v>
      </c>
      <c r="F18" t="str">
        <f>F$9 * (0.002279487904161215 -F$8)</f>
        <v>0</v>
      </c>
      <c r="G18" t="str">
        <f>G$9 * (-2.245676040649414 -G$8)</f>
        <v>0</v>
      </c>
      <c r="H18" t="str">
        <f>H$9 * (1.384389042854309 -H$8)</f>
        <v>0</v>
      </c>
      <c r="I18" t="str">
        <f>I$9 * (14.52054977416992 -I$8)</f>
        <v>0</v>
      </c>
    </row>
    <row r="19" spans="1:11">
      <c r="A19" t="str">
        <f>A$9 * (2.000370740890503 -A$8)</f>
        <v>0</v>
      </c>
      <c r="B19" t="str">
        <f>B$9 * (2.000370740890503 -B$8)</f>
        <v>0</v>
      </c>
      <c r="C19" t="str">
        <f>C$9 * (2.000370740890503 -C$8)</f>
        <v>0</v>
      </c>
      <c r="D19" t="str">
        <f>D$9 * (2.000370740890503 -D$8)</f>
        <v>0</v>
      </c>
      <c r="F19" t="str">
        <f>F$9 * (0.008723045699298382 -F$8)</f>
        <v>0</v>
      </c>
      <c r="G19" t="str">
        <f>G$9 * (2.091460943222046 -G$8)</f>
        <v>0</v>
      </c>
      <c r="H19" t="str">
        <f>H$9 * (4.062270164489746 -H$8)</f>
        <v>0</v>
      </c>
      <c r="I19" t="str">
        <f>I$9 * (25.39755058288574 -I$8)</f>
        <v>0</v>
      </c>
    </row>
    <row r="20" spans="1:11">
      <c r="A20" t="str">
        <f>A$9 * (2.250343084335327 -A$8)</f>
        <v>0</v>
      </c>
      <c r="B20" t="str">
        <f>B$9 * (2.250343084335327 -B$8)</f>
        <v>0</v>
      </c>
      <c r="C20" t="str">
        <f>C$9 * (2.250343084335327 -C$8)</f>
        <v>0</v>
      </c>
      <c r="D20" t="str">
        <f>D$9 * (2.250343084335327 -D$8)</f>
        <v>0</v>
      </c>
      <c r="F20" t="str">
        <f>F$9 * (0.006273952778428793 -F$8)</f>
        <v>0</v>
      </c>
      <c r="G20" t="str">
        <f>G$9 * (2.104238986968994 -G$8)</f>
        <v>0</v>
      </c>
      <c r="H20" t="str">
        <f>H$9 * (5.047359943389893 -H$8)</f>
        <v>0</v>
      </c>
      <c r="I20" t="str">
        <f>I$9 * (7.09949779510498 -I$8)</f>
        <v>0</v>
      </c>
    </row>
    <row r="21" spans="1:11">
      <c r="A21" t="str">
        <f>A$9 * (2.500083684921265 -A$8)</f>
        <v>0</v>
      </c>
      <c r="B21" t="str">
        <f>B$9 * (2.500083684921265 -B$8)</f>
        <v>0</v>
      </c>
      <c r="C21" t="str">
        <f>C$9 * (2.500083684921265 -C$8)</f>
        <v>0</v>
      </c>
      <c r="D21" t="str">
        <f>D$9 * (2.500083684921265 -D$8)</f>
        <v>0</v>
      </c>
      <c r="F21" t="str">
        <f>F$9 * (0.01268788985908031 -F$8)</f>
        <v>0</v>
      </c>
      <c r="G21" t="str">
        <f>G$9 * (1.368736028671265 -G$8)</f>
        <v>0</v>
      </c>
      <c r="H21" t="str">
        <f>H$9 * (2.092298984527588 -H$8)</f>
        <v>0</v>
      </c>
      <c r="I21" t="str">
        <f>I$9 * (8.266169548034668 -I$8)</f>
        <v>0</v>
      </c>
    </row>
    <row r="22" spans="1:11">
      <c r="A22" t="str">
        <f>A$9 * (2.750252246856689 -A$8)</f>
        <v>0</v>
      </c>
      <c r="B22" t="str">
        <f>B$9 * (2.750252246856689 -B$8)</f>
        <v>0</v>
      </c>
      <c r="C22" t="str">
        <f>C$9 * (2.750252246856689 -C$8)</f>
        <v>0</v>
      </c>
      <c r="D22" t="str">
        <f>D$9 * (2.750252246856689 -D$8)</f>
        <v>0</v>
      </c>
      <c r="F22" t="str">
        <f>F$9 * (0.01907997019588947 -F$8)</f>
        <v>0</v>
      </c>
      <c r="G22" t="str">
        <f>G$9 * (2.017231941223145 -G$8)</f>
        <v>0</v>
      </c>
      <c r="H22" t="str">
        <f>H$9 * (2.524672985076904 -H$8)</f>
        <v>0</v>
      </c>
      <c r="I22" t="str">
        <f>I$9 * (22.5219898223877 -I$8)</f>
        <v>0</v>
      </c>
    </row>
    <row r="23" spans="1:11">
      <c r="A23" t="str">
        <f>A$9 * (3.000216722488403 -A$8)</f>
        <v>0</v>
      </c>
      <c r="B23" t="str">
        <f>B$9 * (3.000216722488403 -B$8)</f>
        <v>0</v>
      </c>
      <c r="C23" t="str">
        <f>C$9 * (3.000216722488403 -C$8)</f>
        <v>0</v>
      </c>
      <c r="D23" t="str">
        <f>D$9 * (3.000216722488403 -D$8)</f>
        <v>0</v>
      </c>
      <c r="F23" t="str">
        <f>F$9 * (0.006877514068037271 -F$8)</f>
        <v>0</v>
      </c>
      <c r="G23" t="str">
        <f>G$9 * (1.981701016426086 -G$8)</f>
        <v>0</v>
      </c>
      <c r="H23" t="str">
        <f>H$9 * (4.34011697769165 -H$8)</f>
        <v>0</v>
      </c>
      <c r="I23" t="str">
        <f>I$9 * (24.76015090942383 -I$8)</f>
        <v>0</v>
      </c>
    </row>
    <row r="24" spans="1:11">
      <c r="A24" t="str">
        <f>A$9 * (3.250436067581177 -A$8)</f>
        <v>0</v>
      </c>
      <c r="B24" t="str">
        <f>B$9 * (3.250436067581177 -B$8)</f>
        <v>0</v>
      </c>
      <c r="C24" t="str">
        <f>C$9 * (3.250436067581177 -C$8)</f>
        <v>0</v>
      </c>
      <c r="D24" t="str">
        <f>D$9 * (3.250436067581177 -D$8)</f>
        <v>0</v>
      </c>
      <c r="F24" t="str">
        <f>F$9 * (0.007994884625077248 -F$8)</f>
        <v>0</v>
      </c>
      <c r="G24" t="str">
        <f>G$9 * (1.930199027061462 -G$8)</f>
        <v>0</v>
      </c>
      <c r="H24" t="str">
        <f>H$9 * (4.004549026489258 -H$8)</f>
        <v>0</v>
      </c>
      <c r="I24" t="str">
        <f>I$9 * (22.60177993774414 -I$8)</f>
        <v>0</v>
      </c>
    </row>
    <row r="25" spans="1:11">
      <c r="A25" t="str">
        <f>A$9 * (3.50005841255188 -A$8)</f>
        <v>0</v>
      </c>
      <c r="B25" t="str">
        <f>B$9 * (3.50005841255188 -B$8)</f>
        <v>0</v>
      </c>
      <c r="C25" t="str">
        <f>C$9 * (3.50005841255188 -C$8)</f>
        <v>0</v>
      </c>
      <c r="D25" t="str">
        <f>D$9 * (3.50005841255188 -D$8)</f>
        <v>0</v>
      </c>
      <c r="F25" t="str">
        <f>F$9 * (0.01312362961471081 -F$8)</f>
        <v>0</v>
      </c>
      <c r="G25" t="str">
        <f>G$9 * (1.885370016098022 -G$8)</f>
        <v>0</v>
      </c>
      <c r="H25" t="str">
        <f>H$9 * (2.879342079162598 -H$8)</f>
        <v>0</v>
      </c>
      <c r="I25" t="str">
        <f>I$9 * (17.9199104309082 -I$8)</f>
        <v>0</v>
      </c>
    </row>
    <row r="26" spans="1:11">
      <c r="A26" t="str">
        <f>A$9 * (3.750363826751709 -A$8)</f>
        <v>0</v>
      </c>
      <c r="B26" t="str">
        <f>B$9 * (3.750363826751709 -B$8)</f>
        <v>0</v>
      </c>
      <c r="C26" t="str">
        <f>C$9 * (3.750363826751709 -C$8)</f>
        <v>0</v>
      </c>
      <c r="D26" t="str">
        <f>D$9 * (3.750363826751709 -D$8)</f>
        <v>0</v>
      </c>
      <c r="F26" t="str">
        <f>F$9 * (0.01291069015860558 -F$8)</f>
        <v>0</v>
      </c>
      <c r="G26" t="str">
        <f>G$9 * (2.039254903793335 -G$8)</f>
        <v>0</v>
      </c>
      <c r="H26" t="str">
        <f>H$9 * (3.220103025436401 -H$8)</f>
        <v>0</v>
      </c>
      <c r="I26" t="str">
        <f>I$9 * (22.36252021789551 -I$8)</f>
        <v>0</v>
      </c>
    </row>
    <row r="27" spans="1:11">
      <c r="A27" t="str">
        <f>A$9 * (4.000669479370117 -A$8)</f>
        <v>0</v>
      </c>
      <c r="B27" t="str">
        <f>B$9 * (4.000669479370117 -B$8)</f>
        <v>0</v>
      </c>
      <c r="C27" t="str">
        <f>C$9 * (4.000669479370117 -C$8)</f>
        <v>0</v>
      </c>
      <c r="D27" t="str">
        <f>D$9 * (4.000669479370117 -D$8)</f>
        <v>0</v>
      </c>
      <c r="F27" t="str">
        <f>F$9 * (0.007821237668395042 -F$8)</f>
        <v>0</v>
      </c>
      <c r="G27" t="str">
        <f>G$9 * (1.940299034118652 -G$8)</f>
        <v>0</v>
      </c>
      <c r="H27" t="str">
        <f>H$9 * (4.056522846221924 -H$8)</f>
        <v>0</v>
      </c>
      <c r="I27" t="str">
        <f>I$9 * (22.96622085571289 -I$8)</f>
        <v>0</v>
      </c>
    </row>
    <row r="28" spans="1:11">
      <c r="A28" t="str">
        <f>A$9 * (4.250608444213867 -A$8)</f>
        <v>0</v>
      </c>
      <c r="B28" t="str">
        <f>B$9 * (4.250608444213867 -B$8)</f>
        <v>0</v>
      </c>
      <c r="C28" t="str">
        <f>C$9 * (4.250608444213867 -C$8)</f>
        <v>0</v>
      </c>
      <c r="D28" t="str">
        <f>D$9 * (4.250608444213867 -D$8)</f>
        <v>0</v>
      </c>
      <c r="F28" t="str">
        <f>F$9 * (0.007098529953509569 -F$8)</f>
        <v>0</v>
      </c>
      <c r="G28" t="str">
        <f>G$9 * (1.81311297416687 -G$8)</f>
        <v>0</v>
      </c>
      <c r="H28" t="str">
        <f>H$9 * (4.054679870605469 -H$8)</f>
        <v>0</v>
      </c>
      <c r="I28" t="str">
        <f>I$9 * (21.10944938659668 -I$8)</f>
        <v>0</v>
      </c>
    </row>
    <row r="29" spans="1:11">
      <c r="A29" t="str">
        <f>A$9 * (4.500080585479736 -A$8)</f>
        <v>0</v>
      </c>
      <c r="B29" t="str">
        <f>B$9 * (4.500080585479736 -B$8)</f>
        <v>0</v>
      </c>
      <c r="C29" t="str">
        <f>C$9 * (4.500080585479736 -C$8)</f>
        <v>0</v>
      </c>
      <c r="D29" t="str">
        <f>D$9 * (4.500080585479736 -D$8)</f>
        <v>0</v>
      </c>
      <c r="F29" t="str">
        <f>F$9 * (0.01275001000612974 -F$8)</f>
        <v>0</v>
      </c>
      <c r="G29" t="str">
        <f>G$9 * (1.881240963935852 -G$8)</f>
        <v>0</v>
      </c>
      <c r="H29" t="str">
        <f>H$9 * (2.928603887557983 -H$8)</f>
        <v>0</v>
      </c>
      <c r="I29" t="str">
        <f>I$9 * (18.06533050537109 -I$8)</f>
        <v>0</v>
      </c>
    </row>
    <row r="30" spans="1:11">
      <c r="A30" t="str">
        <f>A$9 * (4.750102996826172 -A$8)</f>
        <v>0</v>
      </c>
      <c r="B30" t="str">
        <f>B$9 * (4.750102996826172 -B$8)</f>
        <v>0</v>
      </c>
      <c r="C30" t="str">
        <f>C$9 * (4.750102996826172 -C$8)</f>
        <v>0</v>
      </c>
      <c r="D30" t="str">
        <f>D$9 * (4.750102996826172 -D$8)</f>
        <v>0</v>
      </c>
      <c r="F30" t="str">
        <f>F$9 * (0.01124729961156845 -F$8)</f>
        <v>0</v>
      </c>
      <c r="G30" t="str">
        <f>G$9 * (1.988312005996704 -G$8)</f>
        <v>0</v>
      </c>
      <c r="H30" t="str">
        <f>H$9 * (3.413183927536011 -H$8)</f>
        <v>0</v>
      </c>
      <c r="I30" t="str">
        <f>I$9 * (21.98818969726562 -I$8)</f>
        <v>0</v>
      </c>
    </row>
    <row r="31" spans="1:11">
      <c r="A31" t="str">
        <f>A$9 * (5.000124931335449 -A$8)</f>
        <v>0</v>
      </c>
      <c r="B31" t="str">
        <f>B$9 * (5.000124931335449 -B$8)</f>
        <v>0</v>
      </c>
      <c r="C31" t="str">
        <f>C$9 * (5.000124931335449 -C$8)</f>
        <v>0</v>
      </c>
      <c r="D31" t="str">
        <f>D$9 * (5.000124931335449 -D$8)</f>
        <v>0</v>
      </c>
      <c r="F31" t="str">
        <f>F$9 * (0.00835808739066124 -F$8)</f>
        <v>0</v>
      </c>
      <c r="G31" t="str">
        <f>G$9 * (1.903880953788757 -G$8)</f>
        <v>0</v>
      </c>
      <c r="H31" t="str">
        <f>H$9 * (3.89182710647583 -H$8)</f>
        <v>0</v>
      </c>
      <c r="I31" t="str">
        <f>I$9 * (22.12310981750488 -I$8)</f>
        <v>0</v>
      </c>
    </row>
    <row r="32" spans="1:11">
      <c r="A32" t="str">
        <f>A$9 * (5.250147342681885 -A$8)</f>
        <v>0</v>
      </c>
      <c r="B32" t="str">
        <f>B$9 * (5.250147342681885 -B$8)</f>
        <v>0</v>
      </c>
      <c r="C32" t="str">
        <f>C$9 * (5.250147342681885 -C$8)</f>
        <v>0</v>
      </c>
      <c r="D32" t="str">
        <f>D$9 * (5.250147342681885 -D$8)</f>
        <v>0</v>
      </c>
      <c r="F32" t="str">
        <f>F$9 * (0.007808811031281948 -F$8)</f>
        <v>0</v>
      </c>
      <c r="G32" t="str">
        <f>G$9 * (1.794935941696167 -G$8)</f>
        <v>0</v>
      </c>
      <c r="H32" t="str">
        <f>H$9 * (3.858082056045532 -H$8)</f>
        <v>0</v>
      </c>
      <c r="I32" t="str">
        <f>I$9 * (20.45653915405273 -I$8)</f>
        <v>0</v>
      </c>
    </row>
    <row r="33" spans="1:11">
      <c r="A33" t="str">
        <f>A$9 * (5.500169277191162 -A$8)</f>
        <v>0</v>
      </c>
      <c r="B33" t="str">
        <f>B$9 * (5.500169277191162 -B$8)</f>
        <v>0</v>
      </c>
      <c r="C33" t="str">
        <f>C$9 * (5.500169277191162 -C$8)</f>
        <v>0</v>
      </c>
      <c r="D33" t="str">
        <f>D$9 * (5.500169277191162 -D$8)</f>
        <v>0</v>
      </c>
      <c r="F33" t="str">
        <f>F$9 * (0.01244520023465157 -F$8)</f>
        <v>0</v>
      </c>
      <c r="G33" t="str">
        <f>G$9 * (1.897909045219421 -G$8)</f>
        <v>0</v>
      </c>
      <c r="H33" t="str">
        <f>H$9 * (3.009910106658936 -H$8)</f>
        <v>0</v>
      </c>
      <c r="I33" t="str">
        <f>I$9 * (18.94076919555664 -I$8)</f>
        <v>0</v>
      </c>
    </row>
    <row r="34" spans="1:11">
      <c r="A34" t="str">
        <f>A$9 * (5.750191688537598 -A$8)</f>
        <v>0</v>
      </c>
      <c r="B34" t="str">
        <f>B$9 * (5.750191688537598 -B$8)</f>
        <v>0</v>
      </c>
      <c r="C34" t="str">
        <f>C$9 * (5.750191688537598 -C$8)</f>
        <v>0</v>
      </c>
      <c r="D34" t="str">
        <f>D$9 * (5.750191688537598 -D$8)</f>
        <v>0</v>
      </c>
      <c r="F34" t="str">
        <f>F$9 * (0.01060689985752106 -F$8)</f>
        <v>0</v>
      </c>
      <c r="G34" t="str">
        <f>G$9 * (1.957725048065186 -G$8)</f>
        <v>0</v>
      </c>
      <c r="H34" t="str">
        <f>H$9 * (3.489475011825562 -H$8)</f>
        <v>0</v>
      </c>
      <c r="I34" t="str">
        <f>I$9 * (21.85592079162598 -I$8)</f>
        <v>0</v>
      </c>
    </row>
    <row r="35" spans="1:11">
      <c r="A35" t="str">
        <f>A$9 * (6.000214099884033 -A$8)</f>
        <v>0</v>
      </c>
      <c r="B35" t="str">
        <f>B$9 * (6.000214099884033 -B$8)</f>
        <v>0</v>
      </c>
      <c r="C35" t="str">
        <f>C$9 * (6.000214099884033 -C$8)</f>
        <v>0</v>
      </c>
      <c r="D35" t="str">
        <f>D$9 * (6.000214099884033 -D$8)</f>
        <v>0</v>
      </c>
      <c r="F35" t="str">
        <f>F$9 * (0.008626800030469894 -F$8)</f>
        <v>0</v>
      </c>
      <c r="G35" t="str">
        <f>G$9 * (1.893583059310913 -G$8)</f>
        <v>0</v>
      </c>
      <c r="H35" t="str">
        <f>H$9 * (3.823539972305298 -H$8)</f>
        <v>0</v>
      </c>
      <c r="I35" t="str">
        <f>I$9 * (21.90521049499512 -I$8)</f>
        <v>0</v>
      </c>
    </row>
    <row r="36" spans="1:11">
      <c r="A36" t="str">
        <f>A$9 * (6.250236034393311 -A$8)</f>
        <v>0</v>
      </c>
      <c r="B36" t="str">
        <f>B$9 * (6.250236034393311 -B$8)</f>
        <v>0</v>
      </c>
      <c r="C36" t="str">
        <f>C$9 * (6.250236034393311 -C$8)</f>
        <v>0</v>
      </c>
      <c r="D36" t="str">
        <f>D$9 * (6.250236034393311 -D$8)</f>
        <v>0</v>
      </c>
      <c r="F36" t="str">
        <f>F$9 * (0.008631167933344841 -F$8)</f>
        <v>0</v>
      </c>
      <c r="G36" t="str">
        <f>G$9 * (1.808351039886475 -G$8)</f>
        <v>0</v>
      </c>
      <c r="H36" t="str">
        <f>H$9 * (3.68880295753479 -H$8)</f>
        <v>0</v>
      </c>
      <c r="I36" t="str">
        <f>I$9 * (20.22295951843262 -I$8)</f>
        <v>0</v>
      </c>
    </row>
    <row r="37" spans="1:11">
      <c r="A37" t="str">
        <f>A$9 * (6.500255584716797 -A$8)</f>
        <v>0</v>
      </c>
      <c r="B37" t="str">
        <f>B$9 * (6.500255584716797 -B$8)</f>
        <v>0</v>
      </c>
      <c r="C37" t="str">
        <f>C$9 * (6.500255584716797 -C$8)</f>
        <v>0</v>
      </c>
      <c r="D37" t="str">
        <f>D$9 * (6.500255584716797 -D$8)</f>
        <v>0</v>
      </c>
      <c r="F37" t="str">
        <f>F$9 * (0.01227410044521093 -F$8)</f>
        <v>0</v>
      </c>
      <c r="G37" t="str">
        <f>G$9 * (1.890519022941589 -G$8)</f>
        <v>0</v>
      </c>
      <c r="H37" t="str">
        <f>H$9 * (3.081933975219727 -H$8)</f>
        <v>0</v>
      </c>
      <c r="I37" t="str">
        <f>I$9 * (20.03248977661133 -I$8)</f>
        <v>0</v>
      </c>
    </row>
    <row r="38" spans="1:11">
      <c r="A38" t="str">
        <f>A$9 * (6.750277996063232 -A$8)</f>
        <v>0</v>
      </c>
      <c r="B38" t="str">
        <f>B$9 * (6.750277996063232 -B$8)</f>
        <v>0</v>
      </c>
      <c r="C38" t="str">
        <f>C$9 * (6.750277996063232 -C$8)</f>
        <v>0</v>
      </c>
      <c r="D38" t="str">
        <f>D$9 * (6.750277996063232 -D$8)</f>
        <v>0</v>
      </c>
      <c r="F38" t="str">
        <f>F$9 * (0.01033032033592463 -F$8)</f>
        <v>0</v>
      </c>
      <c r="G38" t="str">
        <f>G$9 * (1.950119972229004 -G$8)</f>
        <v>0</v>
      </c>
      <c r="H38" t="str">
        <f>H$9 * (3.53302788734436 -H$8)</f>
        <v>0</v>
      </c>
      <c r="I38" t="str">
        <f>I$9 * (21.8056697845459 -I$8)</f>
        <v>0</v>
      </c>
    </row>
    <row r="39" spans="1:11">
      <c r="A39" t="str">
        <f>A$9 * (7.00029993057251 -A$8)</f>
        <v>0</v>
      </c>
      <c r="B39" t="str">
        <f>B$9 * (7.00029993057251 -B$8)</f>
        <v>0</v>
      </c>
      <c r="C39" t="str">
        <f>C$9 * (7.00029993057251 -C$8)</f>
        <v>0</v>
      </c>
      <c r="D39" t="str">
        <f>D$9 * (7.00029993057251 -D$8)</f>
        <v>0</v>
      </c>
      <c r="F39" t="str">
        <f>F$9 * (0.009070499800145626 -F$8)</f>
        <v>0</v>
      </c>
      <c r="G39" t="str">
        <f>G$9 * (1.897393941879272 -G$8)</f>
        <v>0</v>
      </c>
      <c r="H39" t="str">
        <f>H$9 * (3.733963012695312 -H$8)</f>
        <v>0</v>
      </c>
      <c r="I39" t="str">
        <f>I$9 * (21.66011047363281 -I$8)</f>
        <v>0</v>
      </c>
    </row>
    <row r="40" spans="1:11">
      <c r="A40" t="str">
        <f>A$9 * (7.250322341918945 -A$8)</f>
        <v>0</v>
      </c>
      <c r="B40" t="str">
        <f>B$9 * (7.250322341918945 -B$8)</f>
        <v>0</v>
      </c>
      <c r="C40" t="str">
        <f>C$9 * (7.250322341918945 -C$8)</f>
        <v>0</v>
      </c>
      <c r="D40" t="str">
        <f>D$9 * (7.250322341918945 -D$8)</f>
        <v>0</v>
      </c>
      <c r="F40" t="str">
        <f>F$9 * (0.00943301897495985 -F$8)</f>
        <v>0</v>
      </c>
      <c r="G40" t="str">
        <f>G$9 * (1.865110993385315 -G$8)</f>
        <v>0</v>
      </c>
      <c r="H40" t="str">
        <f>H$9 * (3.583715915679932 -H$8)</f>
        <v>0</v>
      </c>
      <c r="I40" t="str">
        <f>I$9 * (20.62030029296875 -I$8)</f>
        <v>0</v>
      </c>
    </row>
    <row r="41" spans="1:11">
      <c r="A41" t="str">
        <f>A$9 * (7.500344276428223 -A$8)</f>
        <v>0</v>
      </c>
      <c r="B41" t="str">
        <f>B$9 * (7.500344276428223 -B$8)</f>
        <v>0</v>
      </c>
      <c r="C41" t="str">
        <f>C$9 * (7.500344276428223 -C$8)</f>
        <v>0</v>
      </c>
      <c r="D41" t="str">
        <f>D$9 * (7.500344276428223 -D$8)</f>
        <v>0</v>
      </c>
      <c r="F41" t="str">
        <f>F$9 * (0.01158741023391485 -F$8)</f>
        <v>0</v>
      </c>
      <c r="G41" t="str">
        <f>G$9 * (1.907662987709045 -G$8)</f>
        <v>0</v>
      </c>
      <c r="H41" t="str">
        <f>H$9 * (3.221951007843018 -H$8)</f>
        <v>0</v>
      </c>
      <c r="I41" t="str">
        <f>I$9 * (20.46223068237305 -I$8)</f>
        <v>0</v>
      </c>
    </row>
    <row r="42" spans="1:11">
      <c r="A42" t="str">
        <f>A$9 * (7.750366687774658 -A$8)</f>
        <v>0</v>
      </c>
      <c r="B42" t="str">
        <f>B$9 * (7.750366687774658 -B$8)</f>
        <v>0</v>
      </c>
      <c r="C42" t="str">
        <f>C$9 * (7.750366687774658 -C$8)</f>
        <v>0</v>
      </c>
      <c r="D42" t="str">
        <f>D$9 * (7.750366687774658 -D$8)</f>
        <v>0</v>
      </c>
      <c r="F42" t="str">
        <f>F$9 * (0.01023446023464203 -F$8)</f>
        <v>0</v>
      </c>
      <c r="G42" t="str">
        <f>G$9 * (1.934888005256653 -G$8)</f>
        <v>0</v>
      </c>
      <c r="H42" t="str">
        <f>H$9 * (3.528800964355469 -H$8)</f>
        <v>0</v>
      </c>
      <c r="I42" t="str">
        <f>I$9 * (21.61075973510742 -I$8)</f>
        <v>0</v>
      </c>
    </row>
    <row r="43" spans="1:11">
      <c r="A43" t="str">
        <f>A$9 * (8.000389099121094 -A$8)</f>
        <v>0</v>
      </c>
      <c r="B43" t="str">
        <f>B$9 * (8.000389099121094 -B$8)</f>
        <v>0</v>
      </c>
      <c r="C43" t="str">
        <f>C$9 * (8.000389099121094 -C$8)</f>
        <v>0</v>
      </c>
      <c r="D43" t="str">
        <f>D$9 * (8.000389099121094 -D$8)</f>
        <v>0</v>
      </c>
      <c r="F43" t="str">
        <f>F$9 * (0.009218111634254456 -F$8)</f>
        <v>0</v>
      </c>
      <c r="G43" t="str">
        <f>G$9 * (1.890633940696716 -G$8)</f>
        <v>0</v>
      </c>
      <c r="H43" t="str">
        <f>H$9 * (3.687172889709473 -H$8)</f>
        <v>0</v>
      </c>
      <c r="I43" t="str">
        <f>I$9 * (21.48228073120117 -I$8)</f>
        <v>0</v>
      </c>
    </row>
    <row r="44" spans="1:11">
      <c r="A44" t="str">
        <f>A$9 * (8.250411033630371 -A$8)</f>
        <v>0</v>
      </c>
      <c r="B44" t="str">
        <f>B$9 * (8.250411033630371 -B$8)</f>
        <v>0</v>
      </c>
      <c r="C44" t="str">
        <f>C$9 * (8.250411033630371 -C$8)</f>
        <v>0</v>
      </c>
      <c r="D44" t="str">
        <f>D$9 * (8.250411033630371 -D$8)</f>
        <v>0</v>
      </c>
      <c r="F44" t="str">
        <f>F$9 * (0.009782266803085804 -F$8)</f>
        <v>0</v>
      </c>
      <c r="G44" t="str">
        <f>G$9 * (1.876167058944702 -G$8)</f>
        <v>0</v>
      </c>
      <c r="H44" t="str">
        <f>H$9 * (3.524909973144531 -H$8)</f>
        <v>0</v>
      </c>
      <c r="I44" t="str">
        <f>I$9 * (20.70138931274414 -I$8)</f>
        <v>0</v>
      </c>
    </row>
    <row r="45" spans="1:11">
      <c r="A45" t="str">
        <f>A$9 * (8.500432968139648 -A$8)</f>
        <v>0</v>
      </c>
      <c r="B45" t="str">
        <f>B$9 * (8.500432968139648 -B$8)</f>
        <v>0</v>
      </c>
      <c r="C45" t="str">
        <f>C$9 * (8.500432968139648 -C$8)</f>
        <v>0</v>
      </c>
      <c r="D45" t="str">
        <f>D$9 * (8.500432968139648 -D$8)</f>
        <v>0</v>
      </c>
      <c r="F45" t="str">
        <f>F$9 * (0.01113994978368282 -F$8)</f>
        <v>0</v>
      </c>
      <c r="G45" t="str">
        <f>G$9 * (1.912744045257568 -G$8)</f>
        <v>0</v>
      </c>
      <c r="H45" t="str">
        <f>H$9 * (3.310581922531128 -H$8)</f>
        <v>0</v>
      </c>
      <c r="I45" t="str">
        <f>I$9 * (20.71396064758301 -I$8)</f>
        <v>0</v>
      </c>
    </row>
    <row r="46" spans="1:11">
      <c r="A46" t="str">
        <f>A$9 * (8.750455856323242 -A$8)</f>
        <v>0</v>
      </c>
      <c r="B46" t="str">
        <f>B$9 * (8.750455856323242 -B$8)</f>
        <v>0</v>
      </c>
      <c r="C46" t="str">
        <f>C$9 * (8.750455856323242 -C$8)</f>
        <v>0</v>
      </c>
      <c r="D46" t="str">
        <f>D$9 * (8.750455856323242 -D$8)</f>
        <v>0</v>
      </c>
      <c r="F46" t="str">
        <f>F$9 * (0.01018907036632299 -F$8)</f>
        <v>0</v>
      </c>
      <c r="G46" t="str">
        <f>G$9 * (1.930225014686584 -G$8)</f>
        <v>0</v>
      </c>
      <c r="H46" t="str">
        <f>H$9 * (3.529598951339722 -H$8)</f>
        <v>0</v>
      </c>
      <c r="I46" t="str">
        <f>I$9 * (21.49667930603027 -I$8)</f>
        <v>0</v>
      </c>
    </row>
    <row r="47" spans="1:11">
      <c r="A47" t="str">
        <f>A$9 * (9.00047779083252 -A$8)</f>
        <v>0</v>
      </c>
      <c r="B47" t="str">
        <f>B$9 * (9.00047779083252 -B$8)</f>
        <v>0</v>
      </c>
      <c r="C47" t="str">
        <f>C$9 * (9.00047779083252 -C$8)</f>
        <v>0</v>
      </c>
      <c r="D47" t="str">
        <f>D$9 * (9.00047779083252 -D$8)</f>
        <v>0</v>
      </c>
      <c r="F47" t="str">
        <f>F$9 * (0.009436138905584812 -F$8)</f>
        <v>0</v>
      </c>
      <c r="G47" t="str">
        <f>G$9 * (1.897547960281372 -G$8)</f>
        <v>0</v>
      </c>
      <c r="H47" t="str">
        <f>H$9 * (3.644093990325928 -H$8)</f>
        <v>0</v>
      </c>
      <c r="I47" t="str">
        <f>I$9 * (21.37198066711426 -I$8)</f>
        <v>0</v>
      </c>
    </row>
    <row r="48" spans="1:11">
      <c r="A48" t="str">
        <f>A$9 * (9.250499725341797 -A$8)</f>
        <v>0</v>
      </c>
      <c r="B48" t="str">
        <f>B$9 * (9.250499725341797 -B$8)</f>
        <v>0</v>
      </c>
      <c r="C48" t="str">
        <f>C$9 * (9.250499725341797 -C$8)</f>
        <v>0</v>
      </c>
      <c r="D48" t="str">
        <f>D$9 * (9.250499725341797 -D$8)</f>
        <v>0</v>
      </c>
      <c r="F48" t="str">
        <f>F$9 * (0.01000901963561773 -F$8)</f>
        <v>0</v>
      </c>
      <c r="G48" t="str">
        <f>G$9 * (1.888286948204041 -G$8)</f>
        <v>0</v>
      </c>
      <c r="H48" t="str">
        <f>H$9 * (3.495136976242065 -H$8)</f>
        <v>0</v>
      </c>
      <c r="I48" t="str">
        <f>I$9 * (20.76733016967773 -I$8)</f>
        <v>0</v>
      </c>
    </row>
    <row r="49" spans="1:11">
      <c r="A49" t="str">
        <f>A$9 * (9.500522613525391 -A$8)</f>
        <v>0</v>
      </c>
      <c r="B49" t="str">
        <f>B$9 * (9.500522613525391 -B$8)</f>
        <v>0</v>
      </c>
      <c r="C49" t="str">
        <f>C$9 * (9.500522613525391 -C$8)</f>
        <v>0</v>
      </c>
      <c r="D49" t="str">
        <f>D$9 * (9.500522613525391 -D$8)</f>
        <v>0</v>
      </c>
      <c r="F49" t="str">
        <f>F$9 * (0.01085361000150442 -F$8)</f>
        <v>0</v>
      </c>
      <c r="G49" t="str">
        <f>G$9 * (1.914968967437744 -G$8)</f>
        <v>0</v>
      </c>
      <c r="H49" t="str">
        <f>H$9 * (3.368093013763428 -H$8)</f>
        <v>0</v>
      </c>
      <c r="I49" t="str">
        <f>I$9 * (20.85585021972656 -I$8)</f>
        <v>0</v>
      </c>
    </row>
    <row r="50" spans="1:11">
      <c r="A50" t="str">
        <f>A$9 * (9.750544548034668 -A$8)</f>
        <v>0</v>
      </c>
      <c r="B50" t="str">
        <f>B$9 * (9.750544548034668 -B$8)</f>
        <v>0</v>
      </c>
      <c r="C50" t="str">
        <f>C$9 * (9.750544548034668 -C$8)</f>
        <v>0</v>
      </c>
      <c r="D50" t="str">
        <f>D$9 * (9.750544548034668 -D$8)</f>
        <v>0</v>
      </c>
      <c r="F50" t="str">
        <f>F$9 * (0.0101319495588541 -F$8)</f>
        <v>0</v>
      </c>
      <c r="G50" t="str">
        <f>G$9 * (1.923313975334167 -G$8)</f>
        <v>0</v>
      </c>
      <c r="H50" t="str">
        <f>H$9 * (3.530019044876099 -H$8)</f>
        <v>0</v>
      </c>
      <c r="I50" t="str">
        <f>I$9 * (21.393310546875 -I$8)</f>
        <v>0</v>
      </c>
    </row>
    <row r="51" spans="1:11">
      <c r="A51" t="str">
        <f>A$9 * (10.00056648254395 -A$8)</f>
        <v>0</v>
      </c>
      <c r="B51" t="str">
        <f>B$9 * (10.00056648254395 -B$8)</f>
        <v>0</v>
      </c>
      <c r="C51" t="str">
        <f>C$9 * (10.00056648254395 -C$8)</f>
        <v>0</v>
      </c>
      <c r="D51" t="str">
        <f>D$9 * (10.00056648254395 -D$8)</f>
        <v>0</v>
      </c>
      <c r="F51" t="str">
        <f>F$9 * (0.009593858383595943 -F$8)</f>
        <v>0</v>
      </c>
      <c r="G51" t="str">
        <f>G$9 * (1.898874044418335 -G$8)</f>
        <v>0</v>
      </c>
      <c r="H51" t="str">
        <f>H$9 * (3.608772039413452 -H$8)</f>
        <v>0</v>
      </c>
      <c r="I51" t="str">
        <f>I$9 * (21.27393913269043 -I$8)</f>
        <v>0</v>
      </c>
    </row>
    <row r="52" spans="1:11">
      <c r="A52" t="str">
        <f>A$9 * (10.25058841705322 -A$8)</f>
        <v>0</v>
      </c>
      <c r="B52" t="str">
        <f>B$9 * (10.25058841705322 -B$8)</f>
        <v>0</v>
      </c>
      <c r="C52" t="str">
        <f>C$9 * (10.25058841705322 -C$8)</f>
        <v>0</v>
      </c>
      <c r="D52" t="str">
        <f>D$9 * (10.25058841705322 -D$8)</f>
        <v>0</v>
      </c>
      <c r="F52" t="str">
        <f>F$9 * (0.01011359971016645 -F$8)</f>
        <v>0</v>
      </c>
      <c r="G52" t="str">
        <f>G$9 * (1.894212961196899 -G$8)</f>
        <v>0</v>
      </c>
      <c r="H52" t="str">
        <f>H$9 * (3.482986927032471 -H$8)</f>
        <v>0</v>
      </c>
      <c r="I52" t="str">
        <f>I$9 * (20.82502937316895 -I$8)</f>
        <v>0</v>
      </c>
    </row>
    <row r="53" spans="1:11">
      <c r="A53" t="str">
        <f>A$9 * (10.50060844421387 -A$8)</f>
        <v>0</v>
      </c>
      <c r="B53" t="str">
        <f>B$9 * (10.50060844421387 -B$8)</f>
        <v>0</v>
      </c>
      <c r="C53" t="str">
        <f>C$9 * (10.50060844421387 -C$8)</f>
        <v>0</v>
      </c>
      <c r="D53" t="str">
        <f>D$9 * (10.50060844421387 -D$8)</f>
        <v>0</v>
      </c>
      <c r="F53" t="str">
        <f>F$9 * (0.01065960992127657 -F$8)</f>
        <v>0</v>
      </c>
      <c r="G53" t="str">
        <f>G$9 * (1.915102005004883 -G$8)</f>
        <v>0</v>
      </c>
      <c r="H53" t="str">
        <f>H$9 * (3.406325101852417 -H$8)</f>
        <v>0</v>
      </c>
      <c r="I53" t="str">
        <f>I$9 * (20.94516944885254 -I$8)</f>
        <v>0</v>
      </c>
    </row>
    <row r="54" spans="1:11">
      <c r="A54" t="str">
        <f>A$9 * (10.75063037872314 -A$8)</f>
        <v>0</v>
      </c>
      <c r="B54" t="str">
        <f>B$9 * (10.75063037872314 -B$8)</f>
        <v>0</v>
      </c>
      <c r="C54" t="str">
        <f>C$9 * (10.75063037872314 -C$8)</f>
        <v>0</v>
      </c>
      <c r="D54" t="str">
        <f>D$9 * (10.75063037872314 -D$8)</f>
        <v>0</v>
      </c>
      <c r="F54" t="str">
        <f>F$9 * (0.01009717024862766 -F$8)</f>
        <v>0</v>
      </c>
      <c r="G54" t="str">
        <f>G$9 * (1.918601989746094 -G$8)</f>
        <v>0</v>
      </c>
      <c r="H54" t="str">
        <f>H$9 * (3.529437065124512 -H$8)</f>
        <v>0</v>
      </c>
      <c r="I54" t="str">
        <f>I$9 * (21.32176971435547 -I$8)</f>
        <v>0</v>
      </c>
    </row>
    <row r="55" spans="1:11">
      <c r="A55" t="str">
        <f>A$9 * (11.00065231323242 -A$8)</f>
        <v>0</v>
      </c>
      <c r="B55" t="str">
        <f>B$9 * (11.00065231323242 -B$8)</f>
        <v>0</v>
      </c>
      <c r="C55" t="str">
        <f>C$9 * (11.00065231323242 -C$8)</f>
        <v>0</v>
      </c>
      <c r="D55" t="str">
        <f>D$9 * (11.00065231323242 -D$8)</f>
        <v>0</v>
      </c>
      <c r="F55" t="str">
        <f>F$9 * (0.009728076867759228 -F$8)</f>
        <v>0</v>
      </c>
      <c r="G55" t="str">
        <f>G$9 * (1.900537014007568 -G$8)</f>
        <v>0</v>
      </c>
      <c r="H55" t="str">
        <f>H$9 * (3.580410957336426 -H$8)</f>
        <v>0</v>
      </c>
      <c r="I55" t="str">
        <f>I$9 * (21.20739936828613 -I$8)</f>
        <v>0</v>
      </c>
    </row>
    <row r="56" spans="1:11">
      <c r="A56" t="str">
        <f>A$9 * (11.25001621246338 -A$8)</f>
        <v>0</v>
      </c>
      <c r="B56" t="str">
        <f>B$9 * (11.25001621246338 -B$8)</f>
        <v>0</v>
      </c>
      <c r="C56" t="str">
        <f>C$9 * (11.25001621246338 -C$8)</f>
        <v>0</v>
      </c>
      <c r="D56" t="str">
        <f>D$9 * (11.25001621246338 -D$8)</f>
        <v>0</v>
      </c>
      <c r="F56" t="str">
        <f>F$9 * (0.01016843039542437 -F$8)</f>
        <v>0</v>
      </c>
      <c r="G56" t="str">
        <f>G$9 * (1.89874804019928 -G$8)</f>
        <v>0</v>
      </c>
      <c r="H56" t="str">
        <f>H$9 * (3.479233026504517 -H$8)</f>
        <v>0</v>
      </c>
      <c r="I56" t="str">
        <f>I$9 * (20.88340950012207 -I$8)</f>
        <v>0</v>
      </c>
    </row>
    <row r="57" spans="1:11">
      <c r="A57" t="str">
        <f>A$9 * (11.50003910064697 -A$8)</f>
        <v>0</v>
      </c>
      <c r="B57" t="str">
        <f>B$9 * (11.50003910064697 -B$8)</f>
        <v>0</v>
      </c>
      <c r="C57" t="str">
        <f>C$9 * (11.50003910064697 -C$8)</f>
        <v>0</v>
      </c>
      <c r="D57" t="str">
        <f>D$9 * (11.50003910064697 -D$8)</f>
        <v>0</v>
      </c>
      <c r="F57" t="str">
        <f>F$9 * (0.01051563024520874 -F$8)</f>
        <v>0</v>
      </c>
      <c r="G57" t="str">
        <f>G$9 * (1.914558053016663 -G$8)</f>
        <v>0</v>
      </c>
      <c r="H57" t="str">
        <f>H$9 * (3.434350967407227 -H$8)</f>
        <v>0</v>
      </c>
      <c r="I57" t="str">
        <f>I$9 * (21.00489044189453 -I$8)</f>
        <v>0</v>
      </c>
    </row>
    <row r="58" spans="1:11">
      <c r="A58" t="str">
        <f>A$9 * (11.75006103515625 -A$8)</f>
        <v>0</v>
      </c>
      <c r="B58" t="str">
        <f>B$9 * (11.75006103515625 -B$8)</f>
        <v>0</v>
      </c>
      <c r="C58" t="str">
        <f>C$9 * (11.75006103515625 -C$8)</f>
        <v>0</v>
      </c>
      <c r="D58" t="str">
        <f>D$9 * (11.75006103515625 -D$8)</f>
        <v>0</v>
      </c>
      <c r="F58" t="str">
        <f>F$9 * (0.01008670963346958 -F$8)</f>
        <v>0</v>
      </c>
      <c r="G58" t="str">
        <f>G$9 * (1.915771961212158 -G$8)</f>
        <v>0</v>
      </c>
      <c r="H58" t="str">
        <f>H$9 * (3.52680492401123 -H$8)</f>
        <v>0</v>
      </c>
      <c r="I58" t="str">
        <f>I$9 * (21.27212905883789 -I$8)</f>
        <v>0</v>
      </c>
    </row>
    <row r="59" spans="1:11">
      <c r="A59" t="str">
        <f>A$9 * (12.00008296966553 -A$8)</f>
        <v>0</v>
      </c>
      <c r="B59" t="str">
        <f>B$9 * (12.00008296966553 -B$8)</f>
        <v>0</v>
      </c>
      <c r="C59" t="str">
        <f>C$9 * (12.00008296966553 -C$8)</f>
        <v>0</v>
      </c>
      <c r="D59" t="str">
        <f>D$9 * (12.00008296966553 -D$8)</f>
        <v>0</v>
      </c>
      <c r="F59" t="str">
        <f>F$9 * (0.009836414828896523 -F$8)</f>
        <v>0</v>
      </c>
      <c r="G59" t="str">
        <f>G$9 * (1.902207016944885 -G$8)</f>
        <v>0</v>
      </c>
      <c r="H59" t="str">
        <f>H$9 * (3.558588981628418 -H$8)</f>
        <v>0</v>
      </c>
      <c r="I59" t="str">
        <f>I$9 * (21.16435050964355 -I$8)</f>
        <v>0</v>
      </c>
    </row>
    <row r="60" spans="1:11">
      <c r="A60" t="str">
        <f>A$9 * (12.25010585784912 -A$8)</f>
        <v>0</v>
      </c>
      <c r="B60" t="str">
        <f>B$9 * (12.25010585784912 -B$8)</f>
        <v>0</v>
      </c>
      <c r="C60" t="str">
        <f>C$9 * (12.25010585784912 -C$8)</f>
        <v>0</v>
      </c>
      <c r="D60" t="str">
        <f>D$9 * (12.25010585784912 -D$8)</f>
        <v>0</v>
      </c>
      <c r="F60" t="str">
        <f>F$9 * (0.01019216980785131 -F$8)</f>
        <v>0</v>
      </c>
      <c r="G60" t="str">
        <f>G$9 * (1.901847004890442 -G$8)</f>
        <v>0</v>
      </c>
      <c r="H60" t="str">
        <f>H$9 * (3.479602098464966 -H$8)</f>
        <v>0</v>
      </c>
      <c r="I60" t="str">
        <f>I$9 * (20.93088912963867 -I$8)</f>
        <v>0</v>
      </c>
    </row>
    <row r="61" spans="1:11">
      <c r="A61" t="str">
        <f>A$9 * (12.50012493133545 -A$8)</f>
        <v>0</v>
      </c>
      <c r="B61" t="str">
        <f>B$9 * (12.50012493133545 -B$8)</f>
        <v>0</v>
      </c>
      <c r="C61" t="str">
        <f>C$9 * (12.50012493133545 -C$8)</f>
        <v>0</v>
      </c>
      <c r="D61" t="str">
        <f>D$9 * (12.50012493133545 -D$8)</f>
        <v>0</v>
      </c>
      <c r="F61" t="str">
        <f>F$9 * (0.01040219981223345 -F$8)</f>
        <v>0</v>
      </c>
      <c r="G61" t="str">
        <f>G$9 * (1.913596987724304 -G$8)</f>
        <v>0</v>
      </c>
      <c r="H61" t="str">
        <f>H$9 * (3.455934047698975 -H$8)</f>
        <v>0</v>
      </c>
      <c r="I61" t="str">
        <f>I$9 * (21.0449104309082 -I$8)</f>
        <v>0</v>
      </c>
    </row>
    <row r="62" spans="1:11">
      <c r="A62" t="str">
        <f>A$9 * (12.75014686584473 -A$8)</f>
        <v>0</v>
      </c>
      <c r="B62" t="str">
        <f>B$9 * (12.75014686584473 -B$8)</f>
        <v>0</v>
      </c>
      <c r="C62" t="str">
        <f>C$9 * (12.75014686584473 -C$8)</f>
        <v>0</v>
      </c>
      <c r="D62" t="str">
        <f>D$9 * (12.75014686584473 -D$8)</f>
        <v>0</v>
      </c>
      <c r="F62" t="str">
        <f>F$9 * (0.01007732003927231 -F$8)</f>
        <v>0</v>
      </c>
      <c r="G62" t="str">
        <f>G$9 * (1.913099050521851 -G$8)</f>
        <v>0</v>
      </c>
      <c r="H62" t="str">
        <f>H$9 * (3.524142026901245 -H$8)</f>
        <v>0</v>
      </c>
      <c r="I62" t="str">
        <f>I$9 * (21.22398948669434 -I$8)</f>
        <v>0</v>
      </c>
    </row>
    <row r="63" spans="1:11">
      <c r="A63" t="str">
        <f>A$9 * (13.00016975402832 -A$8)</f>
        <v>0</v>
      </c>
      <c r="B63" t="str">
        <f>B$9 * (13.00016975402832 -B$8)</f>
        <v>0</v>
      </c>
      <c r="C63" t="str">
        <f>C$9 * (13.00016975402832 -C$8)</f>
        <v>0</v>
      </c>
      <c r="D63" t="str">
        <f>D$9 * (13.00016975402832 -D$8)</f>
        <v>0</v>
      </c>
      <c r="F63" t="str">
        <f>F$9 * (0.009919594042003155 -F$8)</f>
        <v>0</v>
      </c>
      <c r="G63" t="str">
        <f>G$9 * (1.903421998023987 -G$8)</f>
        <v>0</v>
      </c>
      <c r="H63" t="str">
        <f>H$9 * (3.541968107223511 -H$8)</f>
        <v>0</v>
      </c>
      <c r="I63" t="str">
        <f>I$9 * (21.13179969787598 -I$8)</f>
        <v>0</v>
      </c>
    </row>
    <row r="64" spans="1:11">
      <c r="A64" t="str">
        <f>A$9 * (13.2501916885376 -A$8)</f>
        <v>0</v>
      </c>
      <c r="B64" t="str">
        <f>B$9 * (13.2501916885376 -B$8)</f>
        <v>0</v>
      </c>
      <c r="C64" t="str">
        <f>C$9 * (13.2501916885376 -C$8)</f>
        <v>0</v>
      </c>
      <c r="D64" t="str">
        <f>D$9 * (13.2501916885376 -D$8)</f>
        <v>0</v>
      </c>
      <c r="F64" t="str">
        <f>F$9 * (0.01020080037415028 -F$8)</f>
        <v>0</v>
      </c>
      <c r="G64" t="str">
        <f>G$9 * (1.904348015785217 -G$8)</f>
        <v>0</v>
      </c>
      <c r="H64" t="str">
        <f>H$9 * (3.482120037078857 -H$8)</f>
        <v>0</v>
      </c>
      <c r="I64" t="str">
        <f>I$9 * (20.97496032714844 -I$8)</f>
        <v>0</v>
      </c>
    </row>
    <row r="65" spans="1:11">
      <c r="A65" t="str">
        <f>A$9 * (13.50021362304688 -A$8)</f>
        <v>0</v>
      </c>
      <c r="B65" t="str">
        <f>B$9 * (13.50021362304688 -B$8)</f>
        <v>0</v>
      </c>
      <c r="C65" t="str">
        <f>C$9 * (13.50021362304688 -C$8)</f>
        <v>0</v>
      </c>
      <c r="D65" t="str">
        <f>D$9 * (13.50021362304688 -D$8)</f>
        <v>0</v>
      </c>
      <c r="F65" t="str">
        <f>F$9 * (0.01033145003020763 -F$8)</f>
        <v>0</v>
      </c>
      <c r="G65" t="str">
        <f>G$9 * (1.912796974182129 -G$8)</f>
        <v>0</v>
      </c>
      <c r="H65" t="str">
        <f>H$9 * (3.469264030456543 -H$8)</f>
        <v>0</v>
      </c>
      <c r="I65" t="str">
        <f>I$9 * (21.06722068786621 -I$8)</f>
        <v>0</v>
      </c>
    </row>
    <row r="66" spans="1:11">
      <c r="A66" t="str">
        <f>A$9 * (13.75023651123047 -A$8)</f>
        <v>0</v>
      </c>
      <c r="B66" t="str">
        <f>B$9 * (13.75023651123047 -B$8)</f>
        <v>0</v>
      </c>
      <c r="C66" t="str">
        <f>C$9 * (13.75023651123047 -C$8)</f>
        <v>0</v>
      </c>
      <c r="D66" t="str">
        <f>D$9 * (13.75023651123047 -D$8)</f>
        <v>0</v>
      </c>
      <c r="F66" t="str">
        <f>F$9 * (0.01007863972336054 -F$8)</f>
        <v>0</v>
      </c>
      <c r="G66" t="str">
        <f>G$9 * (1.911769986152649 -G$8)</f>
        <v>0</v>
      </c>
      <c r="H66" t="str">
        <f>H$9 * (3.521507024765015 -H$8)</f>
        <v>0</v>
      </c>
      <c r="I66" t="str">
        <f>I$9 * (21.19618034362793 -I$8)</f>
        <v>0</v>
      </c>
    </row>
    <row r="67" spans="1:11">
      <c r="A67" t="str">
        <f>A$9 * (14.00025844573975 -A$8)</f>
        <v>0</v>
      </c>
      <c r="B67" t="str">
        <f>B$9 * (14.00025844573975 -B$8)</f>
        <v>0</v>
      </c>
      <c r="C67" t="str">
        <f>C$9 * (14.00025844573975 -C$8)</f>
        <v>0</v>
      </c>
      <c r="D67" t="str">
        <f>D$9 * (14.00025844573975 -D$8)</f>
        <v>0</v>
      </c>
      <c r="F67" t="str">
        <f>F$9 * (0.009978777728974819 -F$8)</f>
        <v>0</v>
      </c>
      <c r="G67" t="str">
        <f>G$9 * (1.904700040817261 -G$8)</f>
        <v>0</v>
      </c>
      <c r="H67" t="str">
        <f>H$9 * (3.531021118164062 -H$8)</f>
        <v>0</v>
      </c>
      <c r="I67" t="str">
        <f>I$9 * (21.11816024780273 -I$8)</f>
        <v>0</v>
      </c>
    </row>
    <row r="68" spans="1:11">
      <c r="A68" t="str">
        <f>A$9 * (14.25028038024902 -A$8)</f>
        <v>0</v>
      </c>
      <c r="B68" t="str">
        <f>B$9 * (14.25028038024902 -B$8)</f>
        <v>0</v>
      </c>
      <c r="C68" t="str">
        <f>C$9 * (14.25028038024902 -C$8)</f>
        <v>0</v>
      </c>
      <c r="D68" t="str">
        <f>D$9 * (14.25028038024902 -D$8)</f>
        <v>0</v>
      </c>
      <c r="F68" t="str">
        <f>F$9 * (0.01020106021314859 -F$8)</f>
        <v>0</v>
      </c>
      <c r="G68" t="str">
        <f>G$9 * (1.905830979347229 -G$8)</f>
        <v>0</v>
      </c>
      <c r="H68" t="str">
        <f>H$9 * (3.48464298248291 -H$8)</f>
        <v>0</v>
      </c>
      <c r="I68" t="str">
        <f>I$9 * (21.00362968444824 -I$8)</f>
        <v>0</v>
      </c>
    </row>
    <row r="69" spans="1:11">
      <c r="A69" t="str">
        <f>A$9 * (14.5003023147583 -A$8)</f>
        <v>0</v>
      </c>
      <c r="B69" t="str">
        <f>B$9 * (14.5003023147583 -B$8)</f>
        <v>0</v>
      </c>
      <c r="C69" t="str">
        <f>C$9 * (14.5003023147583 -C$8)</f>
        <v>0</v>
      </c>
      <c r="D69" t="str">
        <f>D$9 * (14.5003023147583 -D$8)</f>
        <v>0</v>
      </c>
      <c r="F69" t="str">
        <f>F$9 * (0.01027514971792698 -F$8)</f>
        <v>0</v>
      </c>
      <c r="G69" t="str">
        <f>G$9 * (1.912224054336548 -G$8)</f>
        <v>0</v>
      </c>
      <c r="H69" t="str">
        <f>H$9 * (3.480081081390381 -H$8)</f>
        <v>0</v>
      </c>
      <c r="I69" t="str">
        <f>I$9 * (21.08719062805176 -I$8)</f>
        <v>0</v>
      </c>
    </row>
    <row r="70" spans="1:11">
      <c r="A70" t="str">
        <f>A$9 * (14.75032520294189 -A$8)</f>
        <v>0</v>
      </c>
      <c r="B70" t="str">
        <f>B$9 * (14.75032520294189 -B$8)</f>
        <v>0</v>
      </c>
      <c r="C70" t="str">
        <f>C$9 * (14.75032520294189 -C$8)</f>
        <v>0</v>
      </c>
      <c r="D70" t="str">
        <f>D$9 * (14.75032520294189 -D$8)</f>
        <v>0</v>
      </c>
      <c r="F70" t="str">
        <f>F$9 * (0.01008678041398525 -F$8)</f>
        <v>0</v>
      </c>
      <c r="G70" t="str">
        <f>G$9 * (1.91109299659729 -G$8)</f>
        <v>0</v>
      </c>
      <c r="H70" t="str">
        <f>H$9 * (3.518532991409302 -H$8)</f>
        <v>0</v>
      </c>
      <c r="I70" t="str">
        <f>I$9 * (21.1772403717041 -I$8)</f>
        <v>0</v>
      </c>
    </row>
    <row r="71" spans="1:11">
      <c r="A71" t="str">
        <f>A$9 * (15.00034713745117 -A$8)</f>
        <v>0</v>
      </c>
      <c r="B71" t="str">
        <f>B$9 * (15.00034713745117 -B$8)</f>
        <v>0</v>
      </c>
      <c r="C71" t="str">
        <f>C$9 * (15.00034713745117 -C$8)</f>
        <v>0</v>
      </c>
      <c r="D71" t="str">
        <f>D$9 * (15.00034713745117 -D$8)</f>
        <v>0</v>
      </c>
      <c r="F71" t="str">
        <f>F$9 * (0.01002611964941025 -F$8)</f>
        <v>0</v>
      </c>
      <c r="G71" t="str">
        <f>G$9 * (1.905769944190979 -G$8)</f>
        <v>0</v>
      </c>
      <c r="H71" t="str">
        <f>H$9 * (3.522440910339355 -H$8)</f>
        <v>0</v>
      </c>
      <c r="I71" t="str">
        <f>I$9 * (21.10877990722656 -I$8)</f>
        <v>0</v>
      </c>
    </row>
    <row r="72" spans="1:11">
      <c r="A72" t="str">
        <f>A$9 * (15.25036907196045 -A$8)</f>
        <v>0</v>
      </c>
      <c r="B72" t="str">
        <f>B$9 * (15.25036907196045 -B$8)</f>
        <v>0</v>
      </c>
      <c r="C72" t="str">
        <f>C$9 * (15.25036907196045 -C$8)</f>
        <v>0</v>
      </c>
      <c r="D72" t="str">
        <f>D$9 * (15.25036907196045 -D$8)</f>
        <v>0</v>
      </c>
      <c r="F72" t="str">
        <f>F$9 * (0.01019737962633371 -F$8)</f>
        <v>0</v>
      </c>
      <c r="G72" t="str">
        <f>G$9 * (1.907124042510986 -G$8)</f>
        <v>0</v>
      </c>
      <c r="H72" t="str">
        <f>H$9 * (3.487669944763184 -H$8)</f>
        <v>0</v>
      </c>
      <c r="I72" t="str">
        <f>I$9 * (21.03092956542969 -I$8)</f>
        <v>0</v>
      </c>
    </row>
    <row r="73" spans="1:11">
      <c r="A73" t="str">
        <f>A$9 * (15.50039196014404 -A$8)</f>
        <v>0</v>
      </c>
      <c r="B73" t="str">
        <f>B$9 * (15.50039196014404 -B$8)</f>
        <v>0</v>
      </c>
      <c r="C73" t="str">
        <f>C$9 * (15.50039196014404 -C$8)</f>
        <v>0</v>
      </c>
      <c r="D73" t="str">
        <f>D$9 * (15.50039196014404 -D$8)</f>
        <v>0</v>
      </c>
      <c r="F73" t="str">
        <f>F$9 * (0.01023073028773069 -F$8)</f>
        <v>0</v>
      </c>
      <c r="G73" t="str">
        <f>G$9 * (1.91159999370575 -G$8)</f>
        <v>0</v>
      </c>
      <c r="H73" t="str">
        <f>H$9 * (3.488383054733276 -H$8)</f>
        <v>0</v>
      </c>
      <c r="I73" t="str">
        <f>I$9 * (21.10000991821289 -I$8)</f>
        <v>0</v>
      </c>
    </row>
    <row r="74" spans="1:11">
      <c r="A74" t="str">
        <f>A$9 * (15.75041389465332 -A$8)</f>
        <v>0</v>
      </c>
      <c r="B74" t="str">
        <f>B$9 * (15.75041389465332 -B$8)</f>
        <v>0</v>
      </c>
      <c r="C74" t="str">
        <f>C$9 * (15.75041389465332 -C$8)</f>
        <v>0</v>
      </c>
      <c r="D74" t="str">
        <f>D$9 * (15.75041389465332 -D$8)</f>
        <v>0</v>
      </c>
      <c r="F74" t="str">
        <f>F$9 * (0.01008732989430428 -F$8)</f>
        <v>0</v>
      </c>
      <c r="G74" t="str">
        <f>G$9 * (1.91025698184967 -G$8)</f>
        <v>0</v>
      </c>
      <c r="H74" t="str">
        <f>H$9 * (3.51691198348999 -H$8)</f>
        <v>0</v>
      </c>
      <c r="I74" t="str">
        <f>I$9 * (21.15966033935547 -I$8)</f>
        <v>0</v>
      </c>
    </row>
    <row r="75" spans="1:11">
      <c r="A75" t="str">
        <f>A$9 * (16.00043678283691 -A$8)</f>
        <v>0</v>
      </c>
      <c r="B75" t="str">
        <f>B$9 * (16.00043678283691 -B$8)</f>
        <v>0</v>
      </c>
      <c r="C75" t="str">
        <f>C$9 * (16.00043678283691 -C$8)</f>
        <v>0</v>
      </c>
      <c r="D75" t="str">
        <f>D$9 * (16.00043678283691 -D$8)</f>
        <v>0</v>
      </c>
      <c r="F75" t="str">
        <f>F$9 * (0.01006386987864971 -F$8)</f>
        <v>0</v>
      </c>
      <c r="G75" t="str">
        <f>G$9 * (1.906592965126038 -G$8)</f>
        <v>0</v>
      </c>
      <c r="H75" t="str">
        <f>H$9 * (3.515588998794556 -H$8)</f>
        <v>0</v>
      </c>
      <c r="I75" t="str">
        <f>I$9 * (21.10087013244629 -I$8)</f>
        <v>0</v>
      </c>
    </row>
    <row r="76" spans="1:11">
      <c r="A76" t="str">
        <f>A$9 * (16.25045585632324 -A$8)</f>
        <v>0</v>
      </c>
      <c r="B76" t="str">
        <f>B$9 * (16.25045585632324 -B$8)</f>
        <v>0</v>
      </c>
      <c r="C76" t="str">
        <f>C$9 * (16.25045585632324 -C$8)</f>
        <v>0</v>
      </c>
      <c r="D76" t="str">
        <f>D$9 * (16.25045585632324 -D$8)</f>
        <v>0</v>
      </c>
      <c r="F76" t="str">
        <f>F$9 * (0.0101927500218153 -F$8)</f>
        <v>0</v>
      </c>
      <c r="G76" t="str">
        <f>G$9 * (1.908254027366638 -G$8)</f>
        <v>0</v>
      </c>
      <c r="H76" t="str">
        <f>H$9 * (3.490623950958252 -H$8)</f>
        <v>0</v>
      </c>
      <c r="I76" t="str">
        <f>I$9 * (21.05570030212402 -I$8)</f>
        <v>0</v>
      </c>
    </row>
    <row r="77" spans="1:11">
      <c r="A77" t="str">
        <f>A$9 * (16.5004768371582 -A$8)</f>
        <v>0</v>
      </c>
      <c r="B77" t="str">
        <f>B$9 * (16.5004768371582 -B$8)</f>
        <v>0</v>
      </c>
      <c r="C77" t="str">
        <f>C$9 * (16.5004768371582 -C$8)</f>
        <v>0</v>
      </c>
      <c r="D77" t="str">
        <f>D$9 * (16.5004768371582 -D$8)</f>
        <v>0</v>
      </c>
      <c r="F77" t="str">
        <f>F$9 * (0.01020369026809931 -F$8)</f>
        <v>0</v>
      </c>
      <c r="G77" t="str">
        <f>G$9 * (1.911241054534912 -G$8)</f>
        <v>0</v>
      </c>
      <c r="H77" t="str">
        <f>H$9 * (3.493499040603638 -H$8)</f>
        <v>0</v>
      </c>
      <c r="I77" t="str">
        <f>I$9 * (21.10823059082031 -I$8)</f>
        <v>0</v>
      </c>
    </row>
    <row r="78" spans="1:11">
      <c r="A78" t="str">
        <f>A$9 * (16.7504997253418 -A$8)</f>
        <v>0</v>
      </c>
      <c r="B78" t="str">
        <f>B$9 * (16.7504997253418 -B$8)</f>
        <v>0</v>
      </c>
      <c r="C78" t="str">
        <f>C$9 * (16.7504997253418 -C$8)</f>
        <v>0</v>
      </c>
      <c r="D78" t="str">
        <f>D$9 * (16.7504997253418 -D$8)</f>
        <v>0</v>
      </c>
      <c r="F78" t="str">
        <f>F$9 * (0.0100915003567934 -F$8)</f>
        <v>0</v>
      </c>
      <c r="G78" t="str">
        <f>G$9 * (1.909767031669617 -G$8)</f>
        <v>0</v>
      </c>
      <c r="H78" t="str">
        <f>H$9 * (3.515115976333618 -H$8)</f>
        <v>0</v>
      </c>
      <c r="I78" t="str">
        <f>I$9 * (21.14681053161621 -I$8)</f>
        <v>0</v>
      </c>
    </row>
    <row r="79" spans="1:11">
      <c r="A79" t="str">
        <f>A$9 * (17.00052261352539 -A$8)</f>
        <v>0</v>
      </c>
      <c r="B79" t="str">
        <f>B$9 * (17.00052261352539 -B$8)</f>
        <v>0</v>
      </c>
      <c r="C79" t="str">
        <f>C$9 * (17.00052261352539 -C$8)</f>
        <v>0</v>
      </c>
      <c r="D79" t="str">
        <f>D$9 * (17.00052261352539 -D$8)</f>
        <v>0</v>
      </c>
      <c r="F79" t="str">
        <f>F$9 * (0.0100825596600771 -F$8)</f>
        <v>0</v>
      </c>
      <c r="G79" t="str">
        <f>G$9 * (1.907080054283142 -G$8)</f>
        <v>0</v>
      </c>
      <c r="H79" t="str">
        <f>H$9 * (3.512322902679443 -H$8)</f>
        <v>0</v>
      </c>
      <c r="I79" t="str">
        <f>I$9 * (21.09840965270996 -I$8)</f>
        <v>0</v>
      </c>
    </row>
    <row r="80" spans="1:11">
      <c r="A80" t="str">
        <f>A$9 * (17.25054359436035 -A$8)</f>
        <v>0</v>
      </c>
      <c r="B80" t="str">
        <f>B$9 * (17.25054359436035 -B$8)</f>
        <v>0</v>
      </c>
      <c r="C80" t="str">
        <f>C$9 * (17.25054359436035 -C$8)</f>
        <v>0</v>
      </c>
      <c r="D80" t="str">
        <f>D$9 * (17.25054359436035 -D$8)</f>
        <v>0</v>
      </c>
      <c r="F80" t="str">
        <f>F$9 * (0.01018510013818741 -F$8)</f>
        <v>0</v>
      </c>
      <c r="G80" t="str">
        <f>G$9 * (1.908539056777954 -G$8)</f>
        <v>0</v>
      </c>
      <c r="H80" t="str">
        <f>H$9 * (3.49272894859314 -H$8)</f>
        <v>0</v>
      </c>
      <c r="I80" t="str">
        <f>I$9 * (21.06521987915039 -I$8)</f>
        <v>0</v>
      </c>
    </row>
    <row r="81" spans="1:11">
      <c r="A81" t="str">
        <f>A$9 * (17.50056648254395 -A$8)</f>
        <v>0</v>
      </c>
      <c r="B81" t="str">
        <f>B$9 * (17.50056648254395 -B$8)</f>
        <v>0</v>
      </c>
      <c r="C81" t="str">
        <f>C$9 * (17.50056648254395 -C$8)</f>
        <v>0</v>
      </c>
      <c r="D81" t="str">
        <f>D$9 * (17.50056648254395 -D$8)</f>
        <v>0</v>
      </c>
      <c r="F81" t="str">
        <f>F$9 * (0.01018187962472439 -F$8)</f>
        <v>0</v>
      </c>
      <c r="G81" t="str">
        <f>G$9 * (1.910905003547668 -G$8)</f>
        <v>0</v>
      </c>
      <c r="H81" t="str">
        <f>H$9 * (3.497558116912842 -H$8)</f>
        <v>0</v>
      </c>
      <c r="I81" t="str">
        <f>I$9 * (21.11404991149902 -I$8)</f>
        <v>0</v>
      </c>
    </row>
    <row r="82" spans="1:11">
      <c r="A82" t="str">
        <f>A$9 * (17.75058937072754 -A$8)</f>
        <v>0</v>
      </c>
      <c r="B82" t="str">
        <f>B$9 * (17.75058937072754 -B$8)</f>
        <v>0</v>
      </c>
      <c r="C82" t="str">
        <f>C$9 * (17.75058937072754 -C$8)</f>
        <v>0</v>
      </c>
      <c r="D82" t="str">
        <f>D$9 * (17.75058937072754 -D$8)</f>
        <v>0</v>
      </c>
      <c r="F82" t="str">
        <f>F$9 * (0.01009724009782076 -F$8)</f>
        <v>0</v>
      </c>
      <c r="G82" t="str">
        <f>G$9 * (1.909347057342529 -G$8)</f>
        <v>0</v>
      </c>
      <c r="H82" t="str">
        <f>H$9 * (3.513094902038574 -H$8)</f>
        <v>0</v>
      </c>
      <c r="I82" t="str">
        <f>I$9 * (21.13417053222656 -I$8)</f>
        <v>0</v>
      </c>
    </row>
    <row r="83" spans="1:11">
      <c r="A83" t="str">
        <f>A$9 * (18.0006103515625 -A$8)</f>
        <v>0</v>
      </c>
      <c r="B83" t="str">
        <f>B$9 * (18.0006103515625 -B$8)</f>
        <v>0</v>
      </c>
      <c r="C83" t="str">
        <f>C$9 * (18.0006103515625 -C$8)</f>
        <v>0</v>
      </c>
      <c r="D83" t="str">
        <f>D$9 * (18.0006103515625 -D$8)</f>
        <v>0</v>
      </c>
      <c r="F83" t="str">
        <f>F$9 * (0.01010646019130945 -F$8)</f>
        <v>0</v>
      </c>
      <c r="G83" t="str">
        <f>G$9 * (1.907825946807861 -G$8)</f>
        <v>0</v>
      </c>
      <c r="H83" t="str">
        <f>H$9 * (3.508425951004028 -H$8)</f>
        <v>0</v>
      </c>
      <c r="I83" t="str">
        <f>I$9 * (21.09818077087402 -I$8)</f>
        <v>0</v>
      </c>
    </row>
    <row r="84" spans="1:11">
      <c r="A84" t="str">
        <f>A$9 * (18.25063323974609 -A$8)</f>
        <v>0</v>
      </c>
      <c r="B84" t="str">
        <f>B$9 * (18.25063323974609 -B$8)</f>
        <v>0</v>
      </c>
      <c r="C84" t="str">
        <f>C$9 * (18.25063323974609 -C$8)</f>
        <v>0</v>
      </c>
      <c r="D84" t="str">
        <f>D$9 * (18.25063323974609 -D$8)</f>
        <v>0</v>
      </c>
      <c r="F84" t="str">
        <f>F$9 * (0.01017368026077747 -F$8)</f>
        <v>0</v>
      </c>
      <c r="G84" t="str">
        <f>G$9 * (1.909137964248657 -G$8)</f>
        <v>0</v>
      </c>
      <c r="H84" t="str">
        <f>H$9 * (3.496213912963867 -H$8)</f>
        <v>0</v>
      </c>
      <c r="I84" t="str">
        <f>I$9 * (21.08366966247559 -I$8)</f>
        <v>0</v>
      </c>
    </row>
    <row r="85" spans="1:11">
      <c r="A85" t="str">
        <f>A$9 * (18.50065612792969 -A$8)</f>
        <v>0</v>
      </c>
      <c r="B85" t="str">
        <f>B$9 * (18.50065612792969 -B$8)</f>
        <v>0</v>
      </c>
      <c r="C85" t="str">
        <f>C$9 * (18.50065612792969 -C$8)</f>
        <v>0</v>
      </c>
      <c r="D85" t="str">
        <f>D$9 * (18.50065612792969 -D$8)</f>
        <v>0</v>
      </c>
      <c r="F85" t="str">
        <f>F$9 * (0.01016937009990215 -F$8)</f>
        <v>0</v>
      </c>
      <c r="G85" t="str">
        <f>G$9 * (1.910603046417236 -G$8)</f>
        <v>0</v>
      </c>
      <c r="H85" t="str">
        <f>H$9 * (3.499706983566284 -H$8)</f>
        <v>0</v>
      </c>
      <c r="I85" t="str">
        <f>I$9 * (21.11523056030273 -I$8)</f>
        <v>0</v>
      </c>
    </row>
    <row r="86" spans="1:11">
      <c r="A86" t="str">
        <f>A$9 * (18.7500171661377 -A$8)</f>
        <v>0</v>
      </c>
      <c r="B86" t="str">
        <f>B$9 * (18.7500171661377 -B$8)</f>
        <v>0</v>
      </c>
      <c r="C86" t="str">
        <f>C$9 * (18.7500171661377 -C$8)</f>
        <v>0</v>
      </c>
      <c r="D86" t="str">
        <f>D$9 * (18.7500171661377 -D$8)</f>
        <v>0</v>
      </c>
      <c r="F86" t="str">
        <f>F$9 * (0.01011107955127954 -F$8)</f>
        <v>0</v>
      </c>
      <c r="G86" t="str">
        <f>G$9 * (1.909517049789429 -G$8)</f>
        <v>0</v>
      </c>
      <c r="H86" t="str">
        <f>H$9 * (3.510374069213867 -H$8)</f>
        <v>0</v>
      </c>
      <c r="I86" t="str">
        <f>I$9 * (21.12878036499023 -I$8)</f>
        <v>0</v>
      </c>
    </row>
    <row r="87" spans="1:11">
      <c r="A87" t="str">
        <f>A$9 * (19.00003814697266 -A$8)</f>
        <v>0</v>
      </c>
      <c r="B87" t="str">
        <f>B$9 * (19.00003814697266 -B$8)</f>
        <v>0</v>
      </c>
      <c r="C87" t="str">
        <f>C$9 * (19.00003814697266 -C$8)</f>
        <v>0</v>
      </c>
      <c r="D87" t="str">
        <f>D$9 * (19.00003814697266 -D$8)</f>
        <v>0</v>
      </c>
      <c r="F87" t="str">
        <f>F$9 * (0.01011195033788681 -F$8)</f>
        <v>0</v>
      </c>
      <c r="G87" t="str">
        <f>G$9 * (1.908306956291199 -G$8)</f>
        <v>0</v>
      </c>
      <c r="H87" t="str">
        <f>H$9 * (3.508069038391113 -H$8)</f>
        <v>0</v>
      </c>
      <c r="I87" t="str">
        <f>I$9 * (21.10424995422363 -I$8)</f>
        <v>0</v>
      </c>
    </row>
    <row r="88" spans="1:11">
      <c r="A88" t="str">
        <f>A$9 * (19.25006103515625 -A$8)</f>
        <v>0</v>
      </c>
      <c r="B88" t="str">
        <f>B$9 * (19.25006103515625 -B$8)</f>
        <v>0</v>
      </c>
      <c r="C88" t="str">
        <f>C$9 * (19.25006103515625 -C$8)</f>
        <v>0</v>
      </c>
      <c r="D88" t="str">
        <f>D$9 * (19.25006103515625 -D$8)</f>
        <v>0</v>
      </c>
      <c r="F88" t="str">
        <f>F$9 * (0.01016393024474382 -F$8)</f>
        <v>0</v>
      </c>
      <c r="G88" t="str">
        <f>G$9 * (1.909289002418518 -G$8)</f>
        <v>0</v>
      </c>
      <c r="H88" t="str">
        <f>H$9 * (3.498562097549438 -H$8)</f>
        <v>0</v>
      </c>
      <c r="I88" t="str">
        <f>I$9 * (21.09225082397461 -I$8)</f>
        <v>0</v>
      </c>
    </row>
    <row r="89" spans="1:11">
      <c r="A89" t="str">
        <f>A$9 * (19.50008392333984 -A$8)</f>
        <v>0</v>
      </c>
      <c r="B89" t="str">
        <f>B$9 * (19.50008392333984 -B$8)</f>
        <v>0</v>
      </c>
      <c r="C89" t="str">
        <f>C$9 * (19.50008392333984 -C$8)</f>
        <v>0</v>
      </c>
      <c r="D89" t="str">
        <f>D$9 * (19.50008392333984 -D$8)</f>
        <v>0</v>
      </c>
      <c r="F89" t="str">
        <f>F$9 * (0.01016249042004347 -F$8)</f>
        <v>0</v>
      </c>
      <c r="G89" t="str">
        <f>G$9 * (1.910328984260559 -G$8)</f>
        <v>0</v>
      </c>
      <c r="H89" t="str">
        <f>H$9 * (3.500684022903442 -H$8)</f>
        <v>0</v>
      </c>
      <c r="I89" t="str">
        <f>I$9 * (21.11360931396484 -I$8)</f>
        <v>0</v>
      </c>
    </row>
    <row r="90" spans="1:11">
      <c r="A90" t="str">
        <f>A$9 * (19.7501049041748 -A$8)</f>
        <v>0</v>
      </c>
      <c r="B90" t="str">
        <f>B$9 * (19.7501049041748 -B$8)</f>
        <v>0</v>
      </c>
      <c r="C90" t="str">
        <f>C$9 * (19.7501049041748 -C$8)</f>
        <v>0</v>
      </c>
      <c r="D90" t="str">
        <f>D$9 * (19.7501049041748 -D$8)</f>
        <v>0</v>
      </c>
      <c r="F90" t="str">
        <f>F$9 * (0.01011953968554735 -F$8)</f>
        <v>0</v>
      </c>
      <c r="G90" t="str">
        <f>G$9 * (1.9096519947052 -G$8)</f>
        <v>0</v>
      </c>
      <c r="H90" t="str">
        <f>H$9 * (3.508764982223511 -H$8)</f>
        <v>0</v>
      </c>
      <c r="I90" t="str">
        <f>I$9 * (21.12608909606934 -I$8)</f>
        <v>0</v>
      </c>
    </row>
    <row r="91" spans="1:11">
      <c r="A91" t="str">
        <f>A$9 * (20.0001277923584 -A$8)</f>
        <v>0</v>
      </c>
      <c r="B91" t="str">
        <f>B$9 * (20.0001277923584 -B$8)</f>
        <v>0</v>
      </c>
      <c r="C91" t="str">
        <f>C$9 * (20.0001277923584 -C$8)</f>
        <v>0</v>
      </c>
      <c r="D91" t="str">
        <f>D$9 * (20.0001277923584 -D$8)</f>
        <v>0</v>
      </c>
      <c r="F91" t="str">
        <f>F$9 * (0.01011591963469982 -F$8)</f>
        <v>0</v>
      </c>
      <c r="G91" t="str">
        <f>G$9 * (1.908674955368042 -G$8)</f>
        <v>0</v>
      </c>
      <c r="H91" t="str">
        <f>H$9 * (3.507846117019653 -H$8)</f>
        <v>0</v>
      </c>
      <c r="I91" t="str">
        <f>I$9 * (21.10898017883301 -I$8)</f>
        <v>0</v>
      </c>
    </row>
    <row r="92" spans="1:11">
      <c r="A92" t="str">
        <f>A$9 * (20.25015068054199 -A$8)</f>
        <v>0</v>
      </c>
      <c r="B92" t="str">
        <f>B$9 * (20.25015068054199 -B$8)</f>
        <v>0</v>
      </c>
      <c r="C92" t="str">
        <f>C$9 * (20.25015068054199 -C$8)</f>
        <v>0</v>
      </c>
      <c r="D92" t="str">
        <f>D$9 * (20.25015068054199 -D$8)</f>
        <v>0</v>
      </c>
      <c r="F92" t="str">
        <f>F$9 * (0.01015590969473124 -F$8)</f>
        <v>0</v>
      </c>
      <c r="G92" t="str">
        <f>G$9 * (1.909302949905396 -G$8)</f>
        <v>0</v>
      </c>
      <c r="H92" t="str">
        <f>H$9 * (3.500303030014038 -H$8)</f>
        <v>0</v>
      </c>
      <c r="I92" t="str">
        <f>I$9 * (21.09709930419922 -I$8)</f>
        <v>0</v>
      </c>
    </row>
    <row r="93" spans="1:11">
      <c r="A93" t="str">
        <f>A$9 * (20.50017166137695 -A$8)</f>
        <v>0</v>
      </c>
      <c r="B93" t="str">
        <f>B$9 * (20.50017166137695 -B$8)</f>
        <v>0</v>
      </c>
      <c r="C93" t="str">
        <f>C$9 * (20.50017166137695 -C$8)</f>
        <v>0</v>
      </c>
      <c r="D93" t="str">
        <f>D$9 * (20.50017166137695 -D$8)</f>
        <v>0</v>
      </c>
      <c r="F93" t="str">
        <f>F$9 * (0.01016134954988956 -F$8)</f>
        <v>0</v>
      </c>
      <c r="G93" t="str">
        <f>G$9 * (1.910303950309753 -G$8)</f>
        <v>0</v>
      </c>
      <c r="H93" t="str">
        <f>H$9 * (3.500881910324097 -H$8)</f>
        <v>0</v>
      </c>
      <c r="I93" t="str">
        <f>I$9 * (21.11360931396484 -I$8)</f>
        <v>0</v>
      </c>
    </row>
    <row r="94" spans="1:11">
      <c r="A94" t="str">
        <f>A$9 * (20.75019454956055 -A$8)</f>
        <v>0</v>
      </c>
      <c r="B94" t="str">
        <f>B$9 * (20.75019454956055 -B$8)</f>
        <v>0</v>
      </c>
      <c r="C94" t="str">
        <f>C$9 * (20.75019454956055 -C$8)</f>
        <v>0</v>
      </c>
      <c r="D94" t="str">
        <f>D$9 * (20.75019454956055 -D$8)</f>
        <v>0</v>
      </c>
      <c r="F94" t="str">
        <f>F$9 * (0.01012489013373852 -F$8)</f>
        <v>0</v>
      </c>
      <c r="G94" t="str">
        <f>G$9 * (1.909894943237305 -G$8)</f>
        <v>0</v>
      </c>
      <c r="H94" t="str">
        <f>H$9 * (3.508033037185669 -H$8)</f>
        <v>0</v>
      </c>
      <c r="I94" t="str">
        <f>I$9 * (21.12760925292969 -I$8)</f>
        <v>0</v>
      </c>
    </row>
    <row r="95" spans="1:11">
      <c r="A95" t="str">
        <f>A$9 * (21.00021743774414 -A$8)</f>
        <v>0</v>
      </c>
      <c r="B95" t="str">
        <f>B$9 * (21.00021743774414 -B$8)</f>
        <v>0</v>
      </c>
      <c r="C95" t="str">
        <f>C$9 * (21.00021743774414 -C$8)</f>
        <v>0</v>
      </c>
      <c r="D95" t="str">
        <f>D$9 * (21.00021743774414 -D$8)</f>
        <v>0</v>
      </c>
      <c r="F95" t="str">
        <f>F$9 * (0.01011941954493523 -F$8)</f>
        <v>0</v>
      </c>
      <c r="G95" t="str">
        <f>G$9 * (1.908951044082642 -G$8)</f>
        <v>0</v>
      </c>
      <c r="H95" t="str">
        <f>H$9 * (3.507560014724731 -H$8)</f>
        <v>0</v>
      </c>
      <c r="I95" t="str">
        <f>I$9 * (21.11214065551758 -I$8)</f>
        <v>0</v>
      </c>
    </row>
    <row r="96" spans="1:11">
      <c r="A96" t="str">
        <f>A$9 * (21.2502384185791 -A$8)</f>
        <v>0</v>
      </c>
      <c r="B96" t="str">
        <f>B$9 * (21.2502384185791 -B$8)</f>
        <v>0</v>
      </c>
      <c r="C96" t="str">
        <f>C$9 * (21.2502384185791 -C$8)</f>
        <v>0</v>
      </c>
      <c r="D96" t="str">
        <f>D$9 * (21.2502384185791 -D$8)</f>
        <v>0</v>
      </c>
      <c r="F96" t="str">
        <f>F$9 * (0.01015171967446804 -F$8)</f>
        <v>0</v>
      </c>
      <c r="G96" t="str">
        <f>G$9 * (1.909373044967651 -G$8)</f>
        <v>0</v>
      </c>
      <c r="H96" t="str">
        <f>H$9 * (3.501317024230957 -H$8)</f>
        <v>0</v>
      </c>
      <c r="I96" t="str">
        <f>I$9 * (21.10083961486816 -I$8)</f>
        <v>0</v>
      </c>
    </row>
    <row r="97" spans="1:11">
      <c r="A97" t="str">
        <f>A$9 * (21.5002613067627 -A$8)</f>
        <v>0</v>
      </c>
      <c r="B97" t="str">
        <f>B$9 * (21.5002613067627 -B$8)</f>
        <v>0</v>
      </c>
      <c r="C97" t="str">
        <f>C$9 * (21.5002613067627 -C$8)</f>
        <v>0</v>
      </c>
      <c r="D97" t="str">
        <f>D$9 * (21.5002613067627 -D$8)</f>
        <v>0</v>
      </c>
      <c r="F97" t="str">
        <f>F$9 * (0.01015369035303593 -F$8)</f>
        <v>0</v>
      </c>
      <c r="G97" t="str">
        <f>G$9 * (1.910130977630615 -G$8)</f>
        <v>0</v>
      </c>
      <c r="H97" t="str">
        <f>H$9 * (3.502217054367065 -H$8)</f>
        <v>0</v>
      </c>
      <c r="I97" t="str">
        <f>I$9 * (21.11465072631836 -I$8)</f>
        <v>0</v>
      </c>
    </row>
    <row r="98" spans="1:11">
      <c r="A98" t="str">
        <f>A$9 * (21.75028419494629 -A$8)</f>
        <v>0</v>
      </c>
      <c r="B98" t="str">
        <f>B$9 * (21.75028419494629 -B$8)</f>
        <v>0</v>
      </c>
      <c r="C98" t="str">
        <f>C$9 * (21.75028419494629 -C$8)</f>
        <v>0</v>
      </c>
      <c r="D98" t="str">
        <f>D$9 * (21.75028419494629 -D$8)</f>
        <v>0</v>
      </c>
      <c r="F98" t="str">
        <f>F$9 * (0.01012624986469746 -F$8)</f>
        <v>0</v>
      </c>
      <c r="G98" t="str">
        <f>G$9 * (1.909762024879456 -G$8)</f>
        <v>0</v>
      </c>
      <c r="H98" t="str">
        <f>H$9 * (3.507493019104004 -H$8)</f>
        <v>0</v>
      </c>
      <c r="I98" t="str">
        <f>I$9 * (21.12391090393066 -I$8)</f>
        <v>0</v>
      </c>
    </row>
    <row r="99" spans="1:11">
      <c r="A99" t="str">
        <f>A$9 * (22.00030326843262 -A$8)</f>
        <v>0</v>
      </c>
      <c r="B99" t="str">
        <f>B$9 * (22.00030326843262 -B$8)</f>
        <v>0</v>
      </c>
      <c r="C99" t="str">
        <f>C$9 * (22.00030326843262 -C$8)</f>
        <v>0</v>
      </c>
      <c r="D99" t="str">
        <f>D$9 * (22.00030326843262 -D$8)</f>
        <v>0</v>
      </c>
      <c r="F99" t="str">
        <f>F$9 * (0.01012523006647825 -F$8)</f>
        <v>0</v>
      </c>
      <c r="G99" t="str">
        <f>G$9 * (1.90913200378418 -G$8)</f>
        <v>0</v>
      </c>
      <c r="H99" t="str">
        <f>H$9 * (3.506606101989746 -H$8)</f>
        <v>0</v>
      </c>
      <c r="I99" t="str">
        <f>I$9 * (21.11193084716797 -I$8)</f>
        <v>0</v>
      </c>
    </row>
    <row r="100" spans="1:11">
      <c r="A100" t="str">
        <f>A$9 * (22.25032424926758 -A$8)</f>
        <v>0</v>
      </c>
      <c r="B100" t="str">
        <f>B$9 * (22.25032424926758 -B$8)</f>
        <v>0</v>
      </c>
      <c r="C100" t="str">
        <f>C$9 * (22.25032424926758 -C$8)</f>
        <v>0</v>
      </c>
      <c r="D100" t="str">
        <f>D$9 * (22.25032424926758 -D$8)</f>
        <v>0</v>
      </c>
      <c r="F100" t="str">
        <f>F$9 * (0.01014927960932255 -F$8)</f>
        <v>0</v>
      </c>
      <c r="G100" t="str">
        <f>G$9 * (1.909518003463745 -G$8)</f>
        <v>0</v>
      </c>
      <c r="H100" t="str">
        <f>H$9 * (3.502089023590088 -H$8)</f>
        <v>0</v>
      </c>
      <c r="I100" t="str">
        <f>I$9 * (21.10500907897949 -I$8)</f>
        <v>0</v>
      </c>
    </row>
    <row r="101" spans="1:11">
      <c r="A101" t="str">
        <f>A$9 * (22.50034713745117 -A$8)</f>
        <v>0</v>
      </c>
      <c r="B101" t="str">
        <f>B$9 * (22.50034713745117 -B$8)</f>
        <v>0</v>
      </c>
      <c r="C101" t="str">
        <f>C$9 * (22.50034713745117 -C$8)</f>
        <v>0</v>
      </c>
      <c r="D101" t="str">
        <f>D$9 * (22.50034713745117 -D$8)</f>
        <v>0</v>
      </c>
      <c r="F101" t="str">
        <f>F$9 * (0.01014890987426043 -F$8)</f>
        <v>0</v>
      </c>
      <c r="G101" t="str">
        <f>G$9 * (1.910076975822449 -G$8)</f>
        <v>0</v>
      </c>
      <c r="H101" t="str">
        <f>H$9 * (3.503145933151245 -H$8)</f>
        <v>0</v>
      </c>
      <c r="I101" t="str">
        <f>I$9 * (21.11631011962891 -I$8)</f>
        <v>0</v>
      </c>
    </row>
    <row r="102" spans="1:11">
      <c r="A102" t="str">
        <f>A$9 * (22.75037002563477 -A$8)</f>
        <v>0</v>
      </c>
      <c r="B102" t="str">
        <f>B$9 * (22.75037002563477 -B$8)</f>
        <v>0</v>
      </c>
      <c r="C102" t="str">
        <f>C$9 * (22.75037002563477 -C$8)</f>
        <v>0</v>
      </c>
      <c r="D102" t="str">
        <f>D$9 * (22.75037002563477 -D$8)</f>
        <v>0</v>
      </c>
      <c r="F102" t="str">
        <f>F$9 * (0.01012881007045507 -F$8)</f>
        <v>0</v>
      </c>
      <c r="G102" t="str">
        <f>G$9 * (1.909777045249939 -G$8)</f>
        <v>0</v>
      </c>
      <c r="H102" t="str">
        <f>H$9 * (3.506962060928345 -H$8)</f>
        <v>0</v>
      </c>
      <c r="I102" t="str">
        <f>I$9 * (21.12252044677734 -I$8)</f>
        <v>0</v>
      </c>
    </row>
    <row r="103" spans="1:11">
      <c r="A103" t="str">
        <f>A$9 * (23.00039100646973 -A$8)</f>
        <v>0</v>
      </c>
      <c r="B103" t="str">
        <f>B$9 * (23.00039100646973 -B$8)</f>
        <v>0</v>
      </c>
      <c r="C103" t="str">
        <f>C$9 * (23.00039100646973 -C$8)</f>
        <v>0</v>
      </c>
      <c r="D103" t="str">
        <f>D$9 * (23.00039100646973 -D$8)</f>
        <v>0</v>
      </c>
      <c r="F103" t="str">
        <f>F$9 * (0.01013000961393118 -F$8)</f>
        <v>0</v>
      </c>
      <c r="G103" t="str">
        <f>G$9 * (1.909373044967651 -G$8)</f>
        <v>0</v>
      </c>
      <c r="H103" t="str">
        <f>H$9 * (3.505995035171509 -H$8)</f>
        <v>0</v>
      </c>
      <c r="I103" t="str">
        <f>I$9 * (21.11375999450684 -I$8)</f>
        <v>0</v>
      </c>
    </row>
    <row r="104" spans="1:11">
      <c r="A104" t="str">
        <f>A$9 * (23.25041389465332 -A$8)</f>
        <v>0</v>
      </c>
      <c r="B104" t="str">
        <f>B$9 * (23.25041389465332 -B$8)</f>
        <v>0</v>
      </c>
      <c r="C104" t="str">
        <f>C$9 * (23.25041389465332 -C$8)</f>
        <v>0</v>
      </c>
      <c r="D104" t="str">
        <f>D$9 * (23.25041389465332 -D$8)</f>
        <v>0</v>
      </c>
      <c r="F104" t="str">
        <f>F$9 * (0.0101477699354291 -F$8)</f>
        <v>0</v>
      </c>
      <c r="G104" t="str">
        <f>G$9 * (1.909724950790405 -G$8)</f>
        <v>0</v>
      </c>
      <c r="H104" t="str">
        <f>H$9 * (3.502777099609375 -H$8)</f>
        <v>0</v>
      </c>
      <c r="I104" t="str">
        <f>I$9 * (21.11000061035156 -I$8)</f>
        <v>0</v>
      </c>
    </row>
    <row r="105" spans="1:11">
      <c r="A105" t="str">
        <f>A$9 * (23.50043678283691 -A$8)</f>
        <v>0</v>
      </c>
      <c r="B105" t="str">
        <f>B$9 * (23.50043678283691 -B$8)</f>
        <v>0</v>
      </c>
      <c r="C105" t="str">
        <f>C$9 * (23.50043678283691 -C$8)</f>
        <v>0</v>
      </c>
      <c r="D105" t="str">
        <f>D$9 * (23.50043678283691 -D$8)</f>
        <v>0</v>
      </c>
      <c r="F105" t="str">
        <f>F$9 * (0.01014620997011662 -F$8)</f>
        <v>0</v>
      </c>
      <c r="G105" t="str">
        <f>G$9 * (1.91013503074646 -G$8)</f>
        <v>0</v>
      </c>
      <c r="H105" t="str">
        <f>H$9 * (3.503834009170532 -H$8)</f>
        <v>0</v>
      </c>
      <c r="I105" t="str">
        <f>I$9 * (21.11911010742188 -I$8)</f>
        <v>0</v>
      </c>
    </row>
    <row r="106" spans="1:11">
      <c r="A106" t="str">
        <f>A$9 * (23.75045776367188 -A$8)</f>
        <v>0</v>
      </c>
      <c r="B106" t="str">
        <f>B$9 * (23.75045776367188 -B$8)</f>
        <v>0</v>
      </c>
      <c r="C106" t="str">
        <f>C$9 * (23.75045776367188 -C$8)</f>
        <v>0</v>
      </c>
      <c r="D106" t="str">
        <f>D$9 * (23.75045776367188 -D$8)</f>
        <v>0</v>
      </c>
      <c r="F106" t="str">
        <f>F$9 * (0.01013140007853508 -F$8)</f>
        <v>0</v>
      </c>
      <c r="G106" t="str">
        <f>G$9 * (1.909876942634583 -G$8)</f>
        <v>0</v>
      </c>
      <c r="H106" t="str">
        <f>H$9 * (3.506580114364624 -H$8)</f>
        <v>0</v>
      </c>
      <c r="I106" t="str">
        <f>I$9 * (21.12295913696289 -I$8)</f>
        <v>0</v>
      </c>
    </row>
    <row r="107" spans="1:11">
      <c r="A107" t="str">
        <f>A$9 * (24.00048065185547 -A$8)</f>
        <v>0</v>
      </c>
      <c r="B107" t="str">
        <f>B$9 * (24.00048065185547 -B$8)</f>
        <v>0</v>
      </c>
      <c r="C107" t="str">
        <f>C$9 * (24.00048065185547 -C$8)</f>
        <v>0</v>
      </c>
      <c r="D107" t="str">
        <f>D$9 * (24.00048065185547 -D$8)</f>
        <v>0</v>
      </c>
      <c r="F107" t="str">
        <f>F$9 * (0.01013332977890968 -F$8)</f>
        <v>0</v>
      </c>
      <c r="G107" t="str">
        <f>G$9 * (1.909580945968628 -G$8)</f>
        <v>0</v>
      </c>
      <c r="H107" t="str">
        <f>H$9 * (3.505641937255859 -H$8)</f>
        <v>0</v>
      </c>
      <c r="I107" t="str">
        <f>I$9 * (21.11587905883789 -I$8)</f>
        <v>0</v>
      </c>
    </row>
    <row r="108" spans="1:11">
      <c r="A108" t="str">
        <f>A$9 * (24.25050354003906 -A$8)</f>
        <v>0</v>
      </c>
      <c r="B108" t="str">
        <f>B$9 * (24.25050354003906 -B$8)</f>
        <v>0</v>
      </c>
      <c r="C108" t="str">
        <f>C$9 * (24.25050354003906 -C$8)</f>
        <v>0</v>
      </c>
      <c r="D108" t="str">
        <f>D$9 * (24.25050354003906 -D$8)</f>
        <v>0</v>
      </c>
      <c r="F108" t="str">
        <f>F$9 * (0.01014436036348343 -F$8)</f>
        <v>0</v>
      </c>
      <c r="G108" t="str">
        <f>G$9 * (1.909800052642822 -G$8)</f>
        <v>0</v>
      </c>
      <c r="H108" t="str">
        <f>H$9 * (3.50364089012146 -H$8)</f>
        <v>0</v>
      </c>
      <c r="I108" t="str">
        <f>I$9 * (21.11352920532227 -I$8)</f>
        <v>0</v>
      </c>
    </row>
    <row r="109" spans="1:11">
      <c r="A109" t="str">
        <f>A$9 * (24.50052452087402 -A$8)</f>
        <v>0</v>
      </c>
      <c r="B109" t="str">
        <f>B$9 * (24.50052452087402 -B$8)</f>
        <v>0</v>
      </c>
      <c r="C109" t="str">
        <f>C$9 * (24.50052452087402 -C$8)</f>
        <v>0</v>
      </c>
      <c r="D109" t="str">
        <f>D$9 * (24.50052452087402 -D$8)</f>
        <v>0</v>
      </c>
      <c r="F109" t="str">
        <f>F$9 * (0.01014212984591722 -F$8)</f>
        <v>0</v>
      </c>
      <c r="G109" t="str">
        <f>G$9 * (1.910017967224121 -G$8)</f>
        <v>0</v>
      </c>
      <c r="H109" t="str">
        <f>H$9 * (3.504503011703491 -H$8)</f>
        <v>0</v>
      </c>
      <c r="I109" t="str">
        <f>I$9 * (21.11916923522949 -I$8)</f>
        <v>0</v>
      </c>
    </row>
    <row r="110" spans="1:11">
      <c r="A110" t="str">
        <f>A$9 * (24.75054740905762 -A$8)</f>
        <v>0</v>
      </c>
      <c r="B110" t="str">
        <f>B$9 * (24.75054740905762 -B$8)</f>
        <v>0</v>
      </c>
      <c r="C110" t="str">
        <f>C$9 * (24.75054740905762 -C$8)</f>
        <v>0</v>
      </c>
      <c r="D110" t="str">
        <f>D$9 * (24.75054740905762 -D$8)</f>
        <v>0</v>
      </c>
      <c r="F110" t="str">
        <f>F$9 * (0.01013226993381977 -F$8)</f>
        <v>0</v>
      </c>
      <c r="G110" t="str">
        <f>G$9 * (1.9098140001297 -G$8)</f>
        <v>0</v>
      </c>
      <c r="H110" t="str">
        <f>H$9 * (3.506273984909058 -H$8)</f>
        <v>0</v>
      </c>
      <c r="I110" t="str">
        <f>I$9 * (21.12105941772461 -I$8)</f>
        <v>0</v>
      </c>
    </row>
    <row r="111" spans="1:11">
      <c r="A111" t="str">
        <f>A$9 * (25.00057029724121 -A$8)</f>
        <v>0</v>
      </c>
      <c r="B111" t="str">
        <f>B$9 * (25.00057029724121 -B$8)</f>
        <v>0</v>
      </c>
      <c r="C111" t="str">
        <f>C$9 * (25.00057029724121 -C$8)</f>
        <v>0</v>
      </c>
      <c r="D111" t="str">
        <f>D$9 * (25.00057029724121 -D$8)</f>
        <v>0</v>
      </c>
      <c r="F111" t="str">
        <f>F$9 * (0.01013475004583597 -F$8)</f>
        <v>0</v>
      </c>
      <c r="G111" t="str">
        <f>G$9 * (1.909646034240723 -G$8)</f>
        <v>0</v>
      </c>
      <c r="H111" t="str">
        <f>H$9 * (3.505440950393677 -H$8)</f>
        <v>0</v>
      </c>
      <c r="I111" t="str">
        <f>I$9 * (21.11618041992188 -I$8)</f>
        <v>0</v>
      </c>
    </row>
    <row r="112" spans="1:11">
      <c r="A112" t="str">
        <f>A$9 * (25.25059127807617 -A$8)</f>
        <v>0</v>
      </c>
      <c r="B112" t="str">
        <f>B$9 * (25.25059127807617 -B$8)</f>
        <v>0</v>
      </c>
      <c r="C112" t="str">
        <f>C$9 * (25.25059127807617 -C$8)</f>
        <v>0</v>
      </c>
      <c r="D112" t="str">
        <f>D$9 * (25.25059127807617 -D$8)</f>
        <v>0</v>
      </c>
      <c r="F112" t="str">
        <f>F$9 * (0.0101429196074605 -F$8)</f>
        <v>0</v>
      </c>
      <c r="G112" t="str">
        <f>G$9 * (1.909839034080505 -G$8)</f>
        <v>0</v>
      </c>
      <c r="H112" t="str">
        <f>H$9 * (3.50401496887207 -H$8)</f>
        <v>0</v>
      </c>
      <c r="I112" t="str">
        <f>I$9 * (21.11506080627441 -I$8)</f>
        <v>0</v>
      </c>
    </row>
    <row r="113" spans="1:11">
      <c r="A113" t="str">
        <f>A$9 * (25.50061416625977 -A$8)</f>
        <v>0</v>
      </c>
      <c r="B113" t="str">
        <f>B$9 * (25.50061416625977 -B$8)</f>
        <v>0</v>
      </c>
      <c r="C113" t="str">
        <f>C$9 * (25.50061416625977 -C$8)</f>
        <v>0</v>
      </c>
      <c r="D113" t="str">
        <f>D$9 * (25.50061416625977 -D$8)</f>
        <v>0</v>
      </c>
      <c r="F113" t="str">
        <f>F$9 * (0.01014070026576519 -F$8)</f>
        <v>0</v>
      </c>
      <c r="G113" t="str">
        <f>G$9 * (1.910004019737244 -G$8)</f>
        <v>0</v>
      </c>
      <c r="H113" t="str">
        <f>H$9 * (3.504782915115356 -H$8)</f>
        <v>0</v>
      </c>
      <c r="I113" t="str">
        <f>I$9 * (21.11967086791992 -I$8)</f>
        <v>0</v>
      </c>
    </row>
    <row r="114" spans="1:11">
      <c r="A114" t="str">
        <f>A$9 * (25.75063705444336 -A$8)</f>
        <v>0</v>
      </c>
      <c r="B114" t="str">
        <f>B$9 * (25.75063705444336 -B$8)</f>
        <v>0</v>
      </c>
      <c r="C114" t="str">
        <f>C$9 * (25.75063705444336 -C$8)</f>
        <v>0</v>
      </c>
      <c r="D114" t="str">
        <f>D$9 * (25.75063705444336 -D$8)</f>
        <v>0</v>
      </c>
      <c r="F114" t="str">
        <f>F$9 * (0.01013378985226154 -F$8)</f>
        <v>0</v>
      </c>
      <c r="G114" t="str">
        <f>G$9 * (1.909854054450989 -G$8)</f>
        <v>0</v>
      </c>
      <c r="H114" t="str">
        <f>H$9 * (3.506011962890625 -H$8)</f>
        <v>0</v>
      </c>
      <c r="I114" t="str">
        <f>I$9 * (21.12087059020996 -I$8)</f>
        <v>0</v>
      </c>
    </row>
    <row r="115" spans="1:11">
      <c r="A115" t="str">
        <f>A$9 * (26.00065612792969 -A$8)</f>
        <v>0</v>
      </c>
      <c r="B115" t="str">
        <f>B$9 * (26.00065612792969 -B$8)</f>
        <v>0</v>
      </c>
      <c r="C115" t="str">
        <f>C$9 * (26.00065612792969 -C$8)</f>
        <v>0</v>
      </c>
      <c r="D115" t="str">
        <f>D$9 * (26.00065612792969 -D$8)</f>
        <v>0</v>
      </c>
      <c r="F115" t="str">
        <f>F$9 * (0.01013602968305349 -F$8)</f>
        <v>0</v>
      </c>
      <c r="G115" t="str">
        <f>G$9 * (1.909742951393127 -G$8)</f>
        <v>0</v>
      </c>
      <c r="H115" t="str">
        <f>H$9 * (3.505335092544556 -H$8)</f>
        <v>0</v>
      </c>
      <c r="I115" t="str">
        <f>I$9 * (21.11730003356934 -I$8)</f>
        <v>0</v>
      </c>
    </row>
    <row r="116" spans="1:11">
      <c r="A116" t="str">
        <f>A$9 * (26.25001907348633 -A$8)</f>
        <v>0</v>
      </c>
      <c r="B116" t="str">
        <f>B$9 * (26.25001907348633 -B$8)</f>
        <v>0</v>
      </c>
      <c r="C116" t="str">
        <f>C$9 * (26.25001907348633 -C$8)</f>
        <v>0</v>
      </c>
      <c r="D116" t="str">
        <f>D$9 * (26.25001907348633 -D$8)</f>
        <v>0</v>
      </c>
      <c r="F116" t="str">
        <f>F$9 * (0.01014185976237059 -F$8)</f>
        <v>0</v>
      </c>
      <c r="G116" t="str">
        <f>G$9 * (1.909903049468994 -G$8)</f>
        <v>0</v>
      </c>
      <c r="H116" t="str">
        <f>H$9 * (3.504355907440186 -H$8)</f>
        <v>0</v>
      </c>
      <c r="I116" t="str">
        <f>I$9 * (21.11693954467773 -I$8)</f>
        <v>0</v>
      </c>
    </row>
    <row r="117" spans="1:11">
      <c r="A117" t="str">
        <f>A$9 * (26.50004196166992 -A$8)</f>
        <v>0</v>
      </c>
      <c r="B117" t="str">
        <f>B$9 * (26.50004196166992 -B$8)</f>
        <v>0</v>
      </c>
      <c r="C117" t="str">
        <f>C$9 * (26.50004196166992 -C$8)</f>
        <v>0</v>
      </c>
      <c r="D117" t="str">
        <f>D$9 * (26.50004196166992 -D$8)</f>
        <v>0</v>
      </c>
      <c r="F117" t="str">
        <f>F$9 * (0.01013978011906147 -F$8)</f>
        <v>0</v>
      </c>
      <c r="G117" t="str">
        <f>G$9 * (1.910019993782043 -G$8)</f>
        <v>0</v>
      </c>
      <c r="H117" t="str">
        <f>H$9 * (3.505011081695557 -H$8)</f>
        <v>0</v>
      </c>
      <c r="I117" t="str">
        <f>I$9 * (21.12054061889648 -I$8)</f>
        <v>0</v>
      </c>
    </row>
    <row r="118" spans="1:11">
      <c r="A118" t="str">
        <f>A$9 * (26.75006294250488 -A$8)</f>
        <v>0</v>
      </c>
      <c r="B118" t="str">
        <f>B$9 * (26.75006294250488 -B$8)</f>
        <v>0</v>
      </c>
      <c r="C118" t="str">
        <f>C$9 * (26.75006294250488 -C$8)</f>
        <v>0</v>
      </c>
      <c r="D118" t="str">
        <f>D$9 * (26.75006294250488 -D$8)</f>
        <v>0</v>
      </c>
      <c r="F118" t="str">
        <f>F$9 * (0.0101348701864481 -F$8)</f>
        <v>0</v>
      </c>
      <c r="G118" t="str">
        <f>G$9 * (1.909893035888672 -G$8)</f>
        <v>0</v>
      </c>
      <c r="H118" t="str">
        <f>H$9 * (3.50584888458252 -H$8)</f>
        <v>0</v>
      </c>
      <c r="I118" t="str">
        <f>I$9 * (21.12096977233887 -I$8)</f>
        <v>0</v>
      </c>
    </row>
    <row r="119" spans="1:11">
      <c r="A119" t="str">
        <f>A$9 * (27.00008583068848 -A$8)</f>
        <v>0</v>
      </c>
      <c r="B119" t="str">
        <f>B$9 * (27.00008583068848 -B$8)</f>
        <v>0</v>
      </c>
      <c r="C119" t="str">
        <f>C$9 * (27.00008583068848 -C$8)</f>
        <v>0</v>
      </c>
      <c r="D119" t="str">
        <f>D$9 * (27.00008583068848 -D$8)</f>
        <v>0</v>
      </c>
      <c r="F119" t="str">
        <f>F$9 * (0.01013685017824173 -F$8)</f>
        <v>0</v>
      </c>
      <c r="G119" t="str">
        <f>G$9 * (1.909831047058105 -G$8)</f>
        <v>0</v>
      </c>
      <c r="H119" t="str">
        <f>H$9 * (3.505311965942383 -H$8)</f>
        <v>0</v>
      </c>
      <c r="I119" t="str">
        <f>I$9 * (21.11853981018066 -I$8)</f>
        <v>0</v>
      </c>
    </row>
    <row r="120" spans="1:11">
      <c r="A120" t="str">
        <f>A$9 * (27.25010871887207 -A$8)</f>
        <v>0</v>
      </c>
      <c r="B120" t="str">
        <f>B$9 * (27.25010871887207 -B$8)</f>
        <v>0</v>
      </c>
      <c r="C120" t="str">
        <f>C$9 * (27.25010871887207 -C$8)</f>
        <v>0</v>
      </c>
      <c r="D120" t="str">
        <f>D$9 * (27.25010871887207 -D$8)</f>
        <v>0</v>
      </c>
      <c r="F120" t="str">
        <f>F$9 * (0.01014075987040997 -F$8)</f>
        <v>0</v>
      </c>
      <c r="G120" t="str">
        <f>G$9 * (1.909942030906677 -G$8)</f>
        <v>0</v>
      </c>
      <c r="H120" t="str">
        <f>H$9 * (3.504662036895752 -H$8)</f>
        <v>0</v>
      </c>
      <c r="I120" t="str">
        <f>I$9 * (21.11837959289551 -I$8)</f>
        <v>0</v>
      </c>
    </row>
    <row r="121" spans="1:11">
      <c r="A121" t="str">
        <f>A$9 * (27.50012969970703 -A$8)</f>
        <v>0</v>
      </c>
      <c r="B121" t="str">
        <f>B$9 * (27.50012969970703 -B$8)</f>
        <v>0</v>
      </c>
      <c r="C121" t="str">
        <f>C$9 * (27.50012969970703 -C$8)</f>
        <v>0</v>
      </c>
      <c r="D121" t="str">
        <f>D$9 * (27.50012969970703 -D$8)</f>
        <v>0</v>
      </c>
      <c r="F121" t="str">
        <f>F$9 * (0.01013869978487492 -F$8)</f>
        <v>0</v>
      </c>
      <c r="G121" t="str">
        <f>G$9 * (1.910004019737244 -G$8)</f>
        <v>0</v>
      </c>
      <c r="H121" t="str">
        <f>H$9 * (3.505215883255005 -H$8)</f>
        <v>0</v>
      </c>
      <c r="I121" t="str">
        <f>I$9 * (21.120849609375 -I$8)</f>
        <v>0</v>
      </c>
    </row>
    <row r="122" spans="1:11">
      <c r="A122" t="str">
        <f>A$9 * (27.75015258789062 -A$8)</f>
        <v>0</v>
      </c>
      <c r="B122" t="str">
        <f>B$9 * (27.75015258789062 -B$8)</f>
        <v>0</v>
      </c>
      <c r="C122" t="str">
        <f>C$9 * (27.75015258789062 -C$8)</f>
        <v>0</v>
      </c>
      <c r="D122" t="str">
        <f>D$9 * (27.75015258789062 -D$8)</f>
        <v>0</v>
      </c>
      <c r="F122" t="str">
        <f>F$9 * (0.01013575028628111 -F$8)</f>
        <v>0</v>
      </c>
      <c r="G122" t="str">
        <f>G$9 * (1.909932971000671 -G$8)</f>
        <v>0</v>
      </c>
      <c r="H122" t="str">
        <f>H$9 * (3.505728960037231 -H$8)</f>
        <v>0</v>
      </c>
      <c r="I122" t="str">
        <f>I$9 * (21.12122917175293 -I$8)</f>
        <v>0</v>
      </c>
    </row>
    <row r="123" spans="1:11">
      <c r="A123" t="str">
        <f>A$9 * (28.00016593933105 -A$8)</f>
        <v>0</v>
      </c>
      <c r="B123" t="str">
        <f>B$9 * (28.00016593933105 -B$8)</f>
        <v>0</v>
      </c>
      <c r="C123" t="str">
        <f>C$9 * (28.00016593933105 -C$8)</f>
        <v>0</v>
      </c>
      <c r="D123" t="str">
        <f>D$9 * (28.00016593933105 -D$8)</f>
        <v>0</v>
      </c>
      <c r="F123" t="str">
        <f>F$9 * (0.01013758964836597 -F$8)</f>
        <v>0</v>
      </c>
      <c r="G123" t="str">
        <f>G$9 * (1.909906029701233 -G$8)</f>
        <v>0</v>
      </c>
      <c r="H123" t="str">
        <f>H$9 * (3.505285024642944 -H$8)</f>
        <v>0</v>
      </c>
      <c r="I123" t="str">
        <f>I$9 * (21.11957931518555 -I$8)</f>
        <v>0</v>
      </c>
    </row>
    <row r="124" spans="1:11">
      <c r="A124" t="str">
        <f>A$9 * (28.25019454956055 -A$8)</f>
        <v>0</v>
      </c>
      <c r="B124" t="str">
        <f>B$9 * (28.25019454956055 -B$8)</f>
        <v>0</v>
      </c>
      <c r="C124" t="str">
        <f>C$9 * (28.25019454956055 -C$8)</f>
        <v>0</v>
      </c>
      <c r="D124" t="str">
        <f>D$9 * (28.25019454956055 -D$8)</f>
        <v>0</v>
      </c>
      <c r="F124" t="str">
        <f>F$9 * (0.01014048978686333 -F$8)</f>
        <v>0</v>
      </c>
      <c r="G124" t="str">
        <f>G$9 * (1.910012006759644 -G$8)</f>
        <v>0</v>
      </c>
      <c r="H124" t="str">
        <f>H$9 * (3.504846096038818 -H$8)</f>
        <v>0</v>
      </c>
      <c r="I124" t="str">
        <f>I$9 * (21.11993980407715 -I$8)</f>
        <v>0</v>
      </c>
    </row>
    <row r="125" spans="1:11">
      <c r="A125" t="str">
        <f>A$9 * (28.50022315979004 -A$8)</f>
        <v>0</v>
      </c>
      <c r="B125" t="str">
        <f>B$9 * (28.50022315979004 -B$8)</f>
        <v>0</v>
      </c>
      <c r="C125" t="str">
        <f>C$9 * (28.50022315979004 -C$8)</f>
        <v>0</v>
      </c>
      <c r="D125" t="str">
        <f>D$9 * (28.50022315979004 -D$8)</f>
        <v>0</v>
      </c>
      <c r="F125" t="str">
        <f>F$9 * (0.01013880036771297 -F$8)</f>
        <v>0</v>
      </c>
      <c r="G125" t="str">
        <f>G$9 * (1.910084009170532 -G$8)</f>
        <v>0</v>
      </c>
      <c r="H125" t="str">
        <f>H$9 * (3.505338907241821 -H$8)</f>
        <v>0</v>
      </c>
      <c r="I125" t="str">
        <f>I$9 * (21.1224308013916 -I$8)</f>
        <v>0</v>
      </c>
    </row>
    <row r="126" spans="1:11">
      <c r="A126" t="str">
        <f>A$9 * (28.7502498626709 -A$8)</f>
        <v>0</v>
      </c>
      <c r="B126" t="str">
        <f>B$9 * (28.7502498626709 -B$8)</f>
        <v>0</v>
      </c>
      <c r="C126" t="str">
        <f>C$9 * (28.7502498626709 -C$8)</f>
        <v>0</v>
      </c>
      <c r="D126" t="str">
        <f>D$9 * (28.7502498626709 -D$8)</f>
        <v>0</v>
      </c>
      <c r="F126" t="str">
        <f>F$9 * (0.0101367300376296 -F$8)</f>
        <v>0</v>
      </c>
      <c r="G126" t="str">
        <f>G$9 * (1.910022020339966 -G$8)</f>
        <v>0</v>
      </c>
      <c r="H126" t="str">
        <f>H$9 * (3.505676984786987 -H$8)</f>
        <v>0</v>
      </c>
      <c r="I126" t="str">
        <f>I$9 * (21.12245941162109 -I$8)</f>
        <v>0</v>
      </c>
    </row>
    <row r="127" spans="1:11">
      <c r="A127" t="str">
        <f>A$9 * (29.0002498626709 -A$8)</f>
        <v>0</v>
      </c>
      <c r="B127" t="str">
        <f>B$9 * (29.0002498626709 -B$8)</f>
        <v>0</v>
      </c>
      <c r="C127" t="str">
        <f>C$9 * (29.0002498626709 -C$8)</f>
        <v>0</v>
      </c>
      <c r="D127" t="str">
        <f>D$9 * (29.0002498626709 -D$8)</f>
        <v>0</v>
      </c>
      <c r="F127" t="str">
        <f>F$9 * (0.01013842038810253 -F$8)</f>
        <v>0</v>
      </c>
      <c r="G127" t="str">
        <f>G$9 * (1.91000497341156 -G$8)</f>
        <v>0</v>
      </c>
      <c r="H127" t="str">
        <f>H$9 * (3.505283117294312 -H$8)</f>
        <v>0</v>
      </c>
      <c r="I127" t="str">
        <f>I$9 * (21.1210994720459 -I$8)</f>
        <v>0</v>
      </c>
    </row>
    <row r="128" spans="1:11">
      <c r="A128" t="str">
        <f>A$9 * (29.25027847290039 -A$8)</f>
        <v>0</v>
      </c>
      <c r="B128" t="str">
        <f>B$9 * (29.25027847290039 -B$8)</f>
        <v>0</v>
      </c>
      <c r="C128" t="str">
        <f>C$9 * (29.25027847290039 -C$8)</f>
        <v>0</v>
      </c>
      <c r="D128" t="str">
        <f>D$9 * (29.25027847290039 -D$8)</f>
        <v>0</v>
      </c>
      <c r="F128" t="str">
        <f>F$9 * (0.01013964042067528 -F$8)</f>
        <v>0</v>
      </c>
      <c r="G128" t="str">
        <f>G$9 * (1.910071015357971 -G$8)</f>
        <v>0</v>
      </c>
      <c r="H128" t="str">
        <f>H$9 * (3.505135059356689 -H$8)</f>
        <v>0</v>
      </c>
      <c r="I128" t="str">
        <f>I$9 * (21.12167930603027 -I$8)</f>
        <v>0</v>
      </c>
    </row>
    <row r="129" spans="1:11">
      <c r="A129" t="str">
        <f>A$9 * (29.50030517578125 -A$8)</f>
        <v>0</v>
      </c>
      <c r="B129" t="str">
        <f>B$9 * (29.50030517578125 -B$8)</f>
        <v>0</v>
      </c>
      <c r="C129" t="str">
        <f>C$9 * (29.50030517578125 -C$8)</f>
        <v>0</v>
      </c>
      <c r="D129" t="str">
        <f>D$9 * (29.50030517578125 -D$8)</f>
        <v>0</v>
      </c>
      <c r="F129" t="str">
        <f>F$9 * (0.01013758964836597 -F$8)</f>
        <v>0</v>
      </c>
      <c r="G129" t="str">
        <f>G$9 * (1.910063982009888 -G$8)</f>
        <v>0</v>
      </c>
      <c r="H129" t="str">
        <f>H$9 * (3.505565881729126 -H$8)</f>
        <v>0</v>
      </c>
      <c r="I129" t="str">
        <f>I$9 * (21.12278938293457 -I$8)</f>
        <v>0</v>
      </c>
    </row>
    <row r="130" spans="1:11">
      <c r="A130" t="str">
        <f>A$9 * (29.75033378601074 -A$8)</f>
        <v>0</v>
      </c>
      <c r="B130" t="str">
        <f>B$9 * (29.75033378601074 -B$8)</f>
        <v>0</v>
      </c>
      <c r="C130" t="str">
        <f>C$9 * (29.75033378601074 -C$8)</f>
        <v>0</v>
      </c>
      <c r="D130" t="str">
        <f>D$9 * (29.75033378601074 -D$8)</f>
        <v>0</v>
      </c>
      <c r="F130" t="str">
        <f>F$9 * (0.01013663969933987 -F$8)</f>
        <v>0</v>
      </c>
      <c r="G130" t="str">
        <f>G$9 * (1.910014033317566 -G$8)</f>
        <v>0</v>
      </c>
      <c r="H130" t="str">
        <f>H$9 * (3.505681991577148 -H$8)</f>
        <v>0</v>
      </c>
      <c r="I130" t="str">
        <f>I$9 * (21.12235069274902 -I$8)</f>
        <v>0</v>
      </c>
    </row>
    <row r="131" spans="1:11">
      <c r="A131" t="str">
        <f>A$9 * (30.0003604888916 -A$8)</f>
        <v>0</v>
      </c>
      <c r="B131" t="str">
        <f>B$9 * (30.0003604888916 -B$8)</f>
        <v>0</v>
      </c>
      <c r="C131" t="str">
        <f>C$9 * (30.0003604888916 -C$8)</f>
        <v>0</v>
      </c>
      <c r="D131" t="str">
        <f>D$9 * (30.0003604888916 -D$8)</f>
        <v>0</v>
      </c>
      <c r="F131" t="str">
        <f>F$9 * (0.01013833004981279 -F$8)</f>
        <v>0</v>
      </c>
      <c r="G131" t="str">
        <f>G$9 * (1.910024046897888 -G$8)</f>
        <v>0</v>
      </c>
      <c r="H131" t="str">
        <f>H$9 * (3.50533390045166 -H$8)</f>
        <v>0</v>
      </c>
      <c r="I131" t="str">
        <f>I$9 * (21.12150955200195 -I$8)</f>
        <v>0</v>
      </c>
    </row>
    <row r="132" spans="1:11">
      <c r="A132" t="str">
        <f>A$9 * (30.2503604888916 -A$8)</f>
        <v>0</v>
      </c>
      <c r="B132" t="str">
        <f>B$9 * (30.2503604888916 -B$8)</f>
        <v>0</v>
      </c>
      <c r="C132" t="str">
        <f>C$9 * (30.2503604888916 -C$8)</f>
        <v>0</v>
      </c>
      <c r="D132" t="str">
        <f>D$9 * (30.2503604888916 -D$8)</f>
        <v>0</v>
      </c>
      <c r="F132" t="str">
        <f>F$9 * (0.01013918034732342 -F$8)</f>
        <v>0</v>
      </c>
      <c r="G132" t="str">
        <f>G$9 * (1.910081028938293 -G$8)</f>
        <v>0</v>
      </c>
      <c r="H132" t="str">
        <f>H$9 * (3.505251884460449 -H$8)</f>
        <v>0</v>
      </c>
      <c r="I132" t="str">
        <f>I$9 * (21.12214088439941 -I$8)</f>
        <v>0</v>
      </c>
    </row>
    <row r="133" spans="1:11">
      <c r="A133" t="str">
        <f>A$9 * (30.50038909912109 -A$8)</f>
        <v>0</v>
      </c>
      <c r="B133" t="str">
        <f>B$9 * (30.50038909912109 -B$8)</f>
        <v>0</v>
      </c>
      <c r="C133" t="str">
        <f>C$9 * (30.50038909912109 -C$8)</f>
        <v>0</v>
      </c>
      <c r="D133" t="str">
        <f>D$9 * (30.50038909912109 -D$8)</f>
        <v>0</v>
      </c>
      <c r="F133" t="str">
        <f>F$9 * (0.01013758964836597 -F$8)</f>
        <v>0</v>
      </c>
      <c r="G133" t="str">
        <f>G$9 * (1.910083055496216 -G$8)</f>
        <v>0</v>
      </c>
      <c r="H133" t="str">
        <f>H$9 * (3.505597114562988 -H$8)</f>
        <v>0</v>
      </c>
      <c r="I133" t="str">
        <f>I$9 * (21.12313079833984 -I$8)</f>
        <v>0</v>
      </c>
    </row>
    <row r="134" spans="1:11">
      <c r="A134" t="str">
        <f>A$9 * (30.75041580200195 -A$8)</f>
        <v>0</v>
      </c>
      <c r="B134" t="str">
        <f>B$9 * (30.75041580200195 -B$8)</f>
        <v>0</v>
      </c>
      <c r="C134" t="str">
        <f>C$9 * (30.75041580200195 -C$8)</f>
        <v>0</v>
      </c>
      <c r="D134" t="str">
        <f>D$9 * (30.75041580200195 -D$8)</f>
        <v>0</v>
      </c>
      <c r="F134" t="str">
        <f>F$9 * (0.01013706997036934 -F$8)</f>
        <v>0</v>
      </c>
      <c r="G134" t="str">
        <f>G$9 * (1.910063028335571 -G$8)</f>
        <v>0</v>
      </c>
      <c r="H134" t="str">
        <f>H$9 * (3.505676031112671 -H$8)</f>
        <v>0</v>
      </c>
      <c r="I134" t="str">
        <f>I$9 * (21.12306976318359 -I$8)</f>
        <v>0</v>
      </c>
    </row>
    <row r="135" spans="1:11">
      <c r="A135" t="str">
        <f>A$9 * (31.00044441223145 -A$8)</f>
        <v>0</v>
      </c>
      <c r="B135" t="str">
        <f>B$9 * (31.00044441223145 -B$8)</f>
        <v>0</v>
      </c>
      <c r="C135" t="str">
        <f>C$9 * (31.00044441223145 -C$8)</f>
        <v>0</v>
      </c>
      <c r="D135" t="str">
        <f>D$9 * (31.00044441223145 -D$8)</f>
        <v>0</v>
      </c>
      <c r="F135" t="str">
        <f>F$9 * (0.01013858988881111 -F$8)</f>
        <v>0</v>
      </c>
      <c r="G135" t="str">
        <f>G$9 * (1.910076022148132 -G$8)</f>
        <v>0</v>
      </c>
      <c r="H135" t="str">
        <f>H$9 * (3.50537109375 -H$8)</f>
        <v>0</v>
      </c>
      <c r="I135" t="str">
        <f>I$9 * (21.12239074707031 -I$8)</f>
        <v>0</v>
      </c>
    </row>
    <row r="136" spans="1:11">
      <c r="A136" t="str">
        <f>A$9 * (31.25047302246094 -A$8)</f>
        <v>0</v>
      </c>
      <c r="B136" t="str">
        <f>B$9 * (31.25047302246094 -B$8)</f>
        <v>0</v>
      </c>
      <c r="C136" t="str">
        <f>C$9 * (31.25047302246094 -C$8)</f>
        <v>0</v>
      </c>
      <c r="D136" t="str">
        <f>D$9 * (31.25047302246094 -D$8)</f>
        <v>0</v>
      </c>
      <c r="F136" t="str">
        <f>F$9 * (0.01013910956680775 -F$8)</f>
        <v>0</v>
      </c>
      <c r="G136" t="str">
        <f>G$9 * (1.910117983818054 -G$8)</f>
        <v>0</v>
      </c>
      <c r="H136" t="str">
        <f>H$9 * (3.50533390045166 -H$8)</f>
        <v>0</v>
      </c>
      <c r="I136" t="str">
        <f>I$9 * (21.1229305267334 -I$8)</f>
        <v>0</v>
      </c>
    </row>
    <row r="137" spans="1:11">
      <c r="A137" t="str">
        <f>A$9 * (31.50047302246094 -A$8)</f>
        <v>0</v>
      </c>
      <c r="B137" t="str">
        <f>B$9 * (31.50047302246094 -B$8)</f>
        <v>0</v>
      </c>
      <c r="C137" t="str">
        <f>C$9 * (31.50047302246094 -C$8)</f>
        <v>0</v>
      </c>
      <c r="D137" t="str">
        <f>D$9 * (31.50047302246094 -D$8)</f>
        <v>0</v>
      </c>
      <c r="F137" t="str">
        <f>F$9 * (0.01013720035552979 -F$8)</f>
        <v>0</v>
      </c>
      <c r="G137" t="str">
        <f>G$9 * (1.910096049308777 -G$8)</f>
        <v>0</v>
      </c>
      <c r="H137" t="str">
        <f>H$9 * (3.505707025527954 -H$8)</f>
        <v>0</v>
      </c>
      <c r="I137" t="str">
        <f>I$9 * (21.1236400604248 -I$8)</f>
        <v>0</v>
      </c>
    </row>
    <row r="138" spans="1:11">
      <c r="A138" t="str">
        <f>A$9 * (31.7504997253418 -A$8)</f>
        <v>0</v>
      </c>
      <c r="B138" t="str">
        <f>B$9 * (31.7504997253418 -B$8)</f>
        <v>0</v>
      </c>
      <c r="C138" t="str">
        <f>C$9 * (31.7504997253418 -C$8)</f>
        <v>0</v>
      </c>
      <c r="D138" t="str">
        <f>D$9 * (31.7504997253418 -D$8)</f>
        <v>0</v>
      </c>
      <c r="F138" t="str">
        <f>F$9 * (0.0101366899907589 -F$8)</f>
        <v>0</v>
      </c>
      <c r="G138" t="str">
        <f>G$9 * (1.910060048103333 -G$8)</f>
        <v>0</v>
      </c>
      <c r="H138" t="str">
        <f>H$9 * (3.505753993988037 -H$8)</f>
        <v>0</v>
      </c>
      <c r="I138" t="str">
        <f>I$9 * (21.12323951721191 -I$8)</f>
        <v>0</v>
      </c>
    </row>
    <row r="139" spans="1:11">
      <c r="A139" t="str">
        <f>A$9 * (32.00052642822266 -A$8)</f>
        <v>0</v>
      </c>
      <c r="B139" t="str">
        <f>B$9 * (32.00052642822266 -B$8)</f>
        <v>0</v>
      </c>
      <c r="C139" t="str">
        <f>C$9 * (32.00052642822266 -C$8)</f>
        <v>0</v>
      </c>
      <c r="D139" t="str">
        <f>D$9 * (32.00052642822266 -D$8)</f>
        <v>0</v>
      </c>
      <c r="F139" t="str">
        <f>F$9 * (0.01013842038810253 -F$8)</f>
        <v>0</v>
      </c>
      <c r="G139" t="str">
        <f>G$9 * (1.910096049308777 -G$8)</f>
        <v>0</v>
      </c>
      <c r="H139" t="str">
        <f>H$9 * (3.505444049835205 -H$8)</f>
        <v>0</v>
      </c>
      <c r="I139" t="str">
        <f>I$9 * (21.12290954589844 -I$8)</f>
        <v>0</v>
      </c>
    </row>
    <row r="140" spans="1:11">
      <c r="A140" t="str">
        <f>A$9 * (32.25055694580078 -A$8)</f>
        <v>0</v>
      </c>
      <c r="B140" t="str">
        <f>B$9 * (32.25055694580078 -B$8)</f>
        <v>0</v>
      </c>
      <c r="C140" t="str">
        <f>C$9 * (32.25055694580078 -C$8)</f>
        <v>0</v>
      </c>
      <c r="D140" t="str">
        <f>D$9 * (32.25055694580078 -D$8)</f>
        <v>0</v>
      </c>
      <c r="F140" t="str">
        <f>F$9 * (0.01013921014964581 -F$8)</f>
        <v>0</v>
      </c>
      <c r="G140" t="str">
        <f>G$9 * (1.910148024559021 -G$8)</f>
        <v>0</v>
      </c>
      <c r="H140" t="str">
        <f>H$9 * (3.505366086959839 -H$8)</f>
        <v>0</v>
      </c>
      <c r="I140" t="str">
        <f>I$9 * (21.12346076965332 -I$8)</f>
        <v>0</v>
      </c>
    </row>
    <row r="141" spans="1:11">
      <c r="A141" t="str">
        <f>A$9 * (32.50058364868164 -A$8)</f>
        <v>0</v>
      </c>
      <c r="B141" t="str">
        <f>B$9 * (32.50058364868164 -B$8)</f>
        <v>0</v>
      </c>
      <c r="C141" t="str">
        <f>C$9 * (32.50058364868164 -C$8)</f>
        <v>0</v>
      </c>
      <c r="D141" t="str">
        <f>D$9 * (32.50058364868164 -D$8)</f>
        <v>0</v>
      </c>
      <c r="F141" t="str">
        <f>F$9 * (0.01013820990920067 -F$8)</f>
        <v>0</v>
      </c>
      <c r="G141" t="str">
        <f>G$9 * (1.910161018371582 -G$8)</f>
        <v>0</v>
      </c>
      <c r="H141" t="str">
        <f>H$9 * (3.505604028701782 -H$8)</f>
        <v>0</v>
      </c>
      <c r="I141" t="str">
        <f>I$9 * (21.12431907653809 -I$8)</f>
        <v>0</v>
      </c>
    </row>
    <row r="142" spans="1:11">
      <c r="A142" t="str">
        <f>A$9 * (32.75058364868164 -A$8)</f>
        <v>0</v>
      </c>
      <c r="B142" t="str">
        <f>B$9 * (32.75058364868164 -B$8)</f>
        <v>0</v>
      </c>
      <c r="C142" t="str">
        <f>C$9 * (32.75058364868164 -C$8)</f>
        <v>0</v>
      </c>
      <c r="D142" t="str">
        <f>D$9 * (32.75058364868164 -D$8)</f>
        <v>0</v>
      </c>
      <c r="F142" t="str">
        <f>F$9 * (0.01013667974621058 -F$8)</f>
        <v>0</v>
      </c>
      <c r="G142" t="str">
        <f>G$9 * (1.910107970237732 -G$8)</f>
        <v>0</v>
      </c>
      <c r="H142" t="str">
        <f>H$9 * (3.505841016769409 -H$8)</f>
        <v>0</v>
      </c>
      <c r="I142" t="str">
        <f>I$9 * (21.12420082092285 -I$8)</f>
        <v>0</v>
      </c>
    </row>
    <row r="143" spans="1:11">
      <c r="A143" t="str">
        <f>A$9 * (33.0006103515625 -A$8)</f>
        <v>0</v>
      </c>
      <c r="B143" t="str">
        <f>B$9 * (33.0006103515625 -B$8)</f>
        <v>0</v>
      </c>
      <c r="C143" t="str">
        <f>C$9 * (33.0006103515625 -C$8)</f>
        <v>0</v>
      </c>
      <c r="D143" t="str">
        <f>D$9 * (33.0006103515625 -D$8)</f>
        <v>0</v>
      </c>
      <c r="F143" t="str">
        <f>F$9 * (0.01013758033514023 -F$8)</f>
        <v>0</v>
      </c>
      <c r="G143" t="str">
        <f>G$9 * (1.910092949867249 -G$8)</f>
        <v>0</v>
      </c>
      <c r="H143" t="str">
        <f>H$9 * (3.505619049072266 -H$8)</f>
        <v>0</v>
      </c>
      <c r="I143" t="str">
        <f>I$9 * (21.12335014343262 -I$8)</f>
        <v>0</v>
      </c>
    </row>
    <row r="144" spans="1:11">
      <c r="A144" t="str">
        <f>A$9 * (33.25063705444336 -A$8)</f>
        <v>0</v>
      </c>
      <c r="B144" t="str">
        <f>B$9 * (33.25063705444336 -B$8)</f>
        <v>0</v>
      </c>
      <c r="C144" t="str">
        <f>C$9 * (33.25063705444336 -C$8)</f>
        <v>0</v>
      </c>
      <c r="D144" t="str">
        <f>D$9 * (33.25063705444336 -D$8)</f>
        <v>0</v>
      </c>
      <c r="F144" t="str">
        <f>F$9 * (0.01013856008648872 -F$8)</f>
        <v>0</v>
      </c>
      <c r="G144" t="str">
        <f>G$9 * (1.910130977630615 -G$8)</f>
        <v>0</v>
      </c>
      <c r="H144" t="str">
        <f>H$9 * (3.505474090576172 -H$8)</f>
        <v>0</v>
      </c>
      <c r="I144" t="str">
        <f>I$9 * (21.12348937988281 -I$8)</f>
        <v>0</v>
      </c>
    </row>
    <row r="145" spans="1:11">
      <c r="A145" t="str">
        <f>A$9 * (33.50066757202148 -A$8)</f>
        <v>0</v>
      </c>
      <c r="B145" t="str">
        <f>B$9 * (33.50066757202148 -B$8)</f>
        <v>0</v>
      </c>
      <c r="C145" t="str">
        <f>C$9 * (33.50066757202148 -C$8)</f>
        <v>0</v>
      </c>
      <c r="D145" t="str">
        <f>D$9 * (33.50066757202148 -D$8)</f>
        <v>0</v>
      </c>
      <c r="F145" t="str">
        <f>F$9 * (0.01013793982565403 -F$8)</f>
        <v>0</v>
      </c>
      <c r="G145" t="str">
        <f>G$9 * (1.910148978233337 -G$8)</f>
        <v>0</v>
      </c>
      <c r="H145" t="str">
        <f>H$9 * (3.505640029907227 -H$8)</f>
        <v>0</v>
      </c>
      <c r="I145" t="str">
        <f>I$9 * (21.12422943115234 -I$8)</f>
        <v>0</v>
      </c>
    </row>
    <row r="146" spans="1:11">
      <c r="A146" t="str">
        <f>A$9 * (33.75002670288086 -A$8)</f>
        <v>0</v>
      </c>
      <c r="B146" t="str">
        <f>B$9 * (33.75002670288086 -B$8)</f>
        <v>0</v>
      </c>
      <c r="C146" t="str">
        <f>C$9 * (33.75002670288086 -C$8)</f>
        <v>0</v>
      </c>
      <c r="D146" t="str">
        <f>D$9 * (33.75002670288086 -D$8)</f>
        <v>0</v>
      </c>
      <c r="F146" t="str">
        <f>F$9 * (0.01013709045946598 -F$8)</f>
        <v>0</v>
      </c>
      <c r="G146" t="str">
        <f>G$9 * (1.91012704372406 -G$8)</f>
        <v>0</v>
      </c>
      <c r="H146" t="str">
        <f>H$9 * (3.50578498840332 -H$8)</f>
        <v>0</v>
      </c>
      <c r="I146" t="str">
        <f>I$9 * (21.12431907653809 -I$8)</f>
        <v>0</v>
      </c>
    </row>
    <row r="147" spans="1:11">
      <c r="A147" t="str">
        <f>A$9 * (34.00005722045898 -A$8)</f>
        <v>0</v>
      </c>
      <c r="B147" t="str">
        <f>B$9 * (34.00005722045898 -B$8)</f>
        <v>0</v>
      </c>
      <c r="C147" t="str">
        <f>C$9 * (34.00005722045898 -C$8)</f>
        <v>0</v>
      </c>
      <c r="D147" t="str">
        <f>D$9 * (34.00005722045898 -D$8)</f>
        <v>0</v>
      </c>
      <c r="F147" t="str">
        <f>F$9 * (0.01013778988271952 -F$8)</f>
        <v>0</v>
      </c>
      <c r="G147" t="str">
        <f>G$9 * (1.910127997398376 -G$8)</f>
        <v>0</v>
      </c>
      <c r="H147" t="str">
        <f>H$9 * (3.505635976791382 -H$8)</f>
        <v>0</v>
      </c>
      <c r="I147" t="str">
        <f>I$9 * (21.12389945983887 -I$8)</f>
        <v>0</v>
      </c>
    </row>
    <row r="148" spans="1:11">
      <c r="A148" t="str">
        <f>A$9 * (34.25005722045898 -A$8)</f>
        <v>0</v>
      </c>
      <c r="B148" t="str">
        <f>B$9 * (34.25005722045898 -B$8)</f>
        <v>0</v>
      </c>
      <c r="C148" t="str">
        <f>C$9 * (34.25005722045898 -C$8)</f>
        <v>0</v>
      </c>
      <c r="D148" t="str">
        <f>D$9 * (34.25005722045898 -D$8)</f>
        <v>0</v>
      </c>
      <c r="F148" t="str">
        <f>F$9 * (0.01013849955052137 -F$8)</f>
        <v>0</v>
      </c>
      <c r="G148" t="str">
        <f>G$9 * (1.910161018371582 -G$8)</f>
        <v>0</v>
      </c>
      <c r="H148" t="str">
        <f>H$9 * (3.505541086196899 -H$8)</f>
        <v>0</v>
      </c>
      <c r="I148" t="str">
        <f>I$9 * (21.1241397857666 -I$8)</f>
        <v>0</v>
      </c>
    </row>
    <row r="149" spans="1:11">
      <c r="A149" t="str">
        <f>A$9 * (34.50008392333984 -A$8)</f>
        <v>0</v>
      </c>
      <c r="B149" t="str">
        <f>B$9 * (34.50008392333984 -B$8)</f>
        <v>0</v>
      </c>
      <c r="C149" t="str">
        <f>C$9 * (34.50008392333984 -C$8)</f>
        <v>0</v>
      </c>
      <c r="D149" t="str">
        <f>D$9 * (34.50008392333984 -D$8)</f>
        <v>0</v>
      </c>
      <c r="F149" t="str">
        <f>F$9 * (0.01013797987252474 -F$8)</f>
        <v>0</v>
      </c>
      <c r="G149" t="str">
        <f>G$9 * (1.910177946090698 -G$8)</f>
        <v>0</v>
      </c>
      <c r="H149" t="str">
        <f>H$9 * (3.505681991577148 -H$8)</f>
        <v>0</v>
      </c>
      <c r="I149" t="str">
        <f>I$9 * (21.12479019165039 -I$8)</f>
        <v>0</v>
      </c>
    </row>
    <row r="150" spans="1:11">
      <c r="A150" t="str">
        <f>A$9 * (34.7501106262207 -A$8)</f>
        <v>0</v>
      </c>
      <c r="B150" t="str">
        <f>B$9 * (34.7501106262207 -B$8)</f>
        <v>0</v>
      </c>
      <c r="C150" t="str">
        <f>C$9 * (34.7501106262207 -C$8)</f>
        <v>0</v>
      </c>
      <c r="D150" t="str">
        <f>D$9 * (34.7501106262207 -D$8)</f>
        <v>0</v>
      </c>
      <c r="F150" t="str">
        <f>F$9 * (0.01013735961169004 -F$8)</f>
        <v>0</v>
      </c>
      <c r="G150" t="str">
        <f>G$9 * (1.910161972045898 -G$8)</f>
        <v>0</v>
      </c>
      <c r="H150" t="str">
        <f>H$9 * (3.505789995193481 -H$8)</f>
        <v>0</v>
      </c>
      <c r="I150" t="str">
        <f>I$9 * (21.1248607635498 -I$8)</f>
        <v>0</v>
      </c>
    </row>
    <row r="151" spans="1:11">
      <c r="A151" t="str">
        <f>A$9 * (35.00013732910156 -A$8)</f>
        <v>0</v>
      </c>
      <c r="B151" t="str">
        <f>B$9 * (35.00013732910156 -B$8)</f>
        <v>0</v>
      </c>
      <c r="C151" t="str">
        <f>C$9 * (35.00013732910156 -C$8)</f>
        <v>0</v>
      </c>
      <c r="D151" t="str">
        <f>D$9 * (35.00013732910156 -D$8)</f>
        <v>0</v>
      </c>
      <c r="F151" t="str">
        <f>F$9 * (0.01013784017413855 -F$8)</f>
        <v>0</v>
      </c>
      <c r="G151" t="str">
        <f>G$9 * (1.91015899181366 -G$8)</f>
        <v>0</v>
      </c>
      <c r="H151" t="str">
        <f>H$9 * (3.505680084228516 -H$8)</f>
        <v>0</v>
      </c>
      <c r="I151" t="str">
        <f>I$9 * (21.1245002746582 -I$8)</f>
        <v>0</v>
      </c>
    </row>
    <row r="152" spans="1:11">
      <c r="A152" t="str">
        <f>A$9 * (35.25016784667969 -A$8)</f>
        <v>0</v>
      </c>
      <c r="B152" t="str">
        <f>B$9 * (35.25016784667969 -B$8)</f>
        <v>0</v>
      </c>
      <c r="C152" t="str">
        <f>C$9 * (35.25016784667969 -C$8)</f>
        <v>0</v>
      </c>
      <c r="D152" t="str">
        <f>D$9 * (35.25016784667969 -D$8)</f>
        <v>0</v>
      </c>
      <c r="F152" t="str">
        <f>F$9 * (0.0101384399458766 -F$8)</f>
        <v>0</v>
      </c>
      <c r="G152" t="str">
        <f>G$9 * (1.910202026367188 -G$8)</f>
        <v>0</v>
      </c>
      <c r="H152" t="str">
        <f>H$9 * (3.505629062652588 -H$8)</f>
        <v>0</v>
      </c>
      <c r="I152" t="str">
        <f>I$9 * (21.12503051757812 -I$8)</f>
        <v>0</v>
      </c>
    </row>
    <row r="153" spans="1:11">
      <c r="A153" t="str">
        <f>A$9 * (35.50016784667969 -A$8)</f>
        <v>0</v>
      </c>
      <c r="B153" t="str">
        <f>B$9 * (35.50016784667969 -B$8)</f>
        <v>0</v>
      </c>
      <c r="C153" t="str">
        <f>C$9 * (35.50016784667969 -C$8)</f>
        <v>0</v>
      </c>
      <c r="D153" t="str">
        <f>D$9 * (35.50016784667969 -D$8)</f>
        <v>0</v>
      </c>
      <c r="F153" t="str">
        <f>F$9 * (0.01013812981545925 -F$8)</f>
        <v>0</v>
      </c>
      <c r="G153" t="str">
        <f>G$9 * (1.910222053527832 -G$8)</f>
        <v>0</v>
      </c>
      <c r="H153" t="str">
        <f>H$9 * (3.505731105804443 -H$8)</f>
        <v>0</v>
      </c>
      <c r="I153" t="str">
        <f>I$9 * (21.1256103515625 -I$8)</f>
        <v>0</v>
      </c>
    </row>
    <row r="154" spans="1:11">
      <c r="A154" t="str">
        <f>A$9 * (35.75019454956055 -A$8)</f>
        <v>0</v>
      </c>
      <c r="B154" t="str">
        <f>B$9 * (35.75019454956055 -B$8)</f>
        <v>0</v>
      </c>
      <c r="C154" t="str">
        <f>C$9 * (35.75019454956055 -C$8)</f>
        <v>0</v>
      </c>
      <c r="D154" t="str">
        <f>D$9 * (35.75019454956055 -D$8)</f>
        <v>0</v>
      </c>
      <c r="F154" t="str">
        <f>F$9 * (0.01013792958110571 -F$8)</f>
        <v>0</v>
      </c>
      <c r="G154" t="str">
        <f>G$9 * (1.910215973854065 -G$8)</f>
        <v>0</v>
      </c>
      <c r="H154" t="str">
        <f>H$9 * (3.505765914916992 -H$8)</f>
        <v>0</v>
      </c>
      <c r="I154" t="str">
        <f>I$9 * (21.12562942504883 -I$8)</f>
        <v>0</v>
      </c>
    </row>
    <row r="155" spans="1:11">
      <c r="A155" t="str">
        <f>A$9 * (36.00022125244141 -A$8)</f>
        <v>0</v>
      </c>
      <c r="B155" t="str">
        <f>B$9 * (36.00022125244141 -B$8)</f>
        <v>0</v>
      </c>
      <c r="C155" t="str">
        <f>C$9 * (36.00022125244141 -C$8)</f>
        <v>0</v>
      </c>
      <c r="D155" t="str">
        <f>D$9 * (36.00022125244141 -D$8)</f>
        <v>0</v>
      </c>
      <c r="F155" t="str">
        <f>F$9 * (0.0101381903514266 -F$8)</f>
        <v>0</v>
      </c>
      <c r="G155" t="str">
        <f>G$9 * (1.91022801399231 -G$8)</f>
        <v>0</v>
      </c>
      <c r="H155" t="str">
        <f>H$9 * (3.505729913711548 -H$8)</f>
        <v>0</v>
      </c>
      <c r="I155" t="str">
        <f>I$9 * (21.12571907043457 -I$8)</f>
        <v>0</v>
      </c>
    </row>
    <row r="156" spans="1:11">
      <c r="A156" t="str">
        <f>A$9 * (36.25025177001953 -A$8)</f>
        <v>0</v>
      </c>
      <c r="B156" t="str">
        <f>B$9 * (36.25025177001953 -B$8)</f>
        <v>0</v>
      </c>
      <c r="C156" t="str">
        <f>C$9 * (36.25025177001953 -C$8)</f>
        <v>0</v>
      </c>
      <c r="D156" t="str">
        <f>D$9 * (36.25025177001953 -D$8)</f>
        <v>0</v>
      </c>
      <c r="F156" t="str">
        <f>F$9 * (0.01013812981545925 -F$8)</f>
        <v>0</v>
      </c>
      <c r="G156" t="str">
        <f>G$9 * (1.910238981246948 -G$8)</f>
        <v>0</v>
      </c>
      <c r="H156" t="str">
        <f>H$9 * (3.505762100219727 -H$8)</f>
        <v>0</v>
      </c>
      <c r="I156" t="str">
        <f>I$9 * (21.12598037719727 -I$8)</f>
        <v>0</v>
      </c>
    </row>
    <row r="157" spans="1:11">
      <c r="A157" t="str">
        <f>A$9 * (36.50025177001953 -A$8)</f>
        <v>0</v>
      </c>
      <c r="B157" t="str">
        <f>B$9 * (36.50025177001953 -B$8)</f>
        <v>0</v>
      </c>
      <c r="C157" t="str">
        <f>C$9 * (36.50025177001953 -C$8)</f>
        <v>0</v>
      </c>
      <c r="D157" t="str">
        <f>D$9 * (36.50025177001953 -D$8)</f>
        <v>0</v>
      </c>
      <c r="F157" t="str">
        <f>F$9 * (0.01013792026787996 -F$8)</f>
        <v>0</v>
      </c>
      <c r="G157" t="str">
        <f>G$9 * (1.910241961479187 -G$8)</f>
        <v>0</v>
      </c>
      <c r="H157" t="str">
        <f>H$9 * (3.505812883377075 -H$8)</f>
        <v>0</v>
      </c>
      <c r="I157" t="str">
        <f>I$9 * (21.12616920471191 -I$8)</f>
        <v>0</v>
      </c>
    </row>
    <row r="158" spans="1:11">
      <c r="A158" t="str">
        <f>A$9 * (36.75027847290039 -A$8)</f>
        <v>0</v>
      </c>
      <c r="B158" t="str">
        <f>B$9 * (36.75027847290039 -B$8)</f>
        <v>0</v>
      </c>
      <c r="C158" t="str">
        <f>C$9 * (36.75027847290039 -C$8)</f>
        <v>0</v>
      </c>
      <c r="D158" t="str">
        <f>D$9 * (36.75027847290039 -D$8)</f>
        <v>0</v>
      </c>
      <c r="F158" t="str">
        <f>F$9 * (0.01013791002333164 -F$8)</f>
        <v>0</v>
      </c>
      <c r="G158" t="str">
        <f>G$9 * (1.910241007804871 -G$8)</f>
        <v>0</v>
      </c>
      <c r="H158" t="str">
        <f>H$9 * (3.505814075469971 -H$8)</f>
        <v>0</v>
      </c>
      <c r="I158" t="str">
        <f>I$9 * (21.12615966796875 -I$8)</f>
        <v>0</v>
      </c>
    </row>
    <row r="159" spans="1:11">
      <c r="A159" t="str">
        <f>A$9 * (37.00030517578125 -A$8)</f>
        <v>0</v>
      </c>
      <c r="B159" t="str">
        <f>B$9 * (37.00030517578125 -B$8)</f>
        <v>0</v>
      </c>
      <c r="C159" t="str">
        <f>C$9 * (37.00030517578125 -C$8)</f>
        <v>0</v>
      </c>
      <c r="D159" t="str">
        <f>D$9 * (37.00030517578125 -D$8)</f>
        <v>0</v>
      </c>
      <c r="F159" t="str">
        <f>F$9 * (0.01013807021081448 -F$8)</f>
        <v>0</v>
      </c>
      <c r="G159" t="str">
        <f>G$9 * (1.910254001617432 -G$8)</f>
        <v>0</v>
      </c>
      <c r="H159" t="str">
        <f>H$9 * (3.505801916122437 -H$8)</f>
        <v>0</v>
      </c>
      <c r="I159" t="str">
        <f>I$9 * (21.12631034851074 -I$8)</f>
        <v>0</v>
      </c>
    </row>
    <row r="160" spans="1:11">
      <c r="A160" t="str">
        <f>A$9 * (37.25033187866211 -A$8)</f>
        <v>0</v>
      </c>
      <c r="B160" t="str">
        <f>B$9 * (37.25033187866211 -B$8)</f>
        <v>0</v>
      </c>
      <c r="C160" t="str">
        <f>C$9 * (37.25033187866211 -C$8)</f>
        <v>0</v>
      </c>
      <c r="D160" t="str">
        <f>D$9 * (37.25033187866211 -D$8)</f>
        <v>0</v>
      </c>
      <c r="F160" t="str">
        <f>F$9 * (0.01013807021081448 -F$8)</f>
        <v>0</v>
      </c>
      <c r="G160" t="str">
        <f>G$9 * (1.910267949104309 -G$8)</f>
        <v>0</v>
      </c>
      <c r="H160" t="str">
        <f>H$9 * (3.505825996398926 -H$8)</f>
        <v>0</v>
      </c>
      <c r="I160" t="str">
        <f>I$9 * (21.12660980224609 -I$8)</f>
        <v>0</v>
      </c>
    </row>
    <row r="161" spans="1:11">
      <c r="A161" t="str">
        <f>A$9 * (37.50036239624023 -A$8)</f>
        <v>0</v>
      </c>
      <c r="B161" t="str">
        <f>B$9 * (37.50036239624023 -B$8)</f>
        <v>0</v>
      </c>
      <c r="C161" t="str">
        <f>C$9 * (37.50036239624023 -C$8)</f>
        <v>0</v>
      </c>
      <c r="D161" t="str">
        <f>D$9 * (37.50036239624023 -D$8)</f>
        <v>0</v>
      </c>
      <c r="F161" t="str">
        <f>F$9 * (0.01013811957091093 -F$8)</f>
        <v>0</v>
      </c>
      <c r="G161" t="str">
        <f>G$9 * (1.910284996032715 -G$8)</f>
        <v>0</v>
      </c>
      <c r="H161" t="str">
        <f>H$9 * (3.505846977233887 -H$8)</f>
        <v>0</v>
      </c>
      <c r="I161" t="str">
        <f>I$9 * (21.12692070007324 -I$8)</f>
        <v>0</v>
      </c>
    </row>
    <row r="162" spans="1:11">
      <c r="A162" t="str">
        <f>A$9 * (37.75036239624023 -A$8)</f>
        <v>0</v>
      </c>
      <c r="B162" t="str">
        <f>B$9 * (37.75036239624023 -B$8)</f>
        <v>0</v>
      </c>
      <c r="C162" t="str">
        <f>C$9 * (37.75036239624023 -C$8)</f>
        <v>0</v>
      </c>
      <c r="D162" t="str">
        <f>D$9 * (37.75036239624023 -D$8)</f>
        <v>0</v>
      </c>
      <c r="F162" t="str">
        <f>F$9 * (0.01013824995607138 -F$8)</f>
        <v>0</v>
      </c>
      <c r="G162" t="str">
        <f>G$9 * (1.910297036170959 -G$8)</f>
        <v>0</v>
      </c>
      <c r="H162" t="str">
        <f>H$9 * (3.505841016769409 -H$8)</f>
        <v>0</v>
      </c>
      <c r="I162" t="str">
        <f>I$9 * (21.12709045410156 -I$8)</f>
        <v>0</v>
      </c>
    </row>
    <row r="163" spans="1:11">
      <c r="A163" t="str">
        <f>A$9 * (38.00038909912109 -A$8)</f>
        <v>0</v>
      </c>
      <c r="B163" t="str">
        <f>B$9 * (38.00038909912109 -B$8)</f>
        <v>0</v>
      </c>
      <c r="C163" t="str">
        <f>C$9 * (38.00038909912109 -C$8)</f>
        <v>0</v>
      </c>
      <c r="D163" t="str">
        <f>D$9 * (38.00038909912109 -D$8)</f>
        <v>0</v>
      </c>
      <c r="F163" t="str">
        <f>F$9 * (0.0101383700966835 -F$8)</f>
        <v>0</v>
      </c>
      <c r="G163" t="str">
        <f>G$9 * (1.910308003425598 -G$8)</f>
        <v>0</v>
      </c>
      <c r="H163" t="str">
        <f>H$9 * (3.505836009979248 -H$8)</f>
        <v>0</v>
      </c>
      <c r="I163" t="str">
        <f>I$9 * (21.12725067138672 -I$8)</f>
        <v>0</v>
      </c>
    </row>
    <row r="164" spans="1:11">
      <c r="A164" t="str">
        <f>A$9 * (38.25041580200195 -A$8)</f>
        <v>0</v>
      </c>
      <c r="B164" t="str">
        <f>B$9 * (38.25041580200195 -B$8)</f>
        <v>0</v>
      </c>
      <c r="C164" t="str">
        <f>C$9 * (38.25041580200195 -C$8)</f>
        <v>0</v>
      </c>
      <c r="D164" t="str">
        <f>D$9 * (38.25041580200195 -D$8)</f>
        <v>0</v>
      </c>
      <c r="F164" t="str">
        <f>F$9 * (0.01013789046555758 -F$8)</f>
        <v>0</v>
      </c>
      <c r="G164" t="str">
        <f>G$9 * (1.910302996635437 -G$8)</f>
        <v>0</v>
      </c>
      <c r="H164" t="str">
        <f>H$9 * (3.505928993225098 -H$8)</f>
        <v>0</v>
      </c>
      <c r="I164" t="str">
        <f>I$9 * (21.12743949890137 -I$8)</f>
        <v>0</v>
      </c>
    </row>
    <row r="165" spans="1:11">
      <c r="A165" t="str">
        <f>A$9 * (38.50044631958008 -A$8)</f>
        <v>0</v>
      </c>
      <c r="B165" t="str">
        <f>B$9 * (38.50044631958008 -B$8)</f>
        <v>0</v>
      </c>
      <c r="C165" t="str">
        <f>C$9 * (38.50044631958008 -C$8)</f>
        <v>0</v>
      </c>
      <c r="D165" t="str">
        <f>D$9 * (38.50044631958008 -D$8)</f>
        <v>0</v>
      </c>
      <c r="F165" t="str">
        <f>F$9 * (0.01013761013746262 -F$8)</f>
        <v>0</v>
      </c>
      <c r="G165" t="str">
        <f>G$9 * (1.91028904914856 -G$8)</f>
        <v>0</v>
      </c>
      <c r="H165" t="str">
        <f>H$9 * (3.505964994430542 -H$8)</f>
        <v>0</v>
      </c>
      <c r="I165" t="str">
        <f>I$9 * (21.1273307800293 -I$8)</f>
        <v>0</v>
      </c>
    </row>
    <row r="166" spans="1:11">
      <c r="A166" t="str">
        <f>A$9 * (38.75047302246094 -A$8)</f>
        <v>0</v>
      </c>
      <c r="B166" t="str">
        <f>B$9 * (38.75047302246094 -B$8)</f>
        <v>0</v>
      </c>
      <c r="C166" t="str">
        <f>C$9 * (38.75047302246094 -C$8)</f>
        <v>0</v>
      </c>
      <c r="D166" t="str">
        <f>D$9 * (38.75047302246094 -D$8)</f>
        <v>0</v>
      </c>
      <c r="F166" t="str">
        <f>F$9 * (0.01013776008039713 -F$8)</f>
        <v>0</v>
      </c>
      <c r="G166" t="str">
        <f>G$9 * (1.910282015800476 -G$8)</f>
        <v>0</v>
      </c>
      <c r="H166" t="str">
        <f>H$9 * (3.505919933319092 -H$8)</f>
        <v>0</v>
      </c>
      <c r="I166" t="str">
        <f>I$9 * (21.1270809173584 -I$8)</f>
        <v>0</v>
      </c>
    </row>
    <row r="167" spans="1:11">
      <c r="A167" t="str">
        <f>A$9 * (39.00047302246094 -A$8)</f>
        <v>0</v>
      </c>
      <c r="B167" t="str">
        <f>B$9 * (39.00047302246094 -B$8)</f>
        <v>0</v>
      </c>
      <c r="C167" t="str">
        <f>C$9 * (39.00047302246094 -C$8)</f>
        <v>0</v>
      </c>
      <c r="D167" t="str">
        <f>D$9 * (39.00047302246094 -D$8)</f>
        <v>0</v>
      </c>
      <c r="F167" t="str">
        <f>F$9 * (0.01013785973191261 -F$8)</f>
        <v>0</v>
      </c>
      <c r="G167" t="str">
        <f>G$9 * (1.910290956497192 -G$8)</f>
        <v>0</v>
      </c>
      <c r="H167" t="str">
        <f>H$9 * (3.505912065505981 -H$8)</f>
        <v>0</v>
      </c>
      <c r="I167" t="str">
        <f>I$9 * (21.1271800994873 -I$8)</f>
        <v>0</v>
      </c>
    </row>
    <row r="168" spans="1:11">
      <c r="A168" t="str">
        <f>A$9 * (39.2504997253418 -A$8)</f>
        <v>0</v>
      </c>
      <c r="B168" t="str">
        <f>B$9 * (39.2504997253418 -B$8)</f>
        <v>0</v>
      </c>
      <c r="C168" t="str">
        <f>C$9 * (39.2504997253418 -C$8)</f>
        <v>0</v>
      </c>
      <c r="D168" t="str">
        <f>D$9 * (39.2504997253418 -D$8)</f>
        <v>0</v>
      </c>
      <c r="F168" t="str">
        <f>F$9 * (0.01013758033514023 -F$8)</f>
        <v>0</v>
      </c>
      <c r="G168" t="str">
        <f>G$9 * (1.91028904914856 -G$8)</f>
        <v>0</v>
      </c>
      <c r="H168" t="str">
        <f>H$9 * (3.50596809387207 -H$8)</f>
        <v>0</v>
      </c>
      <c r="I168" t="str">
        <f>I$9 * (21.12729072570801 -I$8)</f>
        <v>0</v>
      </c>
    </row>
    <row r="169" spans="1:11">
      <c r="A169" t="str">
        <f>A$9 * (39.50052642822266 -A$8)</f>
        <v>0</v>
      </c>
      <c r="B169" t="str">
        <f>B$9 * (39.50052642822266 -B$8)</f>
        <v>0</v>
      </c>
      <c r="C169" t="str">
        <f>C$9 * (39.50052642822266 -C$8)</f>
        <v>0</v>
      </c>
      <c r="D169" t="str">
        <f>D$9 * (39.50052642822266 -D$8)</f>
        <v>0</v>
      </c>
      <c r="F169" t="str">
        <f>F$9 * (0.01013754960149527 -F$8)</f>
        <v>0</v>
      </c>
      <c r="G169" t="str">
        <f>G$9 * (1.910276055335999 -G$8)</f>
        <v>0</v>
      </c>
      <c r="H169" t="str">
        <f>H$9 * (3.505953073501587 -H$8)</f>
        <v>0</v>
      </c>
      <c r="I169" t="str">
        <f>I$9 * (21.12705039978027 -I$8)</f>
        <v>0</v>
      </c>
    </row>
    <row r="170" spans="1:11">
      <c r="A170" t="str">
        <f>A$9 * (39.75055694580078 -A$8)</f>
        <v>0</v>
      </c>
      <c r="B170" t="str">
        <f>B$9 * (39.75055694580078 -B$8)</f>
        <v>0</v>
      </c>
      <c r="C170" t="str">
        <f>C$9 * (39.75055694580078 -C$8)</f>
        <v>0</v>
      </c>
      <c r="D170" t="str">
        <f>D$9 * (39.75055694580078 -D$8)</f>
        <v>0</v>
      </c>
      <c r="F170" t="str">
        <f>F$9 * (0.01013766974210739 -F$8)</f>
        <v>0</v>
      </c>
      <c r="G170" t="str">
        <f>G$9 * (1.910282015800476 -G$8)</f>
        <v>0</v>
      </c>
      <c r="H170" t="str">
        <f>H$9 * (3.505937099456787 -H$8)</f>
        <v>0</v>
      </c>
      <c r="I170" t="str">
        <f>I$9 * (21.1270809173584 -I$8)</f>
        <v>0</v>
      </c>
    </row>
    <row r="171" spans="1:11">
      <c r="A171" t="str">
        <f>A$9 * (40.00058364868164 -A$8)</f>
        <v>0</v>
      </c>
      <c r="B171" t="str">
        <f>B$9 * (40.00058364868164 -B$8)</f>
        <v>0</v>
      </c>
      <c r="C171" t="str">
        <f>C$9 * (40.00058364868164 -C$8)</f>
        <v>0</v>
      </c>
      <c r="D171" t="str">
        <f>D$9 * (40.00058364868164 -D$8)</f>
        <v>0</v>
      </c>
      <c r="F171" t="str">
        <f>F$9 * (0.01013747975230217 -F$8)</f>
        <v>0</v>
      </c>
      <c r="G171" t="str">
        <f>G$9 * (1.910279989242554 -G$8)</f>
        <v>0</v>
      </c>
      <c r="H171" t="str">
        <f>H$9 * (3.505974054336548 -H$8)</f>
        <v>0</v>
      </c>
      <c r="I171" t="str">
        <f>I$9 * (21.12714958190918 -I$8)</f>
        <v>0</v>
      </c>
    </row>
    <row r="172" spans="1:11">
      <c r="A172" t="str">
        <f>A$9 * (40.25058364868164 -A$8)</f>
        <v>0</v>
      </c>
      <c r="B172" t="str">
        <f>B$9 * (40.25058364868164 -B$8)</f>
        <v>0</v>
      </c>
      <c r="C172" t="str">
        <f>C$9 * (40.25058364868164 -C$8)</f>
        <v>0</v>
      </c>
      <c r="D172" t="str">
        <f>D$9 * (40.25058364868164 -D$8)</f>
        <v>0</v>
      </c>
      <c r="F172" t="str">
        <f>F$9 * (0.01013754028826952 -F$8)</f>
        <v>0</v>
      </c>
      <c r="G172" t="str">
        <f>G$9 * (1.910279989242554 -G$8)</f>
        <v>0</v>
      </c>
      <c r="H172" t="str">
        <f>H$9 * (3.505960941314697 -H$8)</f>
        <v>0</v>
      </c>
      <c r="I172" t="str">
        <f>I$9 * (21.12710952758789 -I$8)</f>
        <v>0</v>
      </c>
    </row>
    <row r="173" spans="1:11">
      <c r="A173" t="str">
        <f>A$9 * (40.5006103515625 -A$8)</f>
        <v>0</v>
      </c>
      <c r="B173" t="str">
        <f>B$9 * (40.5006103515625 -B$8)</f>
        <v>0</v>
      </c>
      <c r="C173" t="str">
        <f>C$9 * (40.5006103515625 -C$8)</f>
        <v>0</v>
      </c>
      <c r="D173" t="str">
        <f>D$9 * (40.5006103515625 -D$8)</f>
        <v>0</v>
      </c>
      <c r="F173" t="str">
        <f>F$9 * (0.01013774983584881 -F$8)</f>
        <v>0</v>
      </c>
      <c r="G173" t="str">
        <f>G$9 * (1.910292983055115 -G$8)</f>
        <v>0</v>
      </c>
      <c r="H173" t="str">
        <f>H$9 * (3.505938053131104 -H$8)</f>
        <v>0</v>
      </c>
      <c r="I173" t="str">
        <f>I$9 * (21.12723922729492 -I$8)</f>
        <v>0</v>
      </c>
    </row>
    <row r="174" spans="1:11">
      <c r="A174" t="str">
        <f>A$9 * (40.75063705444336 -A$8)</f>
        <v>0</v>
      </c>
      <c r="B174" t="str">
        <f>B$9 * (40.75063705444336 -B$8)</f>
        <v>0</v>
      </c>
      <c r="C174" t="str">
        <f>C$9 * (40.75063705444336 -C$8)</f>
        <v>0</v>
      </c>
      <c r="D174" t="str">
        <f>D$9 * (40.75063705444336 -D$8)</f>
        <v>0</v>
      </c>
      <c r="F174" t="str">
        <f>F$9 * (0.0101378196850419 -F$8)</f>
        <v>0</v>
      </c>
      <c r="G174" t="str">
        <f>G$9 * (1.910310983657837 -G$8)</f>
        <v>0</v>
      </c>
      <c r="H174" t="str">
        <f>H$9 * (3.505956888198853 -H$8)</f>
        <v>0</v>
      </c>
      <c r="I174" t="str">
        <f>I$9 * (21.1275806427002 -I$8)</f>
        <v>0</v>
      </c>
    </row>
    <row r="175" spans="1:11">
      <c r="A175" t="str">
        <f>A$9 * (41 -A$8)</f>
        <v>0</v>
      </c>
      <c r="B175" t="str">
        <f>B$9 * (41 -B$8)</f>
        <v>0</v>
      </c>
      <c r="C175" t="str">
        <f>C$9 * (41 -C$8)</f>
        <v>0</v>
      </c>
      <c r="D175" t="str">
        <f>D$9 * (41 -D$8)</f>
        <v>0</v>
      </c>
      <c r="F175" t="str">
        <f>F$9 * (0.01013797987252474 -F$8)</f>
        <v>0</v>
      </c>
      <c r="G175" t="str">
        <f>G$9 * (1.910326957702637 -G$8)</f>
        <v>0</v>
      </c>
      <c r="H175" t="str">
        <f>H$9 * (3.505949020385742 -H$8)</f>
        <v>0</v>
      </c>
      <c r="I175" t="str">
        <f>I$9 * (21.12779998779297 -I$8)</f>
        <v>0</v>
      </c>
    </row>
    <row r="176" spans="1:11">
      <c r="A176" t="str">
        <f>A$9 * (41.25002670288086 -A$8)</f>
        <v>0</v>
      </c>
      <c r="B176" t="str">
        <f>B$9 * (41.25002670288086 -B$8)</f>
        <v>0</v>
      </c>
      <c r="C176" t="str">
        <f>C$9 * (41.25002670288086 -C$8)</f>
        <v>0</v>
      </c>
      <c r="D176" t="str">
        <f>D$9 * (41.25002670288086 -D$8)</f>
        <v>0</v>
      </c>
      <c r="F176" t="str">
        <f>F$9 * (0.01013811025768518 -F$8)</f>
        <v>0</v>
      </c>
      <c r="G176" t="str">
        <f>G$9 * (1.910336971282959 -G$8)</f>
        <v>0</v>
      </c>
      <c r="H176" t="str">
        <f>H$9 * (3.505940914154053 -H$8)</f>
        <v>0</v>
      </c>
      <c r="I176" t="str">
        <f>I$9 * (21.12793922424316 -I$8)</f>
        <v>0</v>
      </c>
    </row>
    <row r="177" spans="1:11">
      <c r="A177" t="str">
        <f>A$9 * (41.50005722045898 -A$8)</f>
        <v>0</v>
      </c>
      <c r="B177" t="str">
        <f>B$9 * (41.50005722045898 -B$8)</f>
        <v>0</v>
      </c>
      <c r="C177" t="str">
        <f>C$9 * (41.50005722045898 -C$8)</f>
        <v>0</v>
      </c>
      <c r="D177" t="str">
        <f>D$9 * (41.50005722045898 -D$8)</f>
        <v>0</v>
      </c>
      <c r="F177" t="str">
        <f>F$9 * (0.01013791002333164 -F$8)</f>
        <v>0</v>
      </c>
      <c r="G177" t="str">
        <f>G$9 * (1.910339951515198 -G$8)</f>
        <v>0</v>
      </c>
      <c r="H177" t="str">
        <f>H$9 * (3.505989074707031 -H$8)</f>
        <v>0</v>
      </c>
      <c r="I177" t="str">
        <f>I$9 * (21.12812042236328 -I$8)</f>
        <v>0</v>
      </c>
    </row>
    <row r="178" spans="1:11">
      <c r="A178" t="str">
        <f>A$9 * (41.75005722045898 -A$8)</f>
        <v>0</v>
      </c>
      <c r="B178" t="str">
        <f>B$9 * (41.75005722045898 -B$8)</f>
        <v>0</v>
      </c>
      <c r="C178" t="str">
        <f>C$9 * (41.75005722045898 -C$8)</f>
        <v>0</v>
      </c>
      <c r="D178" t="str">
        <f>D$9 * (41.75005722045898 -D$8)</f>
        <v>0</v>
      </c>
      <c r="F178" t="str">
        <f>F$9 * (0.01013754028826952 -F$8)</f>
        <v>0</v>
      </c>
      <c r="G178" t="str">
        <f>G$9 * (1.910328030586243 -G$8)</f>
        <v>0</v>
      </c>
      <c r="H178" t="str">
        <f>H$9 * (3.506048917770386 -H$8)</f>
        <v>0</v>
      </c>
      <c r="I178" t="str">
        <f>I$9 * (21.12811088562012 -I$8)</f>
        <v>0</v>
      </c>
    </row>
    <row r="179" spans="1:11">
      <c r="A179" t="str">
        <f>A$9 * (42.00008392333984 -A$8)</f>
        <v>0</v>
      </c>
      <c r="B179" t="str">
        <f>B$9 * (42.00008392333984 -B$8)</f>
        <v>0</v>
      </c>
      <c r="C179" t="str">
        <f>C$9 * (42.00008392333984 -C$8)</f>
        <v>0</v>
      </c>
      <c r="D179" t="str">
        <f>D$9 * (42.00008392333984 -D$8)</f>
        <v>0</v>
      </c>
      <c r="F179" t="str">
        <f>F$9 * (0.01013758033514023 -F$8)</f>
        <v>0</v>
      </c>
      <c r="G179" t="str">
        <f>G$9 * (1.910323977470398 -G$8)</f>
        <v>0</v>
      </c>
      <c r="H179" t="str">
        <f>H$9 * (3.506031036376953 -H$8)</f>
        <v>0</v>
      </c>
      <c r="I179" t="str">
        <f>I$9 * (21.12800025939941 -I$8)</f>
        <v>0</v>
      </c>
    </row>
    <row r="180" spans="1:11">
      <c r="A180" t="str">
        <f>A$9 * (42.2501106262207 -A$8)</f>
        <v>0</v>
      </c>
      <c r="B180" t="str">
        <f>B$9 * (42.2501106262207 -B$8)</f>
        <v>0</v>
      </c>
      <c r="C180" t="str">
        <f>C$9 * (42.2501106262207 -C$8)</f>
        <v>0</v>
      </c>
      <c r="D180" t="str">
        <f>D$9 * (42.2501106262207 -D$8)</f>
        <v>0</v>
      </c>
      <c r="F180" t="str">
        <f>F$9 * (0.01013777032494545 -F$8)</f>
        <v>0</v>
      </c>
      <c r="G180" t="str">
        <f>G$9 * (1.910328984260559 -G$8)</f>
        <v>0</v>
      </c>
      <c r="H180" t="str">
        <f>H$9 * (3.506000995635986 -H$8)</f>
        <v>0</v>
      </c>
      <c r="I180" t="str">
        <f>I$9 * (21.12797927856445 -I$8)</f>
        <v>0</v>
      </c>
    </row>
    <row r="181" spans="1:11">
      <c r="A181" t="str">
        <f>A$9 * (42.50013732910156 -A$8)</f>
        <v>0</v>
      </c>
      <c r="B181" t="str">
        <f>B$9 * (42.50013732910156 -B$8)</f>
        <v>0</v>
      </c>
      <c r="C181" t="str">
        <f>C$9 * (42.50013732910156 -C$8)</f>
        <v>0</v>
      </c>
      <c r="D181" t="str">
        <f>D$9 * (42.50013732910156 -D$8)</f>
        <v>0</v>
      </c>
      <c r="F181" t="str">
        <f>F$9 * (0.01013774983584881 -F$8)</f>
        <v>0</v>
      </c>
      <c r="G181" t="str">
        <f>G$9 * (1.910331964492798 -G$8)</f>
        <v>0</v>
      </c>
      <c r="H181" t="str">
        <f>H$9 * (3.50600790977478 -H$8)</f>
        <v>0</v>
      </c>
      <c r="I181" t="str">
        <f>I$9 * (21.1280403137207 -I$8)</f>
        <v>0</v>
      </c>
    </row>
    <row r="182" spans="1:11">
      <c r="A182" t="str">
        <f>A$9 * (42.75016784667969 -A$8)</f>
        <v>0</v>
      </c>
      <c r="B182" t="str">
        <f>B$9 * (42.75016784667969 -B$8)</f>
        <v>0</v>
      </c>
      <c r="C182" t="str">
        <f>C$9 * (42.75016784667969 -C$8)</f>
        <v>0</v>
      </c>
      <c r="D182" t="str">
        <f>D$9 * (42.75016784667969 -D$8)</f>
        <v>0</v>
      </c>
      <c r="F182" t="str">
        <f>F$9 * (0.01013757009059191 -F$8)</f>
        <v>0</v>
      </c>
      <c r="G182" t="str">
        <f>G$9 * (1.91032600402832 -G$8)</f>
        <v>0</v>
      </c>
      <c r="H182" t="str">
        <f>H$9 * (3.506036996841431 -H$8)</f>
        <v>0</v>
      </c>
      <c r="I182" t="str">
        <f>I$9 * (21.12803077697754 -I$8)</f>
        <v>0</v>
      </c>
    </row>
    <row r="183" spans="1:11">
      <c r="A183" t="str">
        <f>A$9 * (43.00016784667969 -A$8)</f>
        <v>0</v>
      </c>
      <c r="B183" t="str">
        <f>B$9 * (43.00016784667969 -B$8)</f>
        <v>0</v>
      </c>
      <c r="C183" t="str">
        <f>C$9 * (43.00016784667969 -C$8)</f>
        <v>0</v>
      </c>
      <c r="D183" t="str">
        <f>D$9 * (43.00016784667969 -D$8)</f>
        <v>0</v>
      </c>
      <c r="F183" t="str">
        <f>F$9 * (0.01013742014765739 -F$8)</f>
        <v>0</v>
      </c>
      <c r="G183" t="str">
        <f>G$9 * (1.910323023796082 -G$8)</f>
        <v>0</v>
      </c>
      <c r="H183" t="str">
        <f>H$9 * (3.506062030792236 -H$8)</f>
        <v>0</v>
      </c>
      <c r="I183" t="str">
        <f>I$9 * (21.12804985046387 -I$8)</f>
        <v>0</v>
      </c>
    </row>
    <row r="184" spans="1:11">
      <c r="A184" t="str">
        <f>A$9 * (43.25019454956055 -A$8)</f>
        <v>0</v>
      </c>
      <c r="B184" t="str">
        <f>B$9 * (43.25019454956055 -B$8)</f>
        <v>0</v>
      </c>
      <c r="C184" t="str">
        <f>C$9 * (43.25019454956055 -C$8)</f>
        <v>0</v>
      </c>
      <c r="D184" t="str">
        <f>D$9 * (43.25019454956055 -D$8)</f>
        <v>0</v>
      </c>
      <c r="F184" t="str">
        <f>F$9 * (0.01013754028826952 -F$8)</f>
        <v>0</v>
      </c>
      <c r="G184" t="str">
        <f>G$9 * (1.910328030586243 -G$8)</f>
        <v>0</v>
      </c>
      <c r="H184" t="str">
        <f>H$9 * (3.506047010421753 -H$8)</f>
        <v>0</v>
      </c>
      <c r="I184" t="str">
        <f>I$9 * (21.12808036804199 -I$8)</f>
        <v>0</v>
      </c>
    </row>
    <row r="185" spans="1:11">
      <c r="A185" t="str">
        <f>A$9 * (43.50022125244141 -A$8)</f>
        <v>0</v>
      </c>
      <c r="B185" t="str">
        <f>B$9 * (43.50022125244141 -B$8)</f>
        <v>0</v>
      </c>
      <c r="C185" t="str">
        <f>C$9 * (43.50022125244141 -C$8)</f>
        <v>0</v>
      </c>
      <c r="D185" t="str">
        <f>D$9 * (43.50022125244141 -D$8)</f>
        <v>0</v>
      </c>
      <c r="F185" t="str">
        <f>F$9 * (0.01013781037181616 -F$8)</f>
        <v>0</v>
      </c>
      <c r="G185" t="str">
        <f>G$9 * (1.910341024398804 -G$8)</f>
        <v>0</v>
      </c>
      <c r="H185" t="str">
        <f>H$9 * (3.506011009216309 -H$8)</f>
        <v>0</v>
      </c>
      <c r="I185" t="str">
        <f>I$9 * (21.12817001342773 -I$8)</f>
        <v>0</v>
      </c>
    </row>
    <row r="186" spans="1:11">
      <c r="A186" t="str">
        <f>A$9 * (43.75025177001953 -A$8)</f>
        <v>0</v>
      </c>
      <c r="B186" t="str">
        <f>B$9 * (43.75025177001953 -B$8)</f>
        <v>0</v>
      </c>
      <c r="C186" t="str">
        <f>C$9 * (43.75025177001953 -C$8)</f>
        <v>0</v>
      </c>
      <c r="D186" t="str">
        <f>D$9 * (43.75025177001953 -D$8)</f>
        <v>0</v>
      </c>
      <c r="F186" t="str">
        <f>F$9 * (0.01013801991939545 -F$8)</f>
        <v>0</v>
      </c>
      <c r="G186" t="str">
        <f>G$9 * (1.910356998443604 -G$8)</f>
        <v>0</v>
      </c>
      <c r="H186" t="str">
        <f>H$9 * (3.505995035171509 -H$8)</f>
        <v>0</v>
      </c>
      <c r="I186" t="str">
        <f>I$9 * (21.12837028503418 -I$8)</f>
        <v>0</v>
      </c>
    </row>
    <row r="187" spans="1:11">
      <c r="A187" t="str">
        <f>A$9 * (44.00027847290039 -A$8)</f>
        <v>0</v>
      </c>
      <c r="B187" t="str">
        <f>B$9 * (44.00027847290039 -B$8)</f>
        <v>0</v>
      </c>
      <c r="C187" t="str">
        <f>C$9 * (44.00027847290039 -C$8)</f>
        <v>0</v>
      </c>
      <c r="D187" t="str">
        <f>D$9 * (44.00027847290039 -D$8)</f>
        <v>0</v>
      </c>
      <c r="F187" t="str">
        <f>F$9 * (0.01013777032494545 -F$8)</f>
        <v>0</v>
      </c>
      <c r="G187" t="str">
        <f>G$9 * (1.910362005233765 -G$8)</f>
        <v>0</v>
      </c>
      <c r="H187" t="str">
        <f>H$9 * (3.506057024002075 -H$8)</f>
        <v>0</v>
      </c>
      <c r="I187" t="str">
        <f>I$9 * (21.12862968444824 -I$8)</f>
        <v>0</v>
      </c>
    </row>
    <row r="188" spans="1:11">
      <c r="A188" t="str">
        <f>A$9 * (44.25027847290039 -A$8)</f>
        <v>0</v>
      </c>
      <c r="B188" t="str">
        <f>B$9 * (44.25027847290039 -B$8)</f>
        <v>0</v>
      </c>
      <c r="C188" t="str">
        <f>C$9 * (44.25027847290039 -C$8)</f>
        <v>0</v>
      </c>
      <c r="D188" t="str">
        <f>D$9 * (44.25027847290039 -D$8)</f>
        <v>0</v>
      </c>
      <c r="F188" t="str">
        <f>F$9 * (0.01013757009059191 -F$8)</f>
        <v>0</v>
      </c>
      <c r="G188" t="str">
        <f>G$9 * (1.910356044769287 -G$8)</f>
        <v>0</v>
      </c>
      <c r="H188" t="str">
        <f>H$9 * (3.506091117858887 -H$8)</f>
        <v>0</v>
      </c>
      <c r="I188" t="str">
        <f>I$9 * (21.12863922119141 -I$8)</f>
        <v>0</v>
      </c>
    </row>
    <row r="189" spans="1:11">
      <c r="A189" t="str">
        <f>A$9 * (44.50030517578125 -A$8)</f>
        <v>0</v>
      </c>
      <c r="B189" t="str">
        <f>B$9 * (44.50030517578125 -B$8)</f>
        <v>0</v>
      </c>
      <c r="C189" t="str">
        <f>C$9 * (44.50030517578125 -C$8)</f>
        <v>0</v>
      </c>
      <c r="D189" t="str">
        <f>D$9 * (44.50030517578125 -D$8)</f>
        <v>0</v>
      </c>
      <c r="F189" t="str">
        <f>F$9 * (0.0101377097889781 -F$8)</f>
        <v>0</v>
      </c>
      <c r="G189" t="str">
        <f>G$9 * (1.910356998443604 -G$8)</f>
        <v>0</v>
      </c>
      <c r="H189" t="str">
        <f>H$9 * (3.506059885025024 -H$8)</f>
        <v>0</v>
      </c>
      <c r="I189" t="str">
        <f>I$9 * (21.12855911254883 -I$8)</f>
        <v>0</v>
      </c>
    </row>
    <row r="190" spans="1:11">
      <c r="A190" t="str">
        <f>A$9 * (44.75033187866211 -A$8)</f>
        <v>0</v>
      </c>
      <c r="B190" t="str">
        <f>B$9 * (44.75033187866211 -B$8)</f>
        <v>0</v>
      </c>
      <c r="C190" t="str">
        <f>C$9 * (44.75033187866211 -C$8)</f>
        <v>0</v>
      </c>
      <c r="D190" t="str">
        <f>D$9 * (44.75033187866211 -D$8)</f>
        <v>0</v>
      </c>
      <c r="F190" t="str">
        <f>F$9 * (0.01013782992959023 -F$8)</f>
        <v>0</v>
      </c>
      <c r="G190" t="str">
        <f>G$9 * (1.910364985466003 -G$8)</f>
        <v>0</v>
      </c>
      <c r="H190" t="str">
        <f>H$9 * (3.506048917770386 -H$8)</f>
        <v>0</v>
      </c>
      <c r="I190" t="str">
        <f>I$9 * (21.1286506652832 -I$8)</f>
        <v>0</v>
      </c>
    </row>
    <row r="191" spans="1:11">
      <c r="A191" t="str">
        <f>A$9 * (45.00036239624023 -A$8)</f>
        <v>0</v>
      </c>
      <c r="B191" t="str">
        <f>B$9 * (45.00036239624023 -B$8)</f>
        <v>0</v>
      </c>
      <c r="C191" t="str">
        <f>C$9 * (45.00036239624023 -C$8)</f>
        <v>0</v>
      </c>
      <c r="D191" t="str">
        <f>D$9 * (45.00036239624023 -D$8)</f>
        <v>0</v>
      </c>
      <c r="F191" t="str">
        <f>F$9 * (0.01013769023120403 -F$8)</f>
        <v>0</v>
      </c>
      <c r="G191" t="str">
        <f>G$9 * (1.910369038581848 -G$8)</f>
        <v>0</v>
      </c>
      <c r="H191" t="str">
        <f>H$9 * (3.506087064743042 -H$8)</f>
        <v>0</v>
      </c>
      <c r="I191" t="str">
        <f>I$9 * (21.12881088256836 -I$8)</f>
        <v>0</v>
      </c>
    </row>
    <row r="192" spans="1:11">
      <c r="A192" t="str">
        <f>A$9 * (45.25038909912109 -A$8)</f>
        <v>0</v>
      </c>
      <c r="B192" t="str">
        <f>B$9 * (45.25038909912109 -B$8)</f>
        <v>0</v>
      </c>
      <c r="C192" t="str">
        <f>C$9 * (45.25038909912109 -C$8)</f>
        <v>0</v>
      </c>
      <c r="D192" t="str">
        <f>D$9 * (45.25038909912109 -D$8)</f>
        <v>0</v>
      </c>
      <c r="F192" t="str">
        <f>F$9 * (0.01013758964836597 -F$8)</f>
        <v>0</v>
      </c>
      <c r="G192" t="str">
        <f>G$9 * (1.910364985466003 -G$8)</f>
        <v>0</v>
      </c>
      <c r="H192" t="str">
        <f>H$9 * (3.506102085113525 -H$8)</f>
        <v>0</v>
      </c>
      <c r="I192" t="str">
        <f>I$9 * (21.1287899017334 -I$8)</f>
        <v>0</v>
      </c>
    </row>
    <row r="193" spans="1:11">
      <c r="A193" t="str">
        <f>A$9 * (45.50038909912109 -A$8)</f>
        <v>0</v>
      </c>
      <c r="B193" t="str">
        <f>B$9 * (45.50038909912109 -B$8)</f>
        <v>0</v>
      </c>
      <c r="C193" t="str">
        <f>C$9 * (45.50038909912109 -C$8)</f>
        <v>0</v>
      </c>
      <c r="D193" t="str">
        <f>D$9 * (45.50038909912109 -D$8)</f>
        <v>0</v>
      </c>
      <c r="F193" t="str">
        <f>F$9 * (0.01013767998665571 -F$8)</f>
        <v>0</v>
      </c>
      <c r="G193" t="str">
        <f>G$9 * (1.910362958908081 -G$8)</f>
        <v>0</v>
      </c>
      <c r="H193" t="str">
        <f>H$9 * (3.506078004837036 -H$8)</f>
        <v>0</v>
      </c>
      <c r="I193" t="str">
        <f>I$9 * (21.12869071960449 -I$8)</f>
        <v>0</v>
      </c>
    </row>
    <row r="194" spans="1:11">
      <c r="A194" t="str">
        <f>A$9 * (45.75041580200195 -A$8)</f>
        <v>0</v>
      </c>
      <c r="B194" t="str">
        <f>B$9 * (45.75041580200195 -B$8)</f>
        <v>0</v>
      </c>
      <c r="C194" t="str">
        <f>C$9 * (45.75041580200195 -C$8)</f>
        <v>0</v>
      </c>
      <c r="D194" t="str">
        <f>D$9 * (45.75041580200195 -D$8)</f>
        <v>0</v>
      </c>
      <c r="F194" t="str">
        <f>F$9 * (0.01013765018433332 -F$8)</f>
        <v>0</v>
      </c>
      <c r="G194" t="str">
        <f>G$9 * (1.910366058349609 -G$8)</f>
        <v>0</v>
      </c>
      <c r="H194" t="str">
        <f>H$9 * (3.506091117858887 -H$8)</f>
        <v>0</v>
      </c>
      <c r="I194" t="str">
        <f>I$9 * (21.12878036499023 -I$8)</f>
        <v>0</v>
      </c>
    </row>
    <row r="195" spans="1:11">
      <c r="A195" t="str">
        <f>A$9 * (46.00044631958008 -A$8)</f>
        <v>0</v>
      </c>
      <c r="B195" t="str">
        <f>B$9 * (46.00044631958008 -B$8)</f>
        <v>0</v>
      </c>
      <c r="C195" t="str">
        <f>C$9 * (46.00044631958008 -C$8)</f>
        <v>0</v>
      </c>
      <c r="D195" t="str">
        <f>D$9 * (46.00044631958008 -D$8)</f>
        <v>0</v>
      </c>
      <c r="F195" t="str">
        <f>F$9 * (0.01013748999685049 -F$8)</f>
        <v>0</v>
      </c>
      <c r="G195" t="str">
        <f>G$9 * (1.910369038581848 -G$8)</f>
        <v>0</v>
      </c>
      <c r="H195" t="str">
        <f>H$9 * (3.50612998008728 -H$8)</f>
        <v>0</v>
      </c>
      <c r="I195" t="str">
        <f>I$9 * (21.12894058227539 -I$8)</f>
        <v>0</v>
      </c>
    </row>
    <row r="196" spans="1:11">
      <c r="A196" t="str">
        <f>A$9 * (46.25047302246094 -A$8)</f>
        <v>0</v>
      </c>
      <c r="B196" t="str">
        <f>B$9 * (46.25047302246094 -B$8)</f>
        <v>0</v>
      </c>
      <c r="C196" t="str">
        <f>C$9 * (46.25047302246094 -C$8)</f>
        <v>0</v>
      </c>
      <c r="D196" t="str">
        <f>D$9 * (46.25047302246094 -D$8)</f>
        <v>0</v>
      </c>
      <c r="F196" t="str">
        <f>F$9 * (0.0101377097889781 -F$8)</f>
        <v>0</v>
      </c>
      <c r="G196" t="str">
        <f>G$9 * (1.910377025604248 -G$8)</f>
        <v>0</v>
      </c>
      <c r="H196" t="str">
        <f>H$9 * (3.506097078323364 -H$8)</f>
        <v>0</v>
      </c>
      <c r="I196" t="str">
        <f>I$9 * (21.12895965576172 -I$8)</f>
        <v>0</v>
      </c>
    </row>
    <row r="197" spans="1:11">
      <c r="A197" t="str">
        <f>A$9 * (46.50047302246094 -A$8)</f>
        <v>0</v>
      </c>
      <c r="B197" t="str">
        <f>B$9 * (46.50047302246094 -B$8)</f>
        <v>0</v>
      </c>
      <c r="C197" t="str">
        <f>C$9 * (46.50047302246094 -C$8)</f>
        <v>0</v>
      </c>
      <c r="D197" t="str">
        <f>D$9 * (46.50047302246094 -D$8)</f>
        <v>0</v>
      </c>
      <c r="F197" t="str">
        <f>F$9 * (0.01013800036162138 -F$8)</f>
        <v>0</v>
      </c>
      <c r="G197" t="str">
        <f>G$9 * (1.910392999649048 -G$8)</f>
        <v>0</v>
      </c>
      <c r="H197" t="str">
        <f>H$9 * (3.506062984466553 -H$8)</f>
        <v>0</v>
      </c>
      <c r="I197" t="str">
        <f>I$9 * (21.12910079956055 -I$8)</f>
        <v>0</v>
      </c>
    </row>
    <row r="198" spans="1:11">
      <c r="A198" t="str">
        <f>A$9 * (46.7504997253418 -A$8)</f>
        <v>0</v>
      </c>
      <c r="B198" t="str">
        <f>B$9 * (46.7504997253418 -B$8)</f>
        <v>0</v>
      </c>
      <c r="C198" t="str">
        <f>C$9 * (46.7504997253418 -C$8)</f>
        <v>0</v>
      </c>
      <c r="D198" t="str">
        <f>D$9 * (46.7504997253418 -D$8)</f>
        <v>0</v>
      </c>
      <c r="F198" t="str">
        <f>F$9 * (0.01013795007020235 -F$8)</f>
        <v>0</v>
      </c>
      <c r="G198" t="str">
        <f>G$9 * (1.910405039787292 -G$8)</f>
        <v>0</v>
      </c>
      <c r="H198" t="str">
        <f>H$9 * (3.506094932556152 -H$8)</f>
        <v>0</v>
      </c>
      <c r="I198" t="str">
        <f>I$9 * (21.12937927246094 -I$8)</f>
        <v>0</v>
      </c>
    </row>
    <row r="199" spans="1:11">
      <c r="A199" t="str">
        <f>A$9 * (47.00052642822266 -A$8)</f>
        <v>0</v>
      </c>
      <c r="B199" t="str">
        <f>B$9 * (47.00052642822266 -B$8)</f>
        <v>0</v>
      </c>
      <c r="C199" t="str">
        <f>C$9 * (47.00052642822266 -C$8)</f>
        <v>0</v>
      </c>
      <c r="D199" t="str">
        <f>D$9 * (47.00052642822266 -D$8)</f>
        <v>0</v>
      </c>
      <c r="F199" t="str">
        <f>F$9 * (0.01013766974210739 -F$8)</f>
        <v>0</v>
      </c>
      <c r="G199" t="str">
        <f>G$9 * (1.910405993461609 -G$8)</f>
        <v>0</v>
      </c>
      <c r="H199" t="str">
        <f>H$9 * (3.506155967712402 -H$8)</f>
        <v>0</v>
      </c>
      <c r="I199" t="str">
        <f>I$9 * (21.12956047058105 -I$8)</f>
        <v>0</v>
      </c>
    </row>
    <row r="200" spans="1:11">
      <c r="A200" t="str">
        <f>A$9 * (47.25055694580078 -A$8)</f>
        <v>0</v>
      </c>
      <c r="B200" t="str">
        <f>B$9 * (47.25055694580078 -B$8)</f>
        <v>0</v>
      </c>
      <c r="C200" t="str">
        <f>C$9 * (47.25055694580078 -C$8)</f>
        <v>0</v>
      </c>
      <c r="D200" t="str">
        <f>D$9 * (47.25055694580078 -D$8)</f>
        <v>0</v>
      </c>
      <c r="F200" t="str">
        <f>F$9 * (0.01013766974210739 -F$8)</f>
        <v>0</v>
      </c>
      <c r="G200" t="str">
        <f>G$9 * (1.910403966903687 -G$8)</f>
        <v>0</v>
      </c>
      <c r="H200" t="str">
        <f>H$9 * (3.50615406036377 -H$8)</f>
        <v>0</v>
      </c>
      <c r="I200" t="str">
        <f>I$9 * (21.12952995300293 -I$8)</f>
        <v>0</v>
      </c>
    </row>
    <row r="201" spans="1:11">
      <c r="A201" t="str">
        <f>A$9 * (47.50058364868164 -A$8)</f>
        <v>0</v>
      </c>
      <c r="B201" t="str">
        <f>B$9 * (47.50058364868164 -B$8)</f>
        <v>0</v>
      </c>
      <c r="C201" t="str">
        <f>C$9 * (47.50058364868164 -C$8)</f>
        <v>0</v>
      </c>
      <c r="D201" t="str">
        <f>D$9 * (47.50058364868164 -D$8)</f>
        <v>0</v>
      </c>
      <c r="F201" t="str">
        <f>F$9 * (0.01013792958110571 -F$8)</f>
        <v>0</v>
      </c>
      <c r="G201" t="str">
        <f>G$9 * (1.910410046577454 -G$8)</f>
        <v>0</v>
      </c>
      <c r="H201" t="str">
        <f>H$9 * (3.506108045578003 -H$8)</f>
        <v>0</v>
      </c>
      <c r="I201" t="str">
        <f>I$9 * (21.12948989868164 -I$8)</f>
        <v>0</v>
      </c>
    </row>
    <row r="202" spans="1:11">
      <c r="A202" t="str">
        <f>A$9 * (47.75058364868164 -A$8)</f>
        <v>0</v>
      </c>
      <c r="B202" t="str">
        <f>B$9 * (47.75058364868164 -B$8)</f>
        <v>0</v>
      </c>
      <c r="C202" t="str">
        <f>C$9 * (47.75058364868164 -C$8)</f>
        <v>0</v>
      </c>
      <c r="D202" t="str">
        <f>D$9 * (47.75058364868164 -D$8)</f>
        <v>0</v>
      </c>
      <c r="F202" t="str">
        <f>F$9 * (0.01013786997646093 -F$8)</f>
        <v>0</v>
      </c>
      <c r="G202" t="str">
        <f>G$9 * (1.91041898727417 -G$8)</f>
        <v>0</v>
      </c>
      <c r="H202" t="str">
        <f>H$9 * (3.506136894226074 -H$8)</f>
        <v>0</v>
      </c>
      <c r="I202" t="str">
        <f>I$9 * (21.12970924377441 -I$8)</f>
        <v>0</v>
      </c>
    </row>
    <row r="203" spans="1:11">
      <c r="A203" t="str">
        <f>A$9 * (48.0006103515625 -A$8)</f>
        <v>0</v>
      </c>
      <c r="B203" t="str">
        <f>B$9 * (48.0006103515625 -B$8)</f>
        <v>0</v>
      </c>
      <c r="C203" t="str">
        <f>C$9 * (48.0006103515625 -C$8)</f>
        <v>0</v>
      </c>
      <c r="D203" t="str">
        <f>D$9 * (48.0006103515625 -D$8)</f>
        <v>0</v>
      </c>
      <c r="F203" t="str">
        <f>F$9 * (0.01013754028826952 -F$8)</f>
        <v>0</v>
      </c>
      <c r="G203" t="str">
        <f>G$9 * (1.91041100025177 -G$8)</f>
        <v>0</v>
      </c>
      <c r="H203" t="str">
        <f>H$9 * (3.506194114685059 -H$8)</f>
        <v>0</v>
      </c>
      <c r="I203" t="str">
        <f>I$9 * (21.1297492980957 -I$8)</f>
        <v>0</v>
      </c>
    </row>
    <row r="204" spans="1:11">
      <c r="A204" t="str">
        <f>A$9 * (48.25063705444336 -A$8)</f>
        <v>0</v>
      </c>
      <c r="B204" t="str">
        <f>B$9 * (48.25063705444336 -B$8)</f>
        <v>0</v>
      </c>
      <c r="C204" t="str">
        <f>C$9 * (48.25063705444336 -C$8)</f>
        <v>0</v>
      </c>
      <c r="D204" t="str">
        <f>D$9 * (48.25063705444336 -D$8)</f>
        <v>0</v>
      </c>
      <c r="F204" t="str">
        <f>F$9 * (0.01013755984604359 -F$8)</f>
        <v>0</v>
      </c>
      <c r="G204" t="str">
        <f>G$9 * (1.910405039787292 -G$8)</f>
        <v>0</v>
      </c>
      <c r="H204" t="str">
        <f>H$9 * (3.50617790222168 -H$8)</f>
        <v>0</v>
      </c>
      <c r="I204" t="str">
        <f>I$9 * (21.12961006164551 -I$8)</f>
        <v>0</v>
      </c>
    </row>
    <row r="205" spans="1:11">
      <c r="A205" t="str">
        <f>A$9 * (48.5 -A$8)</f>
        <v>0</v>
      </c>
      <c r="B205" t="str">
        <f>B$9 * (48.5 -B$8)</f>
        <v>0</v>
      </c>
      <c r="C205" t="str">
        <f>C$9 * (48.5 -C$8)</f>
        <v>0</v>
      </c>
      <c r="D205" t="str">
        <f>D$9 * (48.5 -D$8)</f>
        <v>0</v>
      </c>
      <c r="F205" t="str">
        <f>F$9 * (0.01013767998665571 -F$8)</f>
        <v>0</v>
      </c>
      <c r="G205" t="str">
        <f>G$9 * (1.910408973693848 -G$8)</f>
        <v>0</v>
      </c>
      <c r="H205" t="str">
        <f>H$9 * (3.506159067153931 -H$8)</f>
        <v>0</v>
      </c>
      <c r="I205" t="str">
        <f>I$9 * (21.12961959838867 -I$8)</f>
        <v>0</v>
      </c>
    </row>
    <row r="206" spans="1:11">
      <c r="A206" t="str">
        <f>A$9 * (48.75002670288086 -A$8)</f>
        <v>0</v>
      </c>
      <c r="B206" t="str">
        <f>B$9 * (48.75002670288086 -B$8)</f>
        <v>0</v>
      </c>
      <c r="C206" t="str">
        <f>C$9 * (48.75002670288086 -C$8)</f>
        <v>0</v>
      </c>
      <c r="D206" t="str">
        <f>D$9 * (48.75002670288086 -D$8)</f>
        <v>0</v>
      </c>
      <c r="F206" t="str">
        <f>F$9 * (0.010137639939785 -F$8)</f>
        <v>0</v>
      </c>
      <c r="G206" t="str">
        <f>G$9 * (1.910411953926086 -G$8)</f>
        <v>0</v>
      </c>
      <c r="H206" t="str">
        <f>H$9 * (3.506174087524414 -H$8)</f>
        <v>0</v>
      </c>
      <c r="I206" t="str">
        <f>I$9 * (21.12970924377441 -I$8)</f>
        <v>0</v>
      </c>
    </row>
    <row r="207" spans="1:11">
      <c r="A207" t="str">
        <f>A$9 * (49.00005722045898 -A$8)</f>
        <v>0</v>
      </c>
      <c r="B207" t="str">
        <f>B$9 * (49.00005722045898 -B$8)</f>
        <v>0</v>
      </c>
      <c r="C207" t="str">
        <f>C$9 * (49.00005722045898 -C$8)</f>
        <v>0</v>
      </c>
      <c r="D207" t="str">
        <f>D$9 * (49.00005722045898 -D$8)</f>
        <v>0</v>
      </c>
      <c r="F207" t="str">
        <f>F$9 * (0.01013762969523668 -F$8)</f>
        <v>0</v>
      </c>
      <c r="G207" t="str">
        <f>G$9 * (1.910413980484009 -G$8)</f>
        <v>0</v>
      </c>
      <c r="H207" t="str">
        <f>H$9 * (3.506180047988892 -H$8)</f>
        <v>0</v>
      </c>
      <c r="I207" t="str">
        <f>I$9 * (21.12973976135254 -I$8)</f>
        <v>0</v>
      </c>
    </row>
    <row r="208" spans="1:11">
      <c r="A208" t="str">
        <f>A$9 * (49.25005722045898 -A$8)</f>
        <v>0</v>
      </c>
      <c r="B208" t="str">
        <f>B$9 * (49.25005722045898 -B$8)</f>
        <v>0</v>
      </c>
      <c r="C208" t="str">
        <f>C$9 * (49.25005722045898 -C$8)</f>
        <v>0</v>
      </c>
      <c r="D208" t="str">
        <f>D$9 * (49.25005722045898 -D$8)</f>
        <v>0</v>
      </c>
      <c r="F208" t="str">
        <f>F$9 * (0.01013757009059191 -F$8)</f>
        <v>0</v>
      </c>
      <c r="G208" t="str">
        <f>G$9 * (1.910411953926086 -G$8)</f>
        <v>0</v>
      </c>
      <c r="H208" t="str">
        <f>H$9 * (3.50619101524353 -H$8)</f>
        <v>0</v>
      </c>
      <c r="I208" t="str">
        <f>I$9 * (21.12973976135254 -I$8)</f>
        <v>0</v>
      </c>
    </row>
    <row r="209" spans="1:11">
      <c r="A209" t="str">
        <f>A$9 * (49.50008392333984 -A$8)</f>
        <v>0</v>
      </c>
      <c r="B209" t="str">
        <f>B$9 * (49.50008392333984 -B$8)</f>
        <v>0</v>
      </c>
      <c r="C209" t="str">
        <f>C$9 * (49.50008392333984 -C$8)</f>
        <v>0</v>
      </c>
      <c r="D209" t="str">
        <f>D$9 * (49.50008392333984 -D$8)</f>
        <v>0</v>
      </c>
      <c r="F209" t="str">
        <f>F$9 * (0.01013766974210739 -F$8)</f>
        <v>0</v>
      </c>
      <c r="G209" t="str">
        <f>G$9 * (1.910415053367615 -G$8)</f>
        <v>0</v>
      </c>
      <c r="H209" t="str">
        <f>H$9 * (3.506172895431519 -H$8)</f>
        <v>0</v>
      </c>
      <c r="I209" t="str">
        <f>I$9 * (21.12973976135254 -I$8)</f>
        <v>0</v>
      </c>
    </row>
    <row r="210" spans="1:11">
      <c r="A210" t="str">
        <f>A$9 * (49.7501106262207 -A$8)</f>
        <v>0</v>
      </c>
      <c r="B210" t="str">
        <f>B$9 * (49.7501106262207 -B$8)</f>
        <v>0</v>
      </c>
      <c r="C210" t="str">
        <f>C$9 * (49.7501106262207 -C$8)</f>
        <v>0</v>
      </c>
      <c r="D210" t="str">
        <f>D$9 * (49.7501106262207 -D$8)</f>
        <v>0</v>
      </c>
      <c r="F210" t="str">
        <f>F$9 * (0.01013755984604359 -F$8)</f>
        <v>0</v>
      </c>
      <c r="G210" t="str">
        <f>G$9 * (1.910415053367615 -G$8)</f>
        <v>0</v>
      </c>
      <c r="H210" t="str">
        <f>H$9 * (3.506196022033691 -H$8)</f>
        <v>0</v>
      </c>
      <c r="I210" t="str">
        <f>I$9 * (21.12978935241699 -I$8)</f>
        <v>0</v>
      </c>
    </row>
    <row r="211" spans="1:11">
      <c r="A211" t="str">
        <f>A$9 * (50.00013732910156 -A$8)</f>
        <v>0</v>
      </c>
      <c r="B211" t="str">
        <f>B$9 * (50.00013732910156 -B$8)</f>
        <v>0</v>
      </c>
      <c r="C211" t="str">
        <f>C$9 * (50.00013732910156 -C$8)</f>
        <v>0</v>
      </c>
      <c r="D211" t="str">
        <f>D$9 * (50.00013732910156 -D$8)</f>
        <v>0</v>
      </c>
      <c r="F211" t="str">
        <f>F$9 * (0.01013750955462456 -F$8)</f>
        <v>0</v>
      </c>
      <c r="G211" t="str">
        <f>G$9 * (1.910413026809692 -G$8)</f>
        <v>0</v>
      </c>
      <c r="H211" t="str">
        <f>H$9 * (3.506202936172485 -H$8)</f>
        <v>0</v>
      </c>
      <c r="I211" t="str">
        <f>I$9 * (21.12977981567383 -I$8)</f>
        <v>0</v>
      </c>
    </row>
    <row r="212" spans="1:11">
      <c r="A212" t="str">
        <f>A$9 * (50.25016784667969 -A$8)</f>
        <v>0</v>
      </c>
      <c r="B212" t="str">
        <f>B$9 * (50.25016784667969 -B$8)</f>
        <v>0</v>
      </c>
      <c r="C212" t="str">
        <f>C$9 * (50.25016784667969 -C$8)</f>
        <v>0</v>
      </c>
      <c r="D212" t="str">
        <f>D$9 * (50.25016784667969 -D$8)</f>
        <v>0</v>
      </c>
      <c r="F212" t="str">
        <f>F$9 * (0.01013754960149527 -F$8)</f>
        <v>0</v>
      </c>
      <c r="G212" t="str">
        <f>G$9 * (1.910415053367615 -G$8)</f>
        <v>0</v>
      </c>
      <c r="H212" t="str">
        <f>H$9 * (3.506197929382324 -H$8)</f>
        <v>0</v>
      </c>
      <c r="I212" t="str">
        <f>I$9 * (21.12980079650879 -I$8)</f>
        <v>0</v>
      </c>
    </row>
    <row r="213" spans="1:11">
      <c r="A213" t="str">
        <f>A$9 * (50.50016784667969 -A$8)</f>
        <v>0</v>
      </c>
      <c r="B213" t="str">
        <f>B$9 * (50.50016784667969 -B$8)</f>
        <v>0</v>
      </c>
      <c r="C213" t="str">
        <f>C$9 * (50.50016784667969 -C$8)</f>
        <v>0</v>
      </c>
      <c r="D213" t="str">
        <f>D$9 * (50.50016784667969 -D$8)</f>
        <v>0</v>
      </c>
      <c r="F213" t="str">
        <f>F$9 * (0.0101375300437212 -F$8)</f>
        <v>0</v>
      </c>
      <c r="G213" t="str">
        <f>G$9 * (1.910413026809692 -G$8)</f>
        <v>0</v>
      </c>
      <c r="H213" t="str">
        <f>H$9 * (3.506200075149536 -H$8)</f>
        <v>0</v>
      </c>
      <c r="I213" t="str">
        <f>I$9 * (21.12977027893066 -I$8)</f>
        <v>0</v>
      </c>
    </row>
    <row r="214" spans="1:11">
      <c r="A214" t="str">
        <f>A$9 * (50.75019454956055 -A$8)</f>
        <v>0</v>
      </c>
      <c r="B214" t="str">
        <f>B$9 * (50.75019454956055 -B$8)</f>
        <v>0</v>
      </c>
      <c r="C214" t="str">
        <f>C$9 * (50.75019454956055 -C$8)</f>
        <v>0</v>
      </c>
      <c r="D214" t="str">
        <f>D$9 * (50.75019454956055 -D$8)</f>
        <v>0</v>
      </c>
      <c r="F214" t="str">
        <f>F$9 * (0.0101375998929143 -F$8)</f>
        <v>0</v>
      </c>
      <c r="G214" t="str">
        <f>G$9 * (1.91041898727417 -G$8)</f>
        <v>0</v>
      </c>
      <c r="H214" t="str">
        <f>H$9 * (3.506194114685059 -H$8)</f>
        <v>0</v>
      </c>
      <c r="I214" t="str">
        <f>I$9 * (21.12984085083008 -I$8)</f>
        <v>0</v>
      </c>
    </row>
    <row r="215" spans="1:11">
      <c r="A215" t="str">
        <f>A$9 * (51.00022125244141 -A$8)</f>
        <v>0</v>
      </c>
      <c r="B215" t="str">
        <f>B$9 * (51.00022125244141 -B$8)</f>
        <v>0</v>
      </c>
      <c r="C215" t="str">
        <f>C$9 * (51.00022125244141 -C$8)</f>
        <v>0</v>
      </c>
      <c r="D215" t="str">
        <f>D$9 * (51.00022125244141 -D$8)</f>
        <v>0</v>
      </c>
      <c r="F215" t="str">
        <f>F$9 * (0.01013754028826952 -F$8)</f>
        <v>0</v>
      </c>
      <c r="G215" t="str">
        <f>G$9 * (1.910421013832092 -G$8)</f>
        <v>0</v>
      </c>
      <c r="H215" t="str">
        <f>H$9 * (3.506211042404175 -H$8)</f>
        <v>0</v>
      </c>
      <c r="I215" t="str">
        <f>I$9 * (21.12991905212402 -I$8)</f>
        <v>0</v>
      </c>
    </row>
    <row r="216" spans="1:11">
      <c r="A216" t="str">
        <f>A$9 * (51.25025177001953 -A$8)</f>
        <v>0</v>
      </c>
      <c r="B216" t="str">
        <f>B$9 * (51.25025177001953 -B$8)</f>
        <v>0</v>
      </c>
      <c r="C216" t="str">
        <f>C$9 * (51.25025177001953 -C$8)</f>
        <v>0</v>
      </c>
      <c r="D216" t="str">
        <f>D$9 * (51.25025177001953 -D$8)</f>
        <v>0</v>
      </c>
      <c r="F216" t="str">
        <f>F$9 * (0.01013765018433332 -F$8)</f>
        <v>0</v>
      </c>
      <c r="G216" t="str">
        <f>G$9 * (1.91042697429657 -G$8)</f>
        <v>0</v>
      </c>
      <c r="H216" t="str">
        <f>H$9 * (3.506196975708008 -H$8)</f>
        <v>0</v>
      </c>
      <c r="I216" t="str">
        <f>I$9 * (21.12995910644531 -I$8)</f>
        <v>0</v>
      </c>
    </row>
    <row r="217" spans="1:11">
      <c r="A217" t="str">
        <f>A$9 * (51.50027847290039 -A$8)</f>
        <v>0</v>
      </c>
      <c r="B217" t="str">
        <f>B$9 * (51.50027847290039 -B$8)</f>
        <v>0</v>
      </c>
      <c r="C217" t="str">
        <f>C$9 * (51.50027847290039 -C$8)</f>
        <v>0</v>
      </c>
      <c r="D217" t="str">
        <f>D$9 * (51.50027847290039 -D$8)</f>
        <v>0</v>
      </c>
      <c r="F217" t="str">
        <f>F$9 * (0.01013769954442978 -F$8)</f>
        <v>0</v>
      </c>
      <c r="G217" t="str">
        <f>G$9 * (1.910433053970337 -G$8)</f>
        <v>0</v>
      </c>
      <c r="H217" t="str">
        <f>H$9 * (3.506196975708008 -H$8)</f>
        <v>0</v>
      </c>
      <c r="I217" t="str">
        <f>I$9 * (21.13005065917969 -I$8)</f>
        <v>0</v>
      </c>
    </row>
    <row r="218" spans="1:11">
      <c r="A218" t="str">
        <f>A$9 * (51.75027847290039 -A$8)</f>
        <v>0</v>
      </c>
      <c r="B218" t="str">
        <f>B$9 * (51.75027847290039 -B$8)</f>
        <v>0</v>
      </c>
      <c r="C218" t="str">
        <f>C$9 * (51.75027847290039 -C$8)</f>
        <v>0</v>
      </c>
      <c r="D218" t="str">
        <f>D$9 * (51.75027847290039 -D$8)</f>
        <v>0</v>
      </c>
      <c r="F218" t="str">
        <f>F$9 * (0.01013762969523668 -F$8)</f>
        <v>0</v>
      </c>
      <c r="G218" t="str">
        <f>G$9 * (1.910434007644653 -G$8)</f>
        <v>0</v>
      </c>
      <c r="H218" t="str">
        <f>H$9 * (3.506213903427124 -H$8)</f>
        <v>0</v>
      </c>
      <c r="I218" t="str">
        <f>I$9 * (21.13013076782227 -I$8)</f>
        <v>0</v>
      </c>
    </row>
    <row r="219" spans="1:11">
      <c r="A219" t="str">
        <f>A$9 * (52.00030517578125 -A$8)</f>
        <v>0</v>
      </c>
      <c r="B219" t="str">
        <f>B$9 * (52.00030517578125 -B$8)</f>
        <v>0</v>
      </c>
      <c r="C219" t="str">
        <f>C$9 * (52.00030517578125 -C$8)</f>
        <v>0</v>
      </c>
      <c r="D219" t="str">
        <f>D$9 * (52.00030517578125 -D$8)</f>
        <v>0</v>
      </c>
      <c r="F219" t="str">
        <f>F$9 * (0.01013762038201094 -F$8)</f>
        <v>0</v>
      </c>
      <c r="G219" t="str">
        <f>G$9 * (1.910439014434814 -G$8)</f>
        <v>0</v>
      </c>
      <c r="H219" t="str">
        <f>H$9 * (3.506225109100342 -H$8)</f>
        <v>0</v>
      </c>
      <c r="I219" t="str">
        <f>I$9 * (21.13022041320801 -I$8)</f>
        <v>0</v>
      </c>
    </row>
    <row r="220" spans="1:11">
      <c r="A220" t="str">
        <f>A$9 * (52.25033187866211 -A$8)</f>
        <v>0</v>
      </c>
      <c r="B220" t="str">
        <f>B$9 * (52.25033187866211 -B$8)</f>
        <v>0</v>
      </c>
      <c r="C220" t="str">
        <f>C$9 * (52.25033187866211 -C$8)</f>
        <v>0</v>
      </c>
      <c r="D220" t="str">
        <f>D$9 * (52.25033187866211 -D$8)</f>
        <v>0</v>
      </c>
      <c r="F220" t="str">
        <f>F$9 * (0.01013767998665571 -F$8)</f>
        <v>0</v>
      </c>
      <c r="G220" t="str">
        <f>G$9 * (1.910437941551208 -G$8)</f>
        <v>0</v>
      </c>
      <c r="H220" t="str">
        <f>H$9 * (3.506211996078491 -H$8)</f>
        <v>0</v>
      </c>
      <c r="I220" t="str">
        <f>I$9 * (21.13018989562988 -I$8)</f>
        <v>0</v>
      </c>
    </row>
    <row r="221" spans="1:11">
      <c r="A221" t="str">
        <f>A$9 * (52.50036239624023 -A$8)</f>
        <v>0</v>
      </c>
      <c r="B221" t="str">
        <f>B$9 * (52.50036239624023 -B$8)</f>
        <v>0</v>
      </c>
      <c r="C221" t="str">
        <f>C$9 * (52.50036239624023 -C$8)</f>
        <v>0</v>
      </c>
      <c r="D221" t="str">
        <f>D$9 * (52.50036239624023 -D$8)</f>
        <v>0</v>
      </c>
      <c r="F221" t="str">
        <f>F$9 * (0.0101377097889781 -F$8)</f>
        <v>0</v>
      </c>
      <c r="G221" t="str">
        <f>G$9 * (1.910444974899292 -G$8)</f>
        <v>0</v>
      </c>
      <c r="H221" t="str">
        <f>H$9 * (3.506217956542969 -H$8)</f>
        <v>0</v>
      </c>
      <c r="I221" t="str">
        <f>I$9 * (21.13031005859375 -I$8)</f>
        <v>0</v>
      </c>
    </row>
    <row r="222" spans="1:11">
      <c r="A222" t="str">
        <f>A$9 * (52.75038909912109 -A$8)</f>
        <v>0</v>
      </c>
      <c r="B222" t="str">
        <f>B$9 * (52.75038909912109 -B$8)</f>
        <v>0</v>
      </c>
      <c r="C222" t="str">
        <f>C$9 * (52.75038909912109 -C$8)</f>
        <v>0</v>
      </c>
      <c r="D222" t="str">
        <f>D$9 * (52.75038909912109 -D$8)</f>
        <v>0</v>
      </c>
      <c r="F222" t="str">
        <f>F$9 * (0.01013758033514023 -F$8)</f>
        <v>0</v>
      </c>
      <c r="G222" t="str">
        <f>G$9 * (1.910446047782898 -G$8)</f>
        <v>0</v>
      </c>
      <c r="H222" t="str">
        <f>H$9 * (3.506246089935303 -H$8)</f>
        <v>0</v>
      </c>
      <c r="I222" t="str">
        <f>I$9 * (21.13039970397949 -I$8)</f>
        <v>0</v>
      </c>
    </row>
    <row r="223" spans="1:11">
      <c r="A223" t="str">
        <f>A$9 * (53.00038909912109 -A$8)</f>
        <v>0</v>
      </c>
      <c r="B223" t="str">
        <f>B$9 * (53.00038909912109 -B$8)</f>
        <v>0</v>
      </c>
      <c r="C223" t="str">
        <f>C$9 * (53.00038909912109 -C$8)</f>
        <v>0</v>
      </c>
      <c r="D223" t="str">
        <f>D$9 * (53.00038909912109 -D$8)</f>
        <v>0</v>
      </c>
      <c r="F223" t="str">
        <f>F$9 * (0.01013762038201094 -F$8)</f>
        <v>0</v>
      </c>
      <c r="G223" t="str">
        <f>G$9 * (1.910446047782898 -G$8)</f>
        <v>0</v>
      </c>
      <c r="H223" t="str">
        <f>H$9 * (3.506239891052246 -H$8)</f>
        <v>0</v>
      </c>
      <c r="I223" t="str">
        <f>I$9 * (21.13039016723633 -I$8)</f>
        <v>0</v>
      </c>
    </row>
    <row r="224" spans="1:11">
      <c r="A224" t="str">
        <f>A$9 * (53.25041580200195 -A$8)</f>
        <v>0</v>
      </c>
      <c r="B224" t="str">
        <f>B$9 * (53.25041580200195 -B$8)</f>
        <v>0</v>
      </c>
      <c r="C224" t="str">
        <f>C$9 * (53.25041580200195 -C$8)</f>
        <v>0</v>
      </c>
      <c r="D224" t="str">
        <f>D$9 * (53.25041580200195 -D$8)</f>
        <v>0</v>
      </c>
      <c r="F224" t="str">
        <f>F$9 * (0.01013773959130049 -F$8)</f>
        <v>0</v>
      </c>
      <c r="G224" t="str">
        <f>G$9 * (1.910449028015137 -G$8)</f>
        <v>0</v>
      </c>
      <c r="H224" t="str">
        <f>H$9 * (3.506217002868652 -H$8)</f>
        <v>0</v>
      </c>
      <c r="I224" t="str">
        <f>I$9 * (21.13036918640137 -I$8)</f>
        <v>0</v>
      </c>
    </row>
    <row r="225" spans="1:11">
      <c r="A225" t="str">
        <f>A$9 * (53.50044631958008 -A$8)</f>
        <v>0</v>
      </c>
      <c r="B225" t="str">
        <f>B$9 * (53.50044631958008 -B$8)</f>
        <v>0</v>
      </c>
      <c r="C225" t="str">
        <f>C$9 * (53.50044631958008 -C$8)</f>
        <v>0</v>
      </c>
      <c r="D225" t="str">
        <f>D$9 * (53.50044631958008 -D$8)</f>
        <v>0</v>
      </c>
      <c r="F225" t="str">
        <f>F$9 * (0.01013754028826952 -F$8)</f>
        <v>0</v>
      </c>
      <c r="G225" t="str">
        <f>G$9 * (1.910447001457214 -G$8)</f>
        <v>0</v>
      </c>
      <c r="H225" t="str">
        <f>H$9 * (3.506257057189941 -H$8)</f>
        <v>0</v>
      </c>
      <c r="I225" t="str">
        <f>I$9 * (21.13044929504395 -I$8)</f>
        <v>0</v>
      </c>
    </row>
    <row r="226" spans="1:11">
      <c r="A226" t="str">
        <f>A$9 * (53.75047302246094 -A$8)</f>
        <v>0</v>
      </c>
      <c r="B226" t="str">
        <f>B$9 * (53.75047302246094 -B$8)</f>
        <v>0</v>
      </c>
      <c r="C226" t="str">
        <f>C$9 * (53.75047302246094 -C$8)</f>
        <v>0</v>
      </c>
      <c r="D226" t="str">
        <f>D$9 * (53.75047302246094 -D$8)</f>
        <v>0</v>
      </c>
      <c r="F226" t="str">
        <f>F$9 * (0.01013743039220572 -F$8)</f>
        <v>0</v>
      </c>
      <c r="G226" t="str">
        <f>G$9 * (1.910444021224976 -G$8)</f>
        <v>0</v>
      </c>
      <c r="H226" t="str">
        <f>H$9 * (3.506273984909058 -H$8)</f>
        <v>0</v>
      </c>
      <c r="I226" t="str">
        <f>I$9 * (21.13044929504395 -I$8)</f>
        <v>0</v>
      </c>
    </row>
    <row r="227" spans="1:11">
      <c r="A227" t="str">
        <f>A$9 * (54.0004997253418 -A$8)</f>
        <v>0</v>
      </c>
      <c r="B227" t="str">
        <f>B$9 * (54.0004997253418 -B$8)</f>
        <v>0</v>
      </c>
      <c r="C227" t="str">
        <f>C$9 * (54.0004997253418 -C$8)</f>
        <v>0</v>
      </c>
      <c r="D227" t="str">
        <f>D$9 * (54.0004997253418 -D$8)</f>
        <v>0</v>
      </c>
      <c r="F227" t="str">
        <f>F$9 * (0.01013744994997978 -F$8)</f>
        <v>0</v>
      </c>
      <c r="G227" t="str">
        <f>G$9 * (1.910439968109131 -G$8)</f>
        <v>0</v>
      </c>
      <c r="H227" t="str">
        <f>H$9 * (3.506263017654419 -H$8)</f>
        <v>0</v>
      </c>
      <c r="I227" t="str">
        <f>I$9 * (21.1303596496582 -I$8)</f>
        <v>0</v>
      </c>
    </row>
    <row r="228" spans="1:11">
      <c r="A228" t="str">
        <f>A$9 * (54.2504997253418 -A$8)</f>
        <v>0</v>
      </c>
      <c r="B228" t="str">
        <f>B$9 * (54.2504997253418 -B$8)</f>
        <v>0</v>
      </c>
      <c r="C228" t="str">
        <f>C$9 * (54.2504997253418 -C$8)</f>
        <v>0</v>
      </c>
      <c r="D228" t="str">
        <f>D$9 * (54.2504997253418 -D$8)</f>
        <v>0</v>
      </c>
      <c r="F228" t="str">
        <f>F$9 * (0.01013777032494545 -F$8)</f>
        <v>0</v>
      </c>
      <c r="G228" t="str">
        <f>G$9 * (1.910449981689453 -G$8)</f>
        <v>0</v>
      </c>
      <c r="H228" t="str">
        <f>H$9 * (3.506212949752808 -H$8)</f>
        <v>0</v>
      </c>
      <c r="I228" t="str">
        <f>I$9 * (21.1303596496582 -I$8)</f>
        <v>0</v>
      </c>
    </row>
    <row r="229" spans="1:11">
      <c r="A229" t="str">
        <f>A$9 * (54.50052642822266 -A$8)</f>
        <v>0</v>
      </c>
      <c r="B229" t="str">
        <f>B$9 * (54.50052642822266 -B$8)</f>
        <v>0</v>
      </c>
      <c r="C229" t="str">
        <f>C$9 * (54.50052642822266 -C$8)</f>
        <v>0</v>
      </c>
      <c r="D229" t="str">
        <f>D$9 * (54.50052642822266 -D$8)</f>
        <v>0</v>
      </c>
      <c r="F229" t="str">
        <f>F$9 * (0.010137639939785 -F$8)</f>
        <v>0</v>
      </c>
      <c r="G229" t="str">
        <f>G$9 * (1.910457968711853 -G$8)</f>
        <v>0</v>
      </c>
      <c r="H229" t="str">
        <f>H$9 * (3.506253957748413 -H$8)</f>
        <v>0</v>
      </c>
      <c r="I229" t="str">
        <f>I$9 * (21.13059997558594 -I$8)</f>
        <v>0</v>
      </c>
    </row>
    <row r="230" spans="1:11">
      <c r="A230" t="str">
        <f>A$9 * (54.75055694580078 -A$8)</f>
        <v>0</v>
      </c>
      <c r="B230" t="str">
        <f>B$9 * (54.75055694580078 -B$8)</f>
        <v>0</v>
      </c>
      <c r="C230" t="str">
        <f>C$9 * (54.75055694580078 -C$8)</f>
        <v>0</v>
      </c>
      <c r="D230" t="str">
        <f>D$9 * (54.75055694580078 -D$8)</f>
        <v>0</v>
      </c>
      <c r="F230" t="str">
        <f>F$9 * (0.01013743039220572 -F$8)</f>
        <v>0</v>
      </c>
      <c r="G230" t="str">
        <f>G$9 * (1.910444021224976 -G$8)</f>
        <v>0</v>
      </c>
      <c r="H230" t="str">
        <f>H$9 * (3.506273031234741 -H$8)</f>
        <v>0</v>
      </c>
      <c r="I230" t="str">
        <f>I$9 * (21.13043022155762 -I$8)</f>
        <v>0</v>
      </c>
    </row>
    <row r="231" spans="1:11">
      <c r="A231" t="str">
        <f>A$9 * (55.00058364868164 -A$8)</f>
        <v>0</v>
      </c>
      <c r="B231" t="str">
        <f>B$9 * (55.00058364868164 -B$8)</f>
        <v>0</v>
      </c>
      <c r="C231" t="str">
        <f>C$9 * (55.00058364868164 -C$8)</f>
        <v>0</v>
      </c>
      <c r="D231" t="str">
        <f>D$9 * (55.00058364868164 -D$8)</f>
        <v>0</v>
      </c>
      <c r="F231" t="str">
        <f>F$9 * (0.01013742014765739 -F$8)</f>
        <v>0</v>
      </c>
      <c r="G231" t="str">
        <f>G$9 * (1.910439014434814 -G$8)</f>
        <v>0</v>
      </c>
      <c r="H231" t="str">
        <f>H$9 * (3.506267070770264 -H$8)</f>
        <v>0</v>
      </c>
      <c r="I231" t="str">
        <f>I$9 * (21.13034057617188 -I$8)</f>
        <v>0</v>
      </c>
    </row>
    <row r="232" spans="1:11">
      <c r="A232" t="str">
        <f>A$9 * (55.25058364868164 -A$8)</f>
        <v>0</v>
      </c>
      <c r="B232" t="str">
        <f>B$9 * (55.25058364868164 -B$8)</f>
        <v>0</v>
      </c>
      <c r="C232" t="str">
        <f>C$9 * (55.25058364868164 -C$8)</f>
        <v>0</v>
      </c>
      <c r="D232" t="str">
        <f>D$9 * (55.25058364868164 -D$8)</f>
        <v>0</v>
      </c>
      <c r="F232" t="str">
        <f>F$9 * (0.01013748999685049 -F$8)</f>
        <v>0</v>
      </c>
      <c r="G232" t="str">
        <f>G$9 * (1.910446047782898 -G$8)</f>
        <v>0</v>
      </c>
      <c r="H232" t="str">
        <f>H$9 * (3.506263971328735 -H$8)</f>
        <v>0</v>
      </c>
      <c r="I232" t="str">
        <f>I$9 * (21.13043022155762 -I$8)</f>
        <v>0</v>
      </c>
    </row>
    <row r="233" spans="1:11">
      <c r="A233" t="str">
        <f>A$9 * (55.5006103515625 -A$8)</f>
        <v>0</v>
      </c>
      <c r="B233" t="str">
        <f>B$9 * (55.5006103515625 -B$8)</f>
        <v>0</v>
      </c>
      <c r="C233" t="str">
        <f>C$9 * (55.5006103515625 -C$8)</f>
        <v>0</v>
      </c>
      <c r="D233" t="str">
        <f>D$9 * (55.5006103515625 -D$8)</f>
        <v>0</v>
      </c>
      <c r="F233" t="str">
        <f>F$9 * (0.01013743970543146 -F$8)</f>
        <v>0</v>
      </c>
      <c r="G233" t="str">
        <f>G$9 * (1.91044294834137 -G$8)</f>
        <v>0</v>
      </c>
      <c r="H233" t="str">
        <f>H$9 * (3.506269931793213 -H$8)</f>
        <v>0</v>
      </c>
      <c r="I233" t="str">
        <f>I$9 * (21.13040924072266 -I$8)</f>
        <v>0</v>
      </c>
    </row>
    <row r="234" spans="1:11">
      <c r="A234" t="str">
        <f>A$9 * (55.75063705444336 -A$8)</f>
        <v>0</v>
      </c>
      <c r="B234" t="str">
        <f>B$9 * (55.75063705444336 -B$8)</f>
        <v>0</v>
      </c>
      <c r="C234" t="str">
        <f>C$9 * (55.75063705444336 -C$8)</f>
        <v>0</v>
      </c>
      <c r="D234" t="str">
        <f>D$9 * (55.75063705444336 -D$8)</f>
        <v>0</v>
      </c>
      <c r="F234" t="str">
        <f>F$9 * (0.01013773027807474 -F$8)</f>
        <v>0</v>
      </c>
      <c r="G234" t="str">
        <f>G$9 * (1.910454988479614 -G$8)</f>
        <v>0</v>
      </c>
      <c r="H234" t="str">
        <f>H$9 * (3.506228923797607 -H$8)</f>
        <v>0</v>
      </c>
      <c r="I234" t="str">
        <f>I$9 * (21.13046073913574 -I$8)</f>
        <v>0</v>
      </c>
    </row>
    <row r="235" spans="1:11">
      <c r="A235" t="str">
        <f>A$9 * (56 -A$8)</f>
        <v>0</v>
      </c>
      <c r="B235" t="str">
        <f>B$9 * (56 -B$8)</f>
        <v>0</v>
      </c>
      <c r="C235" t="str">
        <f>C$9 * (56 -C$8)</f>
        <v>0</v>
      </c>
      <c r="D235" t="str">
        <f>D$9 * (56 -D$8)</f>
        <v>0</v>
      </c>
      <c r="F235" t="str">
        <f>F$9 * (0.01013761013746262 -F$8)</f>
        <v>0</v>
      </c>
      <c r="G235" t="str">
        <f>G$9 * (1.910455942153931 -G$8)</f>
        <v>0</v>
      </c>
      <c r="H235" t="str">
        <f>H$9 * (3.506256103515625 -H$8)</f>
        <v>0</v>
      </c>
      <c r="I235" t="str">
        <f>I$9 * (21.13055992126465 -I$8)</f>
        <v>0</v>
      </c>
    </row>
    <row r="236" spans="1:11">
      <c r="A236" t="str">
        <f>A$9 * (56.25002670288086 -A$8)</f>
        <v>0</v>
      </c>
      <c r="B236" t="str">
        <f>B$9 * (56.25002670288086 -B$8)</f>
        <v>0</v>
      </c>
      <c r="C236" t="str">
        <f>C$9 * (56.25002670288086 -C$8)</f>
        <v>0</v>
      </c>
      <c r="D236" t="str">
        <f>D$9 * (56.25002670288086 -D$8)</f>
        <v>0</v>
      </c>
      <c r="F236" t="str">
        <f>F$9 * (0.01013750955462456 -F$8)</f>
        <v>0</v>
      </c>
      <c r="G236" t="str">
        <f>G$9 * (1.910460948944092 -G$8)</f>
        <v>0</v>
      </c>
      <c r="H236" t="str">
        <f>H$9 * (3.506288051605225 -H$8)</f>
        <v>0</v>
      </c>
      <c r="I236" t="str">
        <f>I$9 * (21.13072967529297 -I$8)</f>
        <v>0</v>
      </c>
    </row>
    <row r="237" spans="1:11">
      <c r="A237" t="str">
        <f>A$9 * (56.50005722045898 -A$8)</f>
        <v>0</v>
      </c>
      <c r="B237" t="str">
        <f>B$9 * (56.50005722045898 -B$8)</f>
        <v>0</v>
      </c>
      <c r="C237" t="str">
        <f>C$9 * (56.50005722045898 -C$8)</f>
        <v>0</v>
      </c>
      <c r="D237" t="str">
        <f>D$9 * (56.50005722045898 -D$8)</f>
        <v>0</v>
      </c>
      <c r="F237" t="str">
        <f>F$9 * (0.01013757009059191 -F$8)</f>
        <v>0</v>
      </c>
      <c r="G237" t="str">
        <f>G$9 * (1.910459041595459 -G$8)</f>
        <v>0</v>
      </c>
      <c r="H237" t="str">
        <f>H$9 * (3.506272077560425 -H$8)</f>
        <v>0</v>
      </c>
      <c r="I237" t="str">
        <f>I$9 * (21.13064956665039 -I$8)</f>
        <v>0</v>
      </c>
    </row>
    <row r="238" spans="1:11">
      <c r="A238" t="str">
        <f>A$9 * (56.75008392333984 -A$8)</f>
        <v>0</v>
      </c>
      <c r="B238" t="str">
        <f>B$9 * (56.75008392333984 -B$8)</f>
        <v>0</v>
      </c>
      <c r="C238" t="str">
        <f>C$9 * (56.75008392333984 -C$8)</f>
        <v>0</v>
      </c>
      <c r="D238" t="str">
        <f>D$9 * (56.75008392333984 -D$8)</f>
        <v>0</v>
      </c>
      <c r="F238" t="str">
        <f>F$9 * (0.01013777032494545 -F$8)</f>
        <v>0</v>
      </c>
      <c r="G238" t="str">
        <f>G$9 * (1.910467982292175 -G$8)</f>
        <v>0</v>
      </c>
      <c r="H238" t="str">
        <f>H$9 * (3.506244897842407 -H$8)</f>
        <v>0</v>
      </c>
      <c r="I238" t="str">
        <f>I$9 * (21.1307201385498 -I$8)</f>
        <v>0</v>
      </c>
    </row>
    <row r="239" spans="1:11">
      <c r="A239" t="str">
        <f>A$9 * (57.00008392333984 -A$8)</f>
        <v>0</v>
      </c>
      <c r="B239" t="str">
        <f>B$9 * (57.00008392333984 -B$8)</f>
        <v>0</v>
      </c>
      <c r="C239" t="str">
        <f>C$9 * (57.00008392333984 -C$8)</f>
        <v>0</v>
      </c>
      <c r="D239" t="str">
        <f>D$9 * (57.00008392333984 -D$8)</f>
        <v>0</v>
      </c>
      <c r="F239" t="str">
        <f>F$9 * (0.01013769023120403 -F$8)</f>
        <v>0</v>
      </c>
      <c r="G239" t="str">
        <f>G$9 * (1.910472989082336 -G$8)</f>
        <v>0</v>
      </c>
      <c r="H239" t="str">
        <f>H$9 * (3.506268978118896 -H$8)</f>
        <v>0</v>
      </c>
      <c r="I239" t="str">
        <f>I$9 * (21.130859375 -I$8)</f>
        <v>0</v>
      </c>
    </row>
    <row r="240" spans="1:11">
      <c r="A240" t="str">
        <f>A$9 * (57.2501106262207 -A$8)</f>
        <v>0</v>
      </c>
      <c r="B240" t="str">
        <f>B$9 * (57.2501106262207 -B$8)</f>
        <v>0</v>
      </c>
      <c r="C240" t="str">
        <f>C$9 * (57.2501106262207 -C$8)</f>
        <v>0</v>
      </c>
      <c r="D240" t="str">
        <f>D$9 * (57.2501106262207 -D$8)</f>
        <v>0</v>
      </c>
      <c r="F240" t="str">
        <f>F$9 * (0.01013743970543146 -F$8)</f>
        <v>0</v>
      </c>
      <c r="G240" t="str">
        <f>G$9 * (1.91047203540802 -G$8)</f>
        <v>0</v>
      </c>
      <c r="H240" t="str">
        <f>H$9 * (3.506323099136353 -H$8)</f>
        <v>0</v>
      </c>
      <c r="I240" t="str">
        <f>I$9 * (21.13100051879883 -I$8)</f>
        <v>0</v>
      </c>
    </row>
    <row r="241" spans="1:11">
      <c r="A241" t="str">
        <f>A$9 * (57.50013732910156 -A$8)</f>
        <v>0</v>
      </c>
      <c r="B241" t="str">
        <f>B$9 * (57.50013732910156 -B$8)</f>
        <v>0</v>
      </c>
      <c r="C241" t="str">
        <f>C$9 * (57.50013732910156 -C$8)</f>
        <v>0</v>
      </c>
      <c r="D241" t="str">
        <f>D$9 * (57.50013732910156 -D$8)</f>
        <v>0</v>
      </c>
      <c r="F241" t="str">
        <f>F$9 * (0.01013766042888165 -F$8)</f>
        <v>0</v>
      </c>
      <c r="G241" t="str">
        <f>G$9 * (1.910475015640259 -G$8)</f>
        <v>0</v>
      </c>
      <c r="H241" t="str">
        <f>H$9 * (3.506280899047852 -H$8)</f>
        <v>0</v>
      </c>
      <c r="I241" t="str">
        <f>I$9 * (21.13092994689941 -I$8)</f>
        <v>0</v>
      </c>
    </row>
    <row r="242" spans="1:11">
      <c r="A242" t="str">
        <f>A$9 * (57.75016784667969 -A$8)</f>
        <v>0</v>
      </c>
      <c r="B242" t="str">
        <f>B$9 * (57.75016784667969 -B$8)</f>
        <v>0</v>
      </c>
      <c r="C242" t="str">
        <f>C$9 * (57.75016784667969 -C$8)</f>
        <v>0</v>
      </c>
      <c r="D242" t="str">
        <f>D$9 * (57.75016784667969 -D$8)</f>
        <v>0</v>
      </c>
      <c r="F242" t="str">
        <f>F$9 * (0.01013780012726784 -F$8)</f>
        <v>0</v>
      </c>
      <c r="G242" t="str">
        <f>G$9 * (1.910477042198181 -G$8)</f>
        <v>0</v>
      </c>
      <c r="H242" t="str">
        <f>H$9 * (3.506254911422729 -H$8)</f>
        <v>0</v>
      </c>
      <c r="I242" t="str">
        <f>I$9 * (21.13088989257812 -I$8)</f>
        <v>0</v>
      </c>
    </row>
    <row r="243" spans="1:11">
      <c r="A243" t="str">
        <f>A$9 * (58.00016784667969 -A$8)</f>
        <v>0</v>
      </c>
      <c r="B243" t="str">
        <f>B$9 * (58.00016784667969 -B$8)</f>
        <v>0</v>
      </c>
      <c r="C243" t="str">
        <f>C$9 * (58.00016784667969 -C$8)</f>
        <v>0</v>
      </c>
      <c r="D243" t="str">
        <f>D$9 * (58.00016784667969 -D$8)</f>
        <v>0</v>
      </c>
      <c r="F243" t="str">
        <f>F$9 * (0.01013772003352642 -F$8)</f>
        <v>0</v>
      </c>
      <c r="G243" t="str">
        <f>G$9 * (1.91048800945282 -G$8)</f>
        <v>0</v>
      </c>
      <c r="H243" t="str">
        <f>H$9 * (3.506289958953857 -H$8)</f>
        <v>0</v>
      </c>
      <c r="I243" t="str">
        <f>I$9 * (21.13114929199219 -I$8)</f>
        <v>0</v>
      </c>
    </row>
    <row r="244" spans="1:11">
      <c r="A244" t="str">
        <f>A$9 * (58.25019454956055 -A$8)</f>
        <v>0</v>
      </c>
      <c r="B244" t="str">
        <f>B$9 * (58.25019454956055 -B$8)</f>
        <v>0</v>
      </c>
      <c r="C244" t="str">
        <f>C$9 * (58.25019454956055 -C$8)</f>
        <v>0</v>
      </c>
      <c r="D244" t="str">
        <f>D$9 * (58.25019454956055 -D$8)</f>
        <v>0</v>
      </c>
      <c r="F244" t="str">
        <f>F$9 * (0.0101374601945281 -F$8)</f>
        <v>0</v>
      </c>
      <c r="G244" t="str">
        <f>G$9 * (1.910485982894897 -G$8)</f>
        <v>0</v>
      </c>
      <c r="H244" t="str">
        <f>H$9 * (3.50634503364563 -H$8)</f>
        <v>0</v>
      </c>
      <c r="I244" t="str">
        <f>I$9 * (21.13129043579102 -I$8)</f>
        <v>0</v>
      </c>
    </row>
    <row r="245" spans="1:11">
      <c r="A245" t="str">
        <f>A$9 * (58.50022125244141 -A$8)</f>
        <v>0</v>
      </c>
      <c r="B245" t="str">
        <f>B$9 * (58.50022125244141 -B$8)</f>
        <v>0</v>
      </c>
      <c r="C245" t="str">
        <f>C$9 * (58.50022125244141 -C$8)</f>
        <v>0</v>
      </c>
      <c r="D245" t="str">
        <f>D$9 * (58.50022125244141 -D$8)</f>
        <v>0</v>
      </c>
      <c r="F245" t="str">
        <f>F$9 * (0.01013758964836597 -F$8)</f>
        <v>0</v>
      </c>
      <c r="G245" t="str">
        <f>G$9 * (1.91048002243042 -G$8)</f>
        <v>0</v>
      </c>
      <c r="H245" t="str">
        <f>H$9 * (3.506305932998657 -H$8)</f>
        <v>0</v>
      </c>
      <c r="I245" t="str">
        <f>I$9 * (21.13108062744141 -I$8)</f>
        <v>0</v>
      </c>
    </row>
    <row r="246" spans="1:11">
      <c r="A246" t="str">
        <f>A$9 * (58.75025177001953 -A$8)</f>
        <v>0</v>
      </c>
      <c r="B246" t="str">
        <f>B$9 * (58.75025177001953 -B$8)</f>
        <v>0</v>
      </c>
      <c r="C246" t="str">
        <f>C$9 * (58.75025177001953 -C$8)</f>
        <v>0</v>
      </c>
      <c r="D246" t="str">
        <f>D$9 * (58.75025177001953 -D$8)</f>
        <v>0</v>
      </c>
      <c r="F246" t="str">
        <f>F$9 * (0.01013791002333164 -F$8)</f>
        <v>0</v>
      </c>
      <c r="G246" t="str">
        <f>G$9 * (1.910495042800903 -G$8)</f>
        <v>0</v>
      </c>
      <c r="H246" t="str">
        <f>H$9 * (3.506262063980103 -H$8)</f>
        <v>0</v>
      </c>
      <c r="I246" t="str">
        <f>I$9 * (21.13117027282715 -I$8)</f>
        <v>0</v>
      </c>
    </row>
    <row r="247" spans="1:11">
      <c r="A247" t="str">
        <f>A$9 * (59.00027847290039 -A$8)</f>
        <v>0</v>
      </c>
      <c r="B247" t="str">
        <f>B$9 * (59.00027847290039 -B$8)</f>
        <v>0</v>
      </c>
      <c r="C247" t="str">
        <f>C$9 * (59.00027847290039 -C$8)</f>
        <v>0</v>
      </c>
      <c r="D247" t="str">
        <f>D$9 * (59.00027847290039 -D$8)</f>
        <v>0</v>
      </c>
      <c r="F247" t="str">
        <f>F$9 * (0.01013767998665571 -F$8)</f>
        <v>0</v>
      </c>
      <c r="G247" t="str">
        <f>G$9 * (1.910500049591064 -G$8)</f>
        <v>0</v>
      </c>
      <c r="H247" t="str">
        <f>H$9 * (3.506320953369141 -H$8)</f>
        <v>0</v>
      </c>
      <c r="I247" t="str">
        <f>I$9 * (21.13142967224121 -I$8)</f>
        <v>0</v>
      </c>
    </row>
    <row r="248" spans="1:11">
      <c r="A248" t="str">
        <f>A$9 * (59.25027847290039 -A$8)</f>
        <v>0</v>
      </c>
      <c r="B248" t="str">
        <f>B$9 * (59.25027847290039 -B$8)</f>
        <v>0</v>
      </c>
      <c r="C248" t="str">
        <f>C$9 * (59.25027847290039 -C$8)</f>
        <v>0</v>
      </c>
      <c r="D248" t="str">
        <f>D$9 * (59.25027847290039 -D$8)</f>
        <v>0</v>
      </c>
      <c r="F248" t="str">
        <f>F$9 * (0.0101373502984643 -F$8)</f>
        <v>0</v>
      </c>
      <c r="G248" t="str">
        <f>G$9 * (1.910485982894897 -G$8)</f>
        <v>0</v>
      </c>
      <c r="H248" t="str">
        <f>H$9 * (3.506367921829224 -H$8)</f>
        <v>0</v>
      </c>
      <c r="I248" t="str">
        <f>I$9 * (21.13134002685547 -I$8)</f>
        <v>0</v>
      </c>
    </row>
    <row r="249" spans="1:11">
      <c r="A249" t="str">
        <f>A$9 * (59.50030517578125 -A$8)</f>
        <v>0</v>
      </c>
      <c r="B249" t="str">
        <f>B$9 * (59.50030517578125 -B$8)</f>
        <v>0</v>
      </c>
      <c r="C249" t="str">
        <f>C$9 * (59.50030517578125 -C$8)</f>
        <v>0</v>
      </c>
      <c r="D249" t="str">
        <f>D$9 * (59.50030517578125 -D$8)</f>
        <v>0</v>
      </c>
      <c r="F249" t="str">
        <f>F$9 * (0.01013751979917288 -F$8)</f>
        <v>0</v>
      </c>
      <c r="G249" t="str">
        <f>G$9 * (1.910483002662659 -G$8)</f>
        <v>0</v>
      </c>
      <c r="H249" t="str">
        <f>H$9 * (3.506325960159302 -H$8)</f>
        <v>0</v>
      </c>
      <c r="I249" t="str">
        <f>I$9 * (21.13117027282715 -I$8)</f>
        <v>0</v>
      </c>
    </row>
    <row r="250" spans="1:11">
      <c r="A250" t="str">
        <f>A$9 * (59.75033187866211 -A$8)</f>
        <v>0</v>
      </c>
      <c r="B250" t="str">
        <f>B$9 * (59.75033187866211 -B$8)</f>
        <v>0</v>
      </c>
      <c r="C250" t="str">
        <f>C$9 * (59.75033187866211 -C$8)</f>
        <v>0</v>
      </c>
      <c r="D250" t="str">
        <f>D$9 * (59.75033187866211 -D$8)</f>
        <v>0</v>
      </c>
      <c r="F250" t="str">
        <f>F$9 * (0.010137639939785 -F$8)</f>
        <v>0</v>
      </c>
      <c r="G250" t="str">
        <f>G$9 * (1.910491943359375 -G$8)</f>
        <v>0</v>
      </c>
      <c r="H250" t="str">
        <f>H$9 * (3.50631308555603 -H$8)</f>
        <v>0</v>
      </c>
      <c r="I250" t="str">
        <f>I$9 * (21.13125991821289 -I$8)</f>
        <v>0</v>
      </c>
    </row>
    <row r="251" spans="1:11">
      <c r="A251" t="str">
        <f>A$9 * (60.00036239624023 -A$8)</f>
        <v>0</v>
      </c>
      <c r="B251" t="str">
        <f>B$9 * (60.00036239624023 -B$8)</f>
        <v>0</v>
      </c>
      <c r="C251" t="str">
        <f>C$9 * (60.00036239624023 -C$8)</f>
        <v>0</v>
      </c>
      <c r="D251" t="str">
        <f>D$9 * (60.00036239624023 -D$8)</f>
        <v>0</v>
      </c>
      <c r="F251" t="str">
        <f>F$9 * (0.01013747975230217 -F$8)</f>
        <v>0</v>
      </c>
      <c r="G251" t="str">
        <f>G$9 * (1.910472989082336 -G$8)</f>
        <v>0</v>
      </c>
      <c r="H251" t="str">
        <f>H$9 * (3.506314992904663 -H$8)</f>
        <v>0</v>
      </c>
      <c r="I251" t="str">
        <f>I$9 * (21.1309700012207 -I$8)</f>
        <v>0</v>
      </c>
    </row>
    <row r="252" spans="1:11">
      <c r="A252" t="str">
        <f>A$9 * (60.25038909912109 -A$8)</f>
        <v>0</v>
      </c>
      <c r="B252" t="str">
        <f>B$9 * (60.25038909912109 -B$8)</f>
        <v>0</v>
      </c>
      <c r="C252" t="str">
        <f>C$9 * (60.25038909912109 -C$8)</f>
        <v>0</v>
      </c>
      <c r="D252" t="str">
        <f>D$9 * (60.25038909912109 -D$8)</f>
        <v>0</v>
      </c>
      <c r="F252" t="str">
        <f>F$9 * (0.01013709045946598 -F$8)</f>
        <v>0</v>
      </c>
      <c r="G252" t="str">
        <f>G$9 * (1.910465002059937 -G$8)</f>
        <v>0</v>
      </c>
      <c r="H252" t="str">
        <f>H$9 * (3.506381988525391 -H$8)</f>
        <v>0</v>
      </c>
      <c r="I252" t="str">
        <f>I$9 * (21.13102912902832 -I$8)</f>
        <v>0</v>
      </c>
    </row>
    <row r="253" spans="1:11">
      <c r="A253" t="str">
        <f>A$9 * (60.50038909912109 -A$8)</f>
        <v>0</v>
      </c>
      <c r="B253" t="str">
        <f>B$9 * (60.50038909912109 -B$8)</f>
        <v>0</v>
      </c>
      <c r="C253" t="str">
        <f>C$9 * (60.50038909912109 -C$8)</f>
        <v>0</v>
      </c>
      <c r="D253" t="str">
        <f>D$9 * (60.50038909912109 -D$8)</f>
        <v>0</v>
      </c>
      <c r="F253" t="str">
        <f>F$9 * (0.01013693958520889 -F$8)</f>
        <v>0</v>
      </c>
      <c r="G253" t="str">
        <f>G$9 * (1.910452008247375 -G$8)</f>
        <v>0</v>
      </c>
      <c r="H253" t="str">
        <f>H$9 * (3.506391048431396 -H$8)</f>
        <v>0</v>
      </c>
      <c r="I253" t="str">
        <f>I$9 * (21.13084983825684 -I$8)</f>
        <v>0</v>
      </c>
    </row>
    <row r="254" spans="1:11">
      <c r="A254" t="str">
        <f>A$9 * (60.75041580200195 -A$8)</f>
        <v>0</v>
      </c>
      <c r="B254" t="str">
        <f>B$9 * (60.75041580200195 -B$8)</f>
        <v>0</v>
      </c>
      <c r="C254" t="str">
        <f>C$9 * (60.75041580200195 -C$8)</f>
        <v>0</v>
      </c>
      <c r="D254" t="str">
        <f>D$9 * (60.75041580200195 -D$8)</f>
        <v>0</v>
      </c>
      <c r="F254" t="str">
        <f>F$9 * (0.01013713981956244 -F$8)</f>
        <v>0</v>
      </c>
      <c r="G254" t="str">
        <f>G$9 * (1.910444021224976 -G$8)</f>
        <v>0</v>
      </c>
      <c r="H254" t="str">
        <f>H$9 * (3.506335973739624 -H$8)</f>
        <v>0</v>
      </c>
      <c r="I254" t="str">
        <f>I$9 * (21.13056945800781 -I$8)</f>
        <v>0</v>
      </c>
    </row>
    <row r="255" spans="1:11">
      <c r="A255" t="str">
        <f>A$9 * (61.00044631958008 -A$8)</f>
        <v>0</v>
      </c>
      <c r="B255" t="str">
        <f>B$9 * (61.00044631958008 -B$8)</f>
        <v>0</v>
      </c>
      <c r="C255" t="str">
        <f>C$9 * (61.00044631958008 -C$8)</f>
        <v>0</v>
      </c>
      <c r="D255" t="str">
        <f>D$9 * (61.00044631958008 -D$8)</f>
        <v>0</v>
      </c>
      <c r="F255" t="str">
        <f>F$9 * (0.01013782992959023 -F$8)</f>
        <v>0</v>
      </c>
      <c r="G255" t="str">
        <f>G$9 * (1.910472989082336 -G$8)</f>
        <v>0</v>
      </c>
      <c r="H255" t="str">
        <f>H$9 * (3.506237030029297 -H$8)</f>
        <v>0</v>
      </c>
      <c r="I255" t="str">
        <f>I$9 * (21.1307201385498 -I$8)</f>
        <v>0</v>
      </c>
    </row>
    <row r="256" spans="1:11">
      <c r="A256" t="str">
        <f>A$9 * (61.25047302246094 -A$8)</f>
        <v>0</v>
      </c>
      <c r="B256" t="str">
        <f>B$9 * (61.25047302246094 -B$8)</f>
        <v>0</v>
      </c>
      <c r="C256" t="str">
        <f>C$9 * (61.25047302246094 -C$8)</f>
        <v>0</v>
      </c>
      <c r="D256" t="str">
        <f>D$9 * (61.25047302246094 -D$8)</f>
        <v>0</v>
      </c>
      <c r="F256" t="str">
        <f>F$9 * (0.01013736985623837 -F$8)</f>
        <v>0</v>
      </c>
      <c r="G256" t="str">
        <f>G$9 * (1.910473942756653 -G$8)</f>
        <v>0</v>
      </c>
      <c r="H256" t="str">
        <f>H$9 * (3.50633692741394 -H$8)</f>
        <v>0</v>
      </c>
      <c r="I256" t="str">
        <f>I$9 * (21.13101005554199 -I$8)</f>
        <v>0</v>
      </c>
    </row>
    <row r="257" spans="1:11">
      <c r="A257" t="str">
        <f>A$9 * (61.5004997253418 -A$8)</f>
        <v>0</v>
      </c>
      <c r="B257" t="str">
        <f>B$9 * (61.5004997253418 -B$8)</f>
        <v>0</v>
      </c>
      <c r="C257" t="str">
        <f>C$9 * (61.5004997253418 -C$8)</f>
        <v>0</v>
      </c>
      <c r="D257" t="str">
        <f>D$9 * (61.5004997253418 -D$8)</f>
        <v>0</v>
      </c>
      <c r="F257" t="str">
        <f>F$9 * (0.01013732980936766 -F$8)</f>
        <v>0</v>
      </c>
      <c r="G257" t="str">
        <f>G$9 * (1.91048002243042 -G$8)</f>
        <v>0</v>
      </c>
      <c r="H257" t="str">
        <f>H$9 * (3.506356000900269 -H$8)</f>
        <v>0</v>
      </c>
      <c r="I257" t="str">
        <f>I$9 * (21.13116073608398 -I$8)</f>
        <v>0</v>
      </c>
    </row>
    <row r="258" spans="1:11">
      <c r="A258" t="str">
        <f>A$9 * (61.7504997253418 -A$8)</f>
        <v>0</v>
      </c>
      <c r="B258" t="str">
        <f>B$9 * (61.7504997253418 -B$8)</f>
        <v>0</v>
      </c>
      <c r="C258" t="str">
        <f>C$9 * (61.7504997253418 -C$8)</f>
        <v>0</v>
      </c>
      <c r="D258" t="str">
        <f>D$9 * (61.7504997253418 -D$8)</f>
        <v>0</v>
      </c>
      <c r="F258" t="str">
        <f>F$9 * (0.01013766042888165 -F$8)</f>
        <v>0</v>
      </c>
      <c r="G258" t="str">
        <f>G$9 * (1.910498023033142 -G$8)</f>
        <v>0</v>
      </c>
      <c r="H258" t="str">
        <f>H$9 * (3.506316900253296 -H$8)</f>
        <v>0</v>
      </c>
      <c r="I258" t="str">
        <f>I$9 * (21.1313304901123 -I$8)</f>
        <v>0</v>
      </c>
    </row>
    <row r="259" spans="1:11">
      <c r="A259" t="str">
        <f>A$9 * (62.00052642822266 -A$8)</f>
        <v>0</v>
      </c>
      <c r="B259" t="str">
        <f>B$9 * (62.00052642822266 -B$8)</f>
        <v>0</v>
      </c>
      <c r="C259" t="str">
        <f>C$9 * (62.00052642822266 -C$8)</f>
        <v>0</v>
      </c>
      <c r="D259" t="str">
        <f>D$9 * (62.00052642822266 -D$8)</f>
        <v>0</v>
      </c>
      <c r="F259" t="str">
        <f>F$9 * (0.01013823971152306 -F$8)</f>
        <v>0</v>
      </c>
      <c r="G259" t="str">
        <f>G$9 * (1.910526037216187 -G$8)</f>
        <v>0</v>
      </c>
      <c r="H259" t="str">
        <f>H$9 * (3.506244897842407 -H$8)</f>
        <v>0</v>
      </c>
      <c r="I259" t="str">
        <f>I$9 * (21.13157081604004 -I$8)</f>
        <v>0</v>
      </c>
    </row>
    <row r="260" spans="1:11">
      <c r="A260" t="str">
        <f>A$9 * (62.25055694580078 -A$8)</f>
        <v>0</v>
      </c>
      <c r="B260" t="str">
        <f>B$9 * (62.25055694580078 -B$8)</f>
        <v>0</v>
      </c>
      <c r="C260" t="str">
        <f>C$9 * (62.25055694580078 -C$8)</f>
        <v>0</v>
      </c>
      <c r="D260" t="str">
        <f>D$9 * (62.25055694580078 -D$8)</f>
        <v>0</v>
      </c>
      <c r="F260" t="str">
        <f>F$9 * (0.01013792958110571 -F$8)</f>
        <v>0</v>
      </c>
      <c r="G260" t="str">
        <f>G$9 * (1.910531997680664 -G$8)</f>
        <v>0</v>
      </c>
      <c r="H260" t="str">
        <f>H$9 * (3.506320953369141 -H$8)</f>
        <v>0</v>
      </c>
      <c r="I260" t="str">
        <f>I$9 * (21.13187026977539 -I$8)</f>
        <v>0</v>
      </c>
    </row>
    <row r="261" spans="1:11">
      <c r="A261" t="str">
        <f>A$9 * (62.50058364868164 -A$8)</f>
        <v>0</v>
      </c>
      <c r="B261" t="str">
        <f>B$9 * (62.50058364868164 -B$8)</f>
        <v>0</v>
      </c>
      <c r="C261" t="str">
        <f>C$9 * (62.50058364868164 -C$8)</f>
        <v>0</v>
      </c>
      <c r="D261" t="str">
        <f>D$9 * (62.50058364868164 -D$8)</f>
        <v>0</v>
      </c>
      <c r="F261" t="str">
        <f>F$9 * (0.01013739965856075 -F$8)</f>
        <v>0</v>
      </c>
      <c r="G261" t="str">
        <f>G$9 * (1.910518050193787 -G$8)</f>
        <v>0</v>
      </c>
      <c r="H261" t="str">
        <f>H$9 * (3.506409883499146 -H$8)</f>
        <v>0</v>
      </c>
      <c r="I261" t="str">
        <f>I$9 * (21.13191032409668 -I$8)</f>
        <v>0</v>
      </c>
    </row>
    <row r="262" spans="1:11">
      <c r="A262" t="str">
        <f>A$9 * (62.7506103515625 -A$8)</f>
        <v>0</v>
      </c>
      <c r="B262" t="str">
        <f>B$9 * (62.7506103515625 -B$8)</f>
        <v>0</v>
      </c>
      <c r="C262" t="str">
        <f>C$9 * (62.7506103515625 -C$8)</f>
        <v>0</v>
      </c>
      <c r="D262" t="str">
        <f>D$9 * (62.7506103515625 -D$8)</f>
        <v>0</v>
      </c>
      <c r="F262" t="str">
        <f>F$9 * (0.01013724040240049 -F$8)</f>
        <v>0</v>
      </c>
      <c r="G262" t="str">
        <f>G$9 * (1.910501003265381 -G$8)</f>
        <v>0</v>
      </c>
      <c r="H262" t="str">
        <f>H$9 * (3.50641393661499 -H$8)</f>
        <v>0</v>
      </c>
      <c r="I262" t="str">
        <f>I$9 * (21.13166999816895 -I$8)</f>
        <v>0</v>
      </c>
    </row>
    <row r="263" spans="1:11">
      <c r="A263" t="str">
        <f>A$9 * (63.0006103515625 -A$8)</f>
        <v>0</v>
      </c>
      <c r="B263" t="str">
        <f>B$9 * (63.0006103515625 -B$8)</f>
        <v>0</v>
      </c>
      <c r="C263" t="str">
        <f>C$9 * (63.0006103515625 -C$8)</f>
        <v>0</v>
      </c>
      <c r="D263" t="str">
        <f>D$9 * (63.0006103515625 -D$8)</f>
        <v>0</v>
      </c>
      <c r="F263" t="str">
        <f>F$9 * (0.01013765018433332 -F$8)</f>
        <v>0</v>
      </c>
      <c r="G263" t="str">
        <f>G$9 * (1.910508990287781 -G$8)</f>
        <v>0</v>
      </c>
      <c r="H263" t="str">
        <f>H$9 * (3.506340980529785 -H$8)</f>
        <v>0</v>
      </c>
      <c r="I263" t="str">
        <f>I$9 * (21.1315803527832 -I$8)</f>
        <v>0</v>
      </c>
    </row>
    <row r="264" spans="1:11">
      <c r="A264" t="str">
        <f>A$9 * (63.25063705444336 -A$8)</f>
        <v>0</v>
      </c>
      <c r="B264" t="str">
        <f>B$9 * (63.25063705444336 -B$8)</f>
        <v>0</v>
      </c>
      <c r="C264" t="str">
        <f>C$9 * (63.25063705444336 -C$8)</f>
        <v>0</v>
      </c>
      <c r="D264" t="str">
        <f>D$9 * (63.25063705444336 -D$8)</f>
        <v>0</v>
      </c>
      <c r="F264" t="str">
        <f>F$9 * (0.01013778988271952 -F$8)</f>
        <v>0</v>
      </c>
      <c r="G264" t="str">
        <f>G$9 * (1.910514950752258 -G$8)</f>
        <v>0</v>
      </c>
      <c r="H264" t="str">
        <f>H$9 * (3.506320953369141 -H$8)</f>
        <v>0</v>
      </c>
      <c r="I264" t="str">
        <f>I$9 * (21.13161087036133 -I$8)</f>
        <v>0</v>
      </c>
    </row>
    <row r="265" spans="1:11">
      <c r="A265" t="str">
        <f>A$9 * (63.5 -A$8)</f>
        <v>0</v>
      </c>
      <c r="B265" t="str">
        <f>B$9 * (63.5 -B$8)</f>
        <v>0</v>
      </c>
      <c r="C265" t="str">
        <f>C$9 * (63.5 -C$8)</f>
        <v>0</v>
      </c>
      <c r="D265" t="str">
        <f>D$9 * (63.5 -D$8)</f>
        <v>0</v>
      </c>
      <c r="F265" t="str">
        <f>F$9 * (0.01013734005391598 -F$8)</f>
        <v>0</v>
      </c>
      <c r="G265" t="str">
        <f>G$9 * (1.910509943962097 -G$8)</f>
        <v>0</v>
      </c>
      <c r="H265" t="str">
        <f>H$9 * (3.506407976150513 -H$8)</f>
        <v>0</v>
      </c>
      <c r="I265" t="str">
        <f>I$9 * (21.13176918029785 -I$8)</f>
        <v>0</v>
      </c>
    </row>
    <row r="266" spans="1:11">
      <c r="A266" t="str">
        <f>A$9 * (63.75002670288086 -A$8)</f>
        <v>0</v>
      </c>
      <c r="B266" t="str">
        <f>B$9 * (63.75002670288086 -B$8)</f>
        <v>0</v>
      </c>
      <c r="C266" t="str">
        <f>C$9 * (63.75002670288086 -C$8)</f>
        <v>0</v>
      </c>
      <c r="D266" t="str">
        <f>D$9 * (63.75002670288086 -D$8)</f>
        <v>0</v>
      </c>
      <c r="F266" t="str">
        <f>F$9 * (0.01013721991330385 -F$8)</f>
        <v>0</v>
      </c>
      <c r="G266" t="str">
        <f>G$9 * (1.910516977310181 -G$8)</f>
        <v>0</v>
      </c>
      <c r="H266" t="str">
        <f>H$9 * (3.506447076797485 -H$8)</f>
        <v>0</v>
      </c>
      <c r="I266" t="str">
        <f>I$9 * (21.13199996948242 -I$8)</f>
        <v>0</v>
      </c>
    </row>
    <row r="267" spans="1:11">
      <c r="A267" t="str">
        <f>A$9 * (64.00005340576172 -A$8)</f>
        <v>0</v>
      </c>
      <c r="B267" t="str">
        <f>B$9 * (64.00005340576172 -B$8)</f>
        <v>0</v>
      </c>
      <c r="C267" t="str">
        <f>C$9 * (64.00005340576172 -C$8)</f>
        <v>0</v>
      </c>
      <c r="D267" t="str">
        <f>D$9 * (64.00005340576172 -D$8)</f>
        <v>0</v>
      </c>
      <c r="F267" t="str">
        <f>F$9 * (0.01013781037181616 -F$8)</f>
        <v>0</v>
      </c>
      <c r="G267" t="str">
        <f>G$9 * (1.910526037216187 -G$8)</f>
        <v>0</v>
      </c>
      <c r="H267" t="str">
        <f>H$9 * (3.506335020065308 -H$8)</f>
        <v>0</v>
      </c>
      <c r="I267" t="str">
        <f>I$9 * (21.13180923461914 -I$8)</f>
        <v>0</v>
      </c>
    </row>
    <row r="268" spans="1:11">
      <c r="A268" t="str">
        <f>A$9 * (64.25008392333984 -A$8)</f>
        <v>0</v>
      </c>
      <c r="B268" t="str">
        <f>B$9 * (64.25008392333984 -B$8)</f>
        <v>0</v>
      </c>
      <c r="C268" t="str">
        <f>C$9 * (64.25008392333984 -C$8)</f>
        <v>0</v>
      </c>
      <c r="D268" t="str">
        <f>D$9 * (64.25008392333984 -D$8)</f>
        <v>0</v>
      </c>
      <c r="F268" t="str">
        <f>F$9 * (0.0101380804553628 -F$8)</f>
        <v>0</v>
      </c>
      <c r="G268" t="str">
        <f>G$9 * (1.910529017448425 -G$8)</f>
        <v>0</v>
      </c>
      <c r="H268" t="str">
        <f>H$9 * (3.506280899047852 -H$8)</f>
        <v>0</v>
      </c>
      <c r="I268" t="str">
        <f>I$9 * (21.13167953491211 -I$8)</f>
        <v>0</v>
      </c>
    </row>
    <row r="269" spans="1:11">
      <c r="A269" t="str">
        <f>A$9 * (64.50008392333984 -A$8)</f>
        <v>0</v>
      </c>
      <c r="B269" t="str">
        <f>B$9 * (64.50008392333984 -B$8)</f>
        <v>0</v>
      </c>
      <c r="C269" t="str">
        <f>C$9 * (64.50008392333984 -C$8)</f>
        <v>0</v>
      </c>
      <c r="D269" t="str">
        <f>D$9 * (64.50008392333984 -D$8)</f>
        <v>0</v>
      </c>
      <c r="F269" t="str">
        <f>F$9 * (0.01013758964836597 -F$8)</f>
        <v>0</v>
      </c>
      <c r="G269" t="str">
        <f>G$9 * (1.910545945167542 -G$8)</f>
        <v>0</v>
      </c>
      <c r="H269" t="str">
        <f>H$9 * (3.506419897079468 -H$8)</f>
        <v>0</v>
      </c>
      <c r="I269" t="str">
        <f>I$9 * (21.13235092163086 -I$8)</f>
        <v>0</v>
      </c>
    </row>
    <row r="270" spans="1:11">
      <c r="A270" t="str">
        <f>A$9 * (64.75011444091797 -A$8)</f>
        <v>0</v>
      </c>
      <c r="B270" t="str">
        <f>B$9 * (64.75011444091797 -B$8)</f>
        <v>0</v>
      </c>
      <c r="C270" t="str">
        <f>C$9 * (64.75011444091797 -C$8)</f>
        <v>0</v>
      </c>
      <c r="D270" t="str">
        <f>D$9 * (64.75011444091797 -D$8)</f>
        <v>0</v>
      </c>
      <c r="F270" t="str">
        <f>F$9 * (0.01013666018843651 -F$8)</f>
        <v>0</v>
      </c>
      <c r="G270" t="str">
        <f>G$9 * (1.910516977310181 -G$8)</f>
        <v>0</v>
      </c>
      <c r="H270" t="str">
        <f>H$9 * (3.50656795501709 -H$8)</f>
        <v>0</v>
      </c>
      <c r="I270" t="str">
        <f>I$9 * (21.13232040405273 -I$8)</f>
        <v>0</v>
      </c>
    </row>
    <row r="271" spans="1:11">
      <c r="A271" t="str">
        <f>A$9 * (65.00013732910156 -A$8)</f>
        <v>0</v>
      </c>
      <c r="B271" t="str">
        <f>B$9 * (65.00013732910156 -B$8)</f>
        <v>0</v>
      </c>
      <c r="C271" t="str">
        <f>C$9 * (65.00013732910156 -C$8)</f>
        <v>0</v>
      </c>
      <c r="D271" t="str">
        <f>D$9 * (65.00013732910156 -D$8)</f>
        <v>0</v>
      </c>
      <c r="F271" t="str">
        <f>F$9 * (0.01013765018433332 -F$8)</f>
        <v>0</v>
      </c>
      <c r="G271" t="str">
        <f>G$9 * (1.910508990287781 -G$8)</f>
        <v>0</v>
      </c>
      <c r="H271" t="str">
        <f>H$9 * (3.506339073181152 -H$8)</f>
        <v>0</v>
      </c>
      <c r="I271" t="str">
        <f>I$9 * (21.13154983520508 -I$8)</f>
        <v>0</v>
      </c>
    </row>
    <row r="272" spans="1:11">
      <c r="A272" t="str">
        <f>A$9 * (65.25016784667969 -A$8)</f>
        <v>0</v>
      </c>
      <c r="B272" t="str">
        <f>B$9 * (65.25016784667969 -B$8)</f>
        <v>0</v>
      </c>
      <c r="C272" t="str">
        <f>C$9 * (65.25016784667969 -C$8)</f>
        <v>0</v>
      </c>
      <c r="D272" t="str">
        <f>D$9 * (65.25016784667969 -D$8)</f>
        <v>0</v>
      </c>
      <c r="F272" t="str">
        <f>F$9 * (0.01013822015374899 -F$8)</f>
        <v>0</v>
      </c>
      <c r="G272" t="str">
        <f>G$9 * (1.910549998283386 -G$8)</f>
        <v>0</v>
      </c>
      <c r="H272" t="str">
        <f>H$9 * (3.506288051605225 -H$8)</f>
        <v>0</v>
      </c>
      <c r="I272" t="str">
        <f>I$9 * (21.13202095031738 -I$8)</f>
        <v>0</v>
      </c>
    </row>
    <row r="273" spans="1:11">
      <c r="A273" t="str">
        <f>A$9 * (65.50019073486328 -A$8)</f>
        <v>0</v>
      </c>
      <c r="B273" t="str">
        <f>B$9 * (65.50019073486328 -B$8)</f>
        <v>0</v>
      </c>
      <c r="C273" t="str">
        <f>C$9 * (65.50019073486328 -C$8)</f>
        <v>0</v>
      </c>
      <c r="D273" t="str">
        <f>D$9 * (65.50019073486328 -D$8)</f>
        <v>0</v>
      </c>
      <c r="F273" t="str">
        <f>F$9 * (0.01013724040240049 -F$8)</f>
        <v>0</v>
      </c>
      <c r="G273" t="str">
        <f>G$9 * (1.910529971122742 -G$8)</f>
        <v>0</v>
      </c>
      <c r="H273" t="str">
        <f>H$9 * (3.506463050842285 -H$8)</f>
        <v>0</v>
      </c>
      <c r="I273" t="str">
        <f>I$9 * (21.13220977783203 -I$8)</f>
        <v>0</v>
      </c>
    </row>
    <row r="274" spans="1:11">
      <c r="A274" t="str">
        <f>A$9 * (65.75019073486328 -A$8)</f>
        <v>0</v>
      </c>
      <c r="B274" t="str">
        <f>B$9 * (65.75019073486328 -B$8)</f>
        <v>0</v>
      </c>
      <c r="C274" t="str">
        <f>C$9 * (65.75019073486328 -C$8)</f>
        <v>0</v>
      </c>
      <c r="D274" t="str">
        <f>D$9 * (65.75019073486328 -D$8)</f>
        <v>0</v>
      </c>
      <c r="F274" t="str">
        <f>F$9 * (0.01013655960559845 -F$8)</f>
        <v>0</v>
      </c>
      <c r="G274" t="str">
        <f>G$9 * (1.910493969917297 -G$8)</f>
        <v>0</v>
      </c>
      <c r="H274" t="str">
        <f>H$9 * (3.506546974182129 -H$8)</f>
        <v>0</v>
      </c>
      <c r="I274" t="str">
        <f>I$9 * (21.13190078735352 -I$8)</f>
        <v>0</v>
      </c>
    </row>
    <row r="275" spans="1:11">
      <c r="A275" t="str">
        <f>A$9 * (66.00022125244141 -A$8)</f>
        <v>0</v>
      </c>
      <c r="B275" t="str">
        <f>B$9 * (66.00022125244141 -B$8)</f>
        <v>0</v>
      </c>
      <c r="C275" t="str">
        <f>C$9 * (66.00022125244141 -C$8)</f>
        <v>0</v>
      </c>
      <c r="D275" t="str">
        <f>D$9 * (66.00022125244141 -D$8)</f>
        <v>0</v>
      </c>
      <c r="F275" t="str">
        <f>F$9 * (0.01013724971562624 -F$8)</f>
        <v>0</v>
      </c>
      <c r="G275" t="str">
        <f>G$9 * (1.910488963127136 -G$8)</f>
        <v>0</v>
      </c>
      <c r="H275" t="str">
        <f>H$9 * (3.506387948989868 -H$8)</f>
        <v>0</v>
      </c>
      <c r="I275" t="str">
        <f>I$9 * (21.13137054443359 -I$8)</f>
        <v>0</v>
      </c>
    </row>
    <row r="276" spans="1:11">
      <c r="A276" t="str">
        <f>A$9 * (66.25025177001953 -A$8)</f>
        <v>0</v>
      </c>
      <c r="B276" t="str">
        <f>B$9 * (66.25025177001953 -B$8)</f>
        <v>0</v>
      </c>
      <c r="C276" t="str">
        <f>C$9 * (66.25025177001953 -C$8)</f>
        <v>0</v>
      </c>
      <c r="D276" t="str">
        <f>D$9 * (66.25025177001953 -D$8)</f>
        <v>0</v>
      </c>
      <c r="F276" t="str">
        <f>F$9 * (0.01013773959130049 -F$8)</f>
        <v>0</v>
      </c>
      <c r="G276" t="str">
        <f>G$9 * (1.910518050193787 -G$8)</f>
        <v>0</v>
      </c>
      <c r="H276" t="str">
        <f>H$9 * (3.506334066390991 -H$8)</f>
        <v>0</v>
      </c>
      <c r="I276" t="str">
        <f>I$9 * (21.13163948059082 -I$8)</f>
        <v>0</v>
      </c>
    </row>
    <row r="277" spans="1:11">
      <c r="A277" t="str">
        <f>A$9 * (66.50027465820312 -A$8)</f>
        <v>0</v>
      </c>
      <c r="B277" t="str">
        <f>B$9 * (66.50027465820312 -B$8)</f>
        <v>0</v>
      </c>
      <c r="C277" t="str">
        <f>C$9 * (66.50027465820312 -C$8)</f>
        <v>0</v>
      </c>
      <c r="D277" t="str">
        <f>D$9 * (66.50027465820312 -D$8)</f>
        <v>0</v>
      </c>
      <c r="F277" t="str">
        <f>F$9 * (0.01013750955462456 -F$8)</f>
        <v>0</v>
      </c>
      <c r="G277" t="str">
        <f>G$9 * (1.910544991493225 -G$8)</f>
        <v>0</v>
      </c>
      <c r="H277" t="str">
        <f>H$9 * (3.506431102752686 -H$8)</f>
        <v>0</v>
      </c>
      <c r="I277" t="str">
        <f>I$9 * (21.1323299407959 -I$8)</f>
        <v>0</v>
      </c>
    </row>
    <row r="278" spans="1:11">
      <c r="A278" t="str">
        <f>A$9 * (66.75030517578125 -A$8)</f>
        <v>0</v>
      </c>
      <c r="B278" t="str">
        <f>B$9 * (66.75030517578125 -B$8)</f>
        <v>0</v>
      </c>
      <c r="C278" t="str">
        <f>C$9 * (66.75030517578125 -C$8)</f>
        <v>0</v>
      </c>
      <c r="D278" t="str">
        <f>D$9 * (66.75030517578125 -D$8)</f>
        <v>0</v>
      </c>
      <c r="F278" t="str">
        <f>F$9 * (0.01013723015785217 -F$8)</f>
        <v>0</v>
      </c>
      <c r="G278" t="str">
        <f>G$9 * (1.910501003265381 -G$8)</f>
        <v>0</v>
      </c>
      <c r="H278" t="str">
        <f>H$9 * (3.506412982940674 -H$8)</f>
        <v>0</v>
      </c>
      <c r="I278" t="str">
        <f>I$9 * (21.13158988952637 -I$8)</f>
        <v>0</v>
      </c>
    </row>
    <row r="279" spans="1:11">
      <c r="A279" t="str">
        <f>A$9 * (67.00030517578125 -A$8)</f>
        <v>0</v>
      </c>
      <c r="B279" t="str">
        <f>B$9 * (67.00030517578125 -B$8)</f>
        <v>0</v>
      </c>
      <c r="C279" t="str">
        <f>C$9 * (67.00030517578125 -C$8)</f>
        <v>0</v>
      </c>
      <c r="D279" t="str">
        <f>D$9 * (67.00030517578125 -D$8)</f>
        <v>0</v>
      </c>
      <c r="F279" t="str">
        <f>F$9 * (0.01013730000704527 -F$8)</f>
        <v>0</v>
      </c>
      <c r="G279" t="str">
        <f>G$9 * (1.910500049591064 -G$8)</f>
        <v>0</v>
      </c>
      <c r="H279" t="str">
        <f>H$9 * (3.506396055221558 -H$8)</f>
        <v>0</v>
      </c>
      <c r="I279" t="str">
        <f>I$9 * (21.13153076171875 -I$8)</f>
        <v>0</v>
      </c>
    </row>
    <row r="280" spans="1:11">
      <c r="A280" t="str">
        <f>A$9 * (67.25033569335938 -A$8)</f>
        <v>0</v>
      </c>
      <c r="B280" t="str">
        <f>B$9 * (67.25033569335938 -B$8)</f>
        <v>0</v>
      </c>
      <c r="C280" t="str">
        <f>C$9 * (67.25033569335938 -C$8)</f>
        <v>0</v>
      </c>
      <c r="D280" t="str">
        <f>D$9 * (67.25033569335938 -D$8)</f>
        <v>0</v>
      </c>
      <c r="F280" t="str">
        <f>F$9 * (0.01013731025159359 -F$8)</f>
        <v>0</v>
      </c>
      <c r="G280" t="str">
        <f>G$9 * (1.910513043403625 -G$8)</f>
        <v>0</v>
      </c>
      <c r="H280" t="str">
        <f>H$9 * (3.506416082382202 -H$8)</f>
        <v>0</v>
      </c>
      <c r="I280" t="str">
        <f>I$9 * (21.13176918029785 -I$8)</f>
        <v>0</v>
      </c>
    </row>
    <row r="281" spans="1:11">
      <c r="A281" t="str">
        <f>A$9 * (67.50035858154297 -A$8)</f>
        <v>0</v>
      </c>
      <c r="B281" t="str">
        <f>B$9 * (67.50035858154297 -B$8)</f>
        <v>0</v>
      </c>
      <c r="C281" t="str">
        <f>C$9 * (67.50035858154297 -C$8)</f>
        <v>0</v>
      </c>
      <c r="D281" t="str">
        <f>D$9 * (67.50035858154297 -D$8)</f>
        <v>0</v>
      </c>
      <c r="F281" t="str">
        <f>F$9 * (0.01013648975640535 -F$8)</f>
        <v>0</v>
      </c>
      <c r="G281" t="str">
        <f>G$9 * (1.910493969917297 -G$8)</f>
        <v>0</v>
      </c>
      <c r="H281" t="str">
        <f>H$9 * (3.506562948226929 -H$8)</f>
        <v>0</v>
      </c>
      <c r="I281" t="str">
        <f>I$9 * (21.13192939758301 -I$8)</f>
        <v>0</v>
      </c>
    </row>
    <row r="282" spans="1:11">
      <c r="A282" t="str">
        <f>A$9 * (67.75038909912109 -A$8)</f>
        <v>0</v>
      </c>
      <c r="B282" t="str">
        <f>B$9 * (67.75038909912109 -B$8)</f>
        <v>0</v>
      </c>
      <c r="C282" t="str">
        <f>C$9 * (67.75038909912109 -C$8)</f>
        <v>0</v>
      </c>
      <c r="D282" t="str">
        <f>D$9 * (67.75038909912109 -D$8)</f>
        <v>0</v>
      </c>
      <c r="F282" t="str">
        <f>F$9 * (0.01013769954442978 -F$8)</f>
        <v>0</v>
      </c>
      <c r="G282" t="str">
        <f>G$9 * (1.910519003868103 -G$8)</f>
        <v>0</v>
      </c>
      <c r="H282" t="str">
        <f>H$9 * (3.506344079971313 -H$8)</f>
        <v>0</v>
      </c>
      <c r="I282" t="str">
        <f>I$9 * (21.13166999816895 -I$8)</f>
        <v>0</v>
      </c>
    </row>
    <row r="283" spans="1:11">
      <c r="A283" t="str">
        <f>A$9 * (68.00038909912109 -A$8)</f>
        <v>0</v>
      </c>
      <c r="B283" t="str">
        <f>B$9 * (68.00038909912109 -B$8)</f>
        <v>0</v>
      </c>
      <c r="C283" t="str">
        <f>C$9 * (68.00038909912109 -C$8)</f>
        <v>0</v>
      </c>
      <c r="D283" t="str">
        <f>D$9 * (68.00038909912109 -D$8)</f>
        <v>0</v>
      </c>
      <c r="F283" t="str">
        <f>F$9 * (0.01013933029025793 -F$8)</f>
        <v>0</v>
      </c>
      <c r="G283" t="str">
        <f>G$9 * (1.910568952560425 -G$8)</f>
        <v>0</v>
      </c>
      <c r="H283" t="str">
        <f>H$9 * (3.506083011627197 -H$8)</f>
        <v>0</v>
      </c>
      <c r="I283" t="str">
        <f>I$9 * (21.13170051574707 -I$8)</f>
        <v>0</v>
      </c>
    </row>
    <row r="284" spans="1:11">
      <c r="A284" t="str">
        <f>A$9 * (68.25041961669922 -A$8)</f>
        <v>0</v>
      </c>
      <c r="B284" t="str">
        <f>B$9 * (68.25041961669922 -B$8)</f>
        <v>0</v>
      </c>
      <c r="C284" t="str">
        <f>C$9 * (68.25041961669922 -C$8)</f>
        <v>0</v>
      </c>
      <c r="D284" t="str">
        <f>D$9 * (68.25041961669922 -D$8)</f>
        <v>0</v>
      </c>
      <c r="F284" t="str">
        <f>F$9 * (0.01013667043298483 -F$8)</f>
        <v>0</v>
      </c>
      <c r="G284" t="str">
        <f>G$9 * (1.91056501865387 -G$8)</f>
        <v>0</v>
      </c>
      <c r="H284" t="str">
        <f>H$9 * (3.506648063659668 -H$8)</f>
        <v>0</v>
      </c>
      <c r="I284" t="str">
        <f>I$9 * (21.13323974609375 -I$8)</f>
        <v>0</v>
      </c>
    </row>
    <row r="285" spans="1:11">
      <c r="A285" t="str">
        <f>A$9 * (68.50044250488281 -A$8)</f>
        <v>0</v>
      </c>
      <c r="B285" t="str">
        <f>B$9 * (68.50044250488281 -B$8)</f>
        <v>0</v>
      </c>
      <c r="C285" t="str">
        <f>C$9 * (68.50044250488281 -C$8)</f>
        <v>0</v>
      </c>
      <c r="D285" t="str">
        <f>D$9 * (68.50044250488281 -D$8)</f>
        <v>0</v>
      </c>
      <c r="F285" t="str">
        <f>F$9 * (0.01013663969933987 -F$8)</f>
        <v>0</v>
      </c>
      <c r="G285" t="str">
        <f>G$9 * (1.910523056983948 -G$8)</f>
        <v>0</v>
      </c>
      <c r="H285" t="str">
        <f>H$9 * (3.506582975387573 -H$8)</f>
        <v>0</v>
      </c>
      <c r="I285" t="str">
        <f>I$9 * (21.13245010375977 -I$8)</f>
        <v>0</v>
      </c>
    </row>
    <row r="286" spans="1:11">
      <c r="A286" t="str">
        <f>A$9 * (68.75047302246094 -A$8)</f>
        <v>0</v>
      </c>
      <c r="B286" t="str">
        <f>B$9 * (68.75047302246094 -B$8)</f>
        <v>0</v>
      </c>
      <c r="C286" t="str">
        <f>C$9 * (68.75047302246094 -C$8)</f>
        <v>0</v>
      </c>
      <c r="D286" t="str">
        <f>D$9 * (68.75047302246094 -D$8)</f>
        <v>0</v>
      </c>
      <c r="F286" t="str">
        <f>F$9 * (0.01013868022710085 -F$8)</f>
        <v>0</v>
      </c>
      <c r="G286" t="str">
        <f>G$9 * (1.910555005073547 -G$8)</f>
        <v>0</v>
      </c>
      <c r="H286" t="str">
        <f>H$9 * (3.506197929382324 -H$8)</f>
        <v>0</v>
      </c>
      <c r="I286" t="str">
        <f>I$9 * (21.13183975219727 -I$8)</f>
        <v>0</v>
      </c>
    </row>
    <row r="287" spans="1:11">
      <c r="A287" t="str">
        <f>A$9 * (69.00050354003906 -A$8)</f>
        <v>0</v>
      </c>
      <c r="B287" t="str">
        <f>B$9 * (69.00050354003906 -B$8)</f>
        <v>0</v>
      </c>
      <c r="C287" t="str">
        <f>C$9 * (69.00050354003906 -C$8)</f>
        <v>0</v>
      </c>
      <c r="D287" t="str">
        <f>D$9 * (69.00050354003906 -D$8)</f>
        <v>0</v>
      </c>
      <c r="F287" t="str">
        <f>F$9 * (0.01013804040849209 -F$8)</f>
        <v>0</v>
      </c>
      <c r="G287" t="str">
        <f>G$9 * (1.910575032234192 -G$8)</f>
        <v>0</v>
      </c>
      <c r="H287" t="str">
        <f>H$9 * (3.506369113922119 -H$8)</f>
        <v>0</v>
      </c>
      <c r="I287" t="str">
        <f>I$9 * (21.13261985778809 -I$8)</f>
        <v>0</v>
      </c>
    </row>
    <row r="288" spans="1:11">
      <c r="A288" t="str">
        <f>A$9 * (69.25050354003906 -A$8)</f>
        <v>0</v>
      </c>
      <c r="B288" t="str">
        <f>B$9 * (69.25050354003906 -B$8)</f>
        <v>0</v>
      </c>
      <c r="C288" t="str">
        <f>C$9 * (69.25050354003906 -C$8)</f>
        <v>0</v>
      </c>
      <c r="D288" t="str">
        <f>D$9 * (69.25050354003906 -D$8)</f>
        <v>0</v>
      </c>
      <c r="F288" t="str">
        <f>F$9 * (0.01013644970953465 -F$8)</f>
        <v>0</v>
      </c>
      <c r="G288" t="str">
        <f>G$9 * (1.910542011260986 -G$8)</f>
        <v>0</v>
      </c>
      <c r="H288" t="str">
        <f>H$9 * (3.506655931472778 -H$8)</f>
        <v>0</v>
      </c>
      <c r="I288" t="str">
        <f>I$9 * (21.13291931152344 -I$8)</f>
        <v>0</v>
      </c>
    </row>
    <row r="289" spans="1:11">
      <c r="A289" t="str">
        <f>A$9 * (69.50052642822266 -A$8)</f>
        <v>0</v>
      </c>
      <c r="B289" t="str">
        <f>B$9 * (69.50052642822266 -B$8)</f>
        <v>0</v>
      </c>
      <c r="C289" t="str">
        <f>C$9 * (69.50052642822266 -C$8)</f>
        <v>0</v>
      </c>
      <c r="D289" t="str">
        <f>D$9 * (69.50052642822266 -D$8)</f>
        <v>0</v>
      </c>
      <c r="F289" t="str">
        <f>F$9 * (0.01013692002743483 -F$8)</f>
        <v>0</v>
      </c>
      <c r="G289" t="str">
        <f>G$9 * (1.910519003868103 -G$8)</f>
        <v>0</v>
      </c>
      <c r="H289" t="str">
        <f>H$9 * (3.506514072418213 -H$8)</f>
        <v>0</v>
      </c>
      <c r="I289" t="str">
        <f>I$9 * (21.1321907043457 -I$8)</f>
        <v>0</v>
      </c>
    </row>
    <row r="290" spans="1:11">
      <c r="A290" t="str">
        <f>A$9 * (69.75055694580078 -A$8)</f>
        <v>0</v>
      </c>
      <c r="B290" t="str">
        <f>B$9 * (69.75055694580078 -B$8)</f>
        <v>0</v>
      </c>
      <c r="C290" t="str">
        <f>C$9 * (69.75055694580078 -C$8)</f>
        <v>0</v>
      </c>
      <c r="D290" t="str">
        <f>D$9 * (69.75055694580078 -D$8)</f>
        <v>0</v>
      </c>
      <c r="F290" t="str">
        <f>F$9 * (0.01013853028416634 -F$8)</f>
        <v>0</v>
      </c>
      <c r="G290" t="str">
        <f>G$9 * (1.910545945167542 -G$8)</f>
        <v>0</v>
      </c>
      <c r="H290" t="str">
        <f>H$9 * (3.506212949752808 -H$8)</f>
        <v>0</v>
      </c>
      <c r="I290" t="str">
        <f>I$9 * (21.13172912597656 -I$8)</f>
        <v>0</v>
      </c>
    </row>
    <row r="291" spans="1:11">
      <c r="A291" t="str">
        <f>A$9 * (70.00057983398438 -A$8)</f>
        <v>0</v>
      </c>
      <c r="B291" t="str">
        <f>B$9 * (70.00057983398438 -B$8)</f>
        <v>0</v>
      </c>
      <c r="C291" t="str">
        <f>C$9 * (70.00057983398438 -C$8)</f>
        <v>0</v>
      </c>
      <c r="D291" t="str">
        <f>D$9 * (70.00057983398438 -D$8)</f>
        <v>0</v>
      </c>
      <c r="F291" t="str">
        <f>F$9 * (0.01013754960149527 -F$8)</f>
        <v>0</v>
      </c>
      <c r="G291" t="str">
        <f>G$9 * (1.910557985305786 -G$8)</f>
        <v>0</v>
      </c>
      <c r="H291" t="str">
        <f>H$9 * (3.506447076797485 -H$8)</f>
        <v>0</v>
      </c>
      <c r="I291" t="str">
        <f>I$9 * (21.13257026672363 -I$8)</f>
        <v>0</v>
      </c>
    </row>
    <row r="292" spans="1:11">
      <c r="A292" t="str">
        <f>A$9 * (70.2506103515625 -A$8)</f>
        <v>0</v>
      </c>
      <c r="B292" t="str">
        <f>B$9 * (70.2506103515625 -B$8)</f>
        <v>0</v>
      </c>
      <c r="C292" t="str">
        <f>C$9 * (70.2506103515625 -C$8)</f>
        <v>0</v>
      </c>
      <c r="D292" t="str">
        <f>D$9 * (70.2506103515625 -D$8)</f>
        <v>0</v>
      </c>
      <c r="F292" t="str">
        <f>F$9 * (0.01013621035963297 -F$8)</f>
        <v>0</v>
      </c>
      <c r="G292" t="str">
        <f>G$9 * (1.910526037216187 -G$8)</f>
        <v>0</v>
      </c>
      <c r="H292" t="str">
        <f>H$9 * (3.506680011749268 -H$8)</f>
        <v>0</v>
      </c>
      <c r="I292" t="str">
        <f>I$9 * (21.13274002075195 -I$8)</f>
        <v>0</v>
      </c>
    </row>
    <row r="293" spans="1:11">
      <c r="A293" t="str">
        <f>A$9 * (70.5006103515625 -A$8)</f>
        <v>0</v>
      </c>
      <c r="B293" t="str">
        <f>B$9 * (70.5006103515625 -B$8)</f>
        <v>0</v>
      </c>
      <c r="C293" t="str">
        <f>C$9 * (70.5006103515625 -C$8)</f>
        <v>0</v>
      </c>
      <c r="D293" t="str">
        <f>D$9 * (70.5006103515625 -D$8)</f>
        <v>0</v>
      </c>
      <c r="F293" t="str">
        <f>F$9 * (0.01013719011098146 -F$8)</f>
        <v>0</v>
      </c>
      <c r="G293" t="str">
        <f>G$9 * (1.910501956939697 -G$8)</f>
        <v>0</v>
      </c>
      <c r="H293" t="str">
        <f>H$9 * (3.506424903869629 -H$8)</f>
        <v>0</v>
      </c>
      <c r="I293" t="str">
        <f>I$9 * (21.13165092468262 -I$8)</f>
        <v>0</v>
      </c>
    </row>
    <row r="294" spans="1:11">
      <c r="A294" t="str">
        <f>A$9 * (70.75064086914062 -A$8)</f>
        <v>0</v>
      </c>
      <c r="B294" t="str">
        <f>B$9 * (70.75064086914062 -B$8)</f>
        <v>0</v>
      </c>
      <c r="C294" t="str">
        <f>C$9 * (70.75064086914062 -C$8)</f>
        <v>0</v>
      </c>
      <c r="D294" t="str">
        <f>D$9 * (70.75064086914062 -D$8)</f>
        <v>0</v>
      </c>
      <c r="F294" t="str">
        <f>F$9 * (0.01013857033103704 -F$8)</f>
        <v>0</v>
      </c>
      <c r="G294" t="str">
        <f>G$9 * (1.910554051399231 -G$8)</f>
        <v>0</v>
      </c>
      <c r="H294" t="str">
        <f>H$9 * (3.506216049194336 -H$8)</f>
        <v>0</v>
      </c>
      <c r="I294" t="str">
        <f>I$9 * (21.1318302154541 -I$8)</f>
        <v>0</v>
      </c>
    </row>
    <row r="295" spans="1:11">
      <c r="A295" t="str">
        <f>A$9 * (71 -A$8)</f>
        <v>0</v>
      </c>
      <c r="B295" t="str">
        <f>B$9 * (71 -B$8)</f>
        <v>0</v>
      </c>
      <c r="C295" t="str">
        <f>C$9 * (71 -C$8)</f>
        <v>0</v>
      </c>
      <c r="D295" t="str">
        <f>D$9 * (71 -D$8)</f>
        <v>0</v>
      </c>
      <c r="F295" t="str">
        <f>F$9 * (0.01013734005391598 -F$8)</f>
        <v>0</v>
      </c>
      <c r="G295" t="str">
        <f>G$9 * (1.910560011863708 -G$8)</f>
        <v>0</v>
      </c>
      <c r="H295" t="str">
        <f>H$9 * (3.506493091583252 -H$8)</f>
        <v>0</v>
      </c>
      <c r="I295" t="str">
        <f>I$9 * (21.13270950317383 -I$8)</f>
        <v>0</v>
      </c>
    </row>
    <row r="296" spans="1:11">
      <c r="A296" t="str">
        <f>A$9 * (71.25003051757812 -A$8)</f>
        <v>0</v>
      </c>
      <c r="B296" t="str">
        <f>B$9 * (71.25003051757812 -B$8)</f>
        <v>0</v>
      </c>
      <c r="C296" t="str">
        <f>C$9 * (71.25003051757812 -C$8)</f>
        <v>0</v>
      </c>
      <c r="D296" t="str">
        <f>D$9 * (71.25003051757812 -D$8)</f>
        <v>0</v>
      </c>
      <c r="F296" t="str">
        <f>F$9 * (0.01013616006821394 -F$8)</f>
        <v>0</v>
      </c>
      <c r="G296" t="str">
        <f>G$9 * (1.910519957542419 -G$8)</f>
        <v>0</v>
      </c>
      <c r="H296" t="str">
        <f>H$9 * (3.506678104400635 -H$8)</f>
        <v>0</v>
      </c>
      <c r="I296" t="str">
        <f>I$9 * (21.13262939453125 -I$8)</f>
        <v>0</v>
      </c>
    </row>
    <row r="297" spans="1:11">
      <c r="A297" t="str">
        <f>A$9 * (71.50005340576172 -A$8)</f>
        <v>0</v>
      </c>
      <c r="B297" t="str">
        <f>B$9 * (71.50005340576172 -B$8)</f>
        <v>0</v>
      </c>
      <c r="C297" t="str">
        <f>C$9 * (71.50005340576172 -C$8)</f>
        <v>0</v>
      </c>
      <c r="D297" t="str">
        <f>D$9 * (71.50005340576172 -D$8)</f>
        <v>0</v>
      </c>
      <c r="F297" t="str">
        <f>F$9 * (0.0101378196850419 -F$8)</f>
        <v>0</v>
      </c>
      <c r="G297" t="str">
        <f>G$9 * (1.910513997077942 -G$8)</f>
        <v>0</v>
      </c>
      <c r="H297" t="str">
        <f>H$9 * (3.506310939788818 -H$8)</f>
        <v>0</v>
      </c>
      <c r="I297" t="str">
        <f>I$9 * (21.13150024414062 -I$8)</f>
        <v>0</v>
      </c>
    </row>
    <row r="298" spans="1:11">
      <c r="A298" t="str">
        <f>A$9 * (71.75008392333984 -A$8)</f>
        <v>0</v>
      </c>
      <c r="B298" t="str">
        <f>B$9 * (71.75008392333984 -B$8)</f>
        <v>0</v>
      </c>
      <c r="C298" t="str">
        <f>C$9 * (71.75008392333984 -C$8)</f>
        <v>0</v>
      </c>
      <c r="D298" t="str">
        <f>D$9 * (71.75008392333984 -D$8)</f>
        <v>0</v>
      </c>
      <c r="F298" t="str">
        <f>F$9 * (0.01013811957091093 -F$8)</f>
        <v>0</v>
      </c>
      <c r="G298" t="str">
        <f>G$9 * (1.910557985305786 -G$8)</f>
        <v>0</v>
      </c>
      <c r="H298" t="str">
        <f>H$9 * (3.506321907043457 -H$8)</f>
        <v>0</v>
      </c>
      <c r="I298" t="str">
        <f>I$9 * (21.13220024108887 -I$8)</f>
        <v>0</v>
      </c>
    </row>
    <row r="299" spans="1:11">
      <c r="A299" t="str">
        <f>A$9 * (72.00008392333984 -A$8)</f>
        <v>0</v>
      </c>
      <c r="B299" t="str">
        <f>B$9 * (72.00008392333984 -B$8)</f>
        <v>0</v>
      </c>
      <c r="C299" t="str">
        <f>C$9 * (72.00008392333984 -C$8)</f>
        <v>0</v>
      </c>
      <c r="D299" t="str">
        <f>D$9 * (72.00008392333984 -D$8)</f>
        <v>0</v>
      </c>
      <c r="F299" t="str">
        <f>F$9 * (0.01013727020472288 -F$8)</f>
        <v>0</v>
      </c>
      <c r="G299" t="str">
        <f>G$9 * (1.910560011863708 -G$8)</f>
        <v>0</v>
      </c>
      <c r="H299" t="str">
        <f>H$9 * (3.506509065628052 -H$8)</f>
        <v>0</v>
      </c>
      <c r="I299" t="str">
        <f>I$9 * (21.13274955749512 -I$8)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9"/>
  <sheetViews>
    <sheetView tabSelected="1" workbookViewId="0" showGridLines="true" showRowColHeaders="1">
      <selection activeCell="I10" sqref="I10"/>
    </sheetView>
  </sheetViews>
  <sheetFormatPr defaultRowHeight="14.4" outlineLevelRow="0" outlineLevelCol="0"/>
  <sheetData>
    <row r="1" spans="1:11">
      <c r="A1" s="2" t="s">
        <v>10</v>
      </c>
      <c r="B1" s="2" t="s">
        <v>10</v>
      </c>
      <c r="C1" s="2" t="s">
        <v>10</v>
      </c>
      <c r="D1" s="2" t="s">
        <v>10</v>
      </c>
      <c r="E1" s="1"/>
      <c r="F1" s="2" t="s">
        <v>11</v>
      </c>
      <c r="G1" s="2" t="s">
        <v>12</v>
      </c>
      <c r="H1" s="2" t="s">
        <v>12</v>
      </c>
      <c r="I1" s="2" t="s">
        <v>13</v>
      </c>
    </row>
    <row r="2" spans="1:11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tr">
        <f>'Legends'!B2</f>
        <v>0</v>
      </c>
      <c r="G2" s="1" t="str">
        <f>'Legends'!B3</f>
        <v>0</v>
      </c>
      <c r="H2" s="1" t="str">
        <f>'Legends'!B4</f>
        <v>0</v>
      </c>
      <c r="I2" s="1" t="str">
        <f>'Legends'!B5</f>
        <v>0</v>
      </c>
      <c r="K2" s="3" t="s">
        <v>28</v>
      </c>
    </row>
    <row r="3" spans="1:11">
      <c r="A3" t="str">
        <f>MIN($A$11:$A$299)</f>
        <v>0</v>
      </c>
      <c r="B3" t="str">
        <f>MIN($B$11:$B$299)</f>
        <v>0</v>
      </c>
      <c r="C3" t="str">
        <f>MIN($C$11:$C$299)</f>
        <v>0</v>
      </c>
      <c r="D3" t="str">
        <f>MIN($D$11:$D$299)</f>
        <v>0</v>
      </c>
      <c r="E3" s="1" t="s">
        <v>19</v>
      </c>
      <c r="F3" t="str">
        <f>MIN($F$11:$F$299)</f>
        <v>0</v>
      </c>
      <c r="G3" t="str">
        <f>MIN($G$11:$G$299)</f>
        <v>0</v>
      </c>
      <c r="H3" t="str">
        <f>MIN($H$11:$H$299)</f>
        <v>0</v>
      </c>
      <c r="I3" t="str">
        <f>MIN($I$11:$I$299)</f>
        <v>0</v>
      </c>
    </row>
    <row r="4" spans="1:11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t="str">
        <f>MEDIAN($D$11:$D$299)</f>
        <v>0</v>
      </c>
      <c r="E4" s="1" t="s">
        <v>20</v>
      </c>
      <c r="F4" t="str">
        <f>MEDIAN($F$11:$F$299)</f>
        <v>0</v>
      </c>
      <c r="G4" t="str">
        <f>MEDIAN($G$11:$G$299)</f>
        <v>0</v>
      </c>
      <c r="H4" t="str">
        <f>MEDIAN($H$11:$H$299)</f>
        <v>0</v>
      </c>
      <c r="I4" t="str">
        <f>MEDIAN($I$11:$I$299)</f>
        <v>0</v>
      </c>
    </row>
    <row r="5" spans="1:11">
      <c r="A5" t="str">
        <f>MAX($A$11:$A$299)</f>
        <v>0</v>
      </c>
      <c r="B5" t="str">
        <f>MAX($B$11:$B$299)</f>
        <v>0</v>
      </c>
      <c r="C5" t="str">
        <f>MAX($C$11:$C$299)</f>
        <v>0</v>
      </c>
      <c r="D5" t="str">
        <f>MAX($D$11:$D$299)</f>
        <v>0</v>
      </c>
      <c r="E5" s="1" t="s">
        <v>21</v>
      </c>
      <c r="F5" t="str">
        <f>MAX($F$11:$F$299)</f>
        <v>0</v>
      </c>
      <c r="G5" t="str">
        <f>MAX($G$11:$G$299)</f>
        <v>0</v>
      </c>
      <c r="H5" t="str">
        <f>MAX($H$11:$H$299)</f>
        <v>0</v>
      </c>
      <c r="I5" t="str">
        <f>MAX($I$11:$I$299)</f>
        <v>0</v>
      </c>
    </row>
    <row r="6" spans="1:11">
      <c r="A6" t="str">
        <f>$A5-$A3</f>
        <v>0</v>
      </c>
      <c r="B6" t="str">
        <f>$B5-$B3</f>
        <v>0</v>
      </c>
      <c r="C6" t="str">
        <f>$C5-$C3</f>
        <v>0</v>
      </c>
      <c r="D6" t="str">
        <f>$D5-$D3</f>
        <v>0</v>
      </c>
      <c r="E6" s="1" t="s">
        <v>22</v>
      </c>
      <c r="F6" t="str">
        <f>$F5-$F3</f>
        <v>0</v>
      </c>
      <c r="G6" t="str">
        <f>$G5-$G3</f>
        <v>0</v>
      </c>
      <c r="H6" t="str">
        <f>$H5-$H3</f>
        <v>0</v>
      </c>
      <c r="I6" t="str">
        <f>$I5-$I3</f>
        <v>0</v>
      </c>
    </row>
    <row r="7" spans="1:11">
      <c r="A7" s="2" t="s">
        <v>10</v>
      </c>
      <c r="B7" s="2" t="s">
        <v>10</v>
      </c>
      <c r="C7" s="2" t="s">
        <v>10</v>
      </c>
      <c r="D7" s="2" t="s">
        <v>10</v>
      </c>
      <c r="E7" s="1"/>
      <c r="F7" s="2" t="s">
        <v>11</v>
      </c>
      <c r="G7" s="2" t="s">
        <v>12</v>
      </c>
      <c r="H7" s="2" t="s">
        <v>12</v>
      </c>
      <c r="I7" s="2" t="s">
        <v>13</v>
      </c>
    </row>
    <row r="8" spans="1:11">
      <c r="A8">
        <v>0</v>
      </c>
      <c r="B8">
        <v>0</v>
      </c>
      <c r="C8">
        <v>0</v>
      </c>
      <c r="D8">
        <v>0</v>
      </c>
      <c r="E8" s="1" t="s">
        <v>23</v>
      </c>
      <c r="F8">
        <v>0</v>
      </c>
      <c r="G8">
        <v>0</v>
      </c>
      <c r="H8">
        <v>0</v>
      </c>
      <c r="I8">
        <v>0</v>
      </c>
    </row>
    <row r="9" spans="1:11">
      <c r="A9">
        <v>1</v>
      </c>
      <c r="B9">
        <v>1</v>
      </c>
      <c r="C9">
        <v>1</v>
      </c>
      <c r="D9">
        <v>1</v>
      </c>
      <c r="E9" s="1" t="s">
        <v>24</v>
      </c>
      <c r="F9">
        <v>1</v>
      </c>
      <c r="G9">
        <v>1</v>
      </c>
      <c r="H9">
        <v>1</v>
      </c>
      <c r="I9">
        <v>1</v>
      </c>
    </row>
    <row r="10" spans="1:11">
      <c r="A10" s="1" t="s">
        <v>14</v>
      </c>
      <c r="B10" s="1" t="s">
        <v>15</v>
      </c>
      <c r="C10" s="1" t="s">
        <v>16</v>
      </c>
      <c r="D10" s="1" t="s">
        <v>17</v>
      </c>
      <c r="E10" s="1"/>
      <c r="F10" s="1" t="str">
        <f>'Legends'!B2</f>
        <v>0</v>
      </c>
      <c r="G10" s="1" t="str">
        <f>'Legends'!B3</f>
        <v>0</v>
      </c>
      <c r="H10" s="1" t="str">
        <f>'Legends'!B4</f>
        <v>0</v>
      </c>
      <c r="I10" s="1" t="str">
        <f>'Legends'!B5</f>
        <v>0</v>
      </c>
    </row>
    <row r="11" spans="1:11">
      <c r="A11" t="str">
        <f>A$9 * (0 -A$8)</f>
        <v>0</v>
      </c>
      <c r="B11" t="str">
        <f>B$9 * (0 -B$8)</f>
        <v>0</v>
      </c>
      <c r="C11" t="str">
        <f>C$9 * (0 -C$8)</f>
        <v>0</v>
      </c>
      <c r="D11" t="str">
        <f>D$9 * (0 -D$8)</f>
        <v>0</v>
      </c>
      <c r="F11" t="str">
        <f>F$9 * (0.01899014040827751 -F$8)</f>
        <v>0</v>
      </c>
      <c r="G11" t="str">
        <f>G$9 * (6.976023197174072 -G$8)</f>
        <v>0</v>
      </c>
      <c r="H11" t="str">
        <f>H$9 * (9.87746524810791 -H$8)</f>
        <v>0</v>
      </c>
      <c r="I11" t="str">
        <f>I$9 * (0.04023474827408791 -I$8)</f>
        <v>0</v>
      </c>
    </row>
    <row r="12" spans="1:11">
      <c r="A12" t="str">
        <f>A$9 * (0.2503698766231537 -A$8)</f>
        <v>0</v>
      </c>
      <c r="B12" t="str">
        <f>B$9 * (0.2503698766231537 -B$8)</f>
        <v>0</v>
      </c>
      <c r="C12" t="str">
        <f>C$9 * (0.2503698766231537 -C$8)</f>
        <v>0</v>
      </c>
      <c r="D12" t="str">
        <f>D$9 * (0.2503698766231537 -D$8)</f>
        <v>0</v>
      </c>
      <c r="F12" t="str">
        <f>F$9 * (0.0127095403149724 -F$8)</f>
        <v>0</v>
      </c>
      <c r="G12" t="str">
        <f>G$9 * (4.013641834259033 -G$8)</f>
        <v>0</v>
      </c>
      <c r="H12" t="str">
        <f>H$9 * (6.724209785461426 -H$8)</f>
        <v>0</v>
      </c>
      <c r="I12" t="str">
        <f>I$9 * (0.01786009036004543 -I$8)</f>
        <v>0</v>
      </c>
    </row>
    <row r="13" spans="1:11">
      <c r="A13" t="str">
        <f>A$9 * (0.5003474950790405 -A$8)</f>
        <v>0</v>
      </c>
      <c r="B13" t="str">
        <f>B$9 * (0.5003474950790405 -B$8)</f>
        <v>0</v>
      </c>
      <c r="C13" t="str">
        <f>C$9 * (0.5003474950790405 -C$8)</f>
        <v>0</v>
      </c>
      <c r="D13" t="str">
        <f>D$9 * (0.5003474950790405 -D$8)</f>
        <v>0</v>
      </c>
      <c r="F13" t="str">
        <f>F$9 * (0.009269413538277149 -F$8)</f>
        <v>0</v>
      </c>
      <c r="G13" t="str">
        <f>G$9 * (2.928809881210327 -G$8)</f>
        <v>0</v>
      </c>
      <c r="H13" t="str">
        <f>H$9 * (5.848559856414795 -H$8)</f>
        <v>0</v>
      </c>
      <c r="I13" t="str">
        <f>I$9 * (0.01166731957346201 -I$8)</f>
        <v>0</v>
      </c>
    </row>
    <row r="14" spans="1:11">
      <c r="A14" t="str">
        <f>A$9 * (0.7503663897514343 -A$8)</f>
        <v>0</v>
      </c>
      <c r="B14" t="str">
        <f>B$9 * (0.7503663897514343 -B$8)</f>
        <v>0</v>
      </c>
      <c r="C14" t="str">
        <f>C$9 * (0.7503663897514343 -C$8)</f>
        <v>0</v>
      </c>
      <c r="D14" t="str">
        <f>D$9 * (0.7503663897514343 -D$8)</f>
        <v>0</v>
      </c>
      <c r="F14" t="str">
        <f>F$9 * (0.002632620977237821 -F$8)</f>
        <v>0</v>
      </c>
      <c r="G14" t="str">
        <f>G$9 * (0.5996202230453491 -G$8)</f>
        <v>0</v>
      </c>
      <c r="H14" t="str">
        <f>H$9 * (2.995414018630981 -H$8)</f>
        <v>0</v>
      </c>
      <c r="I14" t="str">
        <f>I$9 * (2.48699990379464E-7 -I$8)</f>
        <v>0</v>
      </c>
    </row>
    <row r="15" spans="1:11">
      <c r="A15" t="str">
        <f>A$9 * (1.000272274017334 -A$8)</f>
        <v>0</v>
      </c>
      <c r="B15" t="str">
        <f>B$9 * (1.000272274017334 -B$8)</f>
        <v>0</v>
      </c>
      <c r="C15" t="str">
        <f>C$9 * (1.000272274017334 -C$8)</f>
        <v>0</v>
      </c>
      <c r="D15" t="str">
        <f>D$9 * (1.000272274017334 -D$8)</f>
        <v>0</v>
      </c>
      <c r="F15" t="str">
        <f>F$9 * (-0.00185360899195075 -F$8)</f>
        <v>0</v>
      </c>
      <c r="G15" t="str">
        <f>G$9 * (-1.749161005020142 -G$8)</f>
        <v>0</v>
      </c>
      <c r="H15" t="str">
        <f>H$9 * (0.3458889126777649 -H$8)</f>
        <v>0</v>
      </c>
      <c r="I15" t="str">
        <f>I$9 * (3.508999952828162E-7 -I$8)</f>
        <v>0</v>
      </c>
    </row>
    <row r="16" spans="1:11">
      <c r="A16" t="str">
        <f>A$9 * (1.250338554382324 -A$8)</f>
        <v>0</v>
      </c>
      <c r="B16" t="str">
        <f>B$9 * (1.250338554382324 -B$8)</f>
        <v>0</v>
      </c>
      <c r="C16" t="str">
        <f>C$9 * (1.250338554382324 -C$8)</f>
        <v>0</v>
      </c>
      <c r="D16" t="str">
        <f>D$9 * (1.250338554382324 -D$8)</f>
        <v>0</v>
      </c>
      <c r="F16" t="str">
        <f>F$9 * (-0.001179191982373595 -F$8)</f>
        <v>0</v>
      </c>
      <c r="G16" t="str">
        <f>G$9 * (-1.43955397605896 -G$8)</f>
        <v>0</v>
      </c>
      <c r="H16" t="str">
        <f>H$9 * (0.3663032054901123 -H$8)</f>
        <v>0</v>
      </c>
      <c r="I16" t="str">
        <f>I$9 * (2.1760000379345E-7 -I$8)</f>
        <v>0</v>
      </c>
    </row>
    <row r="17" spans="1:11">
      <c r="A17" t="str">
        <f>A$9 * (1.500310778617859 -A$8)</f>
        <v>0</v>
      </c>
      <c r="B17" t="str">
        <f>B$9 * (1.500310778617859 -B$8)</f>
        <v>0</v>
      </c>
      <c r="C17" t="str">
        <f>C$9 * (1.500310778617859 -C$8)</f>
        <v>0</v>
      </c>
      <c r="D17" t="str">
        <f>D$9 * (1.500310778617859 -D$8)</f>
        <v>0</v>
      </c>
      <c r="F17" t="str">
        <f>F$9 * (-0.002168271923437715 -F$8)</f>
        <v>0</v>
      </c>
      <c r="G17" t="str">
        <f>G$9 * (-1.193088054656982 -G$8)</f>
        <v>0</v>
      </c>
      <c r="H17" t="str">
        <f>H$9 * (-0.8842821717262268 -H$8)</f>
        <v>0</v>
      </c>
      <c r="I17" t="str">
        <f>I$9 * (1.592179978615604E-5 -I$8)</f>
        <v>0</v>
      </c>
    </row>
    <row r="18" spans="1:11">
      <c r="A18" t="str">
        <f>A$9 * (1.750393390655518 -A$8)</f>
        <v>0</v>
      </c>
      <c r="B18" t="str">
        <f>B$9 * (1.750393390655518 -B$8)</f>
        <v>0</v>
      </c>
      <c r="C18" t="str">
        <f>C$9 * (1.750393390655518 -C$8)</f>
        <v>0</v>
      </c>
      <c r="D18" t="str">
        <f>D$9 * (1.750393390655518 -D$8)</f>
        <v>0</v>
      </c>
      <c r="F18" t="str">
        <f>F$9 * (-0.002610733965411782 -F$8)</f>
        <v>0</v>
      </c>
      <c r="G18" t="str">
        <f>G$9 * (-1.002915024757385 -G$8)</f>
        <v>0</v>
      </c>
      <c r="H18" t="str">
        <f>H$9 * (-1.964154958724976 -H$8)</f>
        <v>0</v>
      </c>
      <c r="I18" t="str">
        <f>I$9 * (0.0007428731769323349 -I$8)</f>
        <v>0</v>
      </c>
    </row>
    <row r="19" spans="1:11">
      <c r="A19" t="str">
        <f>A$9 * (2.000298500061035 -A$8)</f>
        <v>0</v>
      </c>
      <c r="B19" t="str">
        <f>B$9 * (2.000298500061035 -B$8)</f>
        <v>0</v>
      </c>
      <c r="C19" t="str">
        <f>C$9 * (2.000298500061035 -C$8)</f>
        <v>0</v>
      </c>
      <c r="D19" t="str">
        <f>D$9 * (2.000298500061035 -D$8)</f>
        <v>0</v>
      </c>
      <c r="F19" t="str">
        <f>F$9 * (-0.000678984506521374 -F$8)</f>
        <v>0</v>
      </c>
      <c r="G19" t="str">
        <f>G$9 * (-0.5985733866691589 -G$8)</f>
        <v>0</v>
      </c>
      <c r="H19" t="str">
        <f>H$9 * (0.2452626973390579 -H$8)</f>
        <v>0</v>
      </c>
      <c r="I19" t="str">
        <f>I$9 * (3.551259942469187E-5 -I$8)</f>
        <v>0</v>
      </c>
    </row>
    <row r="20" spans="1:11">
      <c r="A20" t="str">
        <f>A$9 * (2.250226020812988 -A$8)</f>
        <v>0</v>
      </c>
      <c r="B20" t="str">
        <f>B$9 * (2.250226020812988 -B$8)</f>
        <v>0</v>
      </c>
      <c r="C20" t="str">
        <f>C$9 * (2.250226020812988 -C$8)</f>
        <v>0</v>
      </c>
      <c r="D20" t="str">
        <f>D$9 * (2.250226020812988 -D$8)</f>
        <v>0</v>
      </c>
      <c r="F20" t="str">
        <f>F$9 * (4.167799852439202E-5 -F$8)</f>
        <v>0</v>
      </c>
      <c r="G20" t="str">
        <f>G$9 * (-3.886600017547607 -G$8)</f>
        <v>0</v>
      </c>
      <c r="H20" t="str">
        <f>H$9 * (0.7135136127471924 -H$8)</f>
        <v>0</v>
      </c>
      <c r="I20" t="str">
        <f>I$9 * (4.799999828719592E-7 -I$8)</f>
        <v>0</v>
      </c>
    </row>
    <row r="21" spans="1:11">
      <c r="A21" t="str">
        <f>A$9 * (2.500319957733154 -A$8)</f>
        <v>0</v>
      </c>
      <c r="B21" t="str">
        <f>B$9 * (2.500319957733154 -B$8)</f>
        <v>0</v>
      </c>
      <c r="C21" t="str">
        <f>C$9 * (2.500319957733154 -C$8)</f>
        <v>0</v>
      </c>
      <c r="D21" t="str">
        <f>D$9 * (2.500319957733154 -D$8)</f>
        <v>0</v>
      </c>
      <c r="F21" t="str">
        <f>F$9 * (0.01630106009542942 -F$8)</f>
        <v>0</v>
      </c>
      <c r="G21" t="str">
        <f>G$9 * (7.639770030975342 -G$8)</f>
        <v>0</v>
      </c>
      <c r="H21" t="str">
        <f>H$9 * (12.07009029388428 -H$8)</f>
        <v>0</v>
      </c>
      <c r="I21" t="str">
        <f>I$9 * (0.04675766825675964 -I$8)</f>
        <v>0</v>
      </c>
    </row>
    <row r="22" spans="1:11">
      <c r="A22" t="str">
        <f>A$9 * (2.750267744064331 -A$8)</f>
        <v>0</v>
      </c>
      <c r="B22" t="str">
        <f>B$9 * (2.750267744064331 -B$8)</f>
        <v>0</v>
      </c>
      <c r="C22" t="str">
        <f>C$9 * (2.750267744064331 -C$8)</f>
        <v>0</v>
      </c>
      <c r="D22" t="str">
        <f>D$9 * (2.750267744064331 -D$8)</f>
        <v>0</v>
      </c>
      <c r="F22" t="str">
        <f>F$9 * (0.06876353174448013 -F$8)</f>
        <v>0</v>
      </c>
      <c r="G22" t="str">
        <f>G$9 * (9.15025806427002 -G$8)</f>
        <v>0</v>
      </c>
      <c r="H22" t="str">
        <f>H$9 * (9.636834144592285 -H$8)</f>
        <v>0</v>
      </c>
      <c r="I22" t="str">
        <f>I$9 * (0.1209719032049179 -I$8)</f>
        <v>0</v>
      </c>
    </row>
    <row r="23" spans="1:11">
      <c r="A23" t="str">
        <f>A$9 * (3.000191688537598 -A$8)</f>
        <v>0</v>
      </c>
      <c r="B23" t="str">
        <f>B$9 * (3.000191688537598 -B$8)</f>
        <v>0</v>
      </c>
      <c r="C23" t="str">
        <f>C$9 * (3.000191688537598 -C$8)</f>
        <v>0</v>
      </c>
      <c r="D23" t="str">
        <f>D$9 * (3.000191688537598 -D$8)</f>
        <v>0</v>
      </c>
      <c r="F23" t="str">
        <f>F$9 * (0.01289913989603519 -F$8)</f>
        <v>0</v>
      </c>
      <c r="G23" t="str">
        <f>G$9 * (7.092512130737305 -G$8)</f>
        <v>0</v>
      </c>
      <c r="H23" t="str">
        <f>H$9 * (12.53713989257812 -H$8)</f>
        <v>0</v>
      </c>
      <c r="I23" t="str">
        <f>I$9 * (0.0426502488553524 -I$8)</f>
        <v>0</v>
      </c>
    </row>
    <row r="24" spans="1:11">
      <c r="A24" t="str">
        <f>A$9 * (3.250283241271973 -A$8)</f>
        <v>0</v>
      </c>
      <c r="B24" t="str">
        <f>B$9 * (3.250283241271973 -B$8)</f>
        <v>0</v>
      </c>
      <c r="C24" t="str">
        <f>C$9 * (3.250283241271973 -C$8)</f>
        <v>0</v>
      </c>
      <c r="D24" t="str">
        <f>D$9 * (3.250283241271973 -D$8)</f>
        <v>0</v>
      </c>
      <c r="F24" t="str">
        <f>F$9 * (0.003646072000265121 -F$8)</f>
        <v>0</v>
      </c>
      <c r="G24" t="str">
        <f>G$9 * (1.124827980995178 -G$8)</f>
        <v>0</v>
      </c>
      <c r="H24" t="str">
        <f>H$9 * (4.389116764068604 -H$8)</f>
        <v>0</v>
      </c>
      <c r="I24" t="str">
        <f>I$9 * (6.766999831597786E-7 -I$8)</f>
        <v>0</v>
      </c>
    </row>
    <row r="25" spans="1:11">
      <c r="A25" t="str">
        <f>A$9 * (3.500147104263306 -A$8)</f>
        <v>0</v>
      </c>
      <c r="B25" t="str">
        <f>B$9 * (3.500147104263306 -B$8)</f>
        <v>0</v>
      </c>
      <c r="C25" t="str">
        <f>C$9 * (3.500147104263306 -C$8)</f>
        <v>0</v>
      </c>
      <c r="D25" t="str">
        <f>D$9 * (3.500147104263306 -D$8)</f>
        <v>0</v>
      </c>
      <c r="F25" t="str">
        <f>F$9 * (-0.0003267576976213604 -F$8)</f>
        <v>0</v>
      </c>
      <c r="G25" t="str">
        <f>G$9 * (-1.365815043449402 -G$8)</f>
        <v>0</v>
      </c>
      <c r="H25" t="str">
        <f>H$9 * (2.290347099304199 -H$8)</f>
        <v>0</v>
      </c>
      <c r="I25" t="str">
        <f>I$9 * (6.47899980776856E-7 -I$8)</f>
        <v>0</v>
      </c>
    </row>
    <row r="26" spans="1:11">
      <c r="A26" t="str">
        <f>A$9 * (3.750288963317871 -A$8)</f>
        <v>0</v>
      </c>
      <c r="B26" t="str">
        <f>B$9 * (3.750288963317871 -B$8)</f>
        <v>0</v>
      </c>
      <c r="C26" t="str">
        <f>C$9 * (3.750288963317871 -C$8)</f>
        <v>0</v>
      </c>
      <c r="D26" t="str">
        <f>D$9 * (3.750288963317871 -D$8)</f>
        <v>0</v>
      </c>
      <c r="F26" t="str">
        <f>F$9 * (0.0008398304926231503 -F$8)</f>
        <v>0</v>
      </c>
      <c r="G26" t="str">
        <f>G$9 * (-1.263849020004272 -G$8)</f>
        <v>0</v>
      </c>
      <c r="H26" t="str">
        <f>H$9 * (3.711467981338501 -H$8)</f>
        <v>0</v>
      </c>
      <c r="I26" t="str">
        <f>I$9 * (4.297000089081848E-7 -I$8)</f>
        <v>0</v>
      </c>
    </row>
    <row r="27" spans="1:11">
      <c r="A27" t="str">
        <f>A$9 * (4.000313758850098 -A$8)</f>
        <v>0</v>
      </c>
      <c r="B27" t="str">
        <f>B$9 * (4.000313758850098 -B$8)</f>
        <v>0</v>
      </c>
      <c r="C27" t="str">
        <f>C$9 * (4.000313758850098 -C$8)</f>
        <v>0</v>
      </c>
      <c r="D27" t="str">
        <f>D$9 * (4.000313758850098 -D$8)</f>
        <v>0</v>
      </c>
      <c r="F27" t="str">
        <f>F$9 * (-0.001906004035845399 -F$8)</f>
        <v>0</v>
      </c>
      <c r="G27" t="str">
        <f>G$9 * (-2.087815046310425 -G$8)</f>
        <v>0</v>
      </c>
      <c r="H27" t="str">
        <f>H$9 * (2.845895051956177 -H$8)</f>
        <v>0</v>
      </c>
      <c r="I27" t="str">
        <f>I$9 * (6.520419992739335E-5 -I$8)</f>
        <v>0</v>
      </c>
    </row>
    <row r="28" spans="1:11">
      <c r="A28" t="str">
        <f>A$9 * (4.250041484832764 -A$8)</f>
        <v>0</v>
      </c>
      <c r="B28" t="str">
        <f>B$9 * (4.250041484832764 -B$8)</f>
        <v>0</v>
      </c>
      <c r="C28" t="str">
        <f>C$9 * (4.250041484832764 -C$8)</f>
        <v>0</v>
      </c>
      <c r="D28" t="str">
        <f>D$9 * (4.250041484832764 -D$8)</f>
        <v>0</v>
      </c>
      <c r="F28" t="str">
        <f>F$9 * (-0.001272641005925834 -F$8)</f>
        <v>0</v>
      </c>
      <c r="G28" t="str">
        <f>G$9 * (-1.399719953536987 -G$8)</f>
        <v>0</v>
      </c>
      <c r="H28" t="str">
        <f>H$9 * (0.1025459989905357 -H$8)</f>
        <v>0</v>
      </c>
      <c r="I28" t="str">
        <f>I$9 * (1.76699998633012E-7 -I$8)</f>
        <v>0</v>
      </c>
    </row>
    <row r="29" spans="1:11">
      <c r="A29" t="str">
        <f>A$9 * (4.50066089630127 -A$8)</f>
        <v>0</v>
      </c>
      <c r="B29" t="str">
        <f>B$9 * (4.50066089630127 -B$8)</f>
        <v>0</v>
      </c>
      <c r="C29" t="str">
        <f>C$9 * (4.50066089630127 -C$8)</f>
        <v>0</v>
      </c>
      <c r="D29" t="str">
        <f>D$9 * (4.50066089630127 -D$8)</f>
        <v>0</v>
      </c>
      <c r="F29" t="str">
        <f>F$9 * (0.007637470960617065 -F$8)</f>
        <v>0</v>
      </c>
      <c r="G29" t="str">
        <f>G$9 * (0.241156205534935 -G$8)</f>
        <v>0</v>
      </c>
      <c r="H29" t="str">
        <f>H$9 * (4.869906902313232 -H$8)</f>
        <v>0</v>
      </c>
      <c r="I29" t="str">
        <f>I$9 * (1.844099983827618E-6 -I$8)</f>
        <v>0</v>
      </c>
    </row>
    <row r="30" spans="1:11">
      <c r="A30" t="str">
        <f>A$9 * (4.750247001647949 -A$8)</f>
        <v>0</v>
      </c>
      <c r="B30" t="str">
        <f>B$9 * (4.750247001647949 -B$8)</f>
        <v>0</v>
      </c>
      <c r="C30" t="str">
        <f>C$9 * (4.750247001647949 -C$8)</f>
        <v>0</v>
      </c>
      <c r="D30" t="str">
        <f>D$9 * (4.750247001647949 -D$8)</f>
        <v>0</v>
      </c>
      <c r="F30" t="str">
        <f>F$9 * (0.01535611040890217 -F$8)</f>
        <v>0</v>
      </c>
      <c r="G30" t="str">
        <f>G$9 * (2.772372961044312 -G$8)</f>
        <v>0</v>
      </c>
      <c r="H30" t="str">
        <f>H$9 * (4.107535839080811 -H$8)</f>
        <v>0</v>
      </c>
      <c r="I30" t="str">
        <f>I$9 * (8.513999887327373E-7 -I$8)</f>
        <v>0</v>
      </c>
    </row>
    <row r="31" spans="1:11">
      <c r="A31" t="str">
        <f>A$9 * (5.000277996063232 -A$8)</f>
        <v>0</v>
      </c>
      <c r="B31" t="str">
        <f>B$9 * (5.000277996063232 -B$8)</f>
        <v>0</v>
      </c>
      <c r="C31" t="str">
        <f>C$9 * (5.000277996063232 -C$8)</f>
        <v>0</v>
      </c>
      <c r="D31" t="str">
        <f>D$9 * (5.000277996063232 -D$8)</f>
        <v>0</v>
      </c>
      <c r="F31" t="str">
        <f>F$9 * (-0.0003207437985111028 -F$8)</f>
        <v>0</v>
      </c>
      <c r="G31" t="str">
        <f>G$9 * (-0.9150152206420898 -G$8)</f>
        <v>0</v>
      </c>
      <c r="H31" t="str">
        <f>H$9 * (0.7113612294197083 -H$8)</f>
        <v>0</v>
      </c>
      <c r="I31" t="str">
        <f>I$9 * (1.149999988570016E-7 -I$8)</f>
        <v>0</v>
      </c>
    </row>
    <row r="32" spans="1:11">
      <c r="A32" t="str">
        <f>A$9 * (5.250236034393311 -A$8)</f>
        <v>0</v>
      </c>
      <c r="B32" t="str">
        <f>B$9 * (5.250236034393311 -B$8)</f>
        <v>0</v>
      </c>
      <c r="C32" t="str">
        <f>C$9 * (5.250236034393311 -C$8)</f>
        <v>0</v>
      </c>
      <c r="D32" t="str">
        <f>D$9 * (5.250236034393311 -D$8)</f>
        <v>0</v>
      </c>
      <c r="F32" t="str">
        <f>F$9 * (-0.0003606494865380228 -F$8)</f>
        <v>0</v>
      </c>
      <c r="G32" t="str">
        <f>G$9 * (-0.5302770733833313 -G$8)</f>
        <v>0</v>
      </c>
      <c r="H32" t="str">
        <f>H$9 * (0.2800131142139435 -H$8)</f>
        <v>0</v>
      </c>
      <c r="I32" t="str">
        <f>I$9 * (8.469999812632523E-8 -I$8)</f>
        <v>0</v>
      </c>
    </row>
    <row r="33" spans="1:11">
      <c r="A33" t="str">
        <f>A$9 * (5.500516891479492 -A$8)</f>
        <v>0</v>
      </c>
      <c r="B33" t="str">
        <f>B$9 * (5.500516891479492 -B$8)</f>
        <v>0</v>
      </c>
      <c r="C33" t="str">
        <f>C$9 * (5.500516891479492 -C$8)</f>
        <v>0</v>
      </c>
      <c r="D33" t="str">
        <f>D$9 * (5.500516891479492 -D$8)</f>
        <v>0</v>
      </c>
      <c r="F33" t="str">
        <f>F$9 * (-0.0003102883056271821 -F$8)</f>
        <v>0</v>
      </c>
      <c r="G33" t="str">
        <f>G$9 * (-0.4376001060009003 -G$8)</f>
        <v>0</v>
      </c>
      <c r="H33" t="str">
        <f>H$9 * (0.09468682110309601 -H$8)</f>
        <v>0</v>
      </c>
      <c r="I33" t="str">
        <f>I$9 * (2.280000011012362E-8 -I$8)</f>
        <v>0</v>
      </c>
    </row>
    <row r="34" spans="1:11">
      <c r="A34" t="str">
        <f>A$9 * (5.750086307525635 -A$8)</f>
        <v>0</v>
      </c>
      <c r="B34" t="str">
        <f>B$9 * (5.750086307525635 -B$8)</f>
        <v>0</v>
      </c>
      <c r="C34" t="str">
        <f>C$9 * (5.750086307525635 -C$8)</f>
        <v>0</v>
      </c>
      <c r="D34" t="str">
        <f>D$9 * (5.750086307525635 -D$8)</f>
        <v>0</v>
      </c>
      <c r="F34" t="str">
        <f>F$9 * (-0.0004048458940815181 -F$8)</f>
        <v>0</v>
      </c>
      <c r="G34" t="str">
        <f>G$9 * (-2.798572063446045 -G$8)</f>
        <v>0</v>
      </c>
      <c r="H34" t="str">
        <f>H$9 * (0.3517780900001526 -H$8)</f>
        <v>0</v>
      </c>
      <c r="I34" t="str">
        <f>I$9 * (2.105000049823502E-7 -I$8)</f>
        <v>0</v>
      </c>
    </row>
    <row r="35" spans="1:11">
      <c r="A35" t="str">
        <f>A$9 * (6.000389099121094 -A$8)</f>
        <v>0</v>
      </c>
      <c r="B35" t="str">
        <f>B$9 * (6.000389099121094 -B$8)</f>
        <v>0</v>
      </c>
      <c r="C35" t="str">
        <f>C$9 * (6.000389099121094 -C$8)</f>
        <v>0</v>
      </c>
      <c r="D35" t="str">
        <f>D$9 * (6.000389099121094 -D$8)</f>
        <v>0</v>
      </c>
      <c r="F35" t="str">
        <f>F$9 * (0.1491090059280396 -F$8)</f>
        <v>0</v>
      </c>
      <c r="G35" t="str">
        <f>G$9 * (11.21032047271729 -G$8)</f>
        <v>0</v>
      </c>
      <c r="H35" t="str">
        <f>H$9 * (11.59012031555176 -H$8)</f>
        <v>0</v>
      </c>
      <c r="I35" t="str">
        <f>I$9 * (0.3122856914997101 -I$8)</f>
        <v>0</v>
      </c>
    </row>
    <row r="36" spans="1:11">
      <c r="A36" t="str">
        <f>A$9 * (6.250469207763672 -A$8)</f>
        <v>0</v>
      </c>
      <c r="B36" t="str">
        <f>B$9 * (6.250469207763672 -B$8)</f>
        <v>0</v>
      </c>
      <c r="C36" t="str">
        <f>C$9 * (6.250469207763672 -C$8)</f>
        <v>0</v>
      </c>
      <c r="D36" t="str">
        <f>D$9 * (6.250469207763672 -D$8)</f>
        <v>0</v>
      </c>
      <c r="F36" t="str">
        <f>F$9 * (0.02490348927676678 -F$8)</f>
        <v>0</v>
      </c>
      <c r="G36" t="str">
        <f>G$9 * (2.896580934524536 -G$8)</f>
        <v>0</v>
      </c>
      <c r="H36" t="str">
        <f>H$9 * (3.321458101272583 -H$8)</f>
        <v>0</v>
      </c>
      <c r="I36" t="str">
        <f>I$9 * (1.331099952039949E-6 -I$8)</f>
        <v>0</v>
      </c>
    </row>
    <row r="37" spans="1:11">
      <c r="A37" t="str">
        <f>A$9 * (6.500052928924561 -A$8)</f>
        <v>0</v>
      </c>
      <c r="B37" t="str">
        <f>B$9 * (6.500052928924561 -B$8)</f>
        <v>0</v>
      </c>
      <c r="C37" t="str">
        <f>C$9 * (6.500052928924561 -C$8)</f>
        <v>0</v>
      </c>
      <c r="D37" t="str">
        <f>D$9 * (6.500052928924561 -D$8)</f>
        <v>0</v>
      </c>
      <c r="F37" t="str">
        <f>F$9 * (-0.0002364677930017933 -F$8)</f>
        <v>0</v>
      </c>
      <c r="G37" t="str">
        <f>G$9 * (-0.9255256056785583 -G$8)</f>
        <v>0</v>
      </c>
      <c r="H37" t="str">
        <f>H$9 * (0.3266083896160126 -H$8)</f>
        <v>0</v>
      </c>
      <c r="I37" t="str">
        <f>I$9 * (6.660000195779503E-8 -I$8)</f>
        <v>0</v>
      </c>
    </row>
    <row r="38" spans="1:11">
      <c r="A38" t="str">
        <f>A$9 * (6.750552654266357 -A$8)</f>
        <v>0</v>
      </c>
      <c r="B38" t="str">
        <f>B$9 * (6.750552654266357 -B$8)</f>
        <v>0</v>
      </c>
      <c r="C38" t="str">
        <f>C$9 * (6.750552654266357 -C$8)</f>
        <v>0</v>
      </c>
      <c r="D38" t="str">
        <f>D$9 * (6.750552654266357 -D$8)</f>
        <v>0</v>
      </c>
      <c r="F38" t="str">
        <f>F$9 * (0.0001123593974625692 -F$8)</f>
        <v>0</v>
      </c>
      <c r="G38" t="str">
        <f>G$9 * (-0.8096398115158081 -G$8)</f>
        <v>0</v>
      </c>
      <c r="H38" t="str">
        <f>H$9 * (0.5070502758026123 -H$8)</f>
        <v>0</v>
      </c>
      <c r="I38" t="str">
        <f>I$9 * (3.590000119402248E-8 -I$8)</f>
        <v>0</v>
      </c>
    </row>
    <row r="39" spans="1:11">
      <c r="A39" t="str">
        <f>A$9 * (7.000699996948242 -A$8)</f>
        <v>0</v>
      </c>
      <c r="B39" t="str">
        <f>B$9 * (7.000699996948242 -B$8)</f>
        <v>0</v>
      </c>
      <c r="C39" t="str">
        <f>C$9 * (7.000699996948242 -C$8)</f>
        <v>0</v>
      </c>
      <c r="D39" t="str">
        <f>D$9 * (7.000699996948242 -D$8)</f>
        <v>0</v>
      </c>
      <c r="F39" t="str">
        <f>F$9 * (-2.147869963664562E-5 -F$8)</f>
        <v>0</v>
      </c>
      <c r="G39" t="str">
        <f>G$9 * (-0.3024716079235077 -G$8)</f>
        <v>0</v>
      </c>
      <c r="H39" t="str">
        <f>H$9 * (2.776556015014648 -H$8)</f>
        <v>0</v>
      </c>
      <c r="I39" t="str">
        <f>I$9 * (3.060000040022715E-7 -I$8)</f>
        <v>0</v>
      </c>
    </row>
    <row r="40" spans="1:11">
      <c r="A40" t="str">
        <f>A$9 * (7.250261306762695 -A$8)</f>
        <v>0</v>
      </c>
      <c r="B40" t="str">
        <f>B$9 * (7.250261306762695 -B$8)</f>
        <v>0</v>
      </c>
      <c r="C40" t="str">
        <f>C$9 * (7.250261306762695 -C$8)</f>
        <v>0</v>
      </c>
      <c r="D40" t="str">
        <f>D$9 * (7.250261306762695 -D$8)</f>
        <v>0</v>
      </c>
      <c r="F40" t="str">
        <f>F$9 * (0.1883950978517532 -F$8)</f>
        <v>0</v>
      </c>
      <c r="G40" t="str">
        <f>G$9 * (14.80130004882812 -G$8)</f>
        <v>0</v>
      </c>
      <c r="H40" t="str">
        <f>H$9 * (15.28264999389648 -H$8)</f>
        <v>0</v>
      </c>
      <c r="I40" t="str">
        <f>I$9 * (0.5705385208129883 -I$8)</f>
        <v>0</v>
      </c>
    </row>
    <row r="41" spans="1:11">
      <c r="A41" t="str">
        <f>A$9 * (7.500458240509033 -A$8)</f>
        <v>0</v>
      </c>
      <c r="B41" t="str">
        <f>B$9 * (7.500458240509033 -B$8)</f>
        <v>0</v>
      </c>
      <c r="C41" t="str">
        <f>C$9 * (7.500458240509033 -C$8)</f>
        <v>0</v>
      </c>
      <c r="D41" t="str">
        <f>D$9 * (7.500458240509033 -D$8)</f>
        <v>0</v>
      </c>
      <c r="F41" t="str">
        <f>F$9 * (0.02645057067275047 -F$8)</f>
        <v>0</v>
      </c>
      <c r="G41" t="str">
        <f>G$9 * (3.233052968978882 -G$8)</f>
        <v>0</v>
      </c>
      <c r="H41" t="str">
        <f>H$9 * (3.662816047668457 -H$8)</f>
        <v>0</v>
      </c>
      <c r="I41" t="str">
        <f>I$9 * (1.574599991727155E-6 -I$8)</f>
        <v>0</v>
      </c>
    </row>
    <row r="42" spans="1:11">
      <c r="A42" t="str">
        <f>A$9 * (7.750130653381348 -A$8)</f>
        <v>0</v>
      </c>
      <c r="B42" t="str">
        <f>B$9 * (7.750130653381348 -B$8)</f>
        <v>0</v>
      </c>
      <c r="C42" t="str">
        <f>C$9 * (7.750130653381348 -C$8)</f>
        <v>0</v>
      </c>
      <c r="D42" t="str">
        <f>D$9 * (7.750130653381348 -D$8)</f>
        <v>0</v>
      </c>
      <c r="F42" t="str">
        <f>F$9 * (0.01426113024353981 -F$8)</f>
        <v>0</v>
      </c>
      <c r="G42" t="str">
        <f>G$9 * (8.726502418518066 -G$8)</f>
        <v>0</v>
      </c>
      <c r="H42" t="str">
        <f>H$9 * (16.13462066650391 -H$8)</f>
        <v>0</v>
      </c>
      <c r="I42" t="str">
        <f>I$9 * (0.06596881896257401 -I$8)</f>
        <v>0</v>
      </c>
    </row>
    <row r="43" spans="1:11">
      <c r="A43" t="str">
        <f>A$9 * (8.000386238098145 -A$8)</f>
        <v>0</v>
      </c>
      <c r="B43" t="str">
        <f>B$9 * (8.000386238098145 -B$8)</f>
        <v>0</v>
      </c>
      <c r="C43" t="str">
        <f>C$9 * (8.000386238098145 -C$8)</f>
        <v>0</v>
      </c>
      <c r="D43" t="str">
        <f>D$9 * (8.000386238098145 -D$8)</f>
        <v>0</v>
      </c>
      <c r="F43" t="str">
        <f>F$9 * (0.005105398129671812 -F$8)</f>
        <v>0</v>
      </c>
      <c r="G43" t="str">
        <f>G$9 * (2.475817918777466 -G$8)</f>
        <v>0</v>
      </c>
      <c r="H43" t="str">
        <f>H$9 * (7.635656833648682 -H$8)</f>
        <v>0</v>
      </c>
      <c r="I43" t="str">
        <f>I$9 * (0.01186867989599705 -I$8)</f>
        <v>0</v>
      </c>
    </row>
    <row r="44" spans="1:11">
      <c r="A44" t="str">
        <f>A$9 * (8.250313758850098 -A$8)</f>
        <v>0</v>
      </c>
      <c r="B44" t="str">
        <f>B$9 * (8.250313758850098 -B$8)</f>
        <v>0</v>
      </c>
      <c r="C44" t="str">
        <f>C$9 * (8.250313758850098 -C$8)</f>
        <v>0</v>
      </c>
      <c r="D44" t="str">
        <f>D$9 * (8.250313758850098 -D$8)</f>
        <v>0</v>
      </c>
      <c r="F44" t="str">
        <f>F$9 * (-0.0009675942710600793 -F$8)</f>
        <v>0</v>
      </c>
      <c r="G44" t="str">
        <f>G$9 * (-1.587882995605469 -G$8)</f>
        <v>0</v>
      </c>
      <c r="H44" t="str">
        <f>H$9 * (1.298817038536072 -H$8)</f>
        <v>0</v>
      </c>
      <c r="I44" t="str">
        <f>I$9 * (2.214000005551497E-7 -I$8)</f>
        <v>0</v>
      </c>
    </row>
    <row r="45" spans="1:11">
      <c r="A45" t="str">
        <f>A$9 * (8.500364303588867 -A$8)</f>
        <v>0</v>
      </c>
      <c r="B45" t="str">
        <f>B$9 * (8.500364303588867 -B$8)</f>
        <v>0</v>
      </c>
      <c r="C45" t="str">
        <f>C$9 * (8.500364303588867 -C$8)</f>
        <v>0</v>
      </c>
      <c r="D45" t="str">
        <f>D$9 * (8.500364303588867 -D$8)</f>
        <v>0</v>
      </c>
      <c r="F45" t="str">
        <f>F$9 * (-0.002522731898352504 -F$8)</f>
        <v>0</v>
      </c>
      <c r="G45" t="str">
        <f>G$9 * (-0.8390296101570129 -G$8)</f>
        <v>0</v>
      </c>
      <c r="H45" t="str">
        <f>H$9 * (-1.69038999080658 -H$8)</f>
        <v>0</v>
      </c>
      <c r="I45" t="str">
        <f>I$9 * (0.00431104376912117 -I$8)</f>
        <v>0</v>
      </c>
    </row>
    <row r="46" spans="1:11">
      <c r="A46" t="str">
        <f>A$9 * (8.750405311584473 -A$8)</f>
        <v>0</v>
      </c>
      <c r="B46" t="str">
        <f>B$9 * (8.750405311584473 -B$8)</f>
        <v>0</v>
      </c>
      <c r="C46" t="str">
        <f>C$9 * (8.750405311584473 -C$8)</f>
        <v>0</v>
      </c>
      <c r="D46" t="str">
        <f>D$9 * (8.750405311584473 -D$8)</f>
        <v>0</v>
      </c>
      <c r="F46" t="str">
        <f>F$9 * (-0.0006933864788152277 -F$8)</f>
        <v>0</v>
      </c>
      <c r="G46" t="str">
        <f>G$9 * (-1.519067049026489 -G$8)</f>
        <v>0</v>
      </c>
      <c r="H46" t="str">
        <f>H$9 * (1.637127995491028 -H$8)</f>
        <v>0</v>
      </c>
      <c r="I46" t="str">
        <f>I$9 * (5.218000183049298E-7 -I$8)</f>
        <v>0</v>
      </c>
    </row>
    <row r="47" spans="1:11">
      <c r="A47" t="str">
        <f>A$9 * (9.000142097473145 -A$8)</f>
        <v>0</v>
      </c>
      <c r="B47" t="str">
        <f>B$9 * (9.000142097473145 -B$8)</f>
        <v>0</v>
      </c>
      <c r="C47" t="str">
        <f>C$9 * (9.000142097473145 -C$8)</f>
        <v>0</v>
      </c>
      <c r="D47" t="str">
        <f>D$9 * (9.000142097473145 -D$8)</f>
        <v>0</v>
      </c>
      <c r="F47" t="str">
        <f>F$9 * (-0.001940386020578444 -F$8)</f>
        <v>0</v>
      </c>
      <c r="G47" t="str">
        <f>G$9 * (-0.3188341856002808 -G$8)</f>
        <v>0</v>
      </c>
      <c r="H47" t="str">
        <f>H$9 * (-0.9337441921234131 -H$8)</f>
        <v>0</v>
      </c>
      <c r="I47" t="str">
        <f>I$9 * (1.769999968814773E-8 -I$8)</f>
        <v>0</v>
      </c>
    </row>
    <row r="48" spans="1:11">
      <c r="A48" t="str">
        <f>A$9 * (9.250161170959473 -A$8)</f>
        <v>0</v>
      </c>
      <c r="B48" t="str">
        <f>B$9 * (9.250161170959473 -B$8)</f>
        <v>0</v>
      </c>
      <c r="C48" t="str">
        <f>C$9 * (9.250161170959473 -C$8)</f>
        <v>0</v>
      </c>
      <c r="D48" t="str">
        <f>D$9 * (9.250161170959473 -D$8)</f>
        <v>0</v>
      </c>
      <c r="F48" t="str">
        <f>F$9 * (0.0005342522053979337 -F$8)</f>
        <v>0</v>
      </c>
      <c r="G48" t="str">
        <f>G$9 * (-0.8291246294975281 -G$8)</f>
        <v>0</v>
      </c>
      <c r="H48" t="str">
        <f>H$9 * (1.154185056686401 -H$8)</f>
        <v>0</v>
      </c>
      <c r="I48" t="str">
        <f>I$9 * (2.990000069758025E-8 -I$8)</f>
        <v>0</v>
      </c>
    </row>
    <row r="49" spans="1:11">
      <c r="A49" t="str">
        <f>A$9 * (9.500016212463379 -A$8)</f>
        <v>0</v>
      </c>
      <c r="B49" t="str">
        <f>B$9 * (9.500016212463379 -B$8)</f>
        <v>0</v>
      </c>
      <c r="C49" t="str">
        <f>C$9 * (9.500016212463379 -C$8)</f>
        <v>0</v>
      </c>
      <c r="D49" t="str">
        <f>D$9 * (9.500016212463379 -D$8)</f>
        <v>0</v>
      </c>
      <c r="F49" t="str">
        <f>F$9 * (0.005955706816166639 -F$8)</f>
        <v>0</v>
      </c>
      <c r="G49" t="str">
        <f>G$9 * (5.763228893280029 -G$8)</f>
        <v>0</v>
      </c>
      <c r="H49" t="str">
        <f>H$9 * (36.26895904541016 -H$8)</f>
        <v>0</v>
      </c>
      <c r="I49" t="str">
        <f>I$9 * (0.2064311951398849 -I$8)</f>
        <v>0</v>
      </c>
    </row>
    <row r="50" spans="1:11">
      <c r="A50" t="str">
        <f>A$9 * (9.750371932983398 -A$8)</f>
        <v>0</v>
      </c>
      <c r="B50" t="str">
        <f>B$9 * (9.750371932983398 -B$8)</f>
        <v>0</v>
      </c>
      <c r="C50" t="str">
        <f>C$9 * (9.750371932983398 -C$8)</f>
        <v>0</v>
      </c>
      <c r="D50" t="str">
        <f>D$9 * (9.750371932983398 -D$8)</f>
        <v>0</v>
      </c>
      <c r="F50" t="str">
        <f>F$9 * (0.007699929177761078 -F$8)</f>
        <v>0</v>
      </c>
      <c r="G50" t="str">
        <f>G$9 * (0.9689006209373474 -G$8)</f>
        <v>0</v>
      </c>
      <c r="H50" t="str">
        <f>H$9 * (2.052864074707031 -H$8)</f>
        <v>0</v>
      </c>
      <c r="I50" t="str">
        <f>I$9 * (5.819999842060497E-7 -I$8)</f>
        <v>0</v>
      </c>
    </row>
    <row r="51" spans="1:11">
      <c r="A51" t="str">
        <f>A$9 * (10.0001392364502 -A$8)</f>
        <v>0</v>
      </c>
      <c r="B51" t="str">
        <f>B$9 * (10.0001392364502 -B$8)</f>
        <v>0</v>
      </c>
      <c r="C51" t="str">
        <f>C$9 * (10.0001392364502 -C$8)</f>
        <v>0</v>
      </c>
      <c r="D51" t="str">
        <f>D$9 * (10.0001392364502 -D$8)</f>
        <v>0</v>
      </c>
      <c r="F51" t="str">
        <f>F$9 * (-0.0004996507777832448 -F$8)</f>
        <v>0</v>
      </c>
      <c r="G51" t="str">
        <f>G$9 * (-1.16259503364563 -G$8)</f>
        <v>0</v>
      </c>
      <c r="H51" t="str">
        <f>H$9 * (0.9063538908958435 -H$8)</f>
        <v>0</v>
      </c>
      <c r="I51" t="str">
        <f>I$9 * (7.650000100056786E-8 -I$8)</f>
        <v>0</v>
      </c>
    </row>
    <row r="52" spans="1:11">
      <c r="A52" t="str">
        <f>A$9 * (10.25042247772217 -A$8)</f>
        <v>0</v>
      </c>
      <c r="B52" t="str">
        <f>B$9 * (10.25042247772217 -B$8)</f>
        <v>0</v>
      </c>
      <c r="C52" t="str">
        <f>C$9 * (10.25042247772217 -C$8)</f>
        <v>0</v>
      </c>
      <c r="D52" t="str">
        <f>D$9 * (10.25042247772217 -D$8)</f>
        <v>0</v>
      </c>
      <c r="F52" t="str">
        <f>F$9 * (-0.0009161917841993272 -F$8)</f>
        <v>0</v>
      </c>
      <c r="G52" t="str">
        <f>G$9 * (-0.4107750952243805 -G$8)</f>
        <v>0</v>
      </c>
      <c r="H52" t="str">
        <f>H$9 * (-0.1906646937131882 -H$8)</f>
        <v>0</v>
      </c>
      <c r="I52" t="str">
        <f>I$9 * (2.068180037895218E-5 -I$8)</f>
        <v>0</v>
      </c>
    </row>
    <row r="53" spans="1:11">
      <c r="A53" t="str">
        <f>A$9 * (10.50008583068848 -A$8)</f>
        <v>0</v>
      </c>
      <c r="B53" t="str">
        <f>B$9 * (10.50008583068848 -B$8)</f>
        <v>0</v>
      </c>
      <c r="C53" t="str">
        <f>C$9 * (10.50008583068848 -C$8)</f>
        <v>0</v>
      </c>
      <c r="D53" t="str">
        <f>D$9 * (10.50008583068848 -D$8)</f>
        <v>0</v>
      </c>
      <c r="F53" t="str">
        <f>F$9 * (-0.0004111540038138628 -F$8)</f>
        <v>0</v>
      </c>
      <c r="G53" t="str">
        <f>G$9 * (-0.9112340211868286 -G$8)</f>
        <v>0</v>
      </c>
      <c r="H53" t="str">
        <f>H$9 * (0.4480277895927429 -H$8)</f>
        <v>0</v>
      </c>
      <c r="I53" t="str">
        <f>I$9 * (3.550000116092633E-8 -I$8)</f>
        <v>0</v>
      </c>
    </row>
    <row r="54" spans="1:11">
      <c r="A54" t="str">
        <f>A$9 * (10.75004959106445 -A$8)</f>
        <v>0</v>
      </c>
      <c r="B54" t="str">
        <f>B$9 * (10.75004959106445 -B$8)</f>
        <v>0</v>
      </c>
      <c r="C54" t="str">
        <f>C$9 * (10.75004959106445 -C$8)</f>
        <v>0</v>
      </c>
      <c r="D54" t="str">
        <f>D$9 * (10.75004959106445 -D$8)</f>
        <v>0</v>
      </c>
      <c r="F54" t="str">
        <f>F$9 * (-4.624000212061219E-6 -F$8)</f>
        <v>0</v>
      </c>
      <c r="G54" t="str">
        <f>G$9 * (-0.08440952003002167 -G$8)</f>
        <v>0</v>
      </c>
      <c r="H54" t="str">
        <f>H$9 * (3.835819005966187 -H$8)</f>
        <v>0</v>
      </c>
      <c r="I54" t="str">
        <f>I$9 * (5.854000164617901E-7 -I$8)</f>
        <v>0</v>
      </c>
    </row>
    <row r="55" spans="1:11">
      <c r="A55" t="str">
        <f>A$9 * (11.00026988983154 -A$8)</f>
        <v>0</v>
      </c>
      <c r="B55" t="str">
        <f>B$9 * (11.00026988983154 -B$8)</f>
        <v>0</v>
      </c>
      <c r="C55" t="str">
        <f>C$9 * (11.00026988983154 -C$8)</f>
        <v>0</v>
      </c>
      <c r="D55" t="str">
        <f>D$9 * (11.00026988983154 -D$8)</f>
        <v>0</v>
      </c>
      <c r="F55" t="str">
        <f>F$9 * (0.007004139944911003 -F$8)</f>
        <v>0</v>
      </c>
      <c r="G55" t="str">
        <f>G$9 * (0.5510904788970947 -G$8)</f>
        <v>0</v>
      </c>
      <c r="H55" t="str">
        <f>H$9 * (29.07954025268555 -H$8)</f>
        <v>0</v>
      </c>
      <c r="I55" t="str">
        <f>I$9 * (0.1362762004137039 -I$8)</f>
        <v>0</v>
      </c>
    </row>
    <row r="56" spans="1:11">
      <c r="A56" t="str">
        <f>A$9 * (11.25038909912109 -A$8)</f>
        <v>0</v>
      </c>
      <c r="B56" t="str">
        <f>B$9 * (11.25038909912109 -B$8)</f>
        <v>0</v>
      </c>
      <c r="C56" t="str">
        <f>C$9 * (11.25038909912109 -C$8)</f>
        <v>0</v>
      </c>
      <c r="D56" t="str">
        <f>D$9 * (11.25038909912109 -D$8)</f>
        <v>0</v>
      </c>
      <c r="F56" t="str">
        <f>F$9 * (-0.003060854040086269 -F$8)</f>
        <v>0</v>
      </c>
      <c r="G56" t="str">
        <f>G$9 * (-1.454970955848694 -G$8)</f>
        <v>0</v>
      </c>
      <c r="H56" t="str">
        <f>H$9 * (0.4151616990566254 -H$8)</f>
        <v>0</v>
      </c>
      <c r="I56" t="str">
        <f>I$9 * (4.558999933124142E-7 -I$8)</f>
        <v>0</v>
      </c>
    </row>
    <row r="57" spans="1:11">
      <c r="A57" t="str">
        <f>A$9 * (11.50056648254395 -A$8)</f>
        <v>0</v>
      </c>
      <c r="B57" t="str">
        <f>B$9 * (11.50056648254395 -B$8)</f>
        <v>0</v>
      </c>
      <c r="C57" t="str">
        <f>C$9 * (11.50056648254395 -C$8)</f>
        <v>0</v>
      </c>
      <c r="D57" t="str">
        <f>D$9 * (11.50056648254395 -D$8)</f>
        <v>0</v>
      </c>
      <c r="F57" t="str">
        <f>F$9 * (-0.001263663056306541 -F$8)</f>
        <v>0</v>
      </c>
      <c r="G57" t="str">
        <f>G$9 * (-0.5653247237205505 -G$8)</f>
        <v>0</v>
      </c>
      <c r="H57" t="str">
        <f>H$9 * (-0.2653366029262543 -H$8)</f>
        <v>0</v>
      </c>
      <c r="I57" t="str">
        <f>I$9 * (1.261709985556081E-5 -I$8)</f>
        <v>0</v>
      </c>
    </row>
    <row r="58" spans="1:11">
      <c r="A58" t="str">
        <f>A$9 * (11.7500057220459 -A$8)</f>
        <v>0</v>
      </c>
      <c r="B58" t="str">
        <f>B$9 * (11.7500057220459 -B$8)</f>
        <v>0</v>
      </c>
      <c r="C58" t="str">
        <f>C$9 * (11.7500057220459 -C$8)</f>
        <v>0</v>
      </c>
      <c r="D58" t="str">
        <f>D$9 * (11.7500057220459 -D$8)</f>
        <v>0</v>
      </c>
      <c r="F58" t="str">
        <f>F$9 * (-0.0006319130188785493 -F$8)</f>
        <v>0</v>
      </c>
      <c r="G58" t="str">
        <f>G$9 * (-0.7334163784980774 -G$8)</f>
        <v>0</v>
      </c>
      <c r="H58" t="str">
        <f>H$9 * (0.07118108868598938 -H$8)</f>
        <v>0</v>
      </c>
      <c r="I58" t="str">
        <f>I$9 * (7.140000235494881E-8 -I$8)</f>
        <v>0</v>
      </c>
    </row>
    <row r="59" spans="1:11">
      <c r="A59" t="str">
        <f>A$9 * (12.00052738189697 -A$8)</f>
        <v>0</v>
      </c>
      <c r="B59" t="str">
        <f>B$9 * (12.00052738189697 -B$8)</f>
        <v>0</v>
      </c>
      <c r="C59" t="str">
        <f>C$9 * (12.00052738189697 -C$8)</f>
        <v>0</v>
      </c>
      <c r="D59" t="str">
        <f>D$9 * (12.00052738189697 -D$8)</f>
        <v>0</v>
      </c>
      <c r="F59" t="str">
        <f>F$9 * (0.001560032018460333 -F$8)</f>
        <v>0</v>
      </c>
      <c r="G59" t="str">
        <f>G$9 * (0.0514661893248558 -G$8)</f>
        <v>0</v>
      </c>
      <c r="H59" t="str">
        <f>H$9 * (0.130135104060173 -H$8)</f>
        <v>0</v>
      </c>
      <c r="I59" t="str">
        <f>I$9 * (1.500000013088254E-9 -I$8)</f>
        <v>0</v>
      </c>
    </row>
    <row r="60" spans="1:11">
      <c r="A60" t="str">
        <f>A$9 * (12.2503080368042 -A$8)</f>
        <v>0</v>
      </c>
      <c r="B60" t="str">
        <f>B$9 * (12.2503080368042 -B$8)</f>
        <v>0</v>
      </c>
      <c r="C60" t="str">
        <f>C$9 * (12.2503080368042 -C$8)</f>
        <v>0</v>
      </c>
      <c r="D60" t="str">
        <f>D$9 * (12.2503080368042 -D$8)</f>
        <v>0</v>
      </c>
      <c r="F60" t="str">
        <f>F$9 * (0.005055958870798349 -F$8)</f>
        <v>0</v>
      </c>
      <c r="G60" t="str">
        <f>G$9 * (0.2504552900791168 -G$8)</f>
        <v>0</v>
      </c>
      <c r="H60" t="str">
        <f>H$9 * (16.46599006652832 -H$8)</f>
        <v>0</v>
      </c>
      <c r="I60" t="str">
        <f>I$9 * (0.04334317147731781 -I$8)</f>
        <v>0</v>
      </c>
    </row>
    <row r="61" spans="1:11">
      <c r="A61" t="str">
        <f>A$9 * (12.50016975402832 -A$8)</f>
        <v>0</v>
      </c>
      <c r="B61" t="str">
        <f>B$9 * (12.50016975402832 -B$8)</f>
        <v>0</v>
      </c>
      <c r="C61" t="str">
        <f>C$9 * (12.50016975402832 -C$8)</f>
        <v>0</v>
      </c>
      <c r="D61" t="str">
        <f>D$9 * (12.50016975402832 -D$8)</f>
        <v>0</v>
      </c>
      <c r="F61" t="str">
        <f>F$9 * (0.07205624878406525 -F$8)</f>
        <v>0</v>
      </c>
      <c r="G61" t="str">
        <f>G$9 * (14.91555023193359 -G$8)</f>
        <v>0</v>
      </c>
      <c r="H61" t="str">
        <f>H$9 * (16.00824928283691 -H$8)</f>
        <v>0</v>
      </c>
      <c r="I61" t="str">
        <f>I$9 * (0.2349548935890198 -I$8)</f>
        <v>0</v>
      </c>
    </row>
    <row r="62" spans="1:11">
      <c r="A62" t="str">
        <f>A$9 * (12.75010299682617 -A$8)</f>
        <v>0</v>
      </c>
      <c r="B62" t="str">
        <f>B$9 * (12.75010299682617 -B$8)</f>
        <v>0</v>
      </c>
      <c r="C62" t="str">
        <f>C$9 * (12.75010299682617 -C$8)</f>
        <v>0</v>
      </c>
      <c r="D62" t="str">
        <f>D$9 * (12.75010299682617 -D$8)</f>
        <v>0</v>
      </c>
      <c r="F62" t="str">
        <f>F$9 * (0.009416135028004646 -F$8)</f>
        <v>0</v>
      </c>
      <c r="G62" t="str">
        <f>G$9 * (5.347262859344482 -G$8)</f>
        <v>0</v>
      </c>
      <c r="H62" t="str">
        <f>H$9 * (11.24038028717041 -H$8)</f>
        <v>0</v>
      </c>
      <c r="I62" t="str">
        <f>I$9 * (0.0300502497702837 -I$8)</f>
        <v>0</v>
      </c>
    </row>
    <row r="63" spans="1:11">
      <c r="A63" t="str">
        <f>A$9 * (13.00012493133545 -A$8)</f>
        <v>0</v>
      </c>
      <c r="B63" t="str">
        <f>B$9 * (13.00012493133545 -B$8)</f>
        <v>0</v>
      </c>
      <c r="C63" t="str">
        <f>C$9 * (13.00012493133545 -C$8)</f>
        <v>0</v>
      </c>
      <c r="D63" t="str">
        <f>D$9 * (13.00012493133545 -D$8)</f>
        <v>0</v>
      </c>
      <c r="F63" t="str">
        <f>F$9 * (0.0001958317006938159 -F$8)</f>
        <v>0</v>
      </c>
      <c r="G63" t="str">
        <f>G$9 * (0.05220165103673935 -G$8)</f>
        <v>0</v>
      </c>
      <c r="H63" t="str">
        <f>H$9 * (2.887099981307983 -H$8)</f>
        <v>0</v>
      </c>
      <c r="I63" t="str">
        <f>I$9 * (5.44000009483625E-8 -I$8)</f>
        <v>0</v>
      </c>
    </row>
    <row r="64" spans="1:11">
      <c r="A64" t="str">
        <f>A$9 * (13.25016117095947 -A$8)</f>
        <v>0</v>
      </c>
      <c r="B64" t="str">
        <f>B$9 * (13.25016117095947 -B$8)</f>
        <v>0</v>
      </c>
      <c r="C64" t="str">
        <f>C$9 * (13.25016117095947 -C$8)</f>
        <v>0</v>
      </c>
      <c r="D64" t="str">
        <f>D$9 * (13.25016117095947 -D$8)</f>
        <v>0</v>
      </c>
      <c r="F64" t="str">
        <f>F$9 * (-0.0007825188222341239 -F$8)</f>
        <v>0</v>
      </c>
      <c r="G64" t="str">
        <f>G$9 * (-0.8416370749473572 -G$8)</f>
        <v>0</v>
      </c>
      <c r="H64" t="str">
        <f>H$9 * (-0.04094627872109413 -H$8)</f>
        <v>0</v>
      </c>
      <c r="I64" t="str">
        <f>I$9 * (4.409999831977984E-8 -I$8)</f>
        <v>0</v>
      </c>
    </row>
    <row r="65" spans="1:11">
      <c r="A65" t="str">
        <f>A$9 * (13.50045299530029 -A$8)</f>
        <v>0</v>
      </c>
      <c r="B65" t="str">
        <f>B$9 * (13.50045299530029 -B$8)</f>
        <v>0</v>
      </c>
      <c r="C65" t="str">
        <f>C$9 * (13.50045299530029 -C$8)</f>
        <v>0</v>
      </c>
      <c r="D65" t="str">
        <f>D$9 * (13.50045299530029 -D$8)</f>
        <v>0</v>
      </c>
      <c r="F65" t="str">
        <f>F$9 * (-4.431229899637401E-5 -F$8)</f>
        <v>0</v>
      </c>
      <c r="G65" t="str">
        <f>G$9 * (-1.441771984100342 -G$8)</f>
        <v>0</v>
      </c>
      <c r="H65" t="str">
        <f>H$9 * (2.727288007736206 -H$8)</f>
        <v>0</v>
      </c>
      <c r="I65" t="str">
        <f>I$9 * (2.303000030678959E-7 -I$8)</f>
        <v>0</v>
      </c>
    </row>
    <row r="66" spans="1:11">
      <c r="A66" t="str">
        <f>A$9 * (13.7502555847168 -A$8)</f>
        <v>0</v>
      </c>
      <c r="B66" t="str">
        <f>B$9 * (13.7502555847168 -B$8)</f>
        <v>0</v>
      </c>
      <c r="C66" t="str">
        <f>C$9 * (13.7502555847168 -C$8)</f>
        <v>0</v>
      </c>
      <c r="D66" t="str">
        <f>D$9 * (13.7502555847168 -D$8)</f>
        <v>0</v>
      </c>
      <c r="F66" t="str">
        <f>F$9 * (-0.002699261996895075 -F$8)</f>
        <v>0</v>
      </c>
      <c r="G66" t="str">
        <f>G$9 * (-2.021634101867676 -G$8)</f>
        <v>0</v>
      </c>
      <c r="H66" t="str">
        <f>H$9 * (0.7743142247200012 -H$8)</f>
        <v>0</v>
      </c>
      <c r="I66" t="str">
        <f>I$9 * (0.001649070996791124 -I$8)</f>
        <v>0</v>
      </c>
    </row>
    <row r="67" spans="1:11">
      <c r="A67" t="str">
        <f>A$9 * (14.0000057220459 -A$8)</f>
        <v>0</v>
      </c>
      <c r="B67" t="str">
        <f>B$9 * (14.0000057220459 -B$8)</f>
        <v>0</v>
      </c>
      <c r="C67" t="str">
        <f>C$9 * (14.0000057220459 -C$8)</f>
        <v>0</v>
      </c>
      <c r="D67" t="str">
        <f>D$9 * (14.0000057220459 -D$8)</f>
        <v>0</v>
      </c>
      <c r="F67" t="str">
        <f>F$9 * (-0.0002717156894505024 -F$8)</f>
        <v>0</v>
      </c>
      <c r="G67" t="str">
        <f>G$9 * (-0.9767081737518311 -G$8)</f>
        <v>0</v>
      </c>
      <c r="H67" t="str">
        <f>H$9 * (1.831099033355713 -H$8)</f>
        <v>0</v>
      </c>
      <c r="I67" t="str">
        <f>I$9 * (4.259999997202613E-8 -I$8)</f>
        <v>0</v>
      </c>
    </row>
    <row r="68" spans="1:11">
      <c r="A68" t="str">
        <f>A$9 * (14.25004768371582 -A$8)</f>
        <v>0</v>
      </c>
      <c r="B68" t="str">
        <f>B$9 * (14.25004768371582 -B$8)</f>
        <v>0</v>
      </c>
      <c r="C68" t="str">
        <f>C$9 * (14.25004768371582 -C$8)</f>
        <v>0</v>
      </c>
      <c r="D68" t="str">
        <f>D$9 * (14.25004768371582 -D$8)</f>
        <v>0</v>
      </c>
      <c r="F68" t="str">
        <f>F$9 * (8.844889816828072E-5 -F$8)</f>
        <v>0</v>
      </c>
      <c r="G68" t="str">
        <f>G$9 * (-1.485070943832397 -G$8)</f>
        <v>0</v>
      </c>
      <c r="H68" t="str">
        <f>H$9 * (0.9847363829612732 -H$8)</f>
        <v>0</v>
      </c>
      <c r="I68" t="str">
        <f>I$9 * (2.348999998957879E-7 -I$8)</f>
        <v>0</v>
      </c>
    </row>
    <row r="69" spans="1:11">
      <c r="A69" t="str">
        <f>A$9 * (14.50016689300537 -A$8)</f>
        <v>0</v>
      </c>
      <c r="B69" t="str">
        <f>B$9 * (14.50016689300537 -B$8)</f>
        <v>0</v>
      </c>
      <c r="C69" t="str">
        <f>C$9 * (14.50016689300537 -C$8)</f>
        <v>0</v>
      </c>
      <c r="D69" t="str">
        <f>D$9 * (14.50016689300537 -D$8)</f>
        <v>0</v>
      </c>
      <c r="F69" t="str">
        <f>F$9 * (0.01321564987301826 -F$8)</f>
        <v>0</v>
      </c>
      <c r="G69" t="str">
        <f>G$9 * (3.543694019317627 -G$8)</f>
        <v>0</v>
      </c>
      <c r="H69" t="str">
        <f>H$9 * (5.855937004089355 -H$8)</f>
        <v>0</v>
      </c>
      <c r="I69" t="str">
        <f>I$9 * (0.01567042991518974 -I$8)</f>
        <v>0</v>
      </c>
    </row>
    <row r="70" spans="1:11">
      <c r="A70" t="str">
        <f>A$9 * (14.75031089782715 -A$8)</f>
        <v>0</v>
      </c>
      <c r="B70" t="str">
        <f>B$9 * (14.75031089782715 -B$8)</f>
        <v>0</v>
      </c>
      <c r="C70" t="str">
        <f>C$9 * (14.75031089782715 -C$8)</f>
        <v>0</v>
      </c>
      <c r="D70" t="str">
        <f>D$9 * (14.75031089782715 -D$8)</f>
        <v>0</v>
      </c>
      <c r="F70" t="str">
        <f>F$9 * (-0.001807200023904443 -F$8)</f>
        <v>0</v>
      </c>
      <c r="G70" t="str">
        <f>G$9 * (-2.00860595703125 -G$8)</f>
        <v>0</v>
      </c>
      <c r="H70" t="str">
        <f>H$9 * (0.8199836015701294 -H$8)</f>
        <v>0</v>
      </c>
      <c r="I70" t="str">
        <f>I$9 * (4.908999926556135E-7 -I$8)</f>
        <v>0</v>
      </c>
    </row>
    <row r="71" spans="1:11">
      <c r="A71" t="str">
        <f>A$9 * (15.00023651123047 -A$8)</f>
        <v>0</v>
      </c>
      <c r="B71" t="str">
        <f>B$9 * (15.00023651123047 -B$8)</f>
        <v>0</v>
      </c>
      <c r="C71" t="str">
        <f>C$9 * (15.00023651123047 -C$8)</f>
        <v>0</v>
      </c>
      <c r="D71" t="str">
        <f>D$9 * (15.00023651123047 -D$8)</f>
        <v>0</v>
      </c>
      <c r="F71" t="str">
        <f>F$9 * (-0.0008009346202015877 -F$8)</f>
        <v>0</v>
      </c>
      <c r="G71" t="str">
        <f>G$9 * (-0.7618653178215027 -G$8)</f>
        <v>0</v>
      </c>
      <c r="H71" t="str">
        <f>H$9 * (0.1212090030312538 -H$8)</f>
        <v>0</v>
      </c>
      <c r="I71" t="str">
        <f>I$9 * (1.159000007078248E-7 -I$8)</f>
        <v>0</v>
      </c>
    </row>
    <row r="72" spans="1:11">
      <c r="A72" t="str">
        <f>A$9 * (15.25072479248047 -A$8)</f>
        <v>0</v>
      </c>
      <c r="B72" t="str">
        <f>B$9 * (15.25072479248047 -B$8)</f>
        <v>0</v>
      </c>
      <c r="C72" t="str">
        <f>C$9 * (15.25072479248047 -C$8)</f>
        <v>0</v>
      </c>
      <c r="D72" t="str">
        <f>D$9 * (15.25072479248047 -D$8)</f>
        <v>0</v>
      </c>
      <c r="F72" t="str">
        <f>F$9 * (-0.0002249186945846304 -F$8)</f>
        <v>0</v>
      </c>
      <c r="G72" t="str">
        <f>G$9 * (-0.7802948951721191 -G$8)</f>
        <v>0</v>
      </c>
      <c r="H72" t="str">
        <f>H$9 * (0.402363508939743 -H$8)</f>
        <v>0</v>
      </c>
      <c r="I72" t="str">
        <f>I$9 * (1.450000031155696E-8 -I$8)</f>
        <v>0</v>
      </c>
    </row>
    <row r="73" spans="1:11">
      <c r="A73" t="str">
        <f>A$9 * (15.50008583068848 -A$8)</f>
        <v>0</v>
      </c>
      <c r="B73" t="str">
        <f>B$9 * (15.50008583068848 -B$8)</f>
        <v>0</v>
      </c>
      <c r="C73" t="str">
        <f>C$9 * (15.50008583068848 -C$8)</f>
        <v>0</v>
      </c>
      <c r="D73" t="str">
        <f>D$9 * (15.50008583068848 -D$8)</f>
        <v>0</v>
      </c>
      <c r="F73" t="str">
        <f>F$9 * (-0.000633159012068063 -F$8)</f>
        <v>0</v>
      </c>
      <c r="G73" t="str">
        <f>G$9 * (-0.2733122110366821 -G$8)</f>
        <v>0</v>
      </c>
      <c r="H73" t="str">
        <f>H$9 * (-0.169569194316864 -H$8)</f>
        <v>0</v>
      </c>
      <c r="I73" t="str">
        <f>I$9 * (4.764859841088764E-5 -I$8)</f>
        <v>0</v>
      </c>
    </row>
    <row r="74" spans="1:11">
      <c r="A74" t="str">
        <f>A$9 * (15.75078010559082 -A$8)</f>
        <v>0</v>
      </c>
      <c r="B74" t="str">
        <f>B$9 * (15.75078010559082 -B$8)</f>
        <v>0</v>
      </c>
      <c r="C74" t="str">
        <f>C$9 * (15.75078010559082 -C$8)</f>
        <v>0</v>
      </c>
      <c r="D74" t="str">
        <f>D$9 * (15.75078010559082 -D$8)</f>
        <v>0</v>
      </c>
      <c r="F74" t="str">
        <f>F$9 * (0.08484415709972382 -F$8)</f>
        <v>0</v>
      </c>
      <c r="G74" t="str">
        <f>G$9 * (3.225038051605225 -G$8)</f>
        <v>0</v>
      </c>
      <c r="H74" t="str">
        <f>H$9 * (3.391942024230957 -H$8)</f>
        <v>0</v>
      </c>
      <c r="I74" t="str">
        <f>I$9 * (0.04017477110028267 -I$8)</f>
        <v>0</v>
      </c>
    </row>
    <row r="75" spans="1:11">
      <c r="A75" t="str">
        <f>A$9 * (16.00008583068848 -A$8)</f>
        <v>0</v>
      </c>
      <c r="B75" t="str">
        <f>B$9 * (16.00008583068848 -B$8)</f>
        <v>0</v>
      </c>
      <c r="C75" t="str">
        <f>C$9 * (16.00008583068848 -C$8)</f>
        <v>0</v>
      </c>
      <c r="D75" t="str">
        <f>D$9 * (16.00008583068848 -D$8)</f>
        <v>0</v>
      </c>
      <c r="F75" t="str">
        <f>F$9 * (0.01472316030412912 -F$8)</f>
        <v>0</v>
      </c>
      <c r="G75" t="str">
        <f>G$9 * (2.67286205291748 -G$8)</f>
        <v>0</v>
      </c>
      <c r="H75" t="str">
        <f>H$9 * (4.115831851959229 -H$8)</f>
        <v>0</v>
      </c>
      <c r="I75" t="str">
        <f>I$9 * (7.772000003569701E-7 -I$8)</f>
        <v>0</v>
      </c>
    </row>
    <row r="76" spans="1:11">
      <c r="A76" t="str">
        <f>A$9 * (16.25002288818359 -A$8)</f>
        <v>0</v>
      </c>
      <c r="B76" t="str">
        <f>B$9 * (16.25002288818359 -B$8)</f>
        <v>0</v>
      </c>
      <c r="C76" t="str">
        <f>C$9 * (16.25002288818359 -C$8)</f>
        <v>0</v>
      </c>
      <c r="D76" t="str">
        <f>D$9 * (16.25002288818359 -D$8)</f>
        <v>0</v>
      </c>
      <c r="F76" t="str">
        <f>F$9 * (0.002308157971128821 -F$8)</f>
        <v>0</v>
      </c>
      <c r="G76" t="str">
        <f>G$9 * (-1.185809016227722 -G$8)</f>
        <v>0</v>
      </c>
      <c r="H76" t="str">
        <f>H$9 * (1.269049048423767 -H$8)</f>
        <v>0</v>
      </c>
      <c r="I76" t="str">
        <f>I$9 * (0.0001741688029142097 -I$8)</f>
        <v>0</v>
      </c>
    </row>
    <row r="77" spans="1:11">
      <c r="A77" t="str">
        <f>A$9 * (16.50029754638672 -A$8)</f>
        <v>0</v>
      </c>
      <c r="B77" t="str">
        <f>B$9 * (16.50029754638672 -B$8)</f>
        <v>0</v>
      </c>
      <c r="C77" t="str">
        <f>C$9 * (16.50029754638672 -C$8)</f>
        <v>0</v>
      </c>
      <c r="D77" t="str">
        <f>D$9 * (16.50029754638672 -D$8)</f>
        <v>0</v>
      </c>
      <c r="F77" t="str">
        <f>F$9 * (-0.0006971390102989972 -F$8)</f>
        <v>0</v>
      </c>
      <c r="G77" t="str">
        <f>G$9 * (-0.2150090932846069 -G$8)</f>
        <v>0</v>
      </c>
      <c r="H77" t="str">
        <f>H$9 * (-0.1850689947605133 -H$8)</f>
        <v>0</v>
      </c>
      <c r="I77" t="str">
        <f>I$9 * (4.799999953064571E-9 -I$8)</f>
        <v>0</v>
      </c>
    </row>
    <row r="78" spans="1:11">
      <c r="A78" t="str">
        <f>A$9 * (16.75045013427734 -A$8)</f>
        <v>0</v>
      </c>
      <c r="B78" t="str">
        <f>B$9 * (16.75045013427734 -B$8)</f>
        <v>0</v>
      </c>
      <c r="C78" t="str">
        <f>C$9 * (16.75045013427734 -C$8)</f>
        <v>0</v>
      </c>
      <c r="D78" t="str">
        <f>D$9 * (16.75045013427734 -D$8)</f>
        <v>0</v>
      </c>
      <c r="F78" t="str">
        <f>F$9 * (-0.0001108629003283568 -F$8)</f>
        <v>0</v>
      </c>
      <c r="G78" t="str">
        <f>G$9 * (-0.9146965146064758 -G$8)</f>
        <v>0</v>
      </c>
      <c r="H78" t="str">
        <f>H$9 * (2.484538078308105 -H$8)</f>
        <v>0</v>
      </c>
      <c r="I78" t="str">
        <f>I$9 * (2.666000114004419E-7 -I$8)</f>
        <v>0</v>
      </c>
    </row>
    <row r="79" spans="1:11">
      <c r="A79" t="str">
        <f>A$9 * (17.00076103210449 -A$8)</f>
        <v>0</v>
      </c>
      <c r="B79" t="str">
        <f>B$9 * (17.00076103210449 -B$8)</f>
        <v>0</v>
      </c>
      <c r="C79" t="str">
        <f>C$9 * (17.00076103210449 -C$8)</f>
        <v>0</v>
      </c>
      <c r="D79" t="str">
        <f>D$9 * (17.00076103210449 -D$8)</f>
        <v>0</v>
      </c>
      <c r="F79" t="str">
        <f>F$9 * (0.1078886985778809 -F$8)</f>
        <v>0</v>
      </c>
      <c r="G79" t="str">
        <f>G$9 * (7.336628913879395 -G$8)</f>
        <v>0</v>
      </c>
      <c r="H79" t="str">
        <f>H$9 * (7.598748207092285 -H$8)</f>
        <v>0</v>
      </c>
      <c r="I79" t="str">
        <f>I$9 * (0.1421152949333191 -I$8)</f>
        <v>0</v>
      </c>
    </row>
    <row r="80" spans="1:11">
      <c r="A80" t="str">
        <f>A$9 * (17.25020217895508 -A$8)</f>
        <v>0</v>
      </c>
      <c r="B80" t="str">
        <f>B$9 * (17.25020217895508 -B$8)</f>
        <v>0</v>
      </c>
      <c r="C80" t="str">
        <f>C$9 * (17.25020217895508 -C$8)</f>
        <v>0</v>
      </c>
      <c r="D80" t="str">
        <f>D$9 * (17.25020217895508 -D$8)</f>
        <v>0</v>
      </c>
      <c r="F80" t="str">
        <f>F$9 * (0.02902751974761486 -F$8)</f>
        <v>0</v>
      </c>
      <c r="G80" t="str">
        <f>G$9 * (4.083207130432129 -G$8)</f>
        <v>0</v>
      </c>
      <c r="H80" t="str">
        <f>H$9 * (4.577682018280029 -H$8)</f>
        <v>0</v>
      </c>
      <c r="I80" t="str">
        <f>I$9 * (2.194700073232525E-6 -I$8)</f>
        <v>0</v>
      </c>
    </row>
    <row r="81" spans="1:11">
      <c r="A81" t="str">
        <f>A$9 * (17.50014495849609 -A$8)</f>
        <v>0</v>
      </c>
      <c r="B81" t="str">
        <f>B$9 * (17.50014495849609 -B$8)</f>
        <v>0</v>
      </c>
      <c r="C81" t="str">
        <f>C$9 * (17.50014495849609 -C$8)</f>
        <v>0</v>
      </c>
      <c r="D81" t="str">
        <f>D$9 * (17.50014495849609 -D$8)</f>
        <v>0</v>
      </c>
      <c r="F81" t="str">
        <f>F$9 * (0.01524388045072556 -F$8)</f>
        <v>0</v>
      </c>
      <c r="G81" t="str">
        <f>G$9 * (8.574679374694824 -G$8)</f>
        <v>0</v>
      </c>
      <c r="H81" t="str">
        <f>H$9 * (14.50432014465332 -H$8)</f>
        <v>0</v>
      </c>
      <c r="I81" t="str">
        <f>I$9 * (0.05889366939663887 -I$8)</f>
        <v>0</v>
      </c>
    </row>
    <row r="82" spans="1:11">
      <c r="A82" t="str">
        <f>A$9 * (17.75012588500977 -A$8)</f>
        <v>0</v>
      </c>
      <c r="B82" t="str">
        <f>B$9 * (17.75012588500977 -B$8)</f>
        <v>0</v>
      </c>
      <c r="C82" t="str">
        <f>C$9 * (17.75012588500977 -C$8)</f>
        <v>0</v>
      </c>
      <c r="D82" t="str">
        <f>D$9 * (17.75012588500977 -D$8)</f>
        <v>0</v>
      </c>
      <c r="F82" t="str">
        <f>F$9 * (0.004218754824250937 -F$8)</f>
        <v>0</v>
      </c>
      <c r="G82" t="str">
        <f>G$9 * (2.187983989715576 -G$8)</f>
        <v>0</v>
      </c>
      <c r="H82" t="str">
        <f>H$9 * (7.830365180969238 -H$8)</f>
        <v>0</v>
      </c>
      <c r="I82" t="str">
        <f>I$9 * (0.01122832018882036 -I$8)</f>
        <v>0</v>
      </c>
    </row>
    <row r="83" spans="1:11">
      <c r="A83" t="str">
        <f>A$9 * (18.0000171661377 -A$8)</f>
        <v>0</v>
      </c>
      <c r="B83" t="str">
        <f>B$9 * (18.0000171661377 -B$8)</f>
        <v>0</v>
      </c>
      <c r="C83" t="str">
        <f>C$9 * (18.0000171661377 -C$8)</f>
        <v>0</v>
      </c>
      <c r="D83" t="str">
        <f>D$9 * (18.0000171661377 -D$8)</f>
        <v>0</v>
      </c>
      <c r="F83" t="str">
        <f>F$9 * (-0.0002882576955016702 -F$8)</f>
        <v>0</v>
      </c>
      <c r="G83" t="str">
        <f>G$9 * (-0.2918680012226105 -G$8)</f>
        <v>0</v>
      </c>
      <c r="H83" t="str">
        <f>H$9 * (1.136808037757874 -H$8)</f>
        <v>0</v>
      </c>
      <c r="I83" t="str">
        <f>I$9 * (1.120000021614942E-7 -I$8)</f>
        <v>0</v>
      </c>
    </row>
    <row r="84" spans="1:11">
      <c r="A84" t="str">
        <f>A$9 * (18.25006294250488 -A$8)</f>
        <v>0</v>
      </c>
      <c r="B84" t="str">
        <f>B$9 * (18.25006294250488 -B$8)</f>
        <v>0</v>
      </c>
      <c r="C84" t="str">
        <f>C$9 * (18.25006294250488 -C$8)</f>
        <v>0</v>
      </c>
      <c r="D84" t="str">
        <f>D$9 * (18.25006294250488 -D$8)</f>
        <v>0</v>
      </c>
      <c r="F84" t="str">
        <f>F$9 * (0.0007533365860581398 -F$8)</f>
        <v>0</v>
      </c>
      <c r="G84" t="str">
        <f>G$9 * (-1.086701035499573 -G$8)</f>
        <v>0</v>
      </c>
      <c r="H84" t="str">
        <f>H$9 * (2.674822092056274 -H$8)</f>
        <v>0</v>
      </c>
      <c r="I84" t="str">
        <f>I$9 * (5.472999760058883E-7 -I$8)</f>
        <v>0</v>
      </c>
    </row>
    <row r="85" spans="1:11">
      <c r="A85" t="str">
        <f>A$9 * (18.50054359436035 -A$8)</f>
        <v>0</v>
      </c>
      <c r="B85" t="str">
        <f>B$9 * (18.50054359436035 -B$8)</f>
        <v>0</v>
      </c>
      <c r="C85" t="str">
        <f>C$9 * (18.50054359436035 -C$8)</f>
        <v>0</v>
      </c>
      <c r="D85" t="str">
        <f>D$9 * (18.50054359436035 -D$8)</f>
        <v>0</v>
      </c>
      <c r="F85" t="str">
        <f>F$9 * (-6.646600013482384E-6 -F$8)</f>
        <v>0</v>
      </c>
      <c r="G85" t="str">
        <f>G$9 * (-1.597506999969482 -G$8)</f>
        <v>0</v>
      </c>
      <c r="H85" t="str">
        <f>H$9 * (2.941704034805298 -H$8)</f>
        <v>0</v>
      </c>
      <c r="I85" t="str">
        <f>I$9 * (2.692000009574258E-7 -I$8)</f>
        <v>0</v>
      </c>
    </row>
    <row r="86" spans="1:11">
      <c r="A86" t="str">
        <f>A$9 * (18.75059127807617 -A$8)</f>
        <v>0</v>
      </c>
      <c r="B86" t="str">
        <f>B$9 * (18.75059127807617 -B$8)</f>
        <v>0</v>
      </c>
      <c r="C86" t="str">
        <f>C$9 * (18.75059127807617 -C$8)</f>
        <v>0</v>
      </c>
      <c r="D86" t="str">
        <f>D$9 * (18.75059127807617 -D$8)</f>
        <v>0</v>
      </c>
      <c r="F86" t="str">
        <f>F$9 * (-8.906790026230738E-5 -F$8)</f>
        <v>0</v>
      </c>
      <c r="G86" t="str">
        <f>G$9 * (-1.130089998245239 -G$8)</f>
        <v>0</v>
      </c>
      <c r="H86" t="str">
        <f>H$9 * (1.809648990631104 -H$8)</f>
        <v>0</v>
      </c>
      <c r="I86" t="str">
        <f>I$9 * (0.002013491932302713 -I$8)</f>
        <v>0</v>
      </c>
    </row>
    <row r="87" spans="1:11">
      <c r="A87" t="str">
        <f>A$9 * (19.00070571899414 -A$8)</f>
        <v>0</v>
      </c>
      <c r="B87" t="str">
        <f>B$9 * (19.00070571899414 -B$8)</f>
        <v>0</v>
      </c>
      <c r="C87" t="str">
        <f>C$9 * (19.00070571899414 -C$8)</f>
        <v>0</v>
      </c>
      <c r="D87" t="str">
        <f>D$9 * (19.00070571899414 -D$8)</f>
        <v>0</v>
      </c>
      <c r="F87" t="str">
        <f>F$9 * (-0.0009523035841993988 -F$8)</f>
        <v>0</v>
      </c>
      <c r="G87" t="str">
        <f>G$9 * (-0.791618287563324 -G$8)</f>
        <v>0</v>
      </c>
      <c r="H87" t="str">
        <f>H$9 * (0.1359204053878784 -H$8)</f>
        <v>0</v>
      </c>
      <c r="I87" t="str">
        <f>I$9 * (0.0002677084994502366 -I$8)</f>
        <v>0</v>
      </c>
    </row>
    <row r="88" spans="1:11">
      <c r="A88" t="str">
        <f>A$9 * (19.25062561035156 -A$8)</f>
        <v>0</v>
      </c>
      <c r="B88" t="str">
        <f>B$9 * (19.25062561035156 -B$8)</f>
        <v>0</v>
      </c>
      <c r="C88" t="str">
        <f>C$9 * (19.25062561035156 -C$8)</f>
        <v>0</v>
      </c>
      <c r="D88" t="str">
        <f>D$9 * (19.25062561035156 -D$8)</f>
        <v>0</v>
      </c>
      <c r="F88" t="str">
        <f>F$9 * (0.1454444974660873 -F$8)</f>
        <v>0</v>
      </c>
      <c r="G88" t="str">
        <f>G$9 * (11.20075988769531 -G$8)</f>
        <v>0</v>
      </c>
      <c r="H88" t="str">
        <f>H$9 * (11.56342029571533 -H$8)</f>
        <v>0</v>
      </c>
      <c r="I88" t="str">
        <f>I$9 * (0.3084186017513275 -I$8)</f>
        <v>0</v>
      </c>
    </row>
    <row r="89" spans="1:11">
      <c r="A89" t="str">
        <f>A$9 * (19.50022506713867 -A$8)</f>
        <v>0</v>
      </c>
      <c r="B89" t="str">
        <f>B$9 * (19.50022506713867 -B$8)</f>
        <v>0</v>
      </c>
      <c r="C89" t="str">
        <f>C$9 * (19.50022506713867 -C$8)</f>
        <v>0</v>
      </c>
      <c r="D89" t="str">
        <f>D$9 * (19.50022506713867 -D$8)</f>
        <v>0</v>
      </c>
      <c r="F89" t="str">
        <f>F$9 * (0.02431952953338623 -F$8)</f>
        <v>0</v>
      </c>
      <c r="G89" t="str">
        <f>G$9 * (3.690579891204834 -G$8)</f>
        <v>0</v>
      </c>
      <c r="H89" t="str">
        <f>H$9 * (4.399995803833008 -H$8)</f>
        <v>0</v>
      </c>
      <c r="I89" t="str">
        <f>I$9 * (0.01932837069034576 -I$8)</f>
        <v>0</v>
      </c>
    </row>
    <row r="90" spans="1:11">
      <c r="A90" t="str">
        <f>A$9 * (19.75065040588379 -A$8)</f>
        <v>0</v>
      </c>
      <c r="B90" t="str">
        <f>B$9 * (19.75065040588379 -B$8)</f>
        <v>0</v>
      </c>
      <c r="C90" t="str">
        <f>C$9 * (19.75065040588379 -C$8)</f>
        <v>0</v>
      </c>
      <c r="D90" t="str">
        <f>D$9 * (19.75065040588379 -D$8)</f>
        <v>0</v>
      </c>
      <c r="F90" t="str">
        <f>F$9 * (-0.000388102198485285 -F$8)</f>
        <v>0</v>
      </c>
      <c r="G90" t="str">
        <f>G$9 * (-0.7041510939598083 -G$8)</f>
        <v>0</v>
      </c>
      <c r="H90" t="str">
        <f>H$9 * (0.629481315612793 -H$8)</f>
        <v>0</v>
      </c>
      <c r="I90" t="str">
        <f>I$9 * (5.291309935273603E-5 -I$8)</f>
        <v>0</v>
      </c>
    </row>
    <row r="91" spans="1:11">
      <c r="A91" t="str">
        <f>A$9 * (20.00045776367188 -A$8)</f>
        <v>0</v>
      </c>
      <c r="B91" t="str">
        <f>B$9 * (20.00045776367188 -B$8)</f>
        <v>0</v>
      </c>
      <c r="C91" t="str">
        <f>C$9 * (20.00045776367188 -C$8)</f>
        <v>0</v>
      </c>
      <c r="D91" t="str">
        <f>D$9 * (20.00045776367188 -D$8)</f>
        <v>0</v>
      </c>
      <c r="F91" t="str">
        <f>F$9 * (5.559439887292683E-5 -F$8)</f>
        <v>0</v>
      </c>
      <c r="G91" t="str">
        <f>G$9 * (-0.262196809053421 -G$8)</f>
        <v>0</v>
      </c>
      <c r="H91" t="str">
        <f>H$9 * (0.4373025894165039 -H$8)</f>
        <v>0</v>
      </c>
      <c r="I91" t="str">
        <f>I$9 * (1.999999943436137E-9 -I$8)</f>
        <v>0</v>
      </c>
    </row>
    <row r="92" spans="1:11">
      <c r="A92" t="str">
        <f>A$9 * (20.25028419494629 -A$8)</f>
        <v>0</v>
      </c>
      <c r="B92" t="str">
        <f>B$9 * (20.25028419494629 -B$8)</f>
        <v>0</v>
      </c>
      <c r="C92" t="str">
        <f>C$9 * (20.25028419494629 -C$8)</f>
        <v>0</v>
      </c>
      <c r="D92" t="str">
        <f>D$9 * (20.25028419494629 -D$8)</f>
        <v>0</v>
      </c>
      <c r="F92" t="str">
        <f>F$9 * (-0.0006189243867993355 -F$8)</f>
        <v>0</v>
      </c>
      <c r="G92" t="str">
        <f>G$9 * (-0.6639347076416016 -G$8)</f>
        <v>0</v>
      </c>
      <c r="H92" t="str">
        <f>H$9 * (0.1364320069551468 -H$8)</f>
        <v>0</v>
      </c>
      <c r="I92" t="str">
        <f>I$9 * (9.850000282085603E-8 -I$8)</f>
        <v>0</v>
      </c>
    </row>
    <row r="93" spans="1:11">
      <c r="A93" t="str">
        <f>A$9 * (20.50001907348633 -A$8)</f>
        <v>0</v>
      </c>
      <c r="B93" t="str">
        <f>B$9 * (20.50001907348633 -B$8)</f>
        <v>0</v>
      </c>
      <c r="C93" t="str">
        <f>C$9 * (20.50001907348633 -C$8)</f>
        <v>0</v>
      </c>
      <c r="D93" t="str">
        <f>D$9 * (20.50001907348633 -D$8)</f>
        <v>0</v>
      </c>
      <c r="F93" t="str">
        <f>F$9 * (-0.001703999005258083 -F$8)</f>
        <v>0</v>
      </c>
      <c r="G93" t="str">
        <f>G$9 * (-3.941071033477783 -G$8)</f>
        <v>0</v>
      </c>
      <c r="H93" t="str">
        <f>H$9 * (1.007588028907776 -H$8)</f>
        <v>0</v>
      </c>
      <c r="I93" t="str">
        <f>I$9 * (2.882999865505553E-7 -I$8)</f>
        <v>0</v>
      </c>
    </row>
    <row r="94" spans="1:11">
      <c r="A94" t="str">
        <f>A$9 * (20.7501049041748 -A$8)</f>
        <v>0</v>
      </c>
      <c r="B94" t="str">
        <f>B$9 * (20.7501049041748 -B$8)</f>
        <v>0</v>
      </c>
      <c r="C94" t="str">
        <f>C$9 * (20.7501049041748 -C$8)</f>
        <v>0</v>
      </c>
      <c r="D94" t="str">
        <f>D$9 * (20.7501049041748 -D$8)</f>
        <v>0</v>
      </c>
      <c r="F94" t="str">
        <f>F$9 * (0.02517919987440109 -F$8)</f>
        <v>0</v>
      </c>
      <c r="G94" t="str">
        <f>G$9 * (19.83046913146973 -G$8)</f>
        <v>0</v>
      </c>
      <c r="H94" t="str">
        <f>H$9 * (48.24406814575195 -H$8)</f>
        <v>0</v>
      </c>
      <c r="I94" t="str">
        <f>I$9 * (0.639787495136261 -I$8)</f>
        <v>0</v>
      </c>
    </row>
    <row r="95" spans="1:11">
      <c r="A95" t="str">
        <f>A$9 * (21.00059700012207 -A$8)</f>
        <v>0</v>
      </c>
      <c r="B95" t="str">
        <f>B$9 * (21.00059700012207 -B$8)</f>
        <v>0</v>
      </c>
      <c r="C95" t="str">
        <f>C$9 * (21.00059700012207 -C$8)</f>
        <v>0</v>
      </c>
      <c r="D95" t="str">
        <f>D$9 * (21.00059700012207 -D$8)</f>
        <v>0</v>
      </c>
      <c r="F95" t="str">
        <f>F$9 * (0.008004653267562389 -F$8)</f>
        <v>0</v>
      </c>
      <c r="G95" t="str">
        <f>G$9 * (0.8113282918930054 -G$8)</f>
        <v>0</v>
      </c>
      <c r="H95" t="str">
        <f>H$9 * (1.643625020980835 -H$8)</f>
        <v>0</v>
      </c>
      <c r="I95" t="str">
        <f>I$9 * (4.679999960899295E-7 -I$8)</f>
        <v>0</v>
      </c>
    </row>
    <row r="96" spans="1:11">
      <c r="A96" t="str">
        <f>A$9 * (21.25004959106445 -A$8)</f>
        <v>0</v>
      </c>
      <c r="B96" t="str">
        <f>B$9 * (21.25004959106445 -B$8)</f>
        <v>0</v>
      </c>
      <c r="C96" t="str">
        <f>C$9 * (21.25004959106445 -C$8)</f>
        <v>0</v>
      </c>
      <c r="D96" t="str">
        <f>D$9 * (21.25004959106445 -D$8)</f>
        <v>0</v>
      </c>
      <c r="F96" t="str">
        <f>F$9 * (-0.001135017955675721 -F$8)</f>
        <v>0</v>
      </c>
      <c r="G96" t="str">
        <f>G$9 * (-0.4230104982852936 -G$8)</f>
        <v>0</v>
      </c>
      <c r="H96" t="str">
        <f>H$9 * (-0.08505377918481827 -H$8)</f>
        <v>0</v>
      </c>
      <c r="I96" t="str">
        <f>I$9 * (4.484019882511348E-5 -I$8)</f>
        <v>0</v>
      </c>
    </row>
    <row r="97" spans="1:11">
      <c r="A97" t="str">
        <f>A$9 * (21.50067710876465 -A$8)</f>
        <v>0</v>
      </c>
      <c r="B97" t="str">
        <f>B$9 * (21.50067710876465 -B$8)</f>
        <v>0</v>
      </c>
      <c r="C97" t="str">
        <f>C$9 * (21.50067710876465 -C$8)</f>
        <v>0</v>
      </c>
      <c r="D97" t="str">
        <f>D$9 * (21.50067710876465 -D$8)</f>
        <v>0</v>
      </c>
      <c r="F97" t="str">
        <f>F$9 * (-0.000155217494466342 -F$8)</f>
        <v>0</v>
      </c>
      <c r="G97" t="str">
        <f>G$9 * (-1.69083297252655 -G$8)</f>
        <v>0</v>
      </c>
      <c r="H97" t="str">
        <f>H$9 * (0.820417582988739 -H$8)</f>
        <v>0</v>
      </c>
      <c r="I97" t="str">
        <f>I$9 * (3.856000034829776E-7 -I$8)</f>
        <v>0</v>
      </c>
    </row>
    <row r="98" spans="1:11">
      <c r="A98" t="str">
        <f>A$9 * (21.75057983398438 -A$8)</f>
        <v>0</v>
      </c>
      <c r="B98" t="str">
        <f>B$9 * (21.75057983398438 -B$8)</f>
        <v>0</v>
      </c>
      <c r="C98" t="str">
        <f>C$9 * (21.75057983398438 -C$8)</f>
        <v>0</v>
      </c>
      <c r="D98" t="str">
        <f>D$9 * (21.75057983398438 -D$8)</f>
        <v>0</v>
      </c>
      <c r="F98" t="str">
        <f>F$9 * (-9.506750211585313E-5 -F$8)</f>
        <v>0</v>
      </c>
      <c r="G98" t="str">
        <f>G$9 * (-0.01072936970740557 -G$8)</f>
        <v>0</v>
      </c>
      <c r="H98" t="str">
        <f>H$9 * (0.06522717326879501 -H$8)</f>
        <v>0</v>
      </c>
      <c r="I98" t="str">
        <f>I$9 * (8.000000106811456E-10 -I$8)</f>
        <v>0</v>
      </c>
    </row>
    <row r="99" spans="1:11">
      <c r="A99" t="str">
        <f>A$9 * (22.00036430358887 -A$8)</f>
        <v>0</v>
      </c>
      <c r="B99" t="str">
        <f>B$9 * (22.00036430358887 -B$8)</f>
        <v>0</v>
      </c>
      <c r="C99" t="str">
        <f>C$9 * (22.00036430358887 -C$8)</f>
        <v>0</v>
      </c>
      <c r="D99" t="str">
        <f>D$9 * (22.00036430358887 -D$8)</f>
        <v>0</v>
      </c>
      <c r="F99" t="str">
        <f>F$9 * (0.005652904976159334 -F$8)</f>
        <v>0</v>
      </c>
      <c r="G99" t="str">
        <f>G$9 * (0.2659451961517334 -G$8)</f>
        <v>0</v>
      </c>
      <c r="H99" t="str">
        <f>H$9 * (19.73802947998047 -H$8)</f>
        <v>0</v>
      </c>
      <c r="I99" t="str">
        <f>I$9 * (0.06183163076639175 -I$8)</f>
        <v>0</v>
      </c>
    </row>
    <row r="100" spans="1:11">
      <c r="A100" t="str">
        <f>A$9 * (22.25044250488281 -A$8)</f>
        <v>0</v>
      </c>
      <c r="B100" t="str">
        <f>B$9 * (22.25044250488281 -B$8)</f>
        <v>0</v>
      </c>
      <c r="C100" t="str">
        <f>C$9 * (22.25044250488281 -C$8)</f>
        <v>0</v>
      </c>
      <c r="D100" t="str">
        <f>D$9 * (22.25044250488281 -D$8)</f>
        <v>0</v>
      </c>
      <c r="F100" t="str">
        <f>F$9 * (0.06440957635641098 -F$8)</f>
        <v>0</v>
      </c>
      <c r="G100" t="str">
        <f>G$9 * (15.33108997344971 -G$8)</f>
        <v>0</v>
      </c>
      <c r="H100" t="str">
        <f>H$9 * (16.62075996398926 -H$8)</f>
        <v>0</v>
      </c>
      <c r="I100" t="str">
        <f>I$9 * (0.2227113991975784 -I$8)</f>
        <v>0</v>
      </c>
    </row>
    <row r="101" spans="1:11">
      <c r="A101" t="str">
        <f>A$9 * (22.50027465820312 -A$8)</f>
        <v>0</v>
      </c>
      <c r="B101" t="str">
        <f>B$9 * (22.50027465820312 -B$8)</f>
        <v>0</v>
      </c>
      <c r="C101" t="str">
        <f>C$9 * (22.50027465820312 -C$8)</f>
        <v>0</v>
      </c>
      <c r="D101" t="str">
        <f>D$9 * (22.50027465820312 -D$8)</f>
        <v>0</v>
      </c>
      <c r="F101" t="str">
        <f>F$9 * (0.009486384689807892 -F$8)</f>
        <v>0</v>
      </c>
      <c r="G101" t="str">
        <f>G$9 * (5.310279846191406 -G$8)</f>
        <v>0</v>
      </c>
      <c r="H101" t="str">
        <f>H$9 * (11.09197998046875 -H$8)</f>
        <v>0</v>
      </c>
      <c r="I101" t="str">
        <f>I$9 * (0.0295824408531189 -I$8)</f>
        <v>0</v>
      </c>
    </row>
    <row r="102" spans="1:11">
      <c r="A102" t="str">
        <f>A$9 * (22.75015830993652 -A$8)</f>
        <v>0</v>
      </c>
      <c r="B102" t="str">
        <f>B$9 * (22.75015830993652 -B$8)</f>
        <v>0</v>
      </c>
      <c r="C102" t="str">
        <f>C$9 * (22.75015830993652 -C$8)</f>
        <v>0</v>
      </c>
      <c r="D102" t="str">
        <f>D$9 * (22.75015830993652 -D$8)</f>
        <v>0</v>
      </c>
      <c r="F102" t="str">
        <f>F$9 * (0.0006191731081344187 -F$8)</f>
        <v>0</v>
      </c>
      <c r="G102" t="str">
        <f>G$9 * (0.1748667061328888 -G$8)</f>
        <v>0</v>
      </c>
      <c r="H102" t="str">
        <f>H$9 * (3.18475604057312 -H$8)</f>
        <v>0</v>
      </c>
      <c r="I102" t="str">
        <f>I$9 * (1.00299999417075E-7 -I$8)</f>
        <v>0</v>
      </c>
    </row>
    <row r="103" spans="1:11">
      <c r="A103" t="str">
        <f>A$9 * (23.00018692016602 -A$8)</f>
        <v>0</v>
      </c>
      <c r="B103" t="str">
        <f>B$9 * (23.00018692016602 -B$8)</f>
        <v>0</v>
      </c>
      <c r="C103" t="str">
        <f>C$9 * (23.00018692016602 -C$8)</f>
        <v>0</v>
      </c>
      <c r="D103" t="str">
        <f>D$9 * (23.00018692016602 -D$8)</f>
        <v>0</v>
      </c>
      <c r="F103" t="str">
        <f>F$9 * (-0.001936007989570498 -F$8)</f>
        <v>0</v>
      </c>
      <c r="G103" t="str">
        <f>G$9 * (-1.770717978477478 -G$8)</f>
        <v>0</v>
      </c>
      <c r="H103" t="str">
        <f>H$9 * (0.6825078725814819 -H$8)</f>
        <v>0</v>
      </c>
      <c r="I103" t="str">
        <f>I$9 * (4.569000111587229E-7 -I$8)</f>
        <v>0</v>
      </c>
    </row>
    <row r="104" spans="1:11">
      <c r="A104" t="str">
        <f>A$9 * (23.25011444091797 -A$8)</f>
        <v>0</v>
      </c>
      <c r="B104" t="str">
        <f>B$9 * (23.25011444091797 -B$8)</f>
        <v>0</v>
      </c>
      <c r="C104" t="str">
        <f>C$9 * (23.25011444091797 -C$8)</f>
        <v>0</v>
      </c>
      <c r="D104" t="str">
        <f>D$9 * (23.25011444091797 -D$8)</f>
        <v>0</v>
      </c>
      <c r="F104" t="str">
        <f>F$9 * (-0.001616570050828159 -F$8)</f>
        <v>0</v>
      </c>
      <c r="G104" t="str">
        <f>G$9 * (-1.571748971939087 -G$8)</f>
        <v>0</v>
      </c>
      <c r="H104" t="str">
        <f>H$9 * (0.006167902145534754 -H$8)</f>
        <v>0</v>
      </c>
      <c r="I104" t="str">
        <f>I$9 * (2.563000123245729E-7 -I$8)</f>
        <v>0</v>
      </c>
    </row>
    <row r="105" spans="1:11">
      <c r="A105" t="str">
        <f>A$9 * (23.50038528442383 -A$8)</f>
        <v>0</v>
      </c>
      <c r="B105" t="str">
        <f>B$9 * (23.50038528442383 -B$8)</f>
        <v>0</v>
      </c>
      <c r="C105" t="str">
        <f>C$9 * (23.50038528442383 -C$8)</f>
        <v>0</v>
      </c>
      <c r="D105" t="str">
        <f>D$9 * (23.50038528442383 -D$8)</f>
        <v>0</v>
      </c>
      <c r="F105" t="str">
        <f>F$9 * (-0.004795533139258623 -F$8)</f>
        <v>0</v>
      </c>
      <c r="G105" t="str">
        <f>G$9 * (-0.5977181792259216 -G$8)</f>
        <v>0</v>
      </c>
      <c r="H105" t="str">
        <f>H$9 * (-2.723714113235474 -H$8)</f>
        <v>0</v>
      </c>
      <c r="I105" t="str">
        <f>I$9 * (7.330000073579868E-8 -I$8)</f>
        <v>0</v>
      </c>
    </row>
    <row r="106" spans="1:11">
      <c r="A106" t="str">
        <f>A$9 * (23.75017738342285 -A$8)</f>
        <v>0</v>
      </c>
      <c r="B106" t="str">
        <f>B$9 * (23.75017738342285 -B$8)</f>
        <v>0</v>
      </c>
      <c r="C106" t="str">
        <f>C$9 * (23.75017738342285 -C$8)</f>
        <v>0</v>
      </c>
      <c r="D106" t="str">
        <f>D$9 * (23.75017738342285 -D$8)</f>
        <v>0</v>
      </c>
      <c r="F106" t="str">
        <f>F$9 * (-0.0006887004128657281 -F$8)</f>
        <v>0</v>
      </c>
      <c r="G106" t="str">
        <f>G$9 * (-0.9683426022529602 -G$8)</f>
        <v>0</v>
      </c>
      <c r="H106" t="str">
        <f>H$9 * (0.7110810279846191 -H$8)</f>
        <v>0</v>
      </c>
      <c r="I106" t="str">
        <f>I$9 * (2.907999885337631E-7 -I$8)</f>
        <v>0</v>
      </c>
    </row>
    <row r="107" spans="1:11">
      <c r="A107" t="str">
        <f>A$9 * (24.00063896179199 -A$8)</f>
        <v>0</v>
      </c>
      <c r="B107" t="str">
        <f>B$9 * (24.00063896179199 -B$8)</f>
        <v>0</v>
      </c>
      <c r="C107" t="str">
        <f>C$9 * (24.00063896179199 -C$8)</f>
        <v>0</v>
      </c>
      <c r="D107" t="str">
        <f>D$9 * (24.00063896179199 -D$8)</f>
        <v>0</v>
      </c>
      <c r="F107" t="str">
        <f>F$9 * (1.643000047124588E-7 -F$8)</f>
        <v>0</v>
      </c>
      <c r="G107" t="str">
        <f>G$9 * (-0.4448401033878326 -G$8)</f>
        <v>0</v>
      </c>
      <c r="H107" t="str">
        <f>H$9 * (0.3088749945163727 -H$8)</f>
        <v>0</v>
      </c>
      <c r="I107" t="str">
        <f>I$9 * (1.100000002196566E-8 -I$8)</f>
        <v>0</v>
      </c>
    </row>
    <row r="108" spans="1:11">
      <c r="A108" t="str">
        <f>A$9 * (24.25063705444336 -A$8)</f>
        <v>0</v>
      </c>
      <c r="B108" t="str">
        <f>B$9 * (24.25063705444336 -B$8)</f>
        <v>0</v>
      </c>
      <c r="C108" t="str">
        <f>C$9 * (24.25063705444336 -C$8)</f>
        <v>0</v>
      </c>
      <c r="D108" t="str">
        <f>D$9 * (24.25063705444336 -D$8)</f>
        <v>0</v>
      </c>
      <c r="F108" t="str">
        <f>F$9 * (0.001008152030408382 -F$8)</f>
        <v>0</v>
      </c>
      <c r="G108" t="str">
        <f>G$9 * (-0.06988631933927536 -G$8)</f>
        <v>0</v>
      </c>
      <c r="H108" t="str">
        <f>H$9 * (6.045926094055176 -H$8)</f>
        <v>0</v>
      </c>
      <c r="I108" t="str">
        <f>I$9 * (3.032000108760258E-7 -I$8)</f>
        <v>0</v>
      </c>
    </row>
    <row r="109" spans="1:11">
      <c r="A109" t="str">
        <f>A$9 * (24.50048065185547 -A$8)</f>
        <v>0</v>
      </c>
      <c r="B109" t="str">
        <f>B$9 * (24.50048065185547 -B$8)</f>
        <v>0</v>
      </c>
      <c r="C109" t="str">
        <f>C$9 * (24.50048065185547 -C$8)</f>
        <v>0</v>
      </c>
      <c r="D109" t="str">
        <f>D$9 * (24.50048065185547 -D$8)</f>
        <v>0</v>
      </c>
      <c r="F109" t="str">
        <f>F$9 * (0.001055896980687976 -F$8)</f>
        <v>0</v>
      </c>
      <c r="G109" t="str">
        <f>G$9 * (-0.379137396812439 -G$8)</f>
        <v>0</v>
      </c>
      <c r="H109" t="str">
        <f>H$9 * (0.7997313737869263 -H$8)</f>
        <v>0</v>
      </c>
      <c r="I109" t="str">
        <f>I$9 * (7.620000275210259E-8 -I$8)</f>
        <v>0</v>
      </c>
    </row>
    <row r="110" spans="1:11">
      <c r="A110" t="str">
        <f>A$9 * (24.75008583068848 -A$8)</f>
        <v>0</v>
      </c>
      <c r="B110" t="str">
        <f>B$9 * (24.75008583068848 -B$8)</f>
        <v>0</v>
      </c>
      <c r="C110" t="str">
        <f>C$9 * (24.75008583068848 -C$8)</f>
        <v>0</v>
      </c>
      <c r="D110" t="str">
        <f>D$9 * (24.75008583068848 -D$8)</f>
        <v>0</v>
      </c>
      <c r="F110" t="str">
        <f>F$9 * (-0.001188419992104173 -F$8)</f>
        <v>0</v>
      </c>
      <c r="G110" t="str">
        <f>G$9 * (-0.7817077040672302 -G$8)</f>
        <v>0</v>
      </c>
      <c r="H110" t="str">
        <f>H$9 * (-0.01556690968573093 -H$8)</f>
        <v>0</v>
      </c>
      <c r="I110" t="str">
        <f>I$9 * (1.104479997593444E-5 -I$8)</f>
        <v>0</v>
      </c>
    </row>
    <row r="111" spans="1:11">
      <c r="A111" t="str">
        <f>A$9 * (25.00044250488281 -A$8)</f>
        <v>0</v>
      </c>
      <c r="B111" t="str">
        <f>B$9 * (25.00044250488281 -B$8)</f>
        <v>0</v>
      </c>
      <c r="C111" t="str">
        <f>C$9 * (25.00044250488281 -C$8)</f>
        <v>0</v>
      </c>
      <c r="D111" t="str">
        <f>D$9 * (25.00044250488281 -D$8)</f>
        <v>0</v>
      </c>
      <c r="F111" t="str">
        <f>F$9 * (-0.001054154941812158 -F$8)</f>
        <v>0</v>
      </c>
      <c r="G111" t="str">
        <f>G$9 * (-0.9274733066558838 -G$8)</f>
        <v>0</v>
      </c>
      <c r="H111" t="str">
        <f>H$9 * (0.3347795009613037 -H$8)</f>
        <v>0</v>
      </c>
      <c r="I111" t="str">
        <f>I$9 * (2.866690010705497E-5 -I$8)</f>
        <v>0</v>
      </c>
    </row>
    <row r="112" spans="1:11">
      <c r="A112" t="str">
        <f>A$9 * (25.25060844421387 -A$8)</f>
        <v>0</v>
      </c>
      <c r="B112" t="str">
        <f>B$9 * (25.25060844421387 -B$8)</f>
        <v>0</v>
      </c>
      <c r="C112" t="str">
        <f>C$9 * (25.25060844421387 -C$8)</f>
        <v>0</v>
      </c>
      <c r="D112" t="str">
        <f>D$9 * (25.25060844421387 -D$8)</f>
        <v>0</v>
      </c>
      <c r="F112" t="str">
        <f>F$9 * (-0.001136900973506272 -F$8)</f>
        <v>0</v>
      </c>
      <c r="G112" t="str">
        <f>G$9 * (-1.468917012214661 -G$8)</f>
        <v>0</v>
      </c>
      <c r="H112" t="str">
        <f>H$9 * (0.7953752279281616 -H$8)</f>
        <v>0</v>
      </c>
      <c r="I112" t="str">
        <f>I$9 * (1.245000049721057E-7 -I$8)</f>
        <v>0</v>
      </c>
    </row>
    <row r="113" spans="1:11">
      <c r="A113" t="str">
        <f>A$9 * (25.50006866455078 -A$8)</f>
        <v>0</v>
      </c>
      <c r="B113" t="str">
        <f>B$9 * (25.50006866455078 -B$8)</f>
        <v>0</v>
      </c>
      <c r="C113" t="str">
        <f>C$9 * (25.50006866455078 -C$8)</f>
        <v>0</v>
      </c>
      <c r="D113" t="str">
        <f>D$9 * (25.50006866455078 -D$8)</f>
        <v>0</v>
      </c>
      <c r="F113" t="str">
        <f>F$9 * (-0.006164214108139277 -F$8)</f>
        <v>0</v>
      </c>
      <c r="G113" t="str">
        <f>G$9 * (-0.3044672012329102 -G$8)</f>
        <v>0</v>
      </c>
      <c r="H113" t="str">
        <f>H$9 * (-0.1900881975889206 -H$8)</f>
        <v>0</v>
      </c>
      <c r="I113" t="str">
        <f>I$9 * (1.86928991752211E-5 -I$8)</f>
        <v>0</v>
      </c>
    </row>
    <row r="114" spans="1:11">
      <c r="A114" t="str">
        <f>A$9 * (25.75045204162598 -A$8)</f>
        <v>0</v>
      </c>
      <c r="B114" t="str">
        <f>B$9 * (25.75045204162598 -B$8)</f>
        <v>0</v>
      </c>
      <c r="C114" t="str">
        <f>C$9 * (25.75045204162598 -C$8)</f>
        <v>0</v>
      </c>
      <c r="D114" t="str">
        <f>D$9 * (25.75045204162598 -D$8)</f>
        <v>0</v>
      </c>
      <c r="F114" t="str">
        <f>F$9 * (0.001003931974992156 -F$8)</f>
        <v>0</v>
      </c>
      <c r="G114" t="str">
        <f>G$9 * (-0.1007526963949203 -G$8)</f>
        <v>0</v>
      </c>
      <c r="H114" t="str">
        <f>H$9 * (5.480728149414062 -H$8)</f>
        <v>0</v>
      </c>
      <c r="I114" t="str">
        <f>I$9 * (2.795000000332948E-7 -I$8)</f>
        <v>0</v>
      </c>
    </row>
    <row r="115" spans="1:11">
      <c r="A115" t="str">
        <f>A$9 * (26.00029182434082 -A$8)</f>
        <v>0</v>
      </c>
      <c r="B115" t="str">
        <f>B$9 * (26.00029182434082 -B$8)</f>
        <v>0</v>
      </c>
      <c r="C115" t="str">
        <f>C$9 * (26.00029182434082 -C$8)</f>
        <v>0</v>
      </c>
      <c r="D115" t="str">
        <f>D$9 * (26.00029182434082 -D$8)</f>
        <v>0</v>
      </c>
      <c r="F115" t="str">
        <f>F$9 * (0.0003919542068615556 -F$8)</f>
        <v>0</v>
      </c>
      <c r="G115" t="str">
        <f>G$9 * (-0.3533323109149933 -G$8)</f>
        <v>0</v>
      </c>
      <c r="H115" t="str">
        <f>H$9 * (0.4724786877632141 -H$8)</f>
        <v>0</v>
      </c>
      <c r="I115" t="str">
        <f>I$9 * (6.700000110271276E-9 -I$8)</f>
        <v>0</v>
      </c>
    </row>
    <row r="116" spans="1:11">
      <c r="A116" t="str">
        <f>A$9 * (26.25020217895508 -A$8)</f>
        <v>0</v>
      </c>
      <c r="B116" t="str">
        <f>B$9 * (26.25020217895508 -B$8)</f>
        <v>0</v>
      </c>
      <c r="C116" t="str">
        <f>C$9 * (26.25020217895508 -C$8)</f>
        <v>0</v>
      </c>
      <c r="D116" t="str">
        <f>D$9 * (26.25020217895508 -D$8)</f>
        <v>0</v>
      </c>
      <c r="F116" t="str">
        <f>F$9 * (-0.0005305467057041824 -F$8)</f>
        <v>0</v>
      </c>
      <c r="G116" t="str">
        <f>G$9 * (-0.4568589925765991 -G$8)</f>
        <v>0</v>
      </c>
      <c r="H116" t="str">
        <f>H$9 * (0.04521891847252846 -H$8)</f>
        <v>0</v>
      </c>
      <c r="I116" t="str">
        <f>I$9 * (2.830000056519566E-8 -I$8)</f>
        <v>0</v>
      </c>
    </row>
    <row r="117" spans="1:11">
      <c r="A117" t="str">
        <f>A$9 * (26.50071907043457 -A$8)</f>
        <v>0</v>
      </c>
      <c r="B117" t="str">
        <f>B$9 * (26.50071907043457 -B$8)</f>
        <v>0</v>
      </c>
      <c r="C117" t="str">
        <f>C$9 * (26.50071907043457 -C$8)</f>
        <v>0</v>
      </c>
      <c r="D117" t="str">
        <f>D$9 * (26.50071907043457 -D$8)</f>
        <v>0</v>
      </c>
      <c r="F117" t="str">
        <f>F$9 * (-0.0004645739099942148 -F$8)</f>
        <v>0</v>
      </c>
      <c r="G117" t="str">
        <f>G$9 * (-2.043992042541504 -G$8)</f>
        <v>0</v>
      </c>
      <c r="H117" t="str">
        <f>H$9 * (2.440305948257446 -H$8)</f>
        <v>0</v>
      </c>
      <c r="I117" t="str">
        <f>I$9 * (3.728000024239009E-7 -I$8)</f>
        <v>0</v>
      </c>
    </row>
    <row r="118" spans="1:11">
      <c r="A118" t="str">
        <f>A$9 * (26.75035095214844 -A$8)</f>
        <v>0</v>
      </c>
      <c r="B118" t="str">
        <f>B$9 * (26.75035095214844 -B$8)</f>
        <v>0</v>
      </c>
      <c r="C118" t="str">
        <f>C$9 * (26.75035095214844 -C$8)</f>
        <v>0</v>
      </c>
      <c r="D118" t="str">
        <f>D$9 * (26.75035095214844 -D$8)</f>
        <v>0</v>
      </c>
      <c r="F118" t="str">
        <f>F$9 * (0.09696034342050552 -F$8)</f>
        <v>0</v>
      </c>
      <c r="G118" t="str">
        <f>G$9 * (5.302791118621826 -G$8)</f>
        <v>0</v>
      </c>
      <c r="H118" t="str">
        <f>H$9 * (5.506416797637939 -H$8)</f>
        <v>0</v>
      </c>
      <c r="I118" t="str">
        <f>I$9 * (0.08984871208667755 -I$8)</f>
        <v>0</v>
      </c>
    </row>
    <row r="119" spans="1:11">
      <c r="A119" t="str">
        <f>A$9 * (27.00043869018555 -A$8)</f>
        <v>0</v>
      </c>
      <c r="B119" t="str">
        <f>B$9 * (27.00043869018555 -B$8)</f>
        <v>0</v>
      </c>
      <c r="C119" t="str">
        <f>C$9 * (27.00043869018555 -C$8)</f>
        <v>0</v>
      </c>
      <c r="D119" t="str">
        <f>D$9 * (27.00043869018555 -D$8)</f>
        <v>0</v>
      </c>
      <c r="F119" t="str">
        <f>F$9 * (0.01738769002258778 -F$8)</f>
        <v>0</v>
      </c>
      <c r="G119" t="str">
        <f>G$9 * (3.354511976242065 -G$8)</f>
        <v>0</v>
      </c>
      <c r="H119" t="str">
        <f>H$9 * (4.780312061309814 -H$8)</f>
        <v>0</v>
      </c>
      <c r="I119" t="str">
        <f>I$9 * (1.157800056716951E-6 -I$8)</f>
        <v>0</v>
      </c>
    </row>
    <row r="120" spans="1:11">
      <c r="A120" t="str">
        <f>A$9 * (27.25024795532227 -A$8)</f>
        <v>0</v>
      </c>
      <c r="B120" t="str">
        <f>B$9 * (27.25024795532227 -B$8)</f>
        <v>0</v>
      </c>
      <c r="C120" t="str">
        <f>C$9 * (27.25024795532227 -C$8)</f>
        <v>0</v>
      </c>
      <c r="D120" t="str">
        <f>D$9 * (27.25024795532227 -D$8)</f>
        <v>0</v>
      </c>
      <c r="F120" t="str">
        <f>F$9 * (0.01779164001345634 -F$8)</f>
        <v>0</v>
      </c>
      <c r="G120" t="str">
        <f>G$9 * (9.656624794006348 -G$8)</f>
        <v>0</v>
      </c>
      <c r="H120" t="str">
        <f>H$9 * (15.5928201675415 -H$8)</f>
        <v>0</v>
      </c>
      <c r="I120" t="str">
        <f>I$9 * (0.07231850177049637 -I$8)</f>
        <v>0</v>
      </c>
    </row>
    <row r="121" spans="1:11">
      <c r="A121" t="str">
        <f>A$9 * (27.50032234191895 -A$8)</f>
        <v>0</v>
      </c>
      <c r="B121" t="str">
        <f>B$9 * (27.50032234191895 -B$8)</f>
        <v>0</v>
      </c>
      <c r="C121" t="str">
        <f>C$9 * (27.50032234191895 -C$8)</f>
        <v>0</v>
      </c>
      <c r="D121" t="str">
        <f>D$9 * (27.50032234191895 -D$8)</f>
        <v>0</v>
      </c>
      <c r="F121" t="str">
        <f>F$9 * (0.004974096082150936 -F$8)</f>
        <v>0</v>
      </c>
      <c r="G121" t="str">
        <f>G$9 * (2.815761089324951 -G$8)</f>
        <v>0</v>
      </c>
      <c r="H121" t="str">
        <f>H$9 * (8.983927726745605 -H$8)</f>
        <v>0</v>
      </c>
      <c r="I121" t="str">
        <f>I$9 * (0.01513694040477276 -I$8)</f>
        <v>0</v>
      </c>
    </row>
    <row r="122" spans="1:11">
      <c r="A122" t="str">
        <f>A$9 * (27.75018119812012 -A$8)</f>
        <v>0</v>
      </c>
      <c r="B122" t="str">
        <f>B$9 * (27.75018119812012 -B$8)</f>
        <v>0</v>
      </c>
      <c r="C122" t="str">
        <f>C$9 * (27.75018119812012 -C$8)</f>
        <v>0</v>
      </c>
      <c r="D122" t="str">
        <f>D$9 * (27.75018119812012 -D$8)</f>
        <v>0</v>
      </c>
      <c r="F122" t="str">
        <f>F$9 * (-0.002833415055647492 -F$8)</f>
        <v>0</v>
      </c>
      <c r="G122" t="str">
        <f>G$9 * (-0.8095985054969788 -G$8)</f>
        <v>0</v>
      </c>
      <c r="H122" t="str">
        <f>H$9 * (1.5554039478302 -H$8)</f>
        <v>0</v>
      </c>
      <c r="I122" t="str">
        <f>I$9 * (2.534000032028416E-7 -I$8)</f>
        <v>0</v>
      </c>
    </row>
    <row r="123" spans="1:11">
      <c r="A123" t="str">
        <f>A$9 * (28.00002861022949 -A$8)</f>
        <v>0</v>
      </c>
      <c r="B123" t="str">
        <f>B$9 * (28.00002861022949 -B$8)</f>
        <v>0</v>
      </c>
      <c r="C123" t="str">
        <f>C$9 * (28.00002861022949 -C$8)</f>
        <v>0</v>
      </c>
      <c r="D123" t="str">
        <f>D$9 * (28.00002861022949 -D$8)</f>
        <v>0</v>
      </c>
      <c r="F123" t="str">
        <f>F$9 * (-0.0003134233993478119 -F$8)</f>
        <v>0</v>
      </c>
      <c r="G123" t="str">
        <f>G$9 * (-1.766479969024658 -G$8)</f>
        <v>0</v>
      </c>
      <c r="H123" t="str">
        <f>H$9 * (3.338711977005005 -H$8)</f>
        <v>0</v>
      </c>
      <c r="I123" t="str">
        <f>I$9 * (6.77699972584378E-7 -I$8)</f>
        <v>0</v>
      </c>
    </row>
    <row r="124" spans="1:11">
      <c r="A124" t="str">
        <f>A$9 * (28.25002861022949 -A$8)</f>
        <v>0</v>
      </c>
      <c r="B124" t="str">
        <f>B$9 * (28.25002861022949 -B$8)</f>
        <v>0</v>
      </c>
      <c r="C124" t="str">
        <f>C$9 * (28.25002861022949 -C$8)</f>
        <v>0</v>
      </c>
      <c r="D124" t="str">
        <f>D$9 * (28.25002861022949 -D$8)</f>
        <v>0</v>
      </c>
      <c r="F124" t="str">
        <f>F$9 * (0.0007254646043293178 -F$8)</f>
        <v>0</v>
      </c>
      <c r="G124" t="str">
        <f>G$9 * (-0.3603133857250214 -G$8)</f>
        <v>0</v>
      </c>
      <c r="H124" t="str">
        <f>H$9 * (1.055873036384583 -H$8)</f>
        <v>0</v>
      </c>
      <c r="I124" t="str">
        <f>I$9 * (7.490000086818327E-8 -I$8)</f>
        <v>0</v>
      </c>
    </row>
    <row r="125" spans="1:11">
      <c r="A125" t="str">
        <f>A$9 * (28.50027847290039 -A$8)</f>
        <v>0</v>
      </c>
      <c r="B125" t="str">
        <f>B$9 * (28.50027847290039 -B$8)</f>
        <v>0</v>
      </c>
      <c r="C125" t="str">
        <f>C$9 * (28.50027847290039 -C$8)</f>
        <v>0</v>
      </c>
      <c r="D125" t="str">
        <f>D$9 * (28.50027847290039 -D$8)</f>
        <v>0</v>
      </c>
      <c r="F125" t="str">
        <f>F$9 * (-0.0003374273946974427 -F$8)</f>
        <v>0</v>
      </c>
      <c r="G125" t="str">
        <f>G$9 * (-0.6340882778167725 -G$8)</f>
        <v>0</v>
      </c>
      <c r="H125" t="str">
        <f>H$9 * (0.3788849115371704 -H$8)</f>
        <v>0</v>
      </c>
      <c r="I125" t="str">
        <f>I$9 * (1.748999949313657E-7 -I$8)</f>
        <v>0</v>
      </c>
    </row>
    <row r="126" spans="1:11">
      <c r="A126" t="str">
        <f>A$9 * (28.7501106262207 -A$8)</f>
        <v>0</v>
      </c>
      <c r="B126" t="str">
        <f>B$9 * (28.7501106262207 -B$8)</f>
        <v>0</v>
      </c>
      <c r="C126" t="str">
        <f>C$9 * (28.7501106262207 -C$8)</f>
        <v>0</v>
      </c>
      <c r="D126" t="str">
        <f>D$9 * (28.7501106262207 -D$8)</f>
        <v>0</v>
      </c>
      <c r="F126" t="str">
        <f>F$9 * (-0.0003230056900065392 -F$8)</f>
        <v>0</v>
      </c>
      <c r="G126" t="str">
        <f>G$9 * (-0.2157648056745529 -G$8)</f>
        <v>0</v>
      </c>
      <c r="H126" t="str">
        <f>H$9 * (0.07253648340702057 -H$8)</f>
        <v>0</v>
      </c>
      <c r="I126" t="str">
        <f>I$9 * (2.49000002838784E-8 -I$8)</f>
        <v>0</v>
      </c>
    </row>
    <row r="127" spans="1:11">
      <c r="A127" t="str">
        <f>A$9 * (29.0006103515625 -A$8)</f>
        <v>0</v>
      </c>
      <c r="B127" t="str">
        <f>B$9 * (29.0006103515625 -B$8)</f>
        <v>0</v>
      </c>
      <c r="C127" t="str">
        <f>C$9 * (29.0006103515625 -C$8)</f>
        <v>0</v>
      </c>
      <c r="D127" t="str">
        <f>D$9 * (29.0006103515625 -D$8)</f>
        <v>0</v>
      </c>
      <c r="F127" t="str">
        <f>F$9 * (0.1233780980110168 -F$8)</f>
        <v>0</v>
      </c>
      <c r="G127" t="str">
        <f>G$9 * (5.73964786529541 -G$8)</f>
        <v>0</v>
      </c>
      <c r="H127" t="str">
        <f>H$9 * (5.944005012512207 -H$8)</f>
        <v>0</v>
      </c>
      <c r="I127" t="str">
        <f>I$9 * (0.1133617982268333 -I$8)</f>
        <v>0</v>
      </c>
    </row>
    <row r="128" spans="1:11">
      <c r="A128" t="str">
        <f>A$9 * (29.2502498626709 -A$8)</f>
        <v>0</v>
      </c>
      <c r="B128" t="str">
        <f>B$9 * (29.2502498626709 -B$8)</f>
        <v>0</v>
      </c>
      <c r="C128" t="str">
        <f>C$9 * (29.2502498626709 -C$8)</f>
        <v>0</v>
      </c>
      <c r="D128" t="str">
        <f>D$9 * (29.2502498626709 -D$8)</f>
        <v>0</v>
      </c>
      <c r="F128" t="str">
        <f>F$9 * (0.02407803013920784 -F$8)</f>
        <v>0</v>
      </c>
      <c r="G128" t="str">
        <f>G$9 * (3.682332038879395 -G$8)</f>
        <v>0</v>
      </c>
      <c r="H128" t="str">
        <f>H$9 * (4.418170928955078 -H$8)</f>
        <v>0</v>
      </c>
      <c r="I128" t="str">
        <f>I$9 * (0.01915604993700981 -I$8)</f>
        <v>0</v>
      </c>
    </row>
    <row r="129" spans="1:11">
      <c r="A129" t="str">
        <f>A$9 * (29.50047302246094 -A$8)</f>
        <v>0</v>
      </c>
      <c r="B129" t="str">
        <f>B$9 * (29.50047302246094 -B$8)</f>
        <v>0</v>
      </c>
      <c r="C129" t="str">
        <f>C$9 * (29.50047302246094 -C$8)</f>
        <v>0</v>
      </c>
      <c r="D129" t="str">
        <f>D$9 * (29.50047302246094 -D$8)</f>
        <v>0</v>
      </c>
      <c r="F129" t="str">
        <f>F$9 * (-0.00037329678889364 -F$8)</f>
        <v>0</v>
      </c>
      <c r="G129" t="str">
        <f>G$9 * (-0.951296329498291 -G$8)</f>
        <v>0</v>
      </c>
      <c r="H129" t="str">
        <f>H$9 * (0.3397189080715179 -H$8)</f>
        <v>0</v>
      </c>
      <c r="I129" t="str">
        <f>I$9 * (5.900000132896821E-8 -I$8)</f>
        <v>0</v>
      </c>
    </row>
    <row r="130" spans="1:11">
      <c r="A130" t="str">
        <f>A$9 * (29.7501106262207 -A$8)</f>
        <v>0</v>
      </c>
      <c r="B130" t="str">
        <f>B$9 * (29.7501106262207 -B$8)</f>
        <v>0</v>
      </c>
      <c r="C130" t="str">
        <f>C$9 * (29.7501106262207 -C$8)</f>
        <v>0</v>
      </c>
      <c r="D130" t="str">
        <f>D$9 * (29.7501106262207 -D$8)</f>
        <v>0</v>
      </c>
      <c r="F130" t="str">
        <f>F$9 * (-0.0004778146976605058 -F$8)</f>
        <v>0</v>
      </c>
      <c r="G130" t="str">
        <f>G$9 * (-1.024768948554993 -G$8)</f>
        <v>0</v>
      </c>
      <c r="H130" t="str">
        <f>H$9 * (1.075310945510864 -H$8)</f>
        <v>0</v>
      </c>
      <c r="I130" t="str">
        <f>I$9 * (3.243000037400634E-7 -I$8)</f>
        <v>0</v>
      </c>
    </row>
    <row r="131" spans="1:11">
      <c r="A131" t="str">
        <f>A$9 * (30.0002498626709 -A$8)</f>
        <v>0</v>
      </c>
      <c r="B131" t="str">
        <f>B$9 * (30.0002498626709 -B$8)</f>
        <v>0</v>
      </c>
      <c r="C131" t="str">
        <f>C$9 * (30.0002498626709 -C$8)</f>
        <v>0</v>
      </c>
      <c r="D131" t="str">
        <f>D$9 * (30.0002498626709 -D$8)</f>
        <v>0</v>
      </c>
      <c r="F131" t="str">
        <f>F$9 * (0.000243081696680747 -F$8)</f>
        <v>0</v>
      </c>
      <c r="G131" t="str">
        <f>G$9 * (-0.6868106722831726 -G$8)</f>
        <v>0</v>
      </c>
      <c r="H131" t="str">
        <f>H$9 * (0.5690850019454956 -H$8)</f>
        <v>0</v>
      </c>
      <c r="I131" t="str">
        <f>I$9 * (7.5999997406484E-9 -I$8)</f>
        <v>0</v>
      </c>
    </row>
    <row r="132" spans="1:11">
      <c r="A132" t="str">
        <f>A$9 * (30.25 -A$8)</f>
        <v>0</v>
      </c>
      <c r="B132" t="str">
        <f>B$9 * (30.25 -B$8)</f>
        <v>0</v>
      </c>
      <c r="C132" t="str">
        <f>C$9 * (30.25 -C$8)</f>
        <v>0</v>
      </c>
      <c r="D132" t="str">
        <f>D$9 * (30.25 -D$8)</f>
        <v>0</v>
      </c>
      <c r="F132" t="str">
        <f>F$9 * (-0.0006378581165336072 -F$8)</f>
        <v>0</v>
      </c>
      <c r="G132" t="str">
        <f>G$9 * (-2.442038059234619 -G$8)</f>
        <v>0</v>
      </c>
      <c r="H132" t="str">
        <f>H$9 * (2.538678884506226 -H$8)</f>
        <v>0</v>
      </c>
      <c r="I132" t="str">
        <f>I$9 * (4.73000000056345E-7 -I$8)</f>
        <v>0</v>
      </c>
    </row>
    <row r="133" spans="1:11">
      <c r="A133" t="str">
        <f>A$9 * (30.50016593933105 -A$8)</f>
        <v>0</v>
      </c>
      <c r="B133" t="str">
        <f>B$9 * (30.50016593933105 -B$8)</f>
        <v>0</v>
      </c>
      <c r="C133" t="str">
        <f>C$9 * (30.50016593933105 -C$8)</f>
        <v>0</v>
      </c>
      <c r="D133" t="str">
        <f>D$9 * (30.50016593933105 -D$8)</f>
        <v>0</v>
      </c>
      <c r="F133" t="str">
        <f>F$9 * (0.1768718957901001 -F$8)</f>
        <v>0</v>
      </c>
      <c r="G133" t="str">
        <f>G$9 * (16.79068946838379 -G$8)</f>
        <v>0</v>
      </c>
      <c r="H133" t="str">
        <f>H$9 * (17.39471054077148 -H$8)</f>
        <v>0</v>
      </c>
      <c r="I133" t="str">
        <f>I$9 * (0.6298174262046814 -I$8)</f>
        <v>0</v>
      </c>
    </row>
    <row r="134" spans="1:11">
      <c r="A134" t="str">
        <f>A$9 * (30.75058364868164 -A$8)</f>
        <v>0</v>
      </c>
      <c r="B134" t="str">
        <f>B$9 * (30.75058364868164 -B$8)</f>
        <v>0</v>
      </c>
      <c r="C134" t="str">
        <f>C$9 * (30.75058364868164 -C$8)</f>
        <v>0</v>
      </c>
      <c r="D134" t="str">
        <f>D$9 * (30.75058364868164 -D$8)</f>
        <v>0</v>
      </c>
      <c r="F134" t="str">
        <f>F$9 * (0.01560753956437111 -F$8)</f>
        <v>0</v>
      </c>
      <c r="G134" t="str">
        <f>G$9 * (1.67224395275116 -G$8)</f>
        <v>0</v>
      </c>
      <c r="H134" t="str">
        <f>H$9 * (2.318659067153931 -H$8)</f>
        <v>0</v>
      </c>
      <c r="I134" t="str">
        <f>I$9 * (4.963999913343287E-7 -I$8)</f>
        <v>0</v>
      </c>
    </row>
    <row r="135" spans="1:11">
      <c r="A135" t="str">
        <f>A$9 * (31.00008392333984 -A$8)</f>
        <v>0</v>
      </c>
      <c r="B135" t="str">
        <f>B$9 * (31.00008392333984 -B$8)</f>
        <v>0</v>
      </c>
      <c r="C135" t="str">
        <f>C$9 * (31.00008392333984 -C$8)</f>
        <v>0</v>
      </c>
      <c r="D135" t="str">
        <f>D$9 * (31.00008392333984 -D$8)</f>
        <v>0</v>
      </c>
      <c r="F135" t="str">
        <f>F$9 * (-0.0006280809175223112 -F$8)</f>
        <v>0</v>
      </c>
      <c r="G135" t="str">
        <f>G$9 * (-0.6571115851402283 -G$8)</f>
        <v>0</v>
      </c>
      <c r="H135" t="str">
        <f>H$9 * (0.2380971014499664 -H$8)</f>
        <v>0</v>
      </c>
      <c r="I135" t="str">
        <f>I$9 * (8.999999856484919E-9 -I$8)</f>
        <v>0</v>
      </c>
    </row>
    <row r="136" spans="1:11">
      <c r="A136" t="str">
        <f>A$9 * (31.25027847290039 -A$8)</f>
        <v>0</v>
      </c>
      <c r="B136" t="str">
        <f>B$9 * (31.25027847290039 -B$8)</f>
        <v>0</v>
      </c>
      <c r="C136" t="str">
        <f>C$9 * (31.25027847290039 -C$8)</f>
        <v>0</v>
      </c>
      <c r="D136" t="str">
        <f>D$9 * (31.25027847290039 -D$8)</f>
        <v>0</v>
      </c>
      <c r="F136" t="str">
        <f>F$9 * (-0.002472876105457544 -F$8)</f>
        <v>0</v>
      </c>
      <c r="G136" t="str">
        <f>G$9 * (-0.2548916041851044 -G$8)</f>
        <v>0</v>
      </c>
      <c r="H136" t="str">
        <f>H$9 * (-1.074380040168762 -H$8)</f>
        <v>0</v>
      </c>
      <c r="I136" t="str">
        <f>I$9 * (7.370000076889482E-8 -I$8)</f>
        <v>0</v>
      </c>
    </row>
    <row r="137" spans="1:11">
      <c r="A137" t="str">
        <f>A$9 * (31.50033378601074 -A$8)</f>
        <v>0</v>
      </c>
      <c r="B137" t="str">
        <f>B$9 * (31.50033378601074 -B$8)</f>
        <v>0</v>
      </c>
      <c r="C137" t="str">
        <f>C$9 * (31.50033378601074 -C$8)</f>
        <v>0</v>
      </c>
      <c r="D137" t="str">
        <f>D$9 * (31.50033378601074 -D$8)</f>
        <v>0</v>
      </c>
      <c r="F137" t="str">
        <f>F$9 * (0.005476981867104769 -F$8)</f>
        <v>0</v>
      </c>
      <c r="G137" t="str">
        <f>G$9 * (0.1711234003305435 -G$8)</f>
        <v>0</v>
      </c>
      <c r="H137" t="str">
        <f>H$9 * (0.3422949910163879 -H$8)</f>
        <v>0</v>
      </c>
      <c r="I137" t="str">
        <f>I$9 * (9.099999864758956E-9 -I$8)</f>
        <v>0</v>
      </c>
    </row>
    <row r="138" spans="1:11">
      <c r="A138" t="str">
        <f>A$9 * (31.75019454956055 -A$8)</f>
        <v>0</v>
      </c>
      <c r="B138" t="str">
        <f>B$9 * (31.75019454956055 -B$8)</f>
        <v>0</v>
      </c>
      <c r="C138" t="str">
        <f>C$9 * (31.75019454956055 -C$8)</f>
        <v>0</v>
      </c>
      <c r="D138" t="str">
        <f>D$9 * (31.75019454956055 -D$8)</f>
        <v>0</v>
      </c>
      <c r="F138" t="str">
        <f>F$9 * (0.006269466131925583 -F$8)</f>
        <v>0</v>
      </c>
      <c r="G138" t="str">
        <f>G$9 * (4.6113600730896 -G$8)</f>
        <v>0</v>
      </c>
      <c r="H138" t="str">
        <f>H$9 * (39.35760879516602 -H$8)</f>
        <v>0</v>
      </c>
      <c r="I138" t="str">
        <f>I$9 * (0.2391227930784225 -I$8)</f>
        <v>0</v>
      </c>
    </row>
    <row r="139" spans="1:11">
      <c r="A139" t="str">
        <f>A$9 * (32.00044631958008 -A$8)</f>
        <v>0</v>
      </c>
      <c r="B139" t="str">
        <f>B$9 * (32.00044631958008 -B$8)</f>
        <v>0</v>
      </c>
      <c r="C139" t="str">
        <f>C$9 * (32.00044631958008 -C$8)</f>
        <v>0</v>
      </c>
      <c r="D139" t="str">
        <f>D$9 * (32.00044631958008 -D$8)</f>
        <v>0</v>
      </c>
      <c r="F139" t="str">
        <f>F$9 * (0.03611404076218605 -F$8)</f>
        <v>0</v>
      </c>
      <c r="G139" t="str">
        <f>G$9 * (4.072315216064453 -G$8)</f>
        <v>0</v>
      </c>
      <c r="H139" t="str">
        <f>H$9 * (4.311427116394043 -H$8)</f>
        <v>0</v>
      </c>
      <c r="I139" t="str">
        <f>I$9 * (0.02732091955840588 -I$8)</f>
        <v>0</v>
      </c>
    </row>
    <row r="140" spans="1:11">
      <c r="A140" t="str">
        <f>A$9 * (32.25038909912109 -A$8)</f>
        <v>0</v>
      </c>
      <c r="B140" t="str">
        <f>B$9 * (32.25038909912109 -B$8)</f>
        <v>0</v>
      </c>
      <c r="C140" t="str">
        <f>C$9 * (32.25038909912109 -C$8)</f>
        <v>0</v>
      </c>
      <c r="D140" t="str">
        <f>D$9 * (32.25038909912109 -D$8)</f>
        <v>0</v>
      </c>
      <c r="F140" t="str">
        <f>F$9 * (0.01287255994975567 -F$8)</f>
        <v>0</v>
      </c>
      <c r="G140" t="str">
        <f>G$9 * (7.049613952636719 -G$8)</f>
        <v>0</v>
      </c>
      <c r="H140" t="str">
        <f>H$9 * (12.49367046356201 -H$8)</f>
        <v>0</v>
      </c>
      <c r="I140" t="str">
        <f>I$9 * (0.042567178606987 -I$8)</f>
        <v>0</v>
      </c>
    </row>
    <row r="141" spans="1:11">
      <c r="A141" t="str">
        <f>A$9 * (32.5 -A$8)</f>
        <v>0</v>
      </c>
      <c r="B141" t="str">
        <f>B$9 * (32.5 -B$8)</f>
        <v>0</v>
      </c>
      <c r="C141" t="str">
        <f>C$9 * (32.5 -C$8)</f>
        <v>0</v>
      </c>
      <c r="D141" t="str">
        <f>D$9 * (32.5 -D$8)</f>
        <v>0</v>
      </c>
      <c r="F141" t="str">
        <f>F$9 * (0.002903962973505259 -F$8)</f>
        <v>0</v>
      </c>
      <c r="G141" t="str">
        <f>G$9 * (1.014646053314209 -G$8)</f>
        <v>0</v>
      </c>
      <c r="H141" t="str">
        <f>H$9 * (4.795139789581299 -H$8)</f>
        <v>0</v>
      </c>
      <c r="I141" t="str">
        <f>I$9 * (6.50199979190802E-7 -I$8)</f>
        <v>0</v>
      </c>
    </row>
    <row r="142" spans="1:11">
      <c r="A142" t="str">
        <f>A$9 * (32.75033187866211 -A$8)</f>
        <v>0</v>
      </c>
      <c r="B142" t="str">
        <f>B$9 * (32.75033187866211 -B$8)</f>
        <v>0</v>
      </c>
      <c r="C142" t="str">
        <f>C$9 * (32.75033187866211 -C$8)</f>
        <v>0</v>
      </c>
      <c r="D142" t="str">
        <f>D$9 * (32.75033187866211 -D$8)</f>
        <v>0</v>
      </c>
      <c r="F142" t="str">
        <f>F$9 * (-0.0006490565137937665 -F$8)</f>
        <v>0</v>
      </c>
      <c r="G142" t="str">
        <f>G$9 * (-1.600275039672852 -G$8)</f>
        <v>0</v>
      </c>
      <c r="H142" t="str">
        <f>H$9 * (2.258244037628174 -H$8)</f>
        <v>0</v>
      </c>
      <c r="I142" t="str">
        <f>I$9 * (2.495999922302872E-7 -I$8)</f>
        <v>0</v>
      </c>
    </row>
    <row r="143" spans="1:11">
      <c r="A143" t="str">
        <f>A$9 * (33.00025177001953 -A$8)</f>
        <v>0</v>
      </c>
      <c r="B143" t="str">
        <f>B$9 * (33.00025177001953 -B$8)</f>
        <v>0</v>
      </c>
      <c r="C143" t="str">
        <f>C$9 * (33.00025177001953 -C$8)</f>
        <v>0</v>
      </c>
      <c r="D143" t="str">
        <f>D$9 * (33.00025177001953 -D$8)</f>
        <v>0</v>
      </c>
      <c r="F143" t="str">
        <f>F$9 * (-0.003504492109641433 -F$8)</f>
        <v>0</v>
      </c>
      <c r="G143" t="str">
        <f>G$9 * (-0.849431574344635 -G$8)</f>
        <v>0</v>
      </c>
      <c r="H143" t="str">
        <f>H$9 * (-2.522665023803711 -H$8)</f>
        <v>0</v>
      </c>
      <c r="I143" t="str">
        <f>I$9 * (6.6100000140068E-8 -I$8)</f>
        <v>0</v>
      </c>
    </row>
    <row r="144" spans="1:11">
      <c r="A144" t="str">
        <f>A$9 * (33.25041580200195 -A$8)</f>
        <v>0</v>
      </c>
      <c r="B144" t="str">
        <f>B$9 * (33.25041580200195 -B$8)</f>
        <v>0</v>
      </c>
      <c r="C144" t="str">
        <f>C$9 * (33.25041580200195 -C$8)</f>
        <v>0</v>
      </c>
      <c r="D144" t="str">
        <f>D$9 * (33.25041580200195 -D$8)</f>
        <v>0</v>
      </c>
      <c r="F144" t="str">
        <f>F$9 * (-0.001399802975356579 -F$8)</f>
        <v>0</v>
      </c>
      <c r="G144" t="str">
        <f>G$9 * (-1.231675982475281 -G$8)</f>
        <v>0</v>
      </c>
      <c r="H144" t="str">
        <f>H$9 * (-0.2709265053272247 -H$8)</f>
        <v>0</v>
      </c>
      <c r="I144" t="str">
        <f>I$9 * (9.139999690432887E-8 -I$8)</f>
        <v>0</v>
      </c>
    </row>
    <row r="145" spans="1:11">
      <c r="A145" t="str">
        <f>A$9 * (33.50027847290039 -A$8)</f>
        <v>0</v>
      </c>
      <c r="B145" t="str">
        <f>B$9 * (33.50027847290039 -B$8)</f>
        <v>0</v>
      </c>
      <c r="C145" t="str">
        <f>C$9 * (33.50027847290039 -C$8)</f>
        <v>0</v>
      </c>
      <c r="D145" t="str">
        <f>D$9 * (33.50027847290039 -D$8)</f>
        <v>0</v>
      </c>
      <c r="F145" t="str">
        <f>F$9 * (-0.00125650898553431 -F$8)</f>
        <v>0</v>
      </c>
      <c r="G145" t="str">
        <f>G$9 * (-1.282302975654602 -G$8)</f>
        <v>0</v>
      </c>
      <c r="H145" t="str">
        <f>H$9 * (0.882835328578949 -H$8)</f>
        <v>0</v>
      </c>
      <c r="I145" t="str">
        <f>I$9 * (0.0001838073949329555 -I$8)</f>
        <v>0</v>
      </c>
    </row>
    <row r="146" spans="1:11">
      <c r="A146" t="str">
        <f>A$9 * (33.75069427490234 -A$8)</f>
        <v>0</v>
      </c>
      <c r="B146" t="str">
        <f>B$9 * (33.75069427490234 -B$8)</f>
        <v>0</v>
      </c>
      <c r="C146" t="str">
        <f>C$9 * (33.75069427490234 -C$8)</f>
        <v>0</v>
      </c>
      <c r="D146" t="str">
        <f>D$9 * (33.75069427490234 -D$8)</f>
        <v>0</v>
      </c>
      <c r="F146" t="str">
        <f>F$9 * (-0.0005730967968702316 -F$8)</f>
        <v>0</v>
      </c>
      <c r="G146" t="str">
        <f>G$9 * (-0.8411970138549805 -G$8)</f>
        <v>0</v>
      </c>
      <c r="H146" t="str">
        <f>H$9 * (0.3377954065799713 -H$8)</f>
        <v>0</v>
      </c>
      <c r="I146" t="str">
        <f>I$9 * (1.320000020399448E-8 -I$8)</f>
        <v>0</v>
      </c>
    </row>
    <row r="147" spans="1:11">
      <c r="A147" t="str">
        <f>A$9 * (34.0001106262207 -A$8)</f>
        <v>0</v>
      </c>
      <c r="B147" t="str">
        <f>B$9 * (34.0001106262207 -B$8)</f>
        <v>0</v>
      </c>
      <c r="C147" t="str">
        <f>C$9 * (34.0001106262207 -C$8)</f>
        <v>0</v>
      </c>
      <c r="D147" t="str">
        <f>D$9 * (34.0001106262207 -D$8)</f>
        <v>0</v>
      </c>
      <c r="F147" t="str">
        <f>F$9 * (0.001480759005062282 -F$8)</f>
        <v>0</v>
      </c>
      <c r="G147" t="str">
        <f>G$9 * (0.07572218030691147 -G$8)</f>
        <v>0</v>
      </c>
      <c r="H147" t="str">
        <f>H$9 * (19.08436012268066 -H$8)</f>
        <v>0</v>
      </c>
      <c r="I147" t="str">
        <f>I$9 * (0.04485306143760681 -I$8)</f>
        <v>0</v>
      </c>
    </row>
    <row r="148" spans="1:11">
      <c r="A148" t="str">
        <f>A$9 * (34.25058364868164 -A$8)</f>
        <v>0</v>
      </c>
      <c r="B148" t="str">
        <f>B$9 * (34.25058364868164 -B$8)</f>
        <v>0</v>
      </c>
      <c r="C148" t="str">
        <f>C$9 * (34.25058364868164 -C$8)</f>
        <v>0</v>
      </c>
      <c r="D148" t="str">
        <f>D$9 * (34.25058364868164 -D$8)</f>
        <v>0</v>
      </c>
      <c r="F148" t="str">
        <f>F$9 * (0.0004928982234559953 -F$8)</f>
        <v>0</v>
      </c>
      <c r="G148" t="str">
        <f>G$9 * (-0.7812411189079285 -G$8)</f>
        <v>0</v>
      </c>
      <c r="H148" t="str">
        <f>H$9 * (0.9352474212646484 -H$8)</f>
        <v>0</v>
      </c>
      <c r="I148" t="str">
        <f>I$9 * (7.78999975636907E-8 -I$8)</f>
        <v>0</v>
      </c>
    </row>
    <row r="149" spans="1:11">
      <c r="A149" t="str">
        <f>A$9 * (34.50016784667969 -A$8)</f>
        <v>0</v>
      </c>
      <c r="B149" t="str">
        <f>B$9 * (34.50016784667969 -B$8)</f>
        <v>0</v>
      </c>
      <c r="C149" t="str">
        <f>C$9 * (34.50016784667969 -C$8)</f>
        <v>0</v>
      </c>
      <c r="D149" t="str">
        <f>D$9 * (34.50016784667969 -D$8)</f>
        <v>0</v>
      </c>
      <c r="F149" t="str">
        <f>F$9 * (-0.0009767162846401334 -F$8)</f>
        <v>0</v>
      </c>
      <c r="G149" t="str">
        <f>G$9 * (-0.8021847009658813 -G$8)</f>
        <v>0</v>
      </c>
      <c r="H149" t="str">
        <f>H$9 * (0.3509607017040253 -H$8)</f>
        <v>0</v>
      </c>
      <c r="I149" t="str">
        <f>I$9 * (4.398139935801737E-5 -I$8)</f>
        <v>0</v>
      </c>
    </row>
    <row r="150" spans="1:11">
      <c r="A150" t="str">
        <f>A$9 * (34.75025177001953 -A$8)</f>
        <v>0</v>
      </c>
      <c r="B150" t="str">
        <f>B$9 * (34.75025177001953 -B$8)</f>
        <v>0</v>
      </c>
      <c r="C150" t="str">
        <f>C$9 * (34.75025177001953 -C$8)</f>
        <v>0</v>
      </c>
      <c r="D150" t="str">
        <f>D$9 * (34.75025177001953 -D$8)</f>
        <v>0</v>
      </c>
      <c r="F150" t="str">
        <f>F$9 * (-0.003290232038125396 -F$8)</f>
        <v>0</v>
      </c>
      <c r="G150" t="str">
        <f>G$9 * (-0.4494192898273468 -G$8)</f>
        <v>0</v>
      </c>
      <c r="H150" t="str">
        <f>H$9 * (-2.033255100250244 -H$8)</f>
        <v>0</v>
      </c>
      <c r="I150" t="str">
        <f>I$9 * (1.923950003401842E-5 -I$8)</f>
        <v>0</v>
      </c>
    </row>
    <row r="151" spans="1:11">
      <c r="A151" t="str">
        <f>A$9 * (35.00063705444336 -A$8)</f>
        <v>0</v>
      </c>
      <c r="B151" t="str">
        <f>B$9 * (35.00063705444336 -B$8)</f>
        <v>0</v>
      </c>
      <c r="C151" t="str">
        <f>C$9 * (35.00063705444336 -C$8)</f>
        <v>0</v>
      </c>
      <c r="D151" t="str">
        <f>D$9 * (35.00063705444336 -D$8)</f>
        <v>0</v>
      </c>
      <c r="F151" t="str">
        <f>F$9 * (-0.000582861015573144 -F$8)</f>
        <v>0</v>
      </c>
      <c r="G151" t="str">
        <f>G$9 * (-1.153666019439697 -G$8)</f>
        <v>0</v>
      </c>
      <c r="H151" t="str">
        <f>H$9 * (0.358417809009552 -H$8)</f>
        <v>0</v>
      </c>
      <c r="I151" t="str">
        <f>I$9 * (1.167000007740171E-7 -I$8)</f>
        <v>0</v>
      </c>
    </row>
    <row r="152" spans="1:11">
      <c r="A152" t="str">
        <f>A$9 * (35.25091552734375 -A$8)</f>
        <v>0</v>
      </c>
      <c r="B152" t="str">
        <f>B$9 * (35.25091552734375 -B$8)</f>
        <v>0</v>
      </c>
      <c r="C152" t="str">
        <f>C$9 * (35.25091552734375 -C$8)</f>
        <v>0</v>
      </c>
      <c r="D152" t="str">
        <f>D$9 * (35.25091552734375 -D$8)</f>
        <v>0</v>
      </c>
      <c r="F152" t="str">
        <f>F$9 * (0.002827720018103719 -F$8)</f>
        <v>0</v>
      </c>
      <c r="G152" t="str">
        <f>G$9 * (0.08755432814359665 -G$8)</f>
        <v>0</v>
      </c>
      <c r="H152" t="str">
        <f>H$9 * (0.1652942001819611 -H$8)</f>
        <v>0</v>
      </c>
      <c r="I152" t="str">
        <f>I$9 * (4.799999953064571E-9 -I$8)</f>
        <v>0</v>
      </c>
    </row>
    <row r="153" spans="1:11">
      <c r="A153" t="str">
        <f>A$9 * (35.50013732910156 -A$8)</f>
        <v>0</v>
      </c>
      <c r="B153" t="str">
        <f>B$9 * (35.50013732910156 -B$8)</f>
        <v>0</v>
      </c>
      <c r="C153" t="str">
        <f>C$9 * (35.50013732910156 -C$8)</f>
        <v>0</v>
      </c>
      <c r="D153" t="str">
        <f>D$9 * (35.50013732910156 -D$8)</f>
        <v>0</v>
      </c>
      <c r="F153" t="str">
        <f>F$9 * (0.004965377971529961 -F$8)</f>
        <v>0</v>
      </c>
      <c r="G153" t="str">
        <f>G$9 * (0.3514628112316132 -G$8)</f>
        <v>0</v>
      </c>
      <c r="H153" t="str">
        <f>H$9 * (15.16425037384033 -H$8)</f>
        <v>0</v>
      </c>
      <c r="I153" t="str">
        <f>I$9 * (0.0375058613717556 -I$8)</f>
        <v>0</v>
      </c>
    </row>
    <row r="154" spans="1:11">
      <c r="A154" t="str">
        <f>A$9 * (35.75019454956055 -A$8)</f>
        <v>0</v>
      </c>
      <c r="B154" t="str">
        <f>B$9 * (35.75019454956055 -B$8)</f>
        <v>0</v>
      </c>
      <c r="C154" t="str">
        <f>C$9 * (35.75019454956055 -C$8)</f>
        <v>0</v>
      </c>
      <c r="D154" t="str">
        <f>D$9 * (35.75019454956055 -D$8)</f>
        <v>0</v>
      </c>
      <c r="F154" t="str">
        <f>F$9 * (-0.0002146702026948333 -F$8)</f>
        <v>0</v>
      </c>
      <c r="G154" t="str">
        <f>G$9 * (-0.3717268109321594 -G$8)</f>
        <v>0</v>
      </c>
      <c r="H154" t="str">
        <f>H$9 * (-0.1264652013778687 -H$8)</f>
        <v>0</v>
      </c>
      <c r="I154" t="str">
        <f>I$9 * (7.400000168189536E-9 -I$8)</f>
        <v>0</v>
      </c>
    </row>
    <row r="155" spans="1:11">
      <c r="A155" t="str">
        <f>A$9 * (36.00019454956055 -A$8)</f>
        <v>0</v>
      </c>
      <c r="B155" t="str">
        <f>B$9 * (36.00019454956055 -B$8)</f>
        <v>0</v>
      </c>
      <c r="C155" t="str">
        <f>C$9 * (36.00019454956055 -C$8)</f>
        <v>0</v>
      </c>
      <c r="D155" t="str">
        <f>D$9 * (36.00019454956055 -D$8)</f>
        <v>0</v>
      </c>
      <c r="F155" t="str">
        <f>F$9 * (-0.0005399518995545805 -F$8)</f>
        <v>0</v>
      </c>
      <c r="G155" t="str">
        <f>G$9 * (-0.4732449948787689 -G$8)</f>
        <v>0</v>
      </c>
      <c r="H155" t="str">
        <f>H$9 * (-0.003137530060485005 -H$8)</f>
        <v>0</v>
      </c>
      <c r="I155" t="str">
        <f>I$9 * (3.870000142569552E-8 -I$8)</f>
        <v>0</v>
      </c>
    </row>
    <row r="156" spans="1:11">
      <c r="A156" t="str">
        <f>A$9 * (36.25027847290039 -A$8)</f>
        <v>0</v>
      </c>
      <c r="B156" t="str">
        <f>B$9 * (36.25027847290039 -B$8)</f>
        <v>0</v>
      </c>
      <c r="C156" t="str">
        <f>C$9 * (36.25027847290039 -C$8)</f>
        <v>0</v>
      </c>
      <c r="D156" t="str">
        <f>D$9 * (36.25027847290039 -D$8)</f>
        <v>0</v>
      </c>
      <c r="F156" t="str">
        <f>F$9 * (-0.0005543773877434433 -F$8)</f>
        <v>0</v>
      </c>
      <c r="G156" t="str">
        <f>G$9 * (-0.3095420002937317 -G$8)</f>
        <v>0</v>
      </c>
      <c r="H156" t="str">
        <f>H$9 * (-0.09928002208471298 -H$8)</f>
        <v>0</v>
      </c>
      <c r="I156" t="str">
        <f>I$9 * (2.260000009357555E-8 -I$8)</f>
        <v>0</v>
      </c>
    </row>
    <row r="157" spans="1:11">
      <c r="A157" t="str">
        <f>A$9 * (36.50077819824219 -A$8)</f>
        <v>0</v>
      </c>
      <c r="B157" t="str">
        <f>B$9 * (36.50077819824219 -B$8)</f>
        <v>0</v>
      </c>
      <c r="C157" t="str">
        <f>C$9 * (36.50077819824219 -C$8)</f>
        <v>0</v>
      </c>
      <c r="D157" t="str">
        <f>D$9 * (36.50077819824219 -D$8)</f>
        <v>0</v>
      </c>
      <c r="F157" t="str">
        <f>F$9 * (0.0006499430746771395 -F$8)</f>
        <v>0</v>
      </c>
      <c r="G157" t="str">
        <f>G$9 * (0.02148633077740669 -G$8)</f>
        <v>0</v>
      </c>
      <c r="H157" t="str">
        <f>H$9 * (0.1382011026144028 -H$8)</f>
        <v>0</v>
      </c>
      <c r="I157" t="str">
        <f>I$9 * (3.899999878598237E-9 -I$8)</f>
        <v>0</v>
      </c>
    </row>
    <row r="158" spans="1:11">
      <c r="A158" t="str">
        <f>A$9 * (36.75005722045898 -A$8)</f>
        <v>0</v>
      </c>
      <c r="B158" t="str">
        <f>B$9 * (36.75005722045898 -B$8)</f>
        <v>0</v>
      </c>
      <c r="C158" t="str">
        <f>C$9 * (36.75005722045898 -C$8)</f>
        <v>0</v>
      </c>
      <c r="D158" t="str">
        <f>D$9 * (36.75005722045898 -D$8)</f>
        <v>0</v>
      </c>
      <c r="F158" t="str">
        <f>F$9 * (0.003561238991096616 -F$8)</f>
        <v>0</v>
      </c>
      <c r="G158" t="str">
        <f>G$9 * (0.1503359973430634 -G$8)</f>
        <v>0</v>
      </c>
      <c r="H158" t="str">
        <f>H$9 * (10.76636981964111 -H$8)</f>
        <v>0</v>
      </c>
      <c r="I158" t="str">
        <f>I$9 * (0.01855652034282684 -I$8)</f>
        <v>0</v>
      </c>
    </row>
    <row r="159" spans="1:11">
      <c r="A159" t="str">
        <f>A$9 * (37.00041580200195 -A$8)</f>
        <v>0</v>
      </c>
      <c r="B159" t="str">
        <f>B$9 * (37.00041580200195 -B$8)</f>
        <v>0</v>
      </c>
      <c r="C159" t="str">
        <f>C$9 * (37.00041580200195 -C$8)</f>
        <v>0</v>
      </c>
      <c r="D159" t="str">
        <f>D$9 * (37.00041580200195 -D$8)</f>
        <v>0</v>
      </c>
      <c r="F159" t="str">
        <f>F$9 * (0.02286889031529427 -F$8)</f>
        <v>0</v>
      </c>
      <c r="G159" t="str">
        <f>G$9 * (11.85151958465576 -G$8)</f>
        <v>0</v>
      </c>
      <c r="H159" t="str">
        <f>H$9 * (18.17226982116699 -H$8)</f>
        <v>0</v>
      </c>
      <c r="I159" t="str">
        <f>I$9 * (0.1067570969462395 -I$8)</f>
        <v>0</v>
      </c>
    </row>
    <row r="160" spans="1:11">
      <c r="A160" t="str">
        <f>A$9 * (37.25033187866211 -A$8)</f>
        <v>0</v>
      </c>
      <c r="B160" t="str">
        <f>B$9 * (37.25033187866211 -B$8)</f>
        <v>0</v>
      </c>
      <c r="C160" t="str">
        <f>C$9 * (37.25033187866211 -C$8)</f>
        <v>0</v>
      </c>
      <c r="D160" t="str">
        <f>D$9 * (37.25033187866211 -D$8)</f>
        <v>0</v>
      </c>
      <c r="F160" t="str">
        <f>F$9 * (0.006944899912923574 -F$8)</f>
        <v>0</v>
      </c>
      <c r="G160" t="str">
        <f>G$9 * (4.146202087402344 -G$8)</f>
        <v>0</v>
      </c>
      <c r="H160" t="str">
        <f>H$9 * (10.58032989501953 -H$8)</f>
        <v>0</v>
      </c>
      <c r="I160" t="str">
        <f>I$9 * (0.02314707078039646 -I$8)</f>
        <v>0</v>
      </c>
    </row>
    <row r="161" spans="1:11">
      <c r="A161" t="str">
        <f>A$9 * (37.50008392333984 -A$8)</f>
        <v>0</v>
      </c>
      <c r="B161" t="str">
        <f>B$9 * (37.50008392333984 -B$8)</f>
        <v>0</v>
      </c>
      <c r="C161" t="str">
        <f>C$9 * (37.50008392333984 -C$8)</f>
        <v>0</v>
      </c>
      <c r="D161" t="str">
        <f>D$9 * (37.50008392333984 -D$8)</f>
        <v>0</v>
      </c>
      <c r="F161" t="str">
        <f>F$9 * (-0.0006303538102656603 -F$8)</f>
        <v>0</v>
      </c>
      <c r="G161" t="str">
        <f>G$9 * (-0.1608321964740753 -G$8)</f>
        <v>0</v>
      </c>
      <c r="H161" t="str">
        <f>H$9 * (2.405498027801514 -H$8)</f>
        <v>0</v>
      </c>
      <c r="I161" t="str">
        <f>I$9 * (5.920000134551628E-8 -I$8)</f>
        <v>0</v>
      </c>
    </row>
    <row r="162" spans="1:11">
      <c r="A162" t="str">
        <f>A$9 * (37.75036239624023 -A$8)</f>
        <v>0</v>
      </c>
      <c r="B162" t="str">
        <f>B$9 * (37.75036239624023 -B$8)</f>
        <v>0</v>
      </c>
      <c r="C162" t="str">
        <f>C$9 * (37.75036239624023 -C$8)</f>
        <v>0</v>
      </c>
      <c r="D162" t="str">
        <f>D$9 * (37.75036239624023 -D$8)</f>
        <v>0</v>
      </c>
      <c r="F162" t="str">
        <f>F$9 * (-0.001330462982878089 -F$8)</f>
        <v>0</v>
      </c>
      <c r="G162" t="str">
        <f>G$9 * (-1.477980017662048 -G$8)</f>
        <v>0</v>
      </c>
      <c r="H162" t="str">
        <f>H$9 * (0.2943964004516602 -H$8)</f>
        <v>0</v>
      </c>
      <c r="I162" t="str">
        <f>I$9 * (2.35900003531242E-7 -I$8)</f>
        <v>0</v>
      </c>
    </row>
    <row r="163" spans="1:11">
      <c r="A163" t="str">
        <f>A$9 * (38.00041580200195 -A$8)</f>
        <v>0</v>
      </c>
      <c r="B163" t="str">
        <f>B$9 * (38.00041580200195 -B$8)</f>
        <v>0</v>
      </c>
      <c r="C163" t="str">
        <f>C$9 * (38.00041580200195 -C$8)</f>
        <v>0</v>
      </c>
      <c r="D163" t="str">
        <f>D$9 * (38.00041580200195 -D$8)</f>
        <v>0</v>
      </c>
      <c r="F163" t="str">
        <f>F$9 * (-0.005972519982606173 -F$8)</f>
        <v>0</v>
      </c>
      <c r="G163" t="str">
        <f>G$9 * (-0.286809504032135 -G$8)</f>
        <v>0</v>
      </c>
      <c r="H163" t="str">
        <f>H$9 * (-4.343354225158691 -H$8)</f>
        <v>0</v>
      </c>
      <c r="I163" t="str">
        <f>I$9 * (7.93000012322409E-8 -I$8)</f>
        <v>0</v>
      </c>
    </row>
    <row r="164" spans="1:11">
      <c r="A164" t="str">
        <f>A$9 * (38.25044631958008 -A$8)</f>
        <v>0</v>
      </c>
      <c r="B164" t="str">
        <f>B$9 * (38.25044631958008 -B$8)</f>
        <v>0</v>
      </c>
      <c r="C164" t="str">
        <f>C$9 * (38.25044631958008 -C$8)</f>
        <v>0</v>
      </c>
      <c r="D164" t="str">
        <f>D$9 * (38.25044631958008 -D$8)</f>
        <v>0</v>
      </c>
      <c r="F164" t="str">
        <f>F$9 * (-0.002408260013908148 -F$8)</f>
        <v>0</v>
      </c>
      <c r="G164" t="str">
        <f>G$9 * (-0.7051339149475098 -G$8)</f>
        <v>0</v>
      </c>
      <c r="H164" t="str">
        <f>H$9 * (-1.361384987831116 -H$8)</f>
        <v>0</v>
      </c>
      <c r="I164" t="str">
        <f>I$9 * (0.002961225109174848 -I$8)</f>
        <v>0</v>
      </c>
    </row>
    <row r="165" spans="1:11">
      <c r="A165" t="str">
        <f>A$9 * (38.50041580200195 -A$8)</f>
        <v>0</v>
      </c>
      <c r="B165" t="str">
        <f>B$9 * (38.50041580200195 -B$8)</f>
        <v>0</v>
      </c>
      <c r="C165" t="str">
        <f>C$9 * (38.50041580200195 -C$8)</f>
        <v>0</v>
      </c>
      <c r="D165" t="str">
        <f>D$9 * (38.50041580200195 -D$8)</f>
        <v>0</v>
      </c>
      <c r="F165" t="str">
        <f>F$9 * (-0.0005241751787252724 -F$8)</f>
        <v>0</v>
      </c>
      <c r="G165" t="str">
        <f>G$9 * (-0.5170331001281738 -G$8)</f>
        <v>0</v>
      </c>
      <c r="H165" t="str">
        <f>H$9 * (0.2735889852046967 -H$8)</f>
        <v>0</v>
      </c>
      <c r="I165" t="str">
        <f>I$9 * (0.0001378276065224782 -I$8)</f>
        <v>0</v>
      </c>
    </row>
    <row r="166" spans="1:11">
      <c r="A166" t="str">
        <f>A$9 * (38.75052642822266 -A$8)</f>
        <v>0</v>
      </c>
      <c r="B166" t="str">
        <f>B$9 * (38.75052642822266 -B$8)</f>
        <v>0</v>
      </c>
      <c r="C166" t="str">
        <f>C$9 * (38.75052642822266 -C$8)</f>
        <v>0</v>
      </c>
      <c r="D166" t="str">
        <f>D$9 * (38.75052642822266 -D$8)</f>
        <v>0</v>
      </c>
      <c r="F166" t="str">
        <f>F$9 * (0.08944880962371826 -F$8)</f>
        <v>0</v>
      </c>
      <c r="G166" t="str">
        <f>G$9 * (3.7273850440979 -G$8)</f>
        <v>0</v>
      </c>
      <c r="H166" t="str">
        <f>H$9 * (3.900243997573853 -H$8)</f>
        <v>0</v>
      </c>
      <c r="I166" t="str">
        <f>I$9 * (0.05001235008239746 -I$8)</f>
        <v>0</v>
      </c>
    </row>
    <row r="167" spans="1:11">
      <c r="A167" t="str">
        <f>A$9 * (39.00044631958008 -A$8)</f>
        <v>0</v>
      </c>
      <c r="B167" t="str">
        <f>B$9 * (39.00044631958008 -B$8)</f>
        <v>0</v>
      </c>
      <c r="C167" t="str">
        <f>C$9 * (39.00044631958008 -C$8)</f>
        <v>0</v>
      </c>
      <c r="D167" t="str">
        <f>D$9 * (39.00044631958008 -D$8)</f>
        <v>0</v>
      </c>
      <c r="F167" t="str">
        <f>F$9 * (0.01609873957931995 -F$8)</f>
        <v>0</v>
      </c>
      <c r="G167" t="str">
        <f>G$9 * (2.398634910583496 -G$8)</f>
        <v>0</v>
      </c>
      <c r="H167" t="str">
        <f>H$9 * (3.407354116439819 -H$8)</f>
        <v>0</v>
      </c>
      <c r="I167" t="str">
        <f>I$9 * (7.488999926863471E-7 -I$8)</f>
        <v>0</v>
      </c>
    </row>
    <row r="168" spans="1:11">
      <c r="A168" t="str">
        <f>A$9 * (39.25019454956055 -A$8)</f>
        <v>0</v>
      </c>
      <c r="B168" t="str">
        <f>B$9 * (39.25019454956055 -B$8)</f>
        <v>0</v>
      </c>
      <c r="C168" t="str">
        <f>C$9 * (39.25019454956055 -C$8)</f>
        <v>0</v>
      </c>
      <c r="D168" t="str">
        <f>D$9 * (39.25019454956055 -D$8)</f>
        <v>0</v>
      </c>
      <c r="F168" t="str">
        <f>F$9 * (-0.001301556010730565 -F$8)</f>
        <v>0</v>
      </c>
      <c r="G168" t="str">
        <f>G$9 * (-0.9271110892295837 -G$8)</f>
        <v>0</v>
      </c>
      <c r="H168" t="str">
        <f>H$9 * (-0.2940540015697479 -H$8)</f>
        <v>0</v>
      </c>
      <c r="I168" t="str">
        <f>I$9 * (4.320000002167035E-8 -I$8)</f>
        <v>0</v>
      </c>
    </row>
    <row r="169" spans="1:11">
      <c r="A169" t="str">
        <f>A$9 * (39.50008392333984 -A$8)</f>
        <v>0</v>
      </c>
      <c r="B169" t="str">
        <f>B$9 * (39.50008392333984 -B$8)</f>
        <v>0</v>
      </c>
      <c r="C169" t="str">
        <f>C$9 * (39.50008392333984 -C$8)</f>
        <v>0</v>
      </c>
      <c r="D169" t="str">
        <f>D$9 * (39.50008392333984 -D$8)</f>
        <v>0</v>
      </c>
      <c r="F169" t="str">
        <f>F$9 * (-0.0001056701003108174 -F$8)</f>
        <v>0</v>
      </c>
      <c r="G169" t="str">
        <f>G$9 * (-0.5381485819816589 -G$8)</f>
        <v>0</v>
      </c>
      <c r="H169" t="str">
        <f>H$9 * (0.3101767003536224 -H$8)</f>
        <v>0</v>
      </c>
      <c r="I169" t="str">
        <f>I$9 * (2.720000047418125E-8 -I$8)</f>
        <v>0</v>
      </c>
    </row>
    <row r="170" spans="1:11">
      <c r="A170" t="str">
        <f>A$9 * (39.75080490112305 -A$8)</f>
        <v>0</v>
      </c>
      <c r="B170" t="str">
        <f>B$9 * (39.75080490112305 -B$8)</f>
        <v>0</v>
      </c>
      <c r="C170" t="str">
        <f>C$9 * (39.75080490112305 -C$8)</f>
        <v>0</v>
      </c>
      <c r="D170" t="str">
        <f>D$9 * (39.75080490112305 -D$8)</f>
        <v>0</v>
      </c>
      <c r="F170" t="str">
        <f>F$9 * (-2.142019911843818E-5 -F$8)</f>
        <v>0</v>
      </c>
      <c r="G170" t="str">
        <f>G$9 * (-1.05278205871582 -G$8)</f>
        <v>0</v>
      </c>
      <c r="H170" t="str">
        <f>H$9 * (0.4604355096817017 -H$8)</f>
        <v>0</v>
      </c>
      <c r="I170" t="str">
        <f>I$9 * (2.57000003500707E-8 -I$8)</f>
        <v>0</v>
      </c>
    </row>
    <row r="171" spans="1:11">
      <c r="A171" t="str">
        <f>A$9 * (40.00063705444336 -A$8)</f>
        <v>0</v>
      </c>
      <c r="B171" t="str">
        <f>B$9 * (40.00063705444336 -B$8)</f>
        <v>0</v>
      </c>
      <c r="C171" t="str">
        <f>C$9 * (40.00063705444336 -C$8)</f>
        <v>0</v>
      </c>
      <c r="D171" t="str">
        <f>D$9 * (40.00063705444336 -D$8)</f>
        <v>0</v>
      </c>
      <c r="F171" t="str">
        <f>F$9 * (-0.0001189629983855411 -F$8)</f>
        <v>0</v>
      </c>
      <c r="G171" t="str">
        <f>G$9 * (-1.083747029304504 -G$8)</f>
        <v>0</v>
      </c>
      <c r="H171" t="str">
        <f>H$9 * (1.955062985420227 -H$8)</f>
        <v>0</v>
      </c>
      <c r="I171" t="str">
        <f>I$9 * (1.81299995460904E-7 -I$8)</f>
        <v>0</v>
      </c>
    </row>
    <row r="172" spans="1:11">
      <c r="A172" t="str">
        <f>A$9 * (40.2501106262207 -A$8)</f>
        <v>0</v>
      </c>
      <c r="B172" t="str">
        <f>B$9 * (40.2501106262207 -B$8)</f>
        <v>0</v>
      </c>
      <c r="C172" t="str">
        <f>C$9 * (40.2501106262207 -C$8)</f>
        <v>0</v>
      </c>
      <c r="D172" t="str">
        <f>D$9 * (40.2501106262207 -D$8)</f>
        <v>0</v>
      </c>
      <c r="F172" t="str">
        <f>F$9 * (0.1492020040750504 -F$8)</f>
        <v>0</v>
      </c>
      <c r="G172" t="str">
        <f>G$9 * (25.24666023254395 -G$8)</f>
        <v>0</v>
      </c>
      <c r="H172" t="str">
        <f>H$9 * (26.69149017333984 -H$8)</f>
        <v>0</v>
      </c>
      <c r="I172" t="str">
        <f>I$9 * (1.010306000709534 -I$8)</f>
        <v>0</v>
      </c>
    </row>
    <row r="173" spans="1:11">
      <c r="A173" t="str">
        <f>A$9 * (40.50030517578125 -A$8)</f>
        <v>0</v>
      </c>
      <c r="B173" t="str">
        <f>B$9 * (40.50030517578125 -B$8)</f>
        <v>0</v>
      </c>
      <c r="C173" t="str">
        <f>C$9 * (40.50030517578125 -C$8)</f>
        <v>0</v>
      </c>
      <c r="D173" t="str">
        <f>D$9 * (40.50030517578125 -D$8)</f>
        <v>0</v>
      </c>
      <c r="F173" t="str">
        <f>F$9 * (0.01020900998264551 -F$8)</f>
        <v>0</v>
      </c>
      <c r="G173" t="str">
        <f>G$9 * (1.052382946014404 -G$8)</f>
        <v>0</v>
      </c>
      <c r="H173" t="str">
        <f>H$9 * (1.828552961349487 -H$8)</f>
        <v>0</v>
      </c>
      <c r="I173" t="str">
        <f>I$9 * (1.948999965861731E-7 -I$8)</f>
        <v>0</v>
      </c>
    </row>
    <row r="174" spans="1:11">
      <c r="A174" t="str">
        <f>A$9 * (40.75041580200195 -A$8)</f>
        <v>0</v>
      </c>
      <c r="B174" t="str">
        <f>B$9 * (40.75041580200195 -B$8)</f>
        <v>0</v>
      </c>
      <c r="C174" t="str">
        <f>C$9 * (40.75041580200195 -C$8)</f>
        <v>0</v>
      </c>
      <c r="D174" t="str">
        <f>D$9 * (40.75041580200195 -D$8)</f>
        <v>0</v>
      </c>
      <c r="F174" t="str">
        <f>F$9 * (-0.0005187360220588744 -F$8)</f>
        <v>0</v>
      </c>
      <c r="G174" t="str">
        <f>G$9 * (-0.5333461165428162 -G$8)</f>
        <v>0</v>
      </c>
      <c r="H174" t="str">
        <f>H$9 * (0.1283223032951355 -H$8)</f>
        <v>0</v>
      </c>
      <c r="I174" t="str">
        <f>I$9 * (5.500000010982831E-9 -I$8)</f>
        <v>0</v>
      </c>
    </row>
    <row r="175" spans="1:11">
      <c r="A175" t="str">
        <f>A$9 * (41.00077819824219 -A$8)</f>
        <v>0</v>
      </c>
      <c r="B175" t="str">
        <f>B$9 * (41.00077819824219 -B$8)</f>
        <v>0</v>
      </c>
      <c r="C175" t="str">
        <f>C$9 * (41.00077819824219 -C$8)</f>
        <v>0</v>
      </c>
      <c r="D175" t="str">
        <f>D$9 * (41.00077819824219 -D$8)</f>
        <v>0</v>
      </c>
      <c r="F175" t="str">
        <f>F$9 * (-0.0009857222903519869 -F$8)</f>
        <v>0</v>
      </c>
      <c r="G175" t="str">
        <f>G$9 * (-0.3529508113861084 -G$8)</f>
        <v>0</v>
      </c>
      <c r="H175" t="str">
        <f>H$9 * (-0.4500643014907837 -H$8)</f>
        <v>0</v>
      </c>
      <c r="I175" t="str">
        <f>I$9 * (2.079999994464288E-8 -I$8)</f>
        <v>0</v>
      </c>
    </row>
    <row r="176" spans="1:11">
      <c r="A176" t="str">
        <f>A$9 * (41.2507209777832 -A$8)</f>
        <v>0</v>
      </c>
      <c r="B176" t="str">
        <f>B$9 * (41.2507209777832 -B$8)</f>
        <v>0</v>
      </c>
      <c r="C176" t="str">
        <f>C$9 * (41.2507209777832 -C$8)</f>
        <v>0</v>
      </c>
      <c r="D176" t="str">
        <f>D$9 * (41.2507209777832 -D$8)</f>
        <v>0</v>
      </c>
      <c r="F176" t="str">
        <f>F$9 * (0.0008038480882532895 -F$8)</f>
        <v>0</v>
      </c>
      <c r="G176" t="str">
        <f>G$9 * (0.02469859085977077 -G$8)</f>
        <v>0</v>
      </c>
      <c r="H176" t="str">
        <f>H$9 * (0.09862536936998367 -H$8)</f>
        <v>0</v>
      </c>
      <c r="I176" t="str">
        <f>I$9 * (1.29999999654018E-9 -I$8)</f>
        <v>0</v>
      </c>
    </row>
    <row r="177" spans="1:11">
      <c r="A177" t="str">
        <f>A$9 * (41.50013732910156 -A$8)</f>
        <v>0</v>
      </c>
      <c r="B177" t="str">
        <f>B$9 * (41.50013732910156 -B$8)</f>
        <v>0</v>
      </c>
      <c r="C177" t="str">
        <f>C$9 * (41.50013732910156 -C$8)</f>
        <v>0</v>
      </c>
      <c r="D177" t="str">
        <f>D$9 * (41.50013732910156 -D$8)</f>
        <v>0</v>
      </c>
      <c r="F177" t="str">
        <f>F$9 * (0.008332572877407074 -F$8)</f>
        <v>0</v>
      </c>
      <c r="G177" t="str">
        <f>G$9 * (0.437903106212616 -G$8)</f>
        <v>0</v>
      </c>
      <c r="H177" t="str">
        <f>H$9 * (35.74631118774414 -H$8)</f>
        <v>0</v>
      </c>
      <c r="I177" t="str">
        <f>I$9 * (0.2023136019706726 -I$8)</f>
        <v>0</v>
      </c>
    </row>
    <row r="178" spans="1:11">
      <c r="A178" t="str">
        <f>A$9 * (41.75052642822266 -A$8)</f>
        <v>0</v>
      </c>
      <c r="B178" t="str">
        <f>B$9 * (41.75052642822266 -B$8)</f>
        <v>0</v>
      </c>
      <c r="C178" t="str">
        <f>C$9 * (41.75052642822266 -C$8)</f>
        <v>0</v>
      </c>
      <c r="D178" t="str">
        <f>D$9 * (41.75052642822266 -D$8)</f>
        <v>0</v>
      </c>
      <c r="F178" t="str">
        <f>F$9 * (0.0469684787094593 -F$8)</f>
        <v>0</v>
      </c>
      <c r="G178" t="str">
        <f>G$9 * (5.283449172973633 -G$8)</f>
        <v>0</v>
      </c>
      <c r="H178" t="str">
        <f>H$9 * (5.568244934082031 -H$8)</f>
        <v>0</v>
      </c>
      <c r="I178" t="str">
        <f>I$9 * (0.04590737074613571 -I$8)</f>
        <v>0</v>
      </c>
    </row>
    <row r="179" spans="1:11">
      <c r="A179" t="str">
        <f>A$9 * (42.00030517578125 -A$8)</f>
        <v>0</v>
      </c>
      <c r="B179" t="str">
        <f>B$9 * (42.00030517578125 -B$8)</f>
        <v>0</v>
      </c>
      <c r="C179" t="str">
        <f>C$9 * (42.00030517578125 -C$8)</f>
        <v>0</v>
      </c>
      <c r="D179" t="str">
        <f>D$9 * (42.00030517578125 -D$8)</f>
        <v>0</v>
      </c>
      <c r="F179" t="str">
        <f>F$9 * (0.01221092045307159 -F$8)</f>
        <v>0</v>
      </c>
      <c r="G179" t="str">
        <f>G$9 * (6.71011209487915 -G$8)</f>
        <v>0</v>
      </c>
      <c r="H179" t="str">
        <f>H$9 * (12.21146011352539 -H$8)</f>
        <v>0</v>
      </c>
      <c r="I179" t="str">
        <f>I$9 * (0.03981449827551842 -I$8)</f>
        <v>0</v>
      </c>
    </row>
    <row r="180" spans="1:11">
      <c r="A180" t="str">
        <f>A$9 * (42.25013732910156 -A$8)</f>
        <v>0</v>
      </c>
      <c r="B180" t="str">
        <f>B$9 * (42.25013732910156 -B$8)</f>
        <v>0</v>
      </c>
      <c r="C180" t="str">
        <f>C$9 * (42.25013732910156 -C$8)</f>
        <v>0</v>
      </c>
      <c r="D180" t="str">
        <f>D$9 * (42.25013732910156 -D$8)</f>
        <v>0</v>
      </c>
      <c r="F180" t="str">
        <f>F$9 * (0.002491795923560858 -F$8)</f>
        <v>0</v>
      </c>
      <c r="G180" t="str">
        <f>G$9 * (0.8007918000221252 -G$8)</f>
        <v>0</v>
      </c>
      <c r="H180" t="str">
        <f>H$9 * (4.29882287979126 -H$8)</f>
        <v>0</v>
      </c>
      <c r="I180" t="str">
        <f>I$9 * (4.620000026989146E-7 -I$8)</f>
        <v>0</v>
      </c>
    </row>
    <row r="181" spans="1:11">
      <c r="A181" t="str">
        <f>A$9 * (42.50030517578125 -A$8)</f>
        <v>0</v>
      </c>
      <c r="B181" t="str">
        <f>B$9 * (42.50030517578125 -B$8)</f>
        <v>0</v>
      </c>
      <c r="C181" t="str">
        <f>C$9 * (42.50030517578125 -C$8)</f>
        <v>0</v>
      </c>
      <c r="D181" t="str">
        <f>D$9 * (42.50030517578125 -D$8)</f>
        <v>0</v>
      </c>
      <c r="F181" t="str">
        <f>F$9 * (-0.002512557897716761 -F$8)</f>
        <v>0</v>
      </c>
      <c r="G181" t="str">
        <f>G$9 * (-1.44628894329071 -G$8)</f>
        <v>0</v>
      </c>
      <c r="H181" t="str">
        <f>H$9 * (-0.2501513957977295 -H$8)</f>
        <v>0</v>
      </c>
      <c r="I181" t="str">
        <f>I$9 * (0.000771092192735523 -I$8)</f>
        <v>0</v>
      </c>
    </row>
    <row r="182" spans="1:11">
      <c r="A182" t="str">
        <f>A$9 * (42.75047302246094 -A$8)</f>
        <v>0</v>
      </c>
      <c r="B182" t="str">
        <f>B$9 * (42.75047302246094 -B$8)</f>
        <v>0</v>
      </c>
      <c r="C182" t="str">
        <f>C$9 * (42.75047302246094 -C$8)</f>
        <v>0</v>
      </c>
      <c r="D182" t="str">
        <f>D$9 * (42.75047302246094 -D$8)</f>
        <v>0</v>
      </c>
      <c r="F182" t="str">
        <f>F$9 * (-0.001171923009678721 -F$8)</f>
        <v>0</v>
      </c>
      <c r="G182" t="str">
        <f>G$9 * (-1.459306001663208 -G$8)</f>
        <v>0</v>
      </c>
      <c r="H182" t="str">
        <f>H$9 * (0.799363911151886 -H$8)</f>
        <v>0</v>
      </c>
      <c r="I182" t="str">
        <f>I$9 * (3.22799991181455E-7 -I$8)</f>
        <v>0</v>
      </c>
    </row>
    <row r="183" spans="1:11">
      <c r="A183" t="str">
        <f>A$9 * (43.00030517578125 -A$8)</f>
        <v>0</v>
      </c>
      <c r="B183" t="str">
        <f>B$9 * (43.00030517578125 -B$8)</f>
        <v>0</v>
      </c>
      <c r="C183" t="str">
        <f>C$9 * (43.00030517578125 -C$8)</f>
        <v>0</v>
      </c>
      <c r="D183" t="str">
        <f>D$9 * (43.00030517578125 -D$8)</f>
        <v>0</v>
      </c>
      <c r="F183" t="str">
        <f>F$9 * (-0.001618096022866666 -F$8)</f>
        <v>0</v>
      </c>
      <c r="G183" t="str">
        <f>G$9 * (-1.442636013031006 -G$8)</f>
        <v>0</v>
      </c>
      <c r="H183" t="str">
        <f>H$9 * (-0.305274486541748 -H$8)</f>
        <v>0</v>
      </c>
      <c r="I183" t="str">
        <f>I$9 * (1.261000051044903E-7 -I$8)</f>
        <v>0</v>
      </c>
    </row>
    <row r="184" spans="1:11">
      <c r="A184" t="str">
        <f>A$9 * (43.25063705444336 -A$8)</f>
        <v>0</v>
      </c>
      <c r="B184" t="str">
        <f>B$9 * (43.25063705444336 -B$8)</f>
        <v>0</v>
      </c>
      <c r="C184" t="str">
        <f>C$9 * (43.25063705444336 -C$8)</f>
        <v>0</v>
      </c>
      <c r="D184" t="str">
        <f>D$9 * (43.25063705444336 -D$8)</f>
        <v>0</v>
      </c>
      <c r="F184" t="str">
        <f>F$9 * (-0.0007948871934786439 -F$8)</f>
        <v>0</v>
      </c>
      <c r="G184" t="str">
        <f>G$9 * (-1.025503039360046 -G$8)</f>
        <v>0</v>
      </c>
      <c r="H184" t="str">
        <f>H$9 * (0.1023806035518646 -H$8)</f>
        <v>0</v>
      </c>
      <c r="I184" t="str">
        <f>I$9 * (4.389999830323177E-8 -I$8)</f>
        <v>0</v>
      </c>
    </row>
    <row r="185" spans="1:11">
      <c r="A185" t="str">
        <f>A$9 * (43.5006103515625 -A$8)</f>
        <v>0</v>
      </c>
      <c r="B185" t="str">
        <f>B$9 * (43.5006103515625 -B$8)</f>
        <v>0</v>
      </c>
      <c r="C185" t="str">
        <f>C$9 * (43.5006103515625 -C$8)</f>
        <v>0</v>
      </c>
      <c r="D185" t="str">
        <f>D$9 * (43.5006103515625 -D$8)</f>
        <v>0</v>
      </c>
      <c r="F185" t="str">
        <f>F$9 * (4.12558983953204E-5 -F$8)</f>
        <v>0</v>
      </c>
      <c r="G185" t="str">
        <f>G$9 * (-0.4429009854793549 -G$8)</f>
        <v>0</v>
      </c>
      <c r="H185" t="str">
        <f>H$9 * (0.3644343912601471 -H$8)</f>
        <v>0</v>
      </c>
      <c r="I185" t="str">
        <f>I$9 * (1.589999953921506E-8 -I$8)</f>
        <v>0</v>
      </c>
    </row>
    <row r="186" spans="1:11">
      <c r="A186" t="str">
        <f>A$9 * (43.75036239624023 -A$8)</f>
        <v>0</v>
      </c>
      <c r="B186" t="str">
        <f>B$9 * (43.75036239624023 -B$8)</f>
        <v>0</v>
      </c>
      <c r="C186" t="str">
        <f>C$9 * (43.75036239624023 -C$8)</f>
        <v>0</v>
      </c>
      <c r="D186" t="str">
        <f>D$9 * (43.75036239624023 -D$8)</f>
        <v>0</v>
      </c>
      <c r="F186" t="str">
        <f>F$9 * (0.0003963205963373184 -F$8)</f>
        <v>0</v>
      </c>
      <c r="G186" t="str">
        <f>G$9 * (-0.03860688954591751 -G$8)</f>
        <v>0</v>
      </c>
      <c r="H186" t="str">
        <f>H$9 * (7.257670879364014 -H$8)</f>
        <v>0</v>
      </c>
      <c r="I186" t="str">
        <f>I$9 * (0.006392226088792086 -I$8)</f>
        <v>0</v>
      </c>
    </row>
    <row r="187" spans="1:11">
      <c r="A187" t="str">
        <f>A$9 * (44.00052642822266 -A$8)</f>
        <v>0</v>
      </c>
      <c r="B187" t="str">
        <f>B$9 * (44.00052642822266 -B$8)</f>
        <v>0</v>
      </c>
      <c r="C187" t="str">
        <f>C$9 * (44.00052642822266 -C$8)</f>
        <v>0</v>
      </c>
      <c r="D187" t="str">
        <f>D$9 * (44.00052642822266 -D$8)</f>
        <v>0</v>
      </c>
      <c r="F187" t="str">
        <f>F$9 * (-0.001805944018997252 -F$8)</f>
        <v>0</v>
      </c>
      <c r="G187" t="str">
        <f>G$9 * (-1.985841989517212 -G$8)</f>
        <v>0</v>
      </c>
      <c r="H187" t="str">
        <f>H$9 * (0.9627888798713684 -H$8)</f>
        <v>0</v>
      </c>
      <c r="I187" t="str">
        <f>I$9 * (6.366000206980971E-7 -I$8)</f>
        <v>0</v>
      </c>
    </row>
    <row r="188" spans="1:11">
      <c r="A188" t="str">
        <f>A$9 * (44.25027847290039 -A$8)</f>
        <v>0</v>
      </c>
      <c r="B188" t="str">
        <f>B$9 * (44.25027847290039 -B$8)</f>
        <v>0</v>
      </c>
      <c r="C188" t="str">
        <f>C$9 * (44.25027847290039 -C$8)</f>
        <v>0</v>
      </c>
      <c r="D188" t="str">
        <f>D$9 * (44.25027847290039 -D$8)</f>
        <v>0</v>
      </c>
      <c r="F188" t="str">
        <f>F$9 * (-0.0003468536888249218 -F$8)</f>
        <v>0</v>
      </c>
      <c r="G188" t="str">
        <f>G$9 * (-0.911871075630188 -G$8)</f>
        <v>0</v>
      </c>
      <c r="H188" t="str">
        <f>H$9 * (0.458834707736969 -H$8)</f>
        <v>0</v>
      </c>
      <c r="I188" t="str">
        <f>I$9 * (3.599999942593968E-8 -I$8)</f>
        <v>0</v>
      </c>
    </row>
    <row r="189" spans="1:11">
      <c r="A189" t="str">
        <f>A$9 * (44.50047302246094 -A$8)</f>
        <v>0</v>
      </c>
      <c r="B189" t="str">
        <f>B$9 * (44.50047302246094 -B$8)</f>
        <v>0</v>
      </c>
      <c r="C189" t="str">
        <f>C$9 * (44.50047302246094 -C$8)</f>
        <v>0</v>
      </c>
      <c r="D189" t="str">
        <f>D$9 * (44.50047302246094 -D$8)</f>
        <v>0</v>
      </c>
      <c r="F189" t="str">
        <f>F$9 * (-0.0003592387947719544 -F$8)</f>
        <v>0</v>
      </c>
      <c r="G189" t="str">
        <f>G$9 * (-0.4325847029685974 -G$8)</f>
        <v>0</v>
      </c>
      <c r="H189" t="str">
        <f>H$9 * (0.1402730941772461 -H$8)</f>
        <v>0</v>
      </c>
      <c r="I189" t="str">
        <f>I$9 * (5.099999977886682E-9 -I$8)</f>
        <v>0</v>
      </c>
    </row>
    <row r="190" spans="1:11">
      <c r="A190" t="str">
        <f>A$9 * (44.75052642822266 -A$8)</f>
        <v>0</v>
      </c>
      <c r="B190" t="str">
        <f>B$9 * (44.75052642822266 -B$8)</f>
        <v>0</v>
      </c>
      <c r="C190" t="str">
        <f>C$9 * (44.75052642822266 -C$8)</f>
        <v>0</v>
      </c>
      <c r="D190" t="str">
        <f>D$9 * (44.75052642822266 -D$8)</f>
        <v>0</v>
      </c>
      <c r="F190" t="str">
        <f>F$9 * (-0.0008903957786969841 -F$8)</f>
        <v>0</v>
      </c>
      <c r="G190" t="str">
        <f>G$9 * (-0.7949244976043701 -G$8)</f>
        <v>0</v>
      </c>
      <c r="H190" t="str">
        <f>H$9 * (-0.03247395902872086 -H$8)</f>
        <v>0</v>
      </c>
      <c r="I190" t="str">
        <f>I$9 * (1.23000006624352E-7 -I$8)</f>
        <v>0</v>
      </c>
    </row>
    <row r="191" spans="1:11">
      <c r="A191" t="str">
        <f>A$9 * (45.00055694580078 -A$8)</f>
        <v>0</v>
      </c>
      <c r="B191" t="str">
        <f>B$9 * (45.00055694580078 -B$8)</f>
        <v>0</v>
      </c>
      <c r="C191" t="str">
        <f>C$9 * (45.00055694580078 -C$8)</f>
        <v>0</v>
      </c>
      <c r="D191" t="str">
        <f>D$9 * (45.00055694580078 -D$8)</f>
        <v>0</v>
      </c>
      <c r="F191" t="str">
        <f>F$9 * (0.003203741973266006 -F$8)</f>
        <v>0</v>
      </c>
      <c r="G191" t="str">
        <f>G$9 * (0.09929391741752625 -G$8)</f>
        <v>0</v>
      </c>
      <c r="H191" t="str">
        <f>H$9 * (0.222544401884079 -H$8)</f>
        <v>0</v>
      </c>
      <c r="I191" t="str">
        <f>I$9 * (7.000000135093387E-9 -I$8)</f>
        <v>0</v>
      </c>
    </row>
    <row r="192" spans="1:11">
      <c r="A192" t="str">
        <f>A$9 * (45.25016784667969 -A$8)</f>
        <v>0</v>
      </c>
      <c r="B192" t="str">
        <f>B$9 * (45.25016784667969 -B$8)</f>
        <v>0</v>
      </c>
      <c r="C192" t="str">
        <f>C$9 * (45.25016784667969 -C$8)</f>
        <v>0</v>
      </c>
      <c r="D192" t="str">
        <f>D$9 * (45.25016784667969 -D$8)</f>
        <v>0</v>
      </c>
      <c r="F192" t="str">
        <f>F$9 * (0.001317003974691033 -F$8)</f>
        <v>0</v>
      </c>
      <c r="G192" t="str">
        <f>G$9 * (-0.1491654962301254 -G$8)</f>
        <v>0</v>
      </c>
      <c r="H192" t="str">
        <f>H$9 * (5.43393087387085 -H$8)</f>
        <v>0</v>
      </c>
      <c r="I192" t="str">
        <f>I$9 * (2.376000054482574E-7 -I$8)</f>
        <v>0</v>
      </c>
    </row>
    <row r="193" spans="1:11">
      <c r="A193" t="str">
        <f>A$9 * (45.5006103515625 -A$8)</f>
        <v>0</v>
      </c>
      <c r="B193" t="str">
        <f>B$9 * (45.5006103515625 -B$8)</f>
        <v>0</v>
      </c>
      <c r="C193" t="str">
        <f>C$9 * (45.5006103515625 -C$8)</f>
        <v>0</v>
      </c>
      <c r="D193" t="str">
        <f>D$9 * (45.5006103515625 -D$8)</f>
        <v>0</v>
      </c>
      <c r="F193" t="str">
        <f>F$9 * (-0.0007508128182962537 -F$8)</f>
        <v>0</v>
      </c>
      <c r="G193" t="str">
        <f>G$9 * (-0.6699461936950684 -G$8)</f>
        <v>0</v>
      </c>
      <c r="H193" t="str">
        <f>H$9 * (-0.01799041032791138 -H$8)</f>
        <v>0</v>
      </c>
      <c r="I193" t="str">
        <f>I$9 * (8.140000318235252E-8 -I$8)</f>
        <v>0</v>
      </c>
    </row>
    <row r="194" spans="1:11">
      <c r="A194" t="str">
        <f>A$9 * (45.75066757202148 -A$8)</f>
        <v>0</v>
      </c>
      <c r="B194" t="str">
        <f>B$9 * (45.75066757202148 -B$8)</f>
        <v>0</v>
      </c>
      <c r="C194" t="str">
        <f>C$9 * (45.75066757202148 -C$8)</f>
        <v>0</v>
      </c>
      <c r="D194" t="str">
        <f>D$9 * (45.75066757202148 -D$8)</f>
        <v>0</v>
      </c>
      <c r="F194" t="str">
        <f>F$9 * (-0.0004990667803213 -F$8)</f>
        <v>0</v>
      </c>
      <c r="G194" t="str">
        <f>G$9 * (-1.589068055152893 -G$8)</f>
        <v>0</v>
      </c>
      <c r="H194" t="str">
        <f>H$9 * (0.2906751930713654 -H$8)</f>
        <v>0</v>
      </c>
      <c r="I194" t="str">
        <f>I$9 * (3.076830034842715E-5 -I$8)</f>
        <v>0</v>
      </c>
    </row>
    <row r="195" spans="1:11">
      <c r="A195" t="str">
        <f>A$9 * (46.00069427490234 -A$8)</f>
        <v>0</v>
      </c>
      <c r="B195" t="str">
        <f>B$9 * (46.00069427490234 -B$8)</f>
        <v>0</v>
      </c>
      <c r="C195" t="str">
        <f>C$9 * (46.00069427490234 -C$8)</f>
        <v>0</v>
      </c>
      <c r="D195" t="str">
        <f>D$9 * (46.00069427490234 -D$8)</f>
        <v>0</v>
      </c>
      <c r="F195" t="str">
        <f>F$9 * (-0.0002451823966111988 -F$8)</f>
        <v>0</v>
      </c>
      <c r="G195" t="str">
        <f>G$9 * (-1.509704947471619 -G$8)</f>
        <v>0</v>
      </c>
      <c r="H195" t="str">
        <f>H$9 * (2.431176900863647 -H$8)</f>
        <v>0</v>
      </c>
      <c r="I195" t="str">
        <f>I$9 * (2.788999893255095E-7 -I$8)</f>
        <v>0</v>
      </c>
    </row>
    <row r="196" spans="1:11">
      <c r="A196" t="str">
        <f>A$9 * (46.2507209777832 -A$8)</f>
        <v>0</v>
      </c>
      <c r="B196" t="str">
        <f>B$9 * (46.2507209777832 -B$8)</f>
        <v>0</v>
      </c>
      <c r="C196" t="str">
        <f>C$9 * (46.2507209777832 -C$8)</f>
        <v>0</v>
      </c>
      <c r="D196" t="str">
        <f>D$9 * (46.2507209777832 -D$8)</f>
        <v>0</v>
      </c>
      <c r="F196" t="str">
        <f>F$9 * (0.1002670004963875 -F$8)</f>
        <v>0</v>
      </c>
      <c r="G196" t="str">
        <f>G$9 * (5.750893115997314 -G$8)</f>
        <v>0</v>
      </c>
      <c r="H196" t="str">
        <f>H$9 * (5.963950157165527 -H$8)</f>
        <v>0</v>
      </c>
      <c r="I196" t="str">
        <f>I$9 * (0.1016850024461746 -I$8)</f>
        <v>0</v>
      </c>
    </row>
    <row r="197" spans="1:11">
      <c r="A197" t="str">
        <f>A$9 * (46.50052642822266 -A$8)</f>
        <v>0</v>
      </c>
      <c r="B197" t="str">
        <f>B$9 * (46.50052642822266 -B$8)</f>
        <v>0</v>
      </c>
      <c r="C197" t="str">
        <f>C$9 * (46.50052642822266 -C$8)</f>
        <v>0</v>
      </c>
      <c r="D197" t="str">
        <f>D$9 * (46.50052642822266 -D$8)</f>
        <v>0</v>
      </c>
      <c r="F197" t="str">
        <f>F$9 * (0.01848407089710236 -F$8)</f>
        <v>0</v>
      </c>
      <c r="G197" t="str">
        <f>G$9 * (3.428534984588623 -G$8)</f>
        <v>0</v>
      </c>
      <c r="H197" t="str">
        <f>H$9 * (4.735352039337158 -H$8)</f>
        <v>0</v>
      </c>
      <c r="I197" t="str">
        <f>I$9 * (1.240999949914112E-6 -I$8)</f>
        <v>0</v>
      </c>
    </row>
    <row r="198" spans="1:11">
      <c r="A198" t="str">
        <f>A$9 * (46.75036239624023 -A$8)</f>
        <v>0</v>
      </c>
      <c r="B198" t="str">
        <f>B$9 * (46.75036239624023 -B$8)</f>
        <v>0</v>
      </c>
      <c r="C198" t="str">
        <f>C$9 * (46.75036239624023 -C$8)</f>
        <v>0</v>
      </c>
      <c r="D198" t="str">
        <f>D$9 * (46.75036239624023 -D$8)</f>
        <v>0</v>
      </c>
      <c r="F198" t="str">
        <f>F$9 * (0.01773264072835445 -F$8)</f>
        <v>0</v>
      </c>
      <c r="G198" t="str">
        <f>G$9 * (9.666082382202148 -G$8)</f>
        <v>0</v>
      </c>
      <c r="H198" t="str">
        <f>H$9 * (15.67313957214355 -H$8)</f>
        <v>0</v>
      </c>
      <c r="I198" t="str">
        <f>I$9 * (0.07270500063896179 -I$8)</f>
        <v>0</v>
      </c>
    </row>
    <row r="199" spans="1:11">
      <c r="A199" t="str">
        <f>A$9 * (47.00030517578125 -A$8)</f>
        <v>0</v>
      </c>
      <c r="B199" t="str">
        <f>B$9 * (47.00030517578125 -B$8)</f>
        <v>0</v>
      </c>
      <c r="C199" t="str">
        <f>C$9 * (47.00030517578125 -C$8)</f>
        <v>0</v>
      </c>
      <c r="D199" t="str">
        <f>D$9 * (47.00030517578125 -D$8)</f>
        <v>0</v>
      </c>
      <c r="F199" t="str">
        <f>F$9 * (0.005063322838395834 -F$8)</f>
        <v>0</v>
      </c>
      <c r="G199" t="str">
        <f>G$9 * (2.849467992782593 -G$8)</f>
        <v>0</v>
      </c>
      <c r="H199" t="str">
        <f>H$9 * (8.969467163085938 -H$8)</f>
        <v>0</v>
      </c>
      <c r="I199" t="str">
        <f>I$9 * (0.01523218024522066 -I$8)</f>
        <v>0</v>
      </c>
    </row>
    <row r="200" spans="1:11">
      <c r="A200" t="str">
        <f>A$9 * (47.25027847290039 -A$8)</f>
        <v>0</v>
      </c>
      <c r="B200" t="str">
        <f>B$9 * (47.25027847290039 -B$8)</f>
        <v>0</v>
      </c>
      <c r="C200" t="str">
        <f>C$9 * (47.25027847290039 -C$8)</f>
        <v>0</v>
      </c>
      <c r="D200" t="str">
        <f>D$9 * (47.25027847290039 -D$8)</f>
        <v>0</v>
      </c>
      <c r="F200" t="str">
        <f>F$9 * (-0.002568739000707865 -F$8)</f>
        <v>0</v>
      </c>
      <c r="G200" t="str">
        <f>G$9 * (-0.6870245933532715 -G$8)</f>
        <v>0</v>
      </c>
      <c r="H200" t="str">
        <f>H$9 * (1.877266049385071 -H$8)</f>
        <v>0</v>
      </c>
      <c r="I200" t="str">
        <f>I$9 * (2.087000012807039E-7 -I$8)</f>
        <v>0</v>
      </c>
    </row>
    <row r="201" spans="1:11">
      <c r="A201" t="str">
        <f>A$9 * (47.50005722045898 -A$8)</f>
        <v>0</v>
      </c>
      <c r="B201" t="str">
        <f>B$9 * (47.50005722045898 -B$8)</f>
        <v>0</v>
      </c>
      <c r="C201" t="str">
        <f>C$9 * (47.50005722045898 -C$8)</f>
        <v>0</v>
      </c>
      <c r="D201" t="str">
        <f>D$9 * (47.50005722045898 -D$8)</f>
        <v>0</v>
      </c>
      <c r="F201" t="str">
        <f>F$9 * (-0.001344869961030781 -F$8)</f>
        <v>0</v>
      </c>
      <c r="G201" t="str">
        <f>G$9 * (-1.463166952133179 -G$8)</f>
        <v>0</v>
      </c>
      <c r="H201" t="str">
        <f>H$9 * (0.6169434189796448 -H$8)</f>
        <v>0</v>
      </c>
      <c r="I201" t="str">
        <f>I$9 * (2.989000051911717E-7 -I$8)</f>
        <v>0</v>
      </c>
    </row>
    <row r="202" spans="1:11">
      <c r="A202" t="str">
        <f>A$9 * (47.75036239624023 -A$8)</f>
        <v>0</v>
      </c>
      <c r="B202" t="str">
        <f>B$9 * (47.75036239624023 -B$8)</f>
        <v>0</v>
      </c>
      <c r="C202" t="str">
        <f>C$9 * (47.75036239624023 -C$8)</f>
        <v>0</v>
      </c>
      <c r="D202" t="str">
        <f>D$9 * (47.75036239624023 -D$8)</f>
        <v>0</v>
      </c>
      <c r="F202" t="str">
        <f>F$9 * (-0.0009277929784730077 -F$8)</f>
        <v>0</v>
      </c>
      <c r="G202" t="str">
        <f>G$9 * (-1.656833052635193 -G$8)</f>
        <v>0</v>
      </c>
      <c r="H202" t="str">
        <f>H$9 * (2.241461038589478 -H$8)</f>
        <v>0</v>
      </c>
      <c r="I202" t="str">
        <f>I$9 * (3.70599991583731E-7 -I$8)</f>
        <v>0</v>
      </c>
    </row>
    <row r="203" spans="1:11">
      <c r="A203" t="str">
        <f>A$9 * (48.00016784667969 -A$8)</f>
        <v>0</v>
      </c>
      <c r="B203" t="str">
        <f>B$9 * (48.00016784667969 -B$8)</f>
        <v>0</v>
      </c>
      <c r="C203" t="str">
        <f>C$9 * (48.00016784667969 -C$8)</f>
        <v>0</v>
      </c>
      <c r="D203" t="str">
        <f>D$9 * (48.00016784667969 -D$8)</f>
        <v>0</v>
      </c>
      <c r="F203" t="str">
        <f>F$9 * (-0.001265882980078459 -F$8)</f>
        <v>0</v>
      </c>
      <c r="G203" t="str">
        <f>G$9 * (-1.569538950920105 -G$8)</f>
        <v>0</v>
      </c>
      <c r="H203" t="str">
        <f>H$9 * (1.211030960083008 -H$8)</f>
        <v>0</v>
      </c>
      <c r="I203" t="str">
        <f>I$9 * (5.667999971592508E-7 -I$8)</f>
        <v>0</v>
      </c>
    </row>
    <row r="204" spans="1:11">
      <c r="A204" t="str">
        <f>A$9 * (48.25013732910156 -A$8)</f>
        <v>0</v>
      </c>
      <c r="B204" t="str">
        <f>B$9 * (48.25013732910156 -B$8)</f>
        <v>0</v>
      </c>
      <c r="C204" t="str">
        <f>C$9 * (48.25013732910156 -C$8)</f>
        <v>0</v>
      </c>
      <c r="D204" t="str">
        <f>D$9 * (48.25013732910156 -D$8)</f>
        <v>0</v>
      </c>
      <c r="F204" t="str">
        <f>F$9 * (-0.001333008054643869 -F$8)</f>
        <v>0</v>
      </c>
      <c r="G204" t="str">
        <f>G$9 * (-0.4985255002975464 -G$8)</f>
        <v>0</v>
      </c>
      <c r="H204" t="str">
        <f>H$9 * (-0.6580463051795959 -H$8)</f>
        <v>0</v>
      </c>
      <c r="I204" t="str">
        <f>I$9 * (3.684260082081892E-5 -I$8)</f>
        <v>0</v>
      </c>
    </row>
    <row r="205" spans="1:11">
      <c r="A205" t="str">
        <f>A$9 * (48.50027847290039 -A$8)</f>
        <v>0</v>
      </c>
      <c r="B205" t="str">
        <f>B$9 * (48.50027847290039 -B$8)</f>
        <v>0</v>
      </c>
      <c r="C205" t="str">
        <f>C$9 * (48.50027847290039 -C$8)</f>
        <v>0</v>
      </c>
      <c r="D205" t="str">
        <f>D$9 * (48.50027847290039 -D$8)</f>
        <v>0</v>
      </c>
      <c r="F205" t="str">
        <f>F$9 * (0.116330198943615 -F$8)</f>
        <v>0</v>
      </c>
      <c r="G205" t="str">
        <f>G$9 * (15.38589954376221 -G$8)</f>
        <v>0</v>
      </c>
      <c r="H205" t="str">
        <f>H$9 * (16.12664985656738 -H$8)</f>
        <v>0</v>
      </c>
      <c r="I205" t="str">
        <f>I$9 * (0.3779619932174683 -I$8)</f>
        <v>0</v>
      </c>
    </row>
    <row r="206" spans="1:11">
      <c r="A206" t="str">
        <f>A$9 * (48.75038909912109 -A$8)</f>
        <v>0</v>
      </c>
      <c r="B206" t="str">
        <f>B$9 * (48.75038909912109 -B$8)</f>
        <v>0</v>
      </c>
      <c r="C206" t="str">
        <f>C$9 * (48.75038909912109 -C$8)</f>
        <v>0</v>
      </c>
      <c r="D206" t="str">
        <f>D$9 * (48.75038909912109 -D$8)</f>
        <v>0</v>
      </c>
      <c r="F206" t="str">
        <f>F$9 * (0.01195519976317883 -F$8)</f>
        <v>0</v>
      </c>
      <c r="G206" t="str">
        <f>G$9 * (1.593284964561462 -G$8)</f>
        <v>0</v>
      </c>
      <c r="H206" t="str">
        <f>H$9 * (2.599086999893188 -H$8)</f>
        <v>0</v>
      </c>
      <c r="I206" t="str">
        <f>I$9 * (3.499999934319931E-7 -I$8)</f>
        <v>0</v>
      </c>
    </row>
    <row r="207" spans="1:11">
      <c r="A207" t="str">
        <f>A$9 * (49.00019454956055 -A$8)</f>
        <v>0</v>
      </c>
      <c r="B207" t="str">
        <f>B$9 * (49.00019454956055 -B$8)</f>
        <v>0</v>
      </c>
      <c r="C207" t="str">
        <f>C$9 * (49.00019454956055 -C$8)</f>
        <v>0</v>
      </c>
      <c r="D207" t="str">
        <f>D$9 * (49.00019454956055 -D$8)</f>
        <v>0</v>
      </c>
      <c r="F207" t="str">
        <f>F$9 * (-0.0008555091917514801 -F$8)</f>
        <v>0</v>
      </c>
      <c r="G207" t="str">
        <f>G$9 * (-0.2753185033798218 -G$8)</f>
        <v>0</v>
      </c>
      <c r="H207" t="str">
        <f>H$9 * (-0.3384484946727753 -H$8)</f>
        <v>0</v>
      </c>
      <c r="I207" t="str">
        <f>I$9 * (0.0001169804017990828 -I$8)</f>
        <v>0</v>
      </c>
    </row>
    <row r="208" spans="1:11">
      <c r="A208" t="str">
        <f>A$9 * (49.25066757202148 -A$8)</f>
        <v>0</v>
      </c>
      <c r="B208" t="str">
        <f>B$9 * (49.25066757202148 -B$8)</f>
        <v>0</v>
      </c>
      <c r="C208" t="str">
        <f>C$9 * (49.25066757202148 -C$8)</f>
        <v>0</v>
      </c>
      <c r="D208" t="str">
        <f>D$9 * (49.25066757202148 -D$8)</f>
        <v>0</v>
      </c>
      <c r="F208" t="str">
        <f>F$9 * (-4.452810026123188E-5 -F$8)</f>
        <v>0</v>
      </c>
      <c r="G208" t="str">
        <f>G$9 * (-0.3469380140304565 -G$8)</f>
        <v>0</v>
      </c>
      <c r="H208" t="str">
        <f>H$9 * (0.317715585231781 -H$8)</f>
        <v>0</v>
      </c>
      <c r="I208" t="str">
        <f>I$9 * (1.260000015435025E-8 -I$8)</f>
        <v>0</v>
      </c>
    </row>
    <row r="209" spans="1:11">
      <c r="A209" t="str">
        <f>A$9 * (49.50025177001953 -A$8)</f>
        <v>0</v>
      </c>
      <c r="B209" t="str">
        <f>B$9 * (49.50025177001953 -B$8)</f>
        <v>0</v>
      </c>
      <c r="C209" t="str">
        <f>C$9 * (49.50025177001953 -C$8)</f>
        <v>0</v>
      </c>
      <c r="D209" t="str">
        <f>D$9 * (49.50025177001953 -D$8)</f>
        <v>0</v>
      </c>
      <c r="F209" t="str">
        <f>F$9 * (-0.0003040439041797072 -F$8)</f>
        <v>0</v>
      </c>
      <c r="G209" t="str">
        <f>G$9 * (-0.5954715013504028 -G$8)</f>
        <v>0</v>
      </c>
      <c r="H209" t="str">
        <f>H$9 * (0.3263165056705475 -H$8)</f>
        <v>0</v>
      </c>
      <c r="I209" t="str">
        <f>I$9 * (6.800000118545313E-9 -I$8)</f>
        <v>0</v>
      </c>
    </row>
    <row r="210" spans="1:11">
      <c r="A210" t="str">
        <f>A$9 * (49.75069427490234 -A$8)</f>
        <v>0</v>
      </c>
      <c r="B210" t="str">
        <f>B$9 * (49.75069427490234 -B$8)</f>
        <v>0</v>
      </c>
      <c r="C210" t="str">
        <f>C$9 * (49.75069427490234 -C$8)</f>
        <v>0</v>
      </c>
      <c r="D210" t="str">
        <f>D$9 * (49.75069427490234 -D$8)</f>
        <v>0</v>
      </c>
      <c r="F210" t="str">
        <f>F$9 * (-1.698830055829603E-5 -F$8)</f>
        <v>0</v>
      </c>
      <c r="G210" t="str">
        <f>G$9 * (-0.2624323964118958 -G$8)</f>
        <v>0</v>
      </c>
      <c r="H210" t="str">
        <f>H$9 * (3.145004034042358 -H$8)</f>
        <v>0</v>
      </c>
      <c r="I210" t="str">
        <f>I$9 * (3.909999861662072E-7 -I$8)</f>
        <v>0</v>
      </c>
    </row>
    <row r="211" spans="1:11">
      <c r="A211" t="str">
        <f>A$9 * (50.00005722045898 -A$8)</f>
        <v>0</v>
      </c>
      <c r="B211" t="str">
        <f>B$9 * (50.00005722045898 -B$8)</f>
        <v>0</v>
      </c>
      <c r="C211" t="str">
        <f>C$9 * (50.00005722045898 -C$8)</f>
        <v>0</v>
      </c>
      <c r="D211" t="str">
        <f>D$9 * (50.00005722045898 -D$8)</f>
        <v>0</v>
      </c>
      <c r="F211" t="str">
        <f>F$9 * (0.01201721001416445 -F$8)</f>
        <v>0</v>
      </c>
      <c r="G211" t="str">
        <f>G$9 * (11.16026973724365 -G$8)</f>
        <v>0</v>
      </c>
      <c r="H211" t="str">
        <f>H$9 * (42.4505615234375 -H$8)</f>
        <v>0</v>
      </c>
      <c r="I211" t="str">
        <f>I$9 * (0.3434427082538605 -I$8)</f>
        <v>0</v>
      </c>
    </row>
    <row r="212" spans="1:11">
      <c r="A212" t="str">
        <f>A$9 * (50.25030517578125 -A$8)</f>
        <v>0</v>
      </c>
      <c r="B212" t="str">
        <f>B$9 * (50.25030517578125 -B$8)</f>
        <v>0</v>
      </c>
      <c r="C212" t="str">
        <f>C$9 * (50.25030517578125 -C$8)</f>
        <v>0</v>
      </c>
      <c r="D212" t="str">
        <f>D$9 * (50.25030517578125 -D$8)</f>
        <v>0</v>
      </c>
      <c r="F212" t="str">
        <f>F$9 * (0.001108331955038011 -F$8)</f>
        <v>0</v>
      </c>
      <c r="G212" t="str">
        <f>G$9 * (0.1061673015356064 -G$8)</f>
        <v>0</v>
      </c>
      <c r="H212" t="str">
        <f>H$9 * (1.05889904499054 -H$8)</f>
        <v>0</v>
      </c>
      <c r="I212" t="str">
        <f>I$9 * (1.879999977916214E-8 -I$8)</f>
        <v>0</v>
      </c>
    </row>
    <row r="213" spans="1:11">
      <c r="A213" t="str">
        <f>A$9 * (50.50008392333984 -A$8)</f>
        <v>0</v>
      </c>
      <c r="B213" t="str">
        <f>B$9 * (50.50008392333984 -B$8)</f>
        <v>0</v>
      </c>
      <c r="C213" t="str">
        <f>C$9 * (50.50008392333984 -C$8)</f>
        <v>0</v>
      </c>
      <c r="D213" t="str">
        <f>D$9 * (50.50008392333984 -D$8)</f>
        <v>0</v>
      </c>
      <c r="F213" t="str">
        <f>F$9 * (-0.0009048740030266345 -F$8)</f>
        <v>0</v>
      </c>
      <c r="G213" t="str">
        <f>G$9 * (-0.3642832934856415 -G$8)</f>
        <v>0</v>
      </c>
      <c r="H213" t="str">
        <f>H$9 * (-0.192560002207756 -H$8)</f>
        <v>0</v>
      </c>
      <c r="I213" t="str">
        <f>I$9 * (1.609999955576313E-8 -I$8)</f>
        <v>0</v>
      </c>
    </row>
    <row r="214" spans="1:11">
      <c r="A214" t="str">
        <f>A$9 * (50.75080490112305 -A$8)</f>
        <v>0</v>
      </c>
      <c r="B214" t="str">
        <f>B$9 * (50.75080490112305 -B$8)</f>
        <v>0</v>
      </c>
      <c r="C214" t="str">
        <f>C$9 * (50.75080490112305 -C$8)</f>
        <v>0</v>
      </c>
      <c r="D214" t="str">
        <f>D$9 * (50.75080490112305 -D$8)</f>
        <v>0</v>
      </c>
      <c r="F214" t="str">
        <f>F$9 * (-0.001274770009331405 -F$8)</f>
        <v>0</v>
      </c>
      <c r="G214" t="str">
        <f>G$9 * (-0.8750730156898499 -G$8)</f>
        <v>0</v>
      </c>
      <c r="H214" t="str">
        <f>H$9 * (-0.1313717067241669 -H$8)</f>
        <v>0</v>
      </c>
      <c r="I214" t="str">
        <f>I$9 * (1.532000055703975E-7 -I$8)</f>
        <v>0</v>
      </c>
    </row>
    <row r="215" spans="1:11">
      <c r="A215" t="str">
        <f>A$9 * (51.00038909912109 -A$8)</f>
        <v>0</v>
      </c>
      <c r="B215" t="str">
        <f>B$9 * (51.00038909912109 -B$8)</f>
        <v>0</v>
      </c>
      <c r="C215" t="str">
        <f>C$9 * (51.00038909912109 -C$8)</f>
        <v>0</v>
      </c>
      <c r="D215" t="str">
        <f>D$9 * (51.00038909912109 -D$8)</f>
        <v>0</v>
      </c>
      <c r="F215" t="str">
        <f>F$9 * (0.001816872041672468 -F$8)</f>
        <v>0</v>
      </c>
      <c r="G215" t="str">
        <f>G$9 * (0.05916821956634521 -G$8)</f>
        <v>0</v>
      </c>
      <c r="H215" t="str">
        <f>H$9 * (0.1349422931671143 -H$8)</f>
        <v>0</v>
      </c>
      <c r="I215" t="str">
        <f>I$9 * (1.400000004814217E-9 -I$8)</f>
        <v>0</v>
      </c>
    </row>
    <row r="216" spans="1:11">
      <c r="A216" t="str">
        <f>A$9 * (51.2501106262207 -A$8)</f>
        <v>0</v>
      </c>
      <c r="B216" t="str">
        <f>B$9 * (51.2501106262207 -B$8)</f>
        <v>0</v>
      </c>
      <c r="C216" t="str">
        <f>C$9 * (51.2501106262207 -C$8)</f>
        <v>0</v>
      </c>
      <c r="D216" t="str">
        <f>D$9 * (51.2501106262207 -D$8)</f>
        <v>0</v>
      </c>
      <c r="F216" t="str">
        <f>F$9 * (0.00734386220574379 -F$8)</f>
        <v>0</v>
      </c>
      <c r="G216" t="str">
        <f>G$9 * (0.4032897055149078 -G$8)</f>
        <v>0</v>
      </c>
      <c r="H216" t="str">
        <f>H$9 * (27.65336990356445 -H$8)</f>
        <v>0</v>
      </c>
      <c r="I216" t="str">
        <f>I$9 * (0.1270231008529663 -I$8)</f>
        <v>0</v>
      </c>
    </row>
    <row r="217" spans="1:11">
      <c r="A217" t="str">
        <f>A$9 * (51.5004997253418 -A$8)</f>
        <v>0</v>
      </c>
      <c r="B217" t="str">
        <f>B$9 * (51.5004997253418 -B$8)</f>
        <v>0</v>
      </c>
      <c r="C217" t="str">
        <f>C$9 * (51.5004997253418 -C$8)</f>
        <v>0</v>
      </c>
      <c r="D217" t="str">
        <f>D$9 * (51.5004997253418 -D$8)</f>
        <v>0</v>
      </c>
      <c r="F217" t="str">
        <f>F$9 * (0.0674583911895752 -F$8)</f>
        <v>0</v>
      </c>
      <c r="G217" t="str">
        <f>G$9 * (8.054105758666992 -G$8)</f>
        <v>0</v>
      </c>
      <c r="H217" t="str">
        <f>H$9 * (8.459680557250977 -H$8)</f>
        <v>0</v>
      </c>
      <c r="I217" t="str">
        <f>I$9 * (0.1025426015257835 -I$8)</f>
        <v>0</v>
      </c>
    </row>
    <row r="218" spans="1:11">
      <c r="A218" t="str">
        <f>A$9 * (51.75019454956055 -A$8)</f>
        <v>0</v>
      </c>
      <c r="B218" t="str">
        <f>B$9 * (51.75019454956055 -B$8)</f>
        <v>0</v>
      </c>
      <c r="C218" t="str">
        <f>C$9 * (51.75019454956055 -C$8)</f>
        <v>0</v>
      </c>
      <c r="D218" t="str">
        <f>D$9 * (51.75019454956055 -D$8)</f>
        <v>0</v>
      </c>
      <c r="F218" t="str">
        <f>F$9 * (0.01116215996444225 -F$8)</f>
        <v>0</v>
      </c>
      <c r="G218" t="str">
        <f>G$9 * (6.306838989257812 -G$8)</f>
        <v>0</v>
      </c>
      <c r="H218" t="str">
        <f>H$9 * (12.06735038757324 -H$8)</f>
        <v>0</v>
      </c>
      <c r="I218" t="str">
        <f>I$9 * (0.03699792921543121 -I$8)</f>
        <v>0</v>
      </c>
    </row>
    <row r="219" spans="1:11">
      <c r="A219" t="str">
        <f>A$9 * (52.00030517578125 -A$8)</f>
        <v>0</v>
      </c>
      <c r="B219" t="str">
        <f>B$9 * (52.00030517578125 -B$8)</f>
        <v>0</v>
      </c>
      <c r="C219" t="str">
        <f>C$9 * (52.00030517578125 -C$8)</f>
        <v>0</v>
      </c>
      <c r="D219" t="str">
        <f>D$9 * (52.00030517578125 -D$8)</f>
        <v>0</v>
      </c>
      <c r="F219" t="str">
        <f>F$9 * (0.002290800912305713 -F$8)</f>
        <v>0</v>
      </c>
      <c r="G219" t="str">
        <f>G$9 * (0.685925304889679 -G$8)</f>
        <v>0</v>
      </c>
      <c r="H219" t="str">
        <f>H$9 * (3.932923078536987 -H$8)</f>
        <v>0</v>
      </c>
      <c r="I219" t="str">
        <f>I$9 * (3.622999997787701E-7 -I$8)</f>
        <v>0</v>
      </c>
    </row>
    <row r="220" spans="1:11">
      <c r="A220" t="str">
        <f>A$9 * (52.25030517578125 -A$8)</f>
        <v>0</v>
      </c>
      <c r="B220" t="str">
        <f>B$9 * (52.25030517578125 -B$8)</f>
        <v>0</v>
      </c>
      <c r="C220" t="str">
        <f>C$9 * (52.25030517578125 -C$8)</f>
        <v>0</v>
      </c>
      <c r="D220" t="str">
        <f>D$9 * (52.25030517578125 -D$8)</f>
        <v>0</v>
      </c>
      <c r="F220" t="str">
        <f>F$9 * (0.001692038960754871 -F$8)</f>
        <v>0</v>
      </c>
      <c r="G220" t="str">
        <f>G$9 * (-1.074802041053772 -G$8)</f>
        <v>0</v>
      </c>
      <c r="H220" t="str">
        <f>H$9 * (1.66109299659729 -H$8)</f>
        <v>0</v>
      </c>
      <c r="I220" t="str">
        <f>I$9 * (7.540000268591029E-8 -I$8)</f>
        <v>0</v>
      </c>
    </row>
    <row r="221" spans="1:11">
      <c r="A221" t="str">
        <f>A$9 * (52.50025177001953 -A$8)</f>
        <v>0</v>
      </c>
      <c r="B221" t="str">
        <f>B$9 * (52.50025177001953 -B$8)</f>
        <v>0</v>
      </c>
      <c r="C221" t="str">
        <f>C$9 * (52.50025177001953 -C$8)</f>
        <v>0</v>
      </c>
      <c r="D221" t="str">
        <f>D$9 * (52.50025177001953 -D$8)</f>
        <v>0</v>
      </c>
      <c r="F221" t="str">
        <f>F$9 * (-0.001366849057376385 -F$8)</f>
        <v>0</v>
      </c>
      <c r="G221" t="str">
        <f>G$9 * (-1.335701942443848 -G$8)</f>
        <v>0</v>
      </c>
      <c r="H221" t="str">
        <f>H$9 * (-0.1139642000198364 -H$8)</f>
        <v>0</v>
      </c>
      <c r="I221" t="str">
        <f>I$9 * (1.388000043789361E-7 -I$8)</f>
        <v>0</v>
      </c>
    </row>
    <row r="222" spans="1:11">
      <c r="A222" t="str">
        <f>A$9 * (52.75033187866211 -A$8)</f>
        <v>0</v>
      </c>
      <c r="B222" t="str">
        <f>B$9 * (52.75033187866211 -B$8)</f>
        <v>0</v>
      </c>
      <c r="C222" t="str">
        <f>C$9 * (52.75033187866211 -C$8)</f>
        <v>0</v>
      </c>
      <c r="D222" t="str">
        <f>D$9 * (52.75033187866211 -D$8)</f>
        <v>0</v>
      </c>
      <c r="F222" t="str">
        <f>F$9 * (-0.003951540216803551 -F$8)</f>
        <v>0</v>
      </c>
      <c r="G222" t="str">
        <f>G$9 * (-0.6089072227478027 -G$8)</f>
        <v>0</v>
      </c>
      <c r="H222" t="str">
        <f>H$9 * (-2.700608015060425 -H$8)</f>
        <v>0</v>
      </c>
      <c r="I222" t="str">
        <f>I$9 * (0.004811781924217939 -I$8)</f>
        <v>0</v>
      </c>
    </row>
    <row r="223" spans="1:11">
      <c r="A223" t="str">
        <f>A$9 * (53.00058364868164 -A$8)</f>
        <v>0</v>
      </c>
      <c r="B223" t="str">
        <f>B$9 * (53.00058364868164 -B$8)</f>
        <v>0</v>
      </c>
      <c r="C223" t="str">
        <f>C$9 * (53.00058364868164 -C$8)</f>
        <v>0</v>
      </c>
      <c r="D223" t="str">
        <f>D$9 * (53.00058364868164 -D$8)</f>
        <v>0</v>
      </c>
      <c r="F223" t="str">
        <f>F$9 * (-0.001419257954694331 -F$8)</f>
        <v>0</v>
      </c>
      <c r="G223" t="str">
        <f>G$9 * (-1.436198949813843 -G$8)</f>
        <v>0</v>
      </c>
      <c r="H223" t="str">
        <f>H$9 * (-0.07736156135797501 -H$8)</f>
        <v>0</v>
      </c>
      <c r="I223" t="str">
        <f>I$9 * (1.610000026630587E-7 -I$8)</f>
        <v>0</v>
      </c>
    </row>
    <row r="224" spans="1:11">
      <c r="A224" t="str">
        <f>A$9 * (53.2501106262207 -A$8)</f>
        <v>0</v>
      </c>
      <c r="B224" t="str">
        <f>B$9 * (53.2501106262207 -B$8)</f>
        <v>0</v>
      </c>
      <c r="C224" t="str">
        <f>C$9 * (53.2501106262207 -C$8)</f>
        <v>0</v>
      </c>
      <c r="D224" t="str">
        <f>D$9 * (53.2501106262207 -D$8)</f>
        <v>0</v>
      </c>
      <c r="F224" t="str">
        <f>F$9 * (0.0002585389884188771 -F$8)</f>
        <v>0</v>
      </c>
      <c r="G224" t="str">
        <f>G$9 * (-0.5282484292984009 -G$8)</f>
        <v>0</v>
      </c>
      <c r="H224" t="str">
        <f>H$9 * (0.5253580212593079 -H$8)</f>
        <v>0</v>
      </c>
      <c r="I224" t="str">
        <f>I$9 * (1.609999955576313E-8 -I$8)</f>
        <v>0</v>
      </c>
    </row>
    <row r="225" spans="1:11">
      <c r="A225" t="str">
        <f>A$9 * (53.50025177001953 -A$8)</f>
        <v>0</v>
      </c>
      <c r="B225" t="str">
        <f>B$9 * (53.50025177001953 -B$8)</f>
        <v>0</v>
      </c>
      <c r="C225" t="str">
        <f>C$9 * (53.50025177001953 -C$8)</f>
        <v>0</v>
      </c>
      <c r="D225" t="str">
        <f>D$9 * (53.50025177001953 -D$8)</f>
        <v>0</v>
      </c>
      <c r="F225" t="str">
        <f>F$9 * (0.0006105973152443767 -F$8)</f>
        <v>0</v>
      </c>
      <c r="G225" t="str">
        <f>G$9 * (-0.0647200271487236 -G$8)</f>
        <v>0</v>
      </c>
      <c r="H225" t="str">
        <f>H$9 * (5.942761898040771 -H$8)</f>
        <v>0</v>
      </c>
      <c r="I225" t="str">
        <f>I$9 * (2.465000079610036E-7 -I$8)</f>
        <v>0</v>
      </c>
    </row>
    <row r="226" spans="1:11">
      <c r="A226" t="str">
        <f>A$9 * (53.75036239624023 -A$8)</f>
        <v>0</v>
      </c>
      <c r="B226" t="str">
        <f>B$9 * (53.75036239624023 -B$8)</f>
        <v>0</v>
      </c>
      <c r="C226" t="str">
        <f>C$9 * (53.75036239624023 -C$8)</f>
        <v>0</v>
      </c>
      <c r="D226" t="str">
        <f>D$9 * (53.75036239624023 -D$8)</f>
        <v>0</v>
      </c>
      <c r="F226" t="str">
        <f>F$9 * (-0.0009877615375444293 -F$8)</f>
        <v>0</v>
      </c>
      <c r="G226" t="str">
        <f>G$9 * (-1.782438039779663 -G$8)</f>
        <v>0</v>
      </c>
      <c r="H226" t="str">
        <f>H$9 * (1.081271052360535 -H$8)</f>
        <v>0</v>
      </c>
      <c r="I226" t="str">
        <f>I$9 * (4.826999884244287E-7 -I$8)</f>
        <v>0</v>
      </c>
    </row>
    <row r="227" spans="1:11">
      <c r="A227" t="str">
        <f>A$9 * (54.00047302246094 -A$8)</f>
        <v>0</v>
      </c>
      <c r="B227" t="str">
        <f>B$9 * (54.00047302246094 -B$8)</f>
        <v>0</v>
      </c>
      <c r="C227" t="str">
        <f>C$9 * (54.00047302246094 -C$8)</f>
        <v>0</v>
      </c>
      <c r="D227" t="str">
        <f>D$9 * (54.00047302246094 -D$8)</f>
        <v>0</v>
      </c>
      <c r="F227" t="str">
        <f>F$9 * (-0.0003713885962497443 -F$8)</f>
        <v>0</v>
      </c>
      <c r="G227" t="str">
        <f>G$9 * (-0.7270289063453674 -G$8)</f>
        <v>0</v>
      </c>
      <c r="H227" t="str">
        <f>H$9 * (0.7520918250083923 -H$8)</f>
        <v>0</v>
      </c>
      <c r="I227" t="str">
        <f>I$9 * (1.589999953921506E-8 -I$8)</f>
        <v>0</v>
      </c>
    </row>
    <row r="228" spans="1:11">
      <c r="A228" t="str">
        <f>A$9 * (54.25027847290039 -A$8)</f>
        <v>0</v>
      </c>
      <c r="B228" t="str">
        <f>B$9 * (54.25027847290039 -B$8)</f>
        <v>0</v>
      </c>
      <c r="C228" t="str">
        <f>C$9 * (54.25027847290039 -C$8)</f>
        <v>0</v>
      </c>
      <c r="D228" t="str">
        <f>D$9 * (54.25027847290039 -D$8)</f>
        <v>0</v>
      </c>
      <c r="F228" t="str">
        <f>F$9 * (-0.0005958196124993265 -F$8)</f>
        <v>0</v>
      </c>
      <c r="G228" t="str">
        <f>G$9 * (-0.543078601360321 -G$8)</f>
        <v>0</v>
      </c>
      <c r="H228" t="str">
        <f>H$9 * (-0.07559548318386078 -H$8)</f>
        <v>0</v>
      </c>
      <c r="I228" t="str">
        <f>I$9 * (8.499999815114734E-9 -I$8)</f>
        <v>0</v>
      </c>
    </row>
    <row r="229" spans="1:11">
      <c r="A229" t="str">
        <f>A$9 * (54.50077819824219 -A$8)</f>
        <v>0</v>
      </c>
      <c r="B229" t="str">
        <f>B$9 * (54.50077819824219 -B$8)</f>
        <v>0</v>
      </c>
      <c r="C229" t="str">
        <f>C$9 * (54.50077819824219 -C$8)</f>
        <v>0</v>
      </c>
      <c r="D229" t="str">
        <f>D$9 * (54.50077819824219 -D$8)</f>
        <v>0</v>
      </c>
      <c r="F229" t="str">
        <f>F$9 * (-0.0007205919828265905 -F$8)</f>
        <v>0</v>
      </c>
      <c r="G229" t="str">
        <f>G$9 * (-0.4727591872215271 -G$8)</f>
        <v>0</v>
      </c>
      <c r="H229" t="str">
        <f>H$9 * (-0.04938900098204613 -H$8)</f>
        <v>0</v>
      </c>
      <c r="I229" t="str">
        <f>I$9 * (2.211899982285104E-6 -I$8)</f>
        <v>0</v>
      </c>
    </row>
    <row r="230" spans="1:11">
      <c r="A230" t="str">
        <f>A$9 * (54.75013732910156 -A$8)</f>
        <v>0</v>
      </c>
      <c r="B230" t="str">
        <f>B$9 * (54.75013732910156 -B$8)</f>
        <v>0</v>
      </c>
      <c r="C230" t="str">
        <f>C$9 * (54.75013732910156 -C$8)</f>
        <v>0</v>
      </c>
      <c r="D230" t="str">
        <f>D$9 * (54.75013732910156 -D$8)</f>
        <v>0</v>
      </c>
      <c r="F230" t="str">
        <f>F$9 * (0.06181402876973152 -F$8)</f>
        <v>0</v>
      </c>
      <c r="G230" t="str">
        <f>G$9 * (2.175944089889526 -G$8)</f>
        <v>0</v>
      </c>
      <c r="H230" t="str">
        <f>H$9 * (2.330347061157227 -H$8)</f>
        <v>0</v>
      </c>
      <c r="I230" t="str">
        <f>I$9 * (0.01826916076242924 -I$8)</f>
        <v>0</v>
      </c>
    </row>
    <row r="231" spans="1:11">
      <c r="A231" t="str">
        <f>A$9 * (55.00036239624023 -A$8)</f>
        <v>0</v>
      </c>
      <c r="B231" t="str">
        <f>B$9 * (55.00036239624023 -B$8)</f>
        <v>0</v>
      </c>
      <c r="C231" t="str">
        <f>C$9 * (55.00036239624023 -C$8)</f>
        <v>0</v>
      </c>
      <c r="D231" t="str">
        <f>D$9 * (55.00036239624023 -D$8)</f>
        <v>0</v>
      </c>
      <c r="F231" t="str">
        <f>F$9 * (0.00494681391865015 -F$8)</f>
        <v>0</v>
      </c>
      <c r="G231" t="str">
        <f>G$9 * (0.4286786019802094 -G$8)</f>
        <v>0</v>
      </c>
      <c r="H231" t="str">
        <f>H$9 * (3.807408094406128 -H$8)</f>
        <v>0</v>
      </c>
      <c r="I231" t="str">
        <f>I$9 * (2.634999987094488E-7 -I$8)</f>
        <v>0</v>
      </c>
    </row>
    <row r="232" spans="1:11">
      <c r="A232" t="str">
        <f>A$9 * (55.25025177001953 -A$8)</f>
        <v>0</v>
      </c>
      <c r="B232" t="str">
        <f>B$9 * (55.25025177001953 -B$8)</f>
        <v>0</v>
      </c>
      <c r="C232" t="str">
        <f>C$9 * (55.25025177001953 -C$8)</f>
        <v>0</v>
      </c>
      <c r="D232" t="str">
        <f>D$9 * (55.25025177001953 -D$8)</f>
        <v>0</v>
      </c>
      <c r="F232" t="str">
        <f>F$9 * (-0.0003833099908661097 -F$8)</f>
        <v>0</v>
      </c>
      <c r="G232" t="str">
        <f>G$9 * (-0.2654395997524261 -G$8)</f>
        <v>0</v>
      </c>
      <c r="H232" t="str">
        <f>H$9 * (0.1321467012166977 -H$8)</f>
        <v>0</v>
      </c>
      <c r="I232" t="str">
        <f>I$9 * (2.399999976532285E-9 -I$8)</f>
        <v>0</v>
      </c>
    </row>
    <row r="233" spans="1:11">
      <c r="A233" t="str">
        <f>A$9 * (55.50002670288086 -A$8)</f>
        <v>0</v>
      </c>
      <c r="B233" t="str">
        <f>B$9 * (55.50002670288086 -B$8)</f>
        <v>0</v>
      </c>
      <c r="C233" t="str">
        <f>C$9 * (55.50002670288086 -C$8)</f>
        <v>0</v>
      </c>
      <c r="D233" t="str">
        <f>D$9 * (55.50002670288086 -D$8)</f>
        <v>0</v>
      </c>
      <c r="F233" t="str">
        <f>F$9 * (-0.0006838474073447287 -F$8)</f>
        <v>0</v>
      </c>
      <c r="G233" t="str">
        <f>G$9 * (-0.3740853071212769 -G$8)</f>
        <v>0</v>
      </c>
      <c r="H233" t="str">
        <f>H$9 * (-0.08140391856431961 -H$8)</f>
        <v>0</v>
      </c>
      <c r="I233" t="str">
        <f>I$9 * (4.929999875002977E-8 -I$8)</f>
        <v>0</v>
      </c>
    </row>
    <row r="234" spans="1:11">
      <c r="A234" t="str">
        <f>A$9 * (55.75058364868164 -A$8)</f>
        <v>0</v>
      </c>
      <c r="B234" t="str">
        <f>B$9 * (55.75058364868164 -B$8)</f>
        <v>0</v>
      </c>
      <c r="C234" t="str">
        <f>C$9 * (55.75058364868164 -C$8)</f>
        <v>0</v>
      </c>
      <c r="D234" t="str">
        <f>D$9 * (55.75058364868164 -D$8)</f>
        <v>0</v>
      </c>
      <c r="F234" t="str">
        <f>F$9 * (-0.0002895643992815167 -F$8)</f>
        <v>0</v>
      </c>
      <c r="G234" t="str">
        <f>G$9 * (-1.661563992500305 -G$8)</f>
        <v>0</v>
      </c>
      <c r="H234" t="str">
        <f>H$9 * (2.348066091537476 -H$8)</f>
        <v>0</v>
      </c>
      <c r="I234" t="str">
        <f>I$9 * (2.696000080959493E-7 -I$8)</f>
        <v>0</v>
      </c>
    </row>
    <row r="235" spans="1:11">
      <c r="A235" t="str">
        <f>A$9 * (56.0007209777832 -A$8)</f>
        <v>0</v>
      </c>
      <c r="B235" t="str">
        <f>B$9 * (56.0007209777832 -B$8)</f>
        <v>0</v>
      </c>
      <c r="C235" t="str">
        <f>C$9 * (56.0007209777832 -C$8)</f>
        <v>0</v>
      </c>
      <c r="D235" t="str">
        <f>D$9 * (56.0007209777832 -D$8)</f>
        <v>0</v>
      </c>
      <c r="F235" t="str">
        <f>F$9 * (0.1005870997905731 -F$8)</f>
        <v>0</v>
      </c>
      <c r="G235" t="str">
        <f>G$9 * (6.51040506362915 -G$8)</f>
        <v>0</v>
      </c>
      <c r="H235" t="str">
        <f>H$9 * (6.748382091522217 -H$8)</f>
        <v>0</v>
      </c>
      <c r="I235" t="str">
        <f>I$9 * (0.1177226975560188 -I$8)</f>
        <v>0</v>
      </c>
    </row>
    <row r="236" spans="1:11">
      <c r="A236" t="str">
        <f>A$9 * (56.25052642822266 -A$8)</f>
        <v>0</v>
      </c>
      <c r="B236" t="str">
        <f>B$9 * (56.25052642822266 -B$8)</f>
        <v>0</v>
      </c>
      <c r="C236" t="str">
        <f>C$9 * (56.25052642822266 -C$8)</f>
        <v>0</v>
      </c>
      <c r="D236" t="str">
        <f>D$9 * (56.25052642822266 -D$8)</f>
        <v>0</v>
      </c>
      <c r="F236" t="str">
        <f>F$9 * (0.02575015090405941 -F$8)</f>
        <v>0</v>
      </c>
      <c r="G236" t="str">
        <f>G$9 * (3.902481079101562 -G$8)</f>
        <v>0</v>
      </c>
      <c r="H236" t="str">
        <f>H$9 * (4.607141971588135 -H$8)</f>
        <v>0</v>
      </c>
      <c r="I236" t="str">
        <f>I$9 * (1.882499987004849E-6 -I$8)</f>
        <v>0</v>
      </c>
    </row>
    <row r="237" spans="1:11">
      <c r="A237" t="str">
        <f>A$9 * (56.50030517578125 -A$8)</f>
        <v>0</v>
      </c>
      <c r="B237" t="str">
        <f>B$9 * (56.50030517578125 -B$8)</f>
        <v>0</v>
      </c>
      <c r="C237" t="str">
        <f>C$9 * (56.50030517578125 -C$8)</f>
        <v>0</v>
      </c>
      <c r="D237" t="str">
        <f>D$9 * (56.50030517578125 -D$8)</f>
        <v>0</v>
      </c>
      <c r="F237" t="str">
        <f>F$9 * (0.01633482985198498 -F$8)</f>
        <v>0</v>
      </c>
      <c r="G237" t="str">
        <f>G$9 * (9.127900123596191 -G$8)</f>
        <v>0</v>
      </c>
      <c r="H237" t="str">
        <f>H$9 * (15.24652004241943 -H$8)</f>
        <v>0</v>
      </c>
      <c r="I237" t="str">
        <f>I$9 * (0.06620299071073532 -I$8)</f>
        <v>0</v>
      </c>
    </row>
    <row r="238" spans="1:11">
      <c r="A238" t="str">
        <f>A$9 * (56.75 -A$8)</f>
        <v>0</v>
      </c>
      <c r="B238" t="str">
        <f>B$9 * (56.75 -B$8)</f>
        <v>0</v>
      </c>
      <c r="C238" t="str">
        <f>C$9 * (56.75 -C$8)</f>
        <v>0</v>
      </c>
      <c r="D238" t="str">
        <f>D$9 * (56.75 -D$8)</f>
        <v>0</v>
      </c>
      <c r="F238" t="str">
        <f>F$9 * (0.004711593966931105 -F$8)</f>
        <v>0</v>
      </c>
      <c r="G238" t="str">
        <f>G$9 * (2.548325061798096 -G$8)</f>
        <v>0</v>
      </c>
      <c r="H238" t="str">
        <f>H$9 * (8.428955078125 -H$8)</f>
        <v>0</v>
      </c>
      <c r="I238" t="str">
        <f>I$9 * (0.01331959012895823 -I$8)</f>
        <v>0</v>
      </c>
    </row>
    <row r="239" spans="1:11">
      <c r="A239" t="str">
        <f>A$9 * (57.0001106262207 -A$8)</f>
        <v>0</v>
      </c>
      <c r="B239" t="str">
        <f>B$9 * (57.0001106262207 -B$8)</f>
        <v>0</v>
      </c>
      <c r="C239" t="str">
        <f>C$9 * (57.0001106262207 -C$8)</f>
        <v>0</v>
      </c>
      <c r="D239" t="str">
        <f>D$9 * (57.0001106262207 -D$8)</f>
        <v>0</v>
      </c>
      <c r="F239" t="str">
        <f>F$9 * (-0.002543387934565544 -F$8)</f>
        <v>0</v>
      </c>
      <c r="G239" t="str">
        <f>G$9 * (-0.6872497797012329 -G$8)</f>
        <v>0</v>
      </c>
      <c r="H239" t="str">
        <f>H$9 * (1.638360023498535 -H$8)</f>
        <v>0</v>
      </c>
      <c r="I239" t="str">
        <f>I$9 * (1.967000002878194E-7 -I$8)</f>
        <v>0</v>
      </c>
    </row>
    <row r="240" spans="1:11">
      <c r="A240" t="str">
        <f>A$9 * (57.2501106262207 -A$8)</f>
        <v>0</v>
      </c>
      <c r="B240" t="str">
        <f>B$9 * (57.2501106262207 -B$8)</f>
        <v>0</v>
      </c>
      <c r="C240" t="str">
        <f>C$9 * (57.2501106262207 -C$8)</f>
        <v>0</v>
      </c>
      <c r="D240" t="str">
        <f>D$9 * (57.2501106262207 -D$8)</f>
        <v>0</v>
      </c>
      <c r="F240" t="str">
        <f>F$9 * (0.0004693244118243456 -F$8)</f>
        <v>0</v>
      </c>
      <c r="G240" t="str">
        <f>G$9 * (-1.427693963050842 -G$8)</f>
        <v>0</v>
      </c>
      <c r="H240" t="str">
        <f>H$9 * (3.250338077545166 -H$8)</f>
        <v>0</v>
      </c>
      <c r="I240" t="str">
        <f>I$9 * (2.639999934217485E-7 -I$8)</f>
        <v>0</v>
      </c>
    </row>
    <row r="241" spans="1:11">
      <c r="A241" t="str">
        <f>A$9 * (57.50027847290039 -A$8)</f>
        <v>0</v>
      </c>
      <c r="B241" t="str">
        <f>B$9 * (57.50027847290039 -B$8)</f>
        <v>0</v>
      </c>
      <c r="C241" t="str">
        <f>C$9 * (57.50027847290039 -C$8)</f>
        <v>0</v>
      </c>
      <c r="D241" t="str">
        <f>D$9 * (57.50027847290039 -D$8)</f>
        <v>0</v>
      </c>
      <c r="F241" t="str">
        <f>F$9 * (-0.0008041257970035076 -F$8)</f>
        <v>0</v>
      </c>
      <c r="G241" t="str">
        <f>G$9 * (-0.8830111026763916 -G$8)</f>
        <v>0</v>
      </c>
      <c r="H241" t="str">
        <f>H$9 * (-0.05294471979141235 -H$8)</f>
        <v>0</v>
      </c>
      <c r="I241" t="str">
        <f>I$9 * (5.609999931266429E-8 -I$8)</f>
        <v>0</v>
      </c>
    </row>
    <row r="242" spans="1:11">
      <c r="A242" t="str">
        <f>A$9 * (57.75063705444336 -A$8)</f>
        <v>0</v>
      </c>
      <c r="B242" t="str">
        <f>B$9 * (57.75063705444336 -B$8)</f>
        <v>0</v>
      </c>
      <c r="C242" t="str">
        <f>C$9 * (57.75063705444336 -C$8)</f>
        <v>0</v>
      </c>
      <c r="D242" t="str">
        <f>D$9 * (57.75063705444336 -D$8)</f>
        <v>0</v>
      </c>
      <c r="F242" t="str">
        <f>F$9 * (0.0009642277145758271 -F$8)</f>
        <v>0</v>
      </c>
      <c r="G242" t="str">
        <f>G$9 * (-0.8829231858253479 -G$8)</f>
        <v>0</v>
      </c>
      <c r="H242" t="str">
        <f>H$9 * (3.175235986709595 -H$8)</f>
        <v>0</v>
      </c>
      <c r="I242" t="str">
        <f>I$9 * (2.790000053209951E-7 -I$8)</f>
        <v>0</v>
      </c>
    </row>
    <row r="243" spans="1:11">
      <c r="A243" t="str">
        <f>A$9 * (58.0004997253418 -A$8)</f>
        <v>0</v>
      </c>
      <c r="B243" t="str">
        <f>B$9 * (58.0004997253418 -B$8)</f>
        <v>0</v>
      </c>
      <c r="C243" t="str">
        <f>C$9 * (58.0004997253418 -C$8)</f>
        <v>0</v>
      </c>
      <c r="D243" t="str">
        <f>D$9 * (58.0004997253418 -D$8)</f>
        <v>0</v>
      </c>
      <c r="F243" t="str">
        <f>F$9 * (-0.0001728490024106577 -F$8)</f>
        <v>0</v>
      </c>
      <c r="G243" t="str">
        <f>G$9 * (-1.084043025970459 -G$8)</f>
        <v>0</v>
      </c>
      <c r="H243" t="str">
        <f>H$9 * (0.5429105162620544 -H$8)</f>
        <v>0</v>
      </c>
      <c r="I243" t="str">
        <f>I$9 * (3.539999937629545E-8 -I$8)</f>
        <v>0</v>
      </c>
    </row>
    <row r="244" spans="1:11">
      <c r="A244" t="str">
        <f>A$9 * (58.25036239624023 -A$8)</f>
        <v>0</v>
      </c>
      <c r="B244" t="str">
        <f>B$9 * (58.25036239624023 -B$8)</f>
        <v>0</v>
      </c>
      <c r="C244" t="str">
        <f>C$9 * (58.25036239624023 -C$8)</f>
        <v>0</v>
      </c>
      <c r="D244" t="str">
        <f>D$9 * (58.25036239624023 -D$8)</f>
        <v>0</v>
      </c>
      <c r="F244" t="str">
        <f>F$9 * (0.1152641996741295 -F$8)</f>
        <v>0</v>
      </c>
      <c r="G244" t="str">
        <f>G$9 * (16.96227073669434 -G$8)</f>
        <v>0</v>
      </c>
      <c r="H244" t="str">
        <f>H$9 * (17.86230087280273 -H$8)</f>
        <v>0</v>
      </c>
      <c r="I244" t="str">
        <f>I$9 * (0.4292851090431213 -I$8)</f>
        <v>0</v>
      </c>
    </row>
    <row r="245" spans="1:11">
      <c r="A245" t="str">
        <f>A$9 * (58.5 -A$8)</f>
        <v>0</v>
      </c>
      <c r="B245" t="str">
        <f>B$9 * (58.5 -B$8)</f>
        <v>0</v>
      </c>
      <c r="C245" t="str">
        <f>C$9 * (58.5 -C$8)</f>
        <v>0</v>
      </c>
      <c r="D245" t="str">
        <f>D$9 * (58.5 -D$8)</f>
        <v>0</v>
      </c>
      <c r="F245" t="str">
        <f>F$9 * (0.01203341968357563 -F$8)</f>
        <v>0</v>
      </c>
      <c r="G245" t="str">
        <f>G$9 * (1.593039035797119 -G$8)</f>
        <v>0</v>
      </c>
      <c r="H245" t="str">
        <f>H$9 * (2.586981058120728 -H$8)</f>
        <v>0</v>
      </c>
      <c r="I245" t="str">
        <f>I$9 * (3.515999935643777E-7 -I$8)</f>
        <v>0</v>
      </c>
    </row>
    <row r="246" spans="1:11">
      <c r="A246" t="str">
        <f>A$9 * (58.75038909912109 -A$8)</f>
        <v>0</v>
      </c>
      <c r="B246" t="str">
        <f>B$9 * (58.75038909912109 -B$8)</f>
        <v>0</v>
      </c>
      <c r="C246" t="str">
        <f>C$9 * (58.75038909912109 -C$8)</f>
        <v>0</v>
      </c>
      <c r="D246" t="str">
        <f>D$9 * (58.75038909912109 -D$8)</f>
        <v>0</v>
      </c>
      <c r="F246" t="str">
        <f>F$9 * (-0.001056083012372255 -F$8)</f>
        <v>0</v>
      </c>
      <c r="G246" t="str">
        <f>G$9 * (-0.2434792071580887 -G$8)</f>
        <v>0</v>
      </c>
      <c r="H246" t="str">
        <f>H$9 * (-0.3900665938854218 -H$8)</f>
        <v>0</v>
      </c>
      <c r="I246" t="str">
        <f>I$9 * (9.399999889581068E-9 -I$8)</f>
        <v>0</v>
      </c>
    </row>
    <row r="247" spans="1:11">
      <c r="A247" t="str">
        <f>A$9 * (59.0001106262207 -A$8)</f>
        <v>0</v>
      </c>
      <c r="B247" t="str">
        <f>B$9 * (59.0001106262207 -B$8)</f>
        <v>0</v>
      </c>
      <c r="C247" t="str">
        <f>C$9 * (59.0001106262207 -C$8)</f>
        <v>0</v>
      </c>
      <c r="D247" t="str">
        <f>D$9 * (59.0001106262207 -D$8)</f>
        <v>0</v>
      </c>
      <c r="F247" t="str">
        <f>F$9 * (-0.0001326169003732502 -F$8)</f>
        <v>0</v>
      </c>
      <c r="G247" t="str">
        <f>G$9 * (-0.9780778884887695 -G$8)</f>
        <v>0</v>
      </c>
      <c r="H247" t="str">
        <f>H$9 * (0.3946382999420166 -H$8)</f>
        <v>0</v>
      </c>
      <c r="I247" t="str">
        <f>I$9 * (2.280000011012362E-8 -I$8)</f>
        <v>0</v>
      </c>
    </row>
    <row r="248" spans="1:11">
      <c r="A248" t="str">
        <f>A$9 * (59.25025177001953 -A$8)</f>
        <v>0</v>
      </c>
      <c r="B248" t="str">
        <f>B$9 * (59.25025177001953 -B$8)</f>
        <v>0</v>
      </c>
      <c r="C248" t="str">
        <f>C$9 * (59.25025177001953 -C$8)</f>
        <v>0</v>
      </c>
      <c r="D248" t="str">
        <f>D$9 * (59.25025177001953 -D$8)</f>
        <v>0</v>
      </c>
      <c r="F248" t="str">
        <f>F$9 * (-0.000384402897907421 -F$8)</f>
        <v>0</v>
      </c>
      <c r="G248" t="str">
        <f>G$9 * (-0.6838942170143127 -G$8)</f>
        <v>0</v>
      </c>
      <c r="H248" t="str">
        <f>H$9 * (0.2765986025333405 -H$8)</f>
        <v>0</v>
      </c>
      <c r="I248" t="str">
        <f>I$9 * (9.099999864758956E-9 -I$8)</f>
        <v>0</v>
      </c>
    </row>
    <row r="249" spans="1:11">
      <c r="A249" t="str">
        <f>A$9 * (59.5001106262207 -A$8)</f>
        <v>0</v>
      </c>
      <c r="B249" t="str">
        <f>B$9 * (59.5001106262207 -B$8)</f>
        <v>0</v>
      </c>
      <c r="C249" t="str">
        <f>C$9 * (59.5001106262207 -C$8)</f>
        <v>0</v>
      </c>
      <c r="D249" t="str">
        <f>D$9 * (59.5001106262207 -D$8)</f>
        <v>0</v>
      </c>
      <c r="F249" t="str">
        <f>F$9 * (-8.741199962969404E-6 -F$8)</f>
        <v>0</v>
      </c>
      <c r="G249" t="str">
        <f>G$9 * (-0.1463658958673477 -G$8)</f>
        <v>0</v>
      </c>
      <c r="H249" t="str">
        <f>H$9 * (3.497642993927002 -H$8)</f>
        <v>0</v>
      </c>
      <c r="I249" t="str">
        <f>I$9 * (4.858999886891979E-7 -I$8)</f>
        <v>0</v>
      </c>
    </row>
    <row r="250" spans="1:11">
      <c r="A250" t="str">
        <f>A$9 * (59.75019454956055 -A$8)</f>
        <v>0</v>
      </c>
      <c r="B250" t="str">
        <f>B$9 * (59.75019454956055 -B$8)</f>
        <v>0</v>
      </c>
      <c r="C250" t="str">
        <f>C$9 * (59.75019454956055 -C$8)</f>
        <v>0</v>
      </c>
      <c r="D250" t="str">
        <f>D$9 * (59.75019454956055 -D$8)</f>
        <v>0</v>
      </c>
      <c r="F250" t="str">
        <f>F$9 * (0.007039920892566442 -F$8)</f>
        <v>0</v>
      </c>
      <c r="G250" t="str">
        <f>G$9 * (7.054511070251465 -G$8)</f>
        <v>0</v>
      </c>
      <c r="H250" t="str">
        <f>H$9 * (39.19097900390625 -H$8)</f>
        <v>0</v>
      </c>
      <c r="I250" t="str">
        <f>I$9 * (0.246449202299118 -I$8)</f>
        <v>0</v>
      </c>
    </row>
    <row r="251" spans="1:11">
      <c r="A251" t="str">
        <f>A$9 * (60.00033187866211 -A$8)</f>
        <v>0</v>
      </c>
      <c r="B251" t="str">
        <f>B$9 * (60.00033187866211 -B$8)</f>
        <v>0</v>
      </c>
      <c r="C251" t="str">
        <f>C$9 * (60.00033187866211 -C$8)</f>
        <v>0</v>
      </c>
      <c r="D251" t="str">
        <f>D$9 * (60.00033187866211 -D$8)</f>
        <v>0</v>
      </c>
      <c r="F251" t="str">
        <f>F$9 * (-0.003914257977157831 -F$8)</f>
        <v>0</v>
      </c>
      <c r="G251" t="str">
        <f>G$9 * (-0.4295960962772369 -G$8)</f>
        <v>0</v>
      </c>
      <c r="H251" t="str">
        <f>H$9 * (0.4537228047847748 -H$8)</f>
        <v>0</v>
      </c>
      <c r="I251" t="str">
        <f>I$9 * (4.889999871693362E-8 -I$8)</f>
        <v>0</v>
      </c>
    </row>
    <row r="252" spans="1:11">
      <c r="A252" t="str">
        <f>A$9 * (60.25005722045898 -A$8)</f>
        <v>0</v>
      </c>
      <c r="B252" t="str">
        <f>B$9 * (60.25005722045898 -B$8)</f>
        <v>0</v>
      </c>
      <c r="C252" t="str">
        <f>C$9 * (60.25005722045898 -C$8)</f>
        <v>0</v>
      </c>
      <c r="D252" t="str">
        <f>D$9 * (60.25005722045898 -D$8)</f>
        <v>0</v>
      </c>
      <c r="F252" t="str">
        <f>F$9 * (-0.0006845258176326752 -F$8)</f>
        <v>0</v>
      </c>
      <c r="G252" t="str">
        <f>G$9 * (-0.2992129921913147 -G$8)</f>
        <v>0</v>
      </c>
      <c r="H252" t="str">
        <f>H$9 * (-0.1426614969968796 -H$8)</f>
        <v>0</v>
      </c>
      <c r="I252" t="str">
        <f>I$9 * (3.22738014801871E-5 -I$8)</f>
        <v>0</v>
      </c>
    </row>
    <row r="253" spans="1:11">
      <c r="A253" t="str">
        <f>A$9 * (60.50058364868164 -A$8)</f>
        <v>0</v>
      </c>
      <c r="B253" t="str">
        <f>B$9 * (60.50058364868164 -B$8)</f>
        <v>0</v>
      </c>
      <c r="C253" t="str">
        <f>C$9 * (60.50058364868164 -C$8)</f>
        <v>0</v>
      </c>
      <c r="D253" t="str">
        <f>D$9 * (60.50058364868164 -D$8)</f>
        <v>0</v>
      </c>
      <c r="F253" t="str">
        <f>F$9 * (-0.0007744518807157874 -F$8)</f>
        <v>0</v>
      </c>
      <c r="G253" t="str">
        <f>G$9 * (-0.2837632894515991 -G$8)</f>
        <v>0</v>
      </c>
      <c r="H253" t="str">
        <f>H$9 * (-0.2792611122131348 -H$8)</f>
        <v>0</v>
      </c>
      <c r="I253" t="str">
        <f>I$9 * (1.290000017917237E-8 -I$8)</f>
        <v>0</v>
      </c>
    </row>
    <row r="254" spans="1:11">
      <c r="A254" t="str">
        <f>A$9 * (60.75047302246094 -A$8)</f>
        <v>0</v>
      </c>
      <c r="B254" t="str">
        <f>B$9 * (60.75047302246094 -B$8)</f>
        <v>0</v>
      </c>
      <c r="C254" t="str">
        <f>C$9 * (60.75047302246094 -C$8)</f>
        <v>0</v>
      </c>
      <c r="D254" t="str">
        <f>D$9 * (60.75047302246094 -D$8)</f>
        <v>0</v>
      </c>
      <c r="F254" t="str">
        <f>F$9 * (0.0002664659987203777 -F$8)</f>
        <v>0</v>
      </c>
      <c r="G254" t="str">
        <f>G$9 * (0.00870107114315033 -G$8)</f>
        <v>0</v>
      </c>
      <c r="H254" t="str">
        <f>H$9 * (0.08160272985696793 -H$8)</f>
        <v>0</v>
      </c>
      <c r="I254" t="str">
        <f>I$9 * (2.999999970665357E-10 -I$8)</f>
        <v>0</v>
      </c>
    </row>
    <row r="255" spans="1:11">
      <c r="A255" t="str">
        <f>A$9 * (61.00041580200195 -A$8)</f>
        <v>0</v>
      </c>
      <c r="B255" t="str">
        <f>B$9 * (61.00041580200195 -B$8)</f>
        <v>0</v>
      </c>
      <c r="C255" t="str">
        <f>C$9 * (61.00041580200195 -C$8)</f>
        <v>0</v>
      </c>
      <c r="D255" t="str">
        <f>D$9 * (61.00041580200195 -D$8)</f>
        <v>0</v>
      </c>
      <c r="F255" t="str">
        <f>F$9 * (0.006011560093611479 -F$8)</f>
        <v>0</v>
      </c>
      <c r="G255" t="str">
        <f>G$9 * (0.3309197127819061 -G$8)</f>
        <v>0</v>
      </c>
      <c r="H255" t="str">
        <f>H$9 * (23.34654998779297 -H$8)</f>
        <v>0</v>
      </c>
      <c r="I255" t="str">
        <f>I$9 * (0.08553244918584824 -I$8)</f>
        <v>0</v>
      </c>
    </row>
    <row r="256" spans="1:11">
      <c r="A256" t="str">
        <f>A$9 * (61.25033187866211 -A$8)</f>
        <v>0</v>
      </c>
      <c r="B256" t="str">
        <f>B$9 * (61.25033187866211 -B$8)</f>
        <v>0</v>
      </c>
      <c r="C256" t="str">
        <f>C$9 * (61.25033187866211 -C$8)</f>
        <v>0</v>
      </c>
      <c r="D256" t="str">
        <f>D$9 * (61.25033187866211 -D$8)</f>
        <v>0</v>
      </c>
      <c r="F256" t="str">
        <f>F$9 * (0.07570572942495346 -F$8)</f>
        <v>0</v>
      </c>
      <c r="G256" t="str">
        <f>G$9 * (9.916651725769043 -G$8)</f>
        <v>0</v>
      </c>
      <c r="H256" t="str">
        <f>H$9 * (10.43072986602783 -H$8)</f>
        <v>0</v>
      </c>
      <c r="I256" t="str">
        <f>I$9 * (0.1456283032894135 -I$8)</f>
        <v>0</v>
      </c>
    </row>
    <row r="257" spans="1:11">
      <c r="A257" t="str">
        <f>A$9 * (61.50033187866211 -A$8)</f>
        <v>0</v>
      </c>
      <c r="B257" t="str">
        <f>B$9 * (61.50033187866211 -B$8)</f>
        <v>0</v>
      </c>
      <c r="C257" t="str">
        <f>C$9 * (61.50033187866211 -C$8)</f>
        <v>0</v>
      </c>
      <c r="D257" t="str">
        <f>D$9 * (61.50033187866211 -D$8)</f>
        <v>0</v>
      </c>
      <c r="F257" t="str">
        <f>F$9 * (0.01061320956796408 -F$8)</f>
        <v>0</v>
      </c>
      <c r="G257" t="str">
        <f>G$9 * (6.076301097869873 -G$8)</f>
        <v>0</v>
      </c>
      <c r="H257" t="str">
        <f>H$9 * (11.96560955047607 -H$8)</f>
        <v>0</v>
      </c>
      <c r="I257" t="str">
        <f>I$9 * (0.03543708100914955 -I$8)</f>
        <v>0</v>
      </c>
    </row>
    <row r="258" spans="1:11">
      <c r="A258" t="str">
        <f>A$9 * (61.75016784667969 -A$8)</f>
        <v>0</v>
      </c>
      <c r="B258" t="str">
        <f>B$9 * (61.75016784667969 -B$8)</f>
        <v>0</v>
      </c>
      <c r="C258" t="str">
        <f>C$9 * (61.75016784667969 -C$8)</f>
        <v>0</v>
      </c>
      <c r="D258" t="str">
        <f>D$9 * (61.75016784667969 -D$8)</f>
        <v>0</v>
      </c>
      <c r="F258" t="str">
        <f>F$9 * (0.002192073967307806 -F$8)</f>
        <v>0</v>
      </c>
      <c r="G258" t="str">
        <f>G$9 * (0.6348189115524292 -G$8)</f>
        <v>0</v>
      </c>
      <c r="H258" t="str">
        <f>H$9 * (3.770037889480591 -H$8)</f>
        <v>0</v>
      </c>
      <c r="I258" t="str">
        <f>I$9 * (3.215000106138177E-7 -I$8)</f>
        <v>0</v>
      </c>
    </row>
    <row r="259" spans="1:11">
      <c r="A259" t="str">
        <f>A$9 * (62 -A$8)</f>
        <v>0</v>
      </c>
      <c r="B259" t="str">
        <f>B$9 * (62 -B$8)</f>
        <v>0</v>
      </c>
      <c r="C259" t="str">
        <f>C$9 * (62 -C$8)</f>
        <v>0</v>
      </c>
      <c r="D259" t="str">
        <f>D$9 * (62 -D$8)</f>
        <v>0</v>
      </c>
      <c r="F259" t="str">
        <f>F$9 * (-0.001150381984189153 -F$8)</f>
        <v>0</v>
      </c>
      <c r="G259" t="str">
        <f>G$9 * (-0.2893314957618713 -G$8)</f>
        <v>0</v>
      </c>
      <c r="H259" t="str">
        <f>H$9 * (-0.4130338132381439 -H$8)</f>
        <v>0</v>
      </c>
      <c r="I259" t="str">
        <f>I$9 * (7.799999757196474E-9 -I$8)</f>
        <v>0</v>
      </c>
    </row>
    <row r="260" spans="1:11">
      <c r="A260" t="str">
        <f>A$9 * (62.25041580200195 -A$8)</f>
        <v>0</v>
      </c>
      <c r="B260" t="str">
        <f>B$9 * (62.25041580200195 -B$8)</f>
        <v>0</v>
      </c>
      <c r="C260" t="str">
        <f>C$9 * (62.25041580200195 -C$8)</f>
        <v>0</v>
      </c>
      <c r="D260" t="str">
        <f>D$9 * (62.25041580200195 -D$8)</f>
        <v>0</v>
      </c>
      <c r="F260" t="str">
        <f>F$9 * (-5.504980072146282E-5 -F$8)</f>
        <v>0</v>
      </c>
      <c r="G260" t="str">
        <f>G$9 * (-1.097762942314148 -G$8)</f>
        <v>0</v>
      </c>
      <c r="H260" t="str">
        <f>H$9 * (1.426785945892334 -H$8)</f>
        <v>0</v>
      </c>
      <c r="I260" t="str">
        <f>I$9 * (3.956000114158087E-7 -I$8)</f>
        <v>0</v>
      </c>
    </row>
    <row r="261" spans="1:11">
      <c r="A261" t="str">
        <f>A$9 * (62.50036239624023 -A$8)</f>
        <v>0</v>
      </c>
      <c r="B261" t="str">
        <f>B$9 * (62.50036239624023 -B$8)</f>
        <v>0</v>
      </c>
      <c r="C261" t="str">
        <f>C$9 * (62.50036239624023 -C$8)</f>
        <v>0</v>
      </c>
      <c r="D261" t="str">
        <f>D$9 * (62.50036239624023 -D$8)</f>
        <v>0</v>
      </c>
      <c r="F261" t="str">
        <f>F$9 * (-0.0003372489882167429 -F$8)</f>
        <v>0</v>
      </c>
      <c r="G261" t="str">
        <f>G$9 * (-0.5155482888221741 -G$8)</f>
        <v>0</v>
      </c>
      <c r="H261" t="str">
        <f>H$9 * (0.2464703023433685 -H$8)</f>
        <v>0</v>
      </c>
      <c r="I261" t="str">
        <f>I$9 * (1.781999969807657E-7 -I$8)</f>
        <v>0</v>
      </c>
    </row>
    <row r="262" spans="1:11">
      <c r="A262" t="str">
        <f>A$9 * (62.75044631958008 -A$8)</f>
        <v>0</v>
      </c>
      <c r="B262" t="str">
        <f>B$9 * (62.75044631958008 -B$8)</f>
        <v>0</v>
      </c>
      <c r="C262" t="str">
        <f>C$9 * (62.75044631958008 -C$8)</f>
        <v>0</v>
      </c>
      <c r="D262" t="str">
        <f>D$9 * (62.75044631958008 -D$8)</f>
        <v>0</v>
      </c>
      <c r="F262" t="str">
        <f>F$9 * (-0.001033158972859383 -F$8)</f>
        <v>0</v>
      </c>
      <c r="G262" t="str">
        <f>G$9 * (-1.051257967948914 -G$8)</f>
        <v>0</v>
      </c>
      <c r="H262" t="str">
        <f>H$9 * (-0.2105154991149902 -H$8)</f>
        <v>0</v>
      </c>
      <c r="I262" t="str">
        <f>I$9 * (5.389999913063548E-8 -I$8)</f>
        <v>0</v>
      </c>
    </row>
    <row r="263" spans="1:11">
      <c r="A263" t="str">
        <f>A$9 * (63.00013732910156 -A$8)</f>
        <v>0</v>
      </c>
      <c r="B263" t="str">
        <f>B$9 * (63.00013732910156 -B$8)</f>
        <v>0</v>
      </c>
      <c r="C263" t="str">
        <f>C$9 * (63.00013732910156 -C$8)</f>
        <v>0</v>
      </c>
      <c r="D263" t="str">
        <f>D$9 * (63.00013732910156 -D$8)</f>
        <v>0</v>
      </c>
      <c r="F263" t="str">
        <f>F$9 * (-0.0001487120025558397 -F$8)</f>
        <v>0</v>
      </c>
      <c r="G263" t="str">
        <f>G$9 * (-1.08270001411438 -G$8)</f>
        <v>0</v>
      </c>
      <c r="H263" t="str">
        <f>H$9 * (0.5010694265365601 -H$8)</f>
        <v>0</v>
      </c>
      <c r="I263" t="str">
        <f>I$9 * (1.021000031187214E-7 -I$8)</f>
        <v>0</v>
      </c>
    </row>
    <row r="264" spans="1:11">
      <c r="A264" t="str">
        <f>A$9 * (63.2504997253418 -A$8)</f>
        <v>0</v>
      </c>
      <c r="B264" t="str">
        <f>B$9 * (63.2504997253418 -B$8)</f>
        <v>0</v>
      </c>
      <c r="C264" t="str">
        <f>C$9 * (63.2504997253418 -C$8)</f>
        <v>0</v>
      </c>
      <c r="D264" t="str">
        <f>D$9 * (63.2504997253418 -D$8)</f>
        <v>0</v>
      </c>
      <c r="F264" t="str">
        <f>F$9 * (0.0009666344267316163 -F$8)</f>
        <v>0</v>
      </c>
      <c r="G264" t="str">
        <f>G$9 * (-0.1086172983050346 -G$8)</f>
        <v>0</v>
      </c>
      <c r="H264" t="str">
        <f>H$9 * (5.160466194152832 -H$8)</f>
        <v>0</v>
      </c>
      <c r="I264" t="str">
        <f>I$9 * (1.98300000420204E-7 -I$8)</f>
        <v>0</v>
      </c>
    </row>
    <row r="265" spans="1:11">
      <c r="A265" t="str">
        <f>A$9 * (63.50055694580078 -A$8)</f>
        <v>0</v>
      </c>
      <c r="B265" t="str">
        <f>B$9 * (63.50055694580078 -B$8)</f>
        <v>0</v>
      </c>
      <c r="C265" t="str">
        <f>C$9 * (63.50055694580078 -C$8)</f>
        <v>0</v>
      </c>
      <c r="D265" t="str">
        <f>D$9 * (63.50055694580078 -D$8)</f>
        <v>0</v>
      </c>
      <c r="F265" t="str">
        <f>F$9 * (-0.00135344301816076 -F$8)</f>
        <v>0</v>
      </c>
      <c r="G265" t="str">
        <f>G$9 * (-1.682234048843384 -G$8)</f>
        <v>0</v>
      </c>
      <c r="H265" t="str">
        <f>H$9 * (0.791123628616333 -H$8)</f>
        <v>0</v>
      </c>
      <c r="I265" t="str">
        <f>I$9 * (3.574999993816164E-7 -I$8)</f>
        <v>0</v>
      </c>
    </row>
    <row r="266" spans="1:11">
      <c r="A266" t="str">
        <f>A$9 * (63.75030517578125 -A$8)</f>
        <v>0</v>
      </c>
      <c r="B266" t="str">
        <f>B$9 * (63.75030517578125 -B$8)</f>
        <v>0</v>
      </c>
      <c r="C266" t="str">
        <f>C$9 * (63.75030517578125 -C$8)</f>
        <v>0</v>
      </c>
      <c r="D266" t="str">
        <f>D$9 * (63.75030517578125 -D$8)</f>
        <v>0</v>
      </c>
      <c r="F266" t="str">
        <f>F$9 * (-0.001039233990013599 -F$8)</f>
        <v>0</v>
      </c>
      <c r="G266" t="str">
        <f>G$9 * (-1.31893002986908 -G$8)</f>
        <v>0</v>
      </c>
      <c r="H266" t="str">
        <f>H$9 * (0.1597463041543961 -H$8)</f>
        <v>0</v>
      </c>
      <c r="I266" t="str">
        <f>I$9 * (1.164999972047553E-7 -I$8)</f>
        <v>0</v>
      </c>
    </row>
    <row r="267" spans="1:11">
      <c r="A267" t="str">
        <f>A$9 * (64.00011444091797 -A$8)</f>
        <v>0</v>
      </c>
      <c r="B267" t="str">
        <f>B$9 * (64.00011444091797 -B$8)</f>
        <v>0</v>
      </c>
      <c r="C267" t="str">
        <f>C$9 * (64.00011444091797 -C$8)</f>
        <v>0</v>
      </c>
      <c r="D267" t="str">
        <f>D$9 * (64.00011444091797 -D$8)</f>
        <v>0</v>
      </c>
      <c r="F267" t="str">
        <f>F$9 * (-0.0001384372008033097 -F$8)</f>
        <v>0</v>
      </c>
      <c r="G267" t="str">
        <f>G$9 * (-0.7277373075485229 -G$8)</f>
        <v>0</v>
      </c>
      <c r="H267" t="str">
        <f>H$9 * (0.431144505739212 -H$8)</f>
        <v>0</v>
      </c>
      <c r="I267" t="str">
        <f>I$9 * (1.30000001874464E-8 -I$8)</f>
        <v>0</v>
      </c>
    </row>
    <row r="268" spans="1:11">
      <c r="A268" t="str">
        <f>A$9 * (64.25016784667969 -A$8)</f>
        <v>0</v>
      </c>
      <c r="B268" t="str">
        <f>B$9 * (64.25016784667969 -B$8)</f>
        <v>0</v>
      </c>
      <c r="C268" t="str">
        <f>C$9 * (64.25016784667969 -C$8)</f>
        <v>0</v>
      </c>
      <c r="D268" t="str">
        <f>D$9 * (64.25016784667969 -D$8)</f>
        <v>0</v>
      </c>
      <c r="F268" t="str">
        <f>F$9 * (-0.0005333413719199598 -F$8)</f>
        <v>0</v>
      </c>
      <c r="G268" t="str">
        <f>G$9 * (-0.1906816959381104 -G$8)</f>
        <v>0</v>
      </c>
      <c r="H268" t="str">
        <f>H$9 * (-0.1601182073354721 -H$8)</f>
        <v>0</v>
      </c>
      <c r="I268" t="str">
        <f>I$9 * (4.107080167159438E-5 -I$8)</f>
        <v>0</v>
      </c>
    </row>
    <row r="269" spans="1:11">
      <c r="A269" t="str">
        <f>A$9 * (64.50044250488281 -A$8)</f>
        <v>0</v>
      </c>
      <c r="B269" t="str">
        <f>B$9 * (64.50044250488281 -B$8)</f>
        <v>0</v>
      </c>
      <c r="C269" t="str">
        <f>C$9 * (64.50044250488281 -C$8)</f>
        <v>0</v>
      </c>
      <c r="D269" t="str">
        <f>D$9 * (64.50044250488281 -D$8)</f>
        <v>0</v>
      </c>
      <c r="F269" t="str">
        <f>F$9 * (0.1035574972629547 -F$8)</f>
        <v>0</v>
      </c>
      <c r="G269" t="str">
        <f>G$9 * (4.503478050231934 -G$8)</f>
        <v>0</v>
      </c>
      <c r="H269" t="str">
        <f>H$9 * (4.68629789352417 -H$8)</f>
        <v>0</v>
      </c>
      <c r="I269" t="str">
        <f>I$9 * (0.07576353847980499 -I$8)</f>
        <v>0</v>
      </c>
    </row>
    <row r="270" spans="1:11">
      <c r="A270" t="str">
        <f>A$9 * (64.7506103515625 -A$8)</f>
        <v>0</v>
      </c>
      <c r="B270" t="str">
        <f>B$9 * (64.7506103515625 -B$8)</f>
        <v>0</v>
      </c>
      <c r="C270" t="str">
        <f>C$9 * (64.7506103515625 -C$8)</f>
        <v>0</v>
      </c>
      <c r="D270" t="str">
        <f>D$9 * (64.7506103515625 -D$8)</f>
        <v>0</v>
      </c>
      <c r="F270" t="str">
        <f>F$9 * (0.01215691957622766 -F$8)</f>
        <v>0</v>
      </c>
      <c r="G270" t="str">
        <f>G$9 * (2.306793928146362 -G$8)</f>
        <v>0</v>
      </c>
      <c r="H270" t="str">
        <f>H$9 * (3.918999910354614 -H$8)</f>
        <v>0</v>
      </c>
      <c r="I270" t="str">
        <f>I$9 * (5.054999974163366E-7 -I$8)</f>
        <v>0</v>
      </c>
    </row>
    <row r="271" spans="1:11">
      <c r="A271" t="str">
        <f>A$9 * (65.00064086914062 -A$8)</f>
        <v>0</v>
      </c>
      <c r="B271" t="str">
        <f>B$9 * (65.00064086914062 -B$8)</f>
        <v>0</v>
      </c>
      <c r="C271" t="str">
        <f>C$9 * (65.00064086914062 -C$8)</f>
        <v>0</v>
      </c>
      <c r="D271" t="str">
        <f>D$9 * (65.00064086914062 -D$8)</f>
        <v>0</v>
      </c>
      <c r="F271" t="str">
        <f>F$9 * (-0.0009298720979131758 -F$8)</f>
        <v>0</v>
      </c>
      <c r="G271" t="str">
        <f>G$9 * (-0.2050770074129105 -G$8)</f>
        <v>0</v>
      </c>
      <c r="H271" t="str">
        <f>H$9 * (-0.1323367953300476 -H$8)</f>
        <v>0</v>
      </c>
      <c r="I271" t="str">
        <f>I$9 * (9.099999864758956E-9 -I$8)</f>
        <v>0</v>
      </c>
    </row>
    <row r="272" spans="1:11">
      <c r="A272" t="str">
        <f>A$9 * (65.25013732910156 -A$8)</f>
        <v>0</v>
      </c>
      <c r="B272" t="str">
        <f>B$9 * (65.25013732910156 -B$8)</f>
        <v>0</v>
      </c>
      <c r="C272" t="str">
        <f>C$9 * (65.25013732910156 -C$8)</f>
        <v>0</v>
      </c>
      <c r="D272" t="str">
        <f>D$9 * (65.25013732910156 -D$8)</f>
        <v>0</v>
      </c>
      <c r="F272" t="str">
        <f>F$9 * (-0.0006565400981344283 -F$8)</f>
        <v>0</v>
      </c>
      <c r="G272" t="str">
        <f>G$9 * (-0.9951096773147583 -G$8)</f>
        <v>0</v>
      </c>
      <c r="H272" t="str">
        <f>H$9 * (0.06625369936227798 -H$8)</f>
        <v>0</v>
      </c>
      <c r="I272" t="str">
        <f>I$9 * (4.98000005677568E-8 -I$8)</f>
        <v>0</v>
      </c>
    </row>
    <row r="273" spans="1:11">
      <c r="A273" t="str">
        <f>A$9 * (65.50030517578125 -A$8)</f>
        <v>0</v>
      </c>
      <c r="B273" t="str">
        <f>B$9 * (65.50030517578125 -B$8)</f>
        <v>0</v>
      </c>
      <c r="C273" t="str">
        <f>C$9 * (65.50030517578125 -C$8)</f>
        <v>0</v>
      </c>
      <c r="D273" t="str">
        <f>D$9 * (65.50030517578125 -D$8)</f>
        <v>0</v>
      </c>
      <c r="F273" t="str">
        <f>F$9 * (-0.0002053992066066712 -F$8)</f>
        <v>0</v>
      </c>
      <c r="G273" t="str">
        <f>G$9 * (-1.304258942604065 -G$8)</f>
        <v>0</v>
      </c>
      <c r="H273" t="str">
        <f>H$9 * (2.432452917098999 -H$8)</f>
        <v>0</v>
      </c>
      <c r="I273" t="str">
        <f>I$9 * (2.680000079635647E-7 -I$8)</f>
        <v>0</v>
      </c>
    </row>
    <row r="274" spans="1:11">
      <c r="A274" t="str">
        <f>A$9 * (65.75050354003906 -A$8)</f>
        <v>0</v>
      </c>
      <c r="B274" t="str">
        <f>B$9 * (65.75050354003906 -B$8)</f>
        <v>0</v>
      </c>
      <c r="C274" t="str">
        <f>C$9 * (65.75050354003906 -C$8)</f>
        <v>0</v>
      </c>
      <c r="D274" t="str">
        <f>D$9 * (65.75050354003906 -D$8)</f>
        <v>0</v>
      </c>
      <c r="F274" t="str">
        <f>F$9 * (0.103488601744175 -F$8)</f>
        <v>0</v>
      </c>
      <c r="G274" t="str">
        <f>G$9 * (6.896417140960693 -G$8)</f>
        <v>0</v>
      </c>
      <c r="H274" t="str">
        <f>H$9 * (7.145921230316162 -H$8)</f>
        <v>0</v>
      </c>
      <c r="I274" t="str">
        <f>I$9 * (0.1281840056180954 -I$8)</f>
        <v>0</v>
      </c>
    </row>
    <row r="275" spans="1:11">
      <c r="A275" t="str">
        <f>A$9 * (66.00050354003906 -A$8)</f>
        <v>0</v>
      </c>
      <c r="B275" t="str">
        <f>B$9 * (66.00050354003906 -B$8)</f>
        <v>0</v>
      </c>
      <c r="C275" t="str">
        <f>C$9 * (66.00050354003906 -C$8)</f>
        <v>0</v>
      </c>
      <c r="D275" t="str">
        <f>D$9 * (66.00050354003906 -D$8)</f>
        <v>0</v>
      </c>
      <c r="F275" t="str">
        <f>F$9 * (0.02687956020236015 -F$8)</f>
        <v>0</v>
      </c>
      <c r="G275" t="str">
        <f>G$9 * (3.910785913467407 -G$8)</f>
        <v>0</v>
      </c>
      <c r="H275" t="str">
        <f>H$9 * (4.525365829467773 -H$8)</f>
        <v>0</v>
      </c>
      <c r="I275" t="str">
        <f>I$9 * (1.954799927261774E-6 -I$8)</f>
        <v>0</v>
      </c>
    </row>
    <row r="276" spans="1:11">
      <c r="A276" t="str">
        <f>A$9 * (66.25003051757812 -A$8)</f>
        <v>0</v>
      </c>
      <c r="B276" t="str">
        <f>B$9 * (66.25003051757812 -B$8)</f>
        <v>0</v>
      </c>
      <c r="C276" t="str">
        <f>C$9 * (66.25003051757812 -C$8)</f>
        <v>0</v>
      </c>
      <c r="D276" t="str">
        <f>D$9 * (66.25003051757812 -D$8)</f>
        <v>0</v>
      </c>
      <c r="F276" t="str">
        <f>F$9 * (0.0161452405154705 -F$8)</f>
        <v>0</v>
      </c>
      <c r="G276" t="str">
        <f>G$9 * (9.089502334594727 -G$8)</f>
        <v>0</v>
      </c>
      <c r="H276" t="str">
        <f>H$9 * (15.3034496307373 -H$8)</f>
        <v>0</v>
      </c>
      <c r="I276" t="str">
        <f>I$9 * (0.06604863703250885 -I$8)</f>
        <v>0</v>
      </c>
    </row>
    <row r="277" spans="1:11">
      <c r="A277" t="str">
        <f>A$9 * (66.50013732910156 -A$8)</f>
        <v>0</v>
      </c>
      <c r="B277" t="str">
        <f>B$9 * (66.50013732910156 -B$8)</f>
        <v>0</v>
      </c>
      <c r="C277" t="str">
        <f>C$9 * (66.50013732910156 -C$8)</f>
        <v>0</v>
      </c>
      <c r="D277" t="str">
        <f>D$9 * (66.50013732910156 -D$8)</f>
        <v>0</v>
      </c>
      <c r="F277" t="str">
        <f>F$9 * (0.004789393860846758 -F$8)</f>
        <v>0</v>
      </c>
      <c r="G277" t="str">
        <f>G$9 * (2.544477939605713 -G$8)</f>
        <v>0</v>
      </c>
      <c r="H277" t="str">
        <f>H$9 * (8.30599308013916 -H$8)</f>
        <v>0</v>
      </c>
      <c r="I277" t="str">
        <f>I$9 * (0.01311885006725788 -I$8)</f>
        <v>0</v>
      </c>
    </row>
    <row r="278" spans="1:11">
      <c r="A278" t="str">
        <f>A$9 * (66.75027465820312 -A$8)</f>
        <v>0</v>
      </c>
      <c r="B278" t="str">
        <f>B$9 * (66.75027465820312 -B$8)</f>
        <v>0</v>
      </c>
      <c r="C278" t="str">
        <f>C$9 * (66.75027465820312 -C$8)</f>
        <v>0</v>
      </c>
      <c r="D278" t="str">
        <f>D$9 * (66.75027465820312 -D$8)</f>
        <v>0</v>
      </c>
      <c r="F278" t="str">
        <f>F$9 * (-0.002587866969406605 -F$8)</f>
        <v>0</v>
      </c>
      <c r="G278" t="str">
        <f>G$9 * (-0.6817055940628052 -G$8)</f>
        <v>0</v>
      </c>
      <c r="H278" t="str">
        <f>H$9 * (1.831493973731995 -H$8)</f>
        <v>0</v>
      </c>
      <c r="I278" t="str">
        <f>I$9 * (2.05000006303635E-7 -I$8)</f>
        <v>0</v>
      </c>
    </row>
    <row r="279" spans="1:11">
      <c r="A279" t="str">
        <f>A$9 * (67.00008392333984 -A$8)</f>
        <v>0</v>
      </c>
      <c r="B279" t="str">
        <f>B$9 * (67.00008392333984 -B$8)</f>
        <v>0</v>
      </c>
      <c r="C279" t="str">
        <f>C$9 * (67.00008392333984 -C$8)</f>
        <v>0</v>
      </c>
      <c r="D279" t="str">
        <f>D$9 * (67.00008392333984 -D$8)</f>
        <v>0</v>
      </c>
      <c r="F279" t="str">
        <f>F$9 * (0.0007064401288516819 -F$8)</f>
        <v>0</v>
      </c>
      <c r="G279" t="str">
        <f>G$9 * (-1.40251898765564 -G$8)</f>
        <v>0</v>
      </c>
      <c r="H279" t="str">
        <f>H$9 * (3.852346897125244 -H$8)</f>
        <v>0</v>
      </c>
      <c r="I279" t="str">
        <f>I$9 * (5.174999841983663E-7 -I$8)</f>
        <v>0</v>
      </c>
    </row>
    <row r="280" spans="1:11">
      <c r="A280" t="str">
        <f>A$9 * (67.25022125244141 -A$8)</f>
        <v>0</v>
      </c>
      <c r="B280" t="str">
        <f>B$9 * (67.25022125244141 -B$8)</f>
        <v>0</v>
      </c>
      <c r="C280" t="str">
        <f>C$9 * (67.25022125244141 -C$8)</f>
        <v>0</v>
      </c>
      <c r="D280" t="str">
        <f>D$9 * (67.25022125244141 -D$8)</f>
        <v>0</v>
      </c>
      <c r="F280" t="str">
        <f>F$9 * (-0.0005025824066251516 -F$8)</f>
        <v>0</v>
      </c>
      <c r="G280" t="str">
        <f>G$9 * (-1.510025024414062 -G$8)</f>
        <v>0</v>
      </c>
      <c r="H280" t="str">
        <f>H$9 * (2.211739063262939 -H$8)</f>
        <v>0</v>
      </c>
      <c r="I280" t="str">
        <f>I$9 * (1.793000024008506E-7 -I$8)</f>
        <v>0</v>
      </c>
    </row>
    <row r="281" spans="1:11">
      <c r="A281" t="str">
        <f>A$9 * (67.50016784667969 -A$8)</f>
        <v>0</v>
      </c>
      <c r="B281" t="str">
        <f>B$9 * (67.50016784667969 -B$8)</f>
        <v>0</v>
      </c>
      <c r="C281" t="str">
        <f>C$9 * (67.50016784667969 -C$8)</f>
        <v>0</v>
      </c>
      <c r="D281" t="str">
        <f>D$9 * (67.50016784667969 -D$8)</f>
        <v>0</v>
      </c>
      <c r="F281" t="str">
        <f>F$9 * (-0.0009549885289743543 -F$8)</f>
        <v>0</v>
      </c>
      <c r="G281" t="str">
        <f>G$9 * (-1.510395050048828 -G$8)</f>
        <v>0</v>
      </c>
      <c r="H281" t="str">
        <f>H$9 * (1.25652003288269 -H$8)</f>
        <v>0</v>
      </c>
      <c r="I281" t="str">
        <f>I$9 * (4.748999913317675E-7 -I$8)</f>
        <v>0</v>
      </c>
    </row>
    <row r="282" spans="1:11">
      <c r="A282" t="str">
        <f>A$9 * (67.75050354003906 -A$8)</f>
        <v>0</v>
      </c>
      <c r="B282" t="str">
        <f>B$9 * (67.75050354003906 -B$8)</f>
        <v>0</v>
      </c>
      <c r="C282" t="str">
        <f>C$9 * (67.75050354003906 -C$8)</f>
        <v>0</v>
      </c>
      <c r="D282" t="str">
        <f>D$9 * (67.75050354003906 -D$8)</f>
        <v>0</v>
      </c>
      <c r="F282" t="str">
        <f>F$9 * (-0.0006577461026608944 -F$8)</f>
        <v>0</v>
      </c>
      <c r="G282" t="str">
        <f>G$9 * (-0.752062201499939 -G$8)</f>
        <v>0</v>
      </c>
      <c r="H282" t="str">
        <f>H$9 * (0.3987154960632324 -H$8)</f>
        <v>0</v>
      </c>
      <c r="I282" t="str">
        <f>I$9 * (0.0001283317978959531 -I$8)</f>
        <v>0</v>
      </c>
    </row>
    <row r="283" spans="1:11">
      <c r="A283" t="str">
        <f>A$9 * (68.00013732910156 -A$8)</f>
        <v>0</v>
      </c>
      <c r="B283" t="str">
        <f>B$9 * (68.00013732910156 -B$8)</f>
        <v>0</v>
      </c>
      <c r="C283" t="str">
        <f>C$9 * (68.00013732910156 -C$8)</f>
        <v>0</v>
      </c>
      <c r="D283" t="str">
        <f>D$9 * (68.00013732910156 -D$8)</f>
        <v>0</v>
      </c>
      <c r="F283" t="str">
        <f>F$9 * (0.005096272099763155 -F$8)</f>
        <v>0</v>
      </c>
      <c r="G283" t="str">
        <f>G$9 * (4.937400817871094 -G$8)</f>
        <v>0</v>
      </c>
      <c r="H283" t="str">
        <f>H$9 * (33.649169921875 -H$8)</f>
        <v>0</v>
      </c>
      <c r="I283" t="str">
        <f>I$9 * (0.170726403594017 -I$8)</f>
        <v>0</v>
      </c>
    </row>
    <row r="284" spans="1:11">
      <c r="A284" t="str">
        <f>A$9 * (68.25008392333984 -A$8)</f>
        <v>0</v>
      </c>
      <c r="B284" t="str">
        <f>B$9 * (68.25008392333984 -B$8)</f>
        <v>0</v>
      </c>
      <c r="C284" t="str">
        <f>C$9 * (68.25008392333984 -C$8)</f>
        <v>0</v>
      </c>
      <c r="D284" t="str">
        <f>D$9 * (68.25008392333984 -D$8)</f>
        <v>0</v>
      </c>
      <c r="F284" t="str">
        <f>F$9 * (-0.006216142792254686 -F$8)</f>
        <v>0</v>
      </c>
      <c r="G284" t="str">
        <f>G$9 * (-1.413216948509216 -G$8)</f>
        <v>0</v>
      </c>
      <c r="H284" t="str">
        <f>H$9 * (0.1448937058448792 -H$8)</f>
        <v>0</v>
      </c>
      <c r="I284" t="str">
        <f>I$9 * (5.071000259704306E-7 -I$8)</f>
        <v>0</v>
      </c>
    </row>
    <row r="285" spans="1:11">
      <c r="A285" t="str">
        <f>A$9 * (68.50055694580078 -A$8)</f>
        <v>0</v>
      </c>
      <c r="B285" t="str">
        <f>B$9 * (68.50055694580078 -B$8)</f>
        <v>0</v>
      </c>
      <c r="C285" t="str">
        <f>C$9 * (68.50055694580078 -C$8)</f>
        <v>0</v>
      </c>
      <c r="D285" t="str">
        <f>D$9 * (68.50055694580078 -D$8)</f>
        <v>0</v>
      </c>
      <c r="F285" t="str">
        <f>F$9 * (-0.0004933609743602574 -F$8)</f>
        <v>0</v>
      </c>
      <c r="G285" t="str">
        <f>G$9 * (-0.6980469226837158 -G$8)</f>
        <v>0</v>
      </c>
      <c r="H285" t="str">
        <f>H$9 * (0.3567495942115784 -H$8)</f>
        <v>0</v>
      </c>
      <c r="I285" t="str">
        <f>I$9 * (1.020000013340905E-7 -I$8)</f>
        <v>0</v>
      </c>
    </row>
    <row r="286" spans="1:11">
      <c r="A286" t="str">
        <f>A$9 * (68.75055694580078 -A$8)</f>
        <v>0</v>
      </c>
      <c r="B286" t="str">
        <f>B$9 * (68.75055694580078 -B$8)</f>
        <v>0</v>
      </c>
      <c r="C286" t="str">
        <f>C$9 * (68.75055694580078 -C$8)</f>
        <v>0</v>
      </c>
      <c r="D286" t="str">
        <f>D$9 * (68.75055694580078 -D$8)</f>
        <v>0</v>
      </c>
      <c r="F286" t="str">
        <f>F$9 * (-6.555960135301575E-5 -F$8)</f>
        <v>0</v>
      </c>
      <c r="G286" t="str">
        <f>G$9 * (-0.8550804257392883 -G$8)</f>
        <v>0</v>
      </c>
      <c r="H286" t="str">
        <f>H$9 * (0.3661870956420898 -H$8)</f>
        <v>0</v>
      </c>
      <c r="I286" t="str">
        <f>I$9 * (1.430000029500889E-8 -I$8)</f>
        <v>0</v>
      </c>
    </row>
    <row r="287" spans="1:11">
      <c r="A287" t="str">
        <f>A$9 * (69.00035858154297 -A$8)</f>
        <v>0</v>
      </c>
      <c r="B287" t="str">
        <f>B$9 * (69.00035858154297 -B$8)</f>
        <v>0</v>
      </c>
      <c r="C287" t="str">
        <f>C$9 * (69.00035858154297 -C$8)</f>
        <v>0</v>
      </c>
      <c r="D287" t="str">
        <f>D$9 * (69.00035858154297 -D$8)</f>
        <v>0</v>
      </c>
      <c r="F287" t="str">
        <f>F$9 * (-0.0005154822138138115 -F$8)</f>
        <v>0</v>
      </c>
      <c r="G287" t="str">
        <f>G$9 * (-0.3981660902500153 -G$8)</f>
        <v>0</v>
      </c>
      <c r="H287" t="str">
        <f>H$9 * (0.07440151274204254 -H$8)</f>
        <v>0</v>
      </c>
      <c r="I287" t="str">
        <f>I$9 * (1.680700052020256E-6 -I$8)</f>
        <v>0</v>
      </c>
    </row>
    <row r="288" spans="1:11">
      <c r="A288" t="str">
        <f>A$9 * (69.25069427490234 -A$8)</f>
        <v>0</v>
      </c>
      <c r="B288" t="str">
        <f>B$9 * (69.25069427490234 -B$8)</f>
        <v>0</v>
      </c>
      <c r="C288" t="str">
        <f>C$9 * (69.25069427490234 -C$8)</f>
        <v>0</v>
      </c>
      <c r="D288" t="str">
        <f>D$9 * (69.25069427490234 -D$8)</f>
        <v>0</v>
      </c>
      <c r="F288" t="str">
        <f>F$9 * (-8.993999927042751E-7 -F$8)</f>
        <v>0</v>
      </c>
      <c r="G288" t="str">
        <f>G$9 * (-0.01467949990183115 -G$8)</f>
        <v>0</v>
      </c>
      <c r="H288" t="str">
        <f>H$9 * (4.10439395904541 -H$8)</f>
        <v>0</v>
      </c>
      <c r="I288" t="str">
        <f>I$9 * (6.669999947916949E-7 -I$8)</f>
        <v>0</v>
      </c>
    </row>
    <row r="289" spans="1:11">
      <c r="A289" t="str">
        <f>A$9 * (69.50013732910156 -A$8)</f>
        <v>0</v>
      </c>
      <c r="B289" t="str">
        <f>B$9 * (69.50013732910156 -B$8)</f>
        <v>0</v>
      </c>
      <c r="C289" t="str">
        <f>C$9 * (69.50013732910156 -C$8)</f>
        <v>0</v>
      </c>
      <c r="D289" t="str">
        <f>D$9 * (69.50013732910156 -D$8)</f>
        <v>0</v>
      </c>
      <c r="F289" t="str">
        <f>F$9 * (0.006562402006238699 -F$8)</f>
        <v>0</v>
      </c>
      <c r="G289" t="str">
        <f>G$9 * (0.6414843797683716 -G$8)</f>
        <v>0</v>
      </c>
      <c r="H289" t="str">
        <f>H$9 * (29.77150917053223 -H$8)</f>
        <v>0</v>
      </c>
      <c r="I289" t="str">
        <f>I$9 * (0.1341194957494736 -I$8)</f>
        <v>0</v>
      </c>
    </row>
    <row r="290" spans="1:11">
      <c r="A290" t="str">
        <f>A$9 * (69.7506103515625 -A$8)</f>
        <v>0</v>
      </c>
      <c r="B290" t="str">
        <f>B$9 * (69.7506103515625 -B$8)</f>
        <v>0</v>
      </c>
      <c r="C290" t="str">
        <f>C$9 * (69.7506103515625 -C$8)</f>
        <v>0</v>
      </c>
      <c r="D290" t="str">
        <f>D$9 * (69.7506103515625 -D$8)</f>
        <v>0</v>
      </c>
      <c r="F290" t="str">
        <f>F$9 * (0.0006788211176171899 -F$8)</f>
        <v>0</v>
      </c>
      <c r="G290" t="str">
        <f>G$9 * (-3.858566999435425 -G$8)</f>
        <v>0</v>
      </c>
      <c r="H290" t="str">
        <f>H$9 * (1.29797899723053 -H$8)</f>
        <v>0</v>
      </c>
      <c r="I290" t="str">
        <f>I$9 * (2.355999981773493E-7 -I$8)</f>
        <v>0</v>
      </c>
    </row>
    <row r="291" spans="1:11">
      <c r="A291" t="str">
        <f>A$9 * (70.00025177001953 -A$8)</f>
        <v>0</v>
      </c>
      <c r="B291" t="str">
        <f>B$9 * (70.00025177001953 -B$8)</f>
        <v>0</v>
      </c>
      <c r="C291" t="str">
        <f>C$9 * (70.00025177001953 -C$8)</f>
        <v>0</v>
      </c>
      <c r="D291" t="str">
        <f>D$9 * (70.00025177001953 -D$8)</f>
        <v>0</v>
      </c>
      <c r="F291" t="str">
        <f>F$9 * (-0.001804015948437154 -F$8)</f>
        <v>0</v>
      </c>
      <c r="G291" t="str">
        <f>G$9 * (-1.623762965202332 -G$8)</f>
        <v>0</v>
      </c>
      <c r="H291" t="str">
        <f>H$9 * (0.5860757231712341 -H$8)</f>
        <v>0</v>
      </c>
      <c r="I291" t="str">
        <f>I$9 * (2.856000094197952E-7 -I$8)</f>
        <v>0</v>
      </c>
    </row>
    <row r="292" spans="1:11">
      <c r="A292" t="str">
        <f>A$9 * (70.25064086914062 -A$8)</f>
        <v>0</v>
      </c>
      <c r="B292" t="str">
        <f>B$9 * (70.25064086914062 -B$8)</f>
        <v>0</v>
      </c>
      <c r="C292" t="str">
        <f>C$9 * (70.25064086914062 -C$8)</f>
        <v>0</v>
      </c>
      <c r="D292" t="str">
        <f>D$9 * (70.25064086914062 -D$8)</f>
        <v>0</v>
      </c>
      <c r="F292" t="str">
        <f>F$9 * (-0.0002260601031593978 -F$8)</f>
        <v>0</v>
      </c>
      <c r="G292" t="str">
        <f>G$9 * (-1.244671940803528 -G$8)</f>
        <v>0</v>
      </c>
      <c r="H292" t="str">
        <f>H$9 * (0.6389660239219666 -H$8)</f>
        <v>0</v>
      </c>
      <c r="I292" t="str">
        <f>I$9 * (3.259999914462242E-8 -I$8)</f>
        <v>0</v>
      </c>
    </row>
    <row r="293" spans="1:11">
      <c r="A293" t="str">
        <f>A$9 * (70.50047302246094 -A$8)</f>
        <v>0</v>
      </c>
      <c r="B293" t="str">
        <f>B$9 * (70.50047302246094 -B$8)</f>
        <v>0</v>
      </c>
      <c r="C293" t="str">
        <f>C$9 * (70.50047302246094 -C$8)</f>
        <v>0</v>
      </c>
      <c r="D293" t="str">
        <f>D$9 * (70.50047302246094 -D$8)</f>
        <v>0</v>
      </c>
      <c r="F293" t="str">
        <f>F$9 * (0.001388009986840189 -F$8)</f>
        <v>0</v>
      </c>
      <c r="G293" t="str">
        <f>G$9 * (0.04357872903347015 -G$8)</f>
        <v>0</v>
      </c>
      <c r="H293" t="str">
        <f>H$9 * (0.1289360970258713 -H$8)</f>
        <v>0</v>
      </c>
      <c r="I293" t="str">
        <f>I$9 * (8.000000106811456E-10 -I$8)</f>
        <v>0</v>
      </c>
    </row>
    <row r="294" spans="1:11">
      <c r="A294" t="str">
        <f>A$9 * (70.75005340576172 -A$8)</f>
        <v>0</v>
      </c>
      <c r="B294" t="str">
        <f>B$9 * (70.75005340576172 -B$8)</f>
        <v>0</v>
      </c>
      <c r="C294" t="str">
        <f>C$9 * (70.75005340576172 -C$8)</f>
        <v>0</v>
      </c>
      <c r="D294" t="str">
        <f>D$9 * (70.75005340576172 -D$8)</f>
        <v>0</v>
      </c>
      <c r="F294" t="str">
        <f>F$9 * (0.00540143484249711 -F$8)</f>
        <v>0</v>
      </c>
      <c r="G294" t="str">
        <f>G$9 * (0.2664158940315247 -G$8)</f>
        <v>0</v>
      </c>
      <c r="H294" t="str">
        <f>H$9 * (16.82291030883789 -H$8)</f>
        <v>0</v>
      </c>
      <c r="I294" t="str">
        <f>I$9 * (0.04606933891773224 -I$8)</f>
        <v>0</v>
      </c>
    </row>
    <row r="295" spans="1:11">
      <c r="A295" t="str">
        <f>A$9 * (71.00050354003906 -A$8)</f>
        <v>0</v>
      </c>
      <c r="B295" t="str">
        <f>B$9 * (71.00050354003906 -B$8)</f>
        <v>0</v>
      </c>
      <c r="C295" t="str">
        <f>C$9 * (71.00050354003906 -C$8)</f>
        <v>0</v>
      </c>
      <c r="D295" t="str">
        <f>D$9 * (71.00050354003906 -D$8)</f>
        <v>0</v>
      </c>
      <c r="F295" t="str">
        <f>F$9 * (0.06391394138336182 -F$8)</f>
        <v>0</v>
      </c>
      <c r="G295" t="str">
        <f>G$9 * (17.16554069519043 -G$8)</f>
        <v>0</v>
      </c>
      <c r="H295" t="str">
        <f>H$9 * (18.78101921081543 -H$8)</f>
        <v>0</v>
      </c>
      <c r="I295" t="str">
        <f>I$9 * (0.2596370875835419 -I$8)</f>
        <v>0</v>
      </c>
    </row>
    <row r="296" spans="1:11">
      <c r="A296" t="str">
        <f>A$9 * (71.25038909912109 -A$8)</f>
        <v>0</v>
      </c>
      <c r="B296" t="str">
        <f>B$9 * (71.25038909912109 -B$8)</f>
        <v>0</v>
      </c>
      <c r="C296" t="str">
        <f>C$9 * (71.25038909912109 -C$8)</f>
        <v>0</v>
      </c>
      <c r="D296" t="str">
        <f>D$9 * (71.25038909912109 -D$8)</f>
        <v>0</v>
      </c>
      <c r="F296" t="str">
        <f>F$9 * (0.009212704375386238 -F$8)</f>
        <v>0</v>
      </c>
      <c r="G296" t="str">
        <f>G$9 * (5.435750961303711 -G$8)</f>
        <v>0</v>
      </c>
      <c r="H296" t="str">
        <f>H$9 * (11.63920021057129 -H$8)</f>
        <v>0</v>
      </c>
      <c r="I296" t="str">
        <f>I$9 * (0.03128939867019653 -I$8)</f>
        <v>0</v>
      </c>
    </row>
    <row r="297" spans="1:11">
      <c r="A297" t="str">
        <f>A$9 * (71.50027465820312 -A$8)</f>
        <v>0</v>
      </c>
      <c r="B297" t="str">
        <f>B$9 * (71.50027465820312 -B$8)</f>
        <v>0</v>
      </c>
      <c r="C297" t="str">
        <f>C$9 * (71.50027465820312 -C$8)</f>
        <v>0</v>
      </c>
      <c r="D297" t="str">
        <f>D$9 * (71.50027465820312 -D$8)</f>
        <v>0</v>
      </c>
      <c r="F297" t="str">
        <f>F$9 * (0.001828094013035297 -F$8)</f>
        <v>0</v>
      </c>
      <c r="G297" t="str">
        <f>G$9 * (0.4931226968765259 -G$8)</f>
        <v>0</v>
      </c>
      <c r="H297" t="str">
        <f>H$9 * (3.401818990707397 -H$8)</f>
        <v>0</v>
      </c>
      <c r="I297" t="str">
        <f>I$9 * (2.259999973830418E-7 -I$8)</f>
        <v>0</v>
      </c>
    </row>
    <row r="298" spans="1:11">
      <c r="A298" t="str">
        <f>A$9 * (71.75035858154297 -A$8)</f>
        <v>0</v>
      </c>
      <c r="B298" t="str">
        <f>B$9 * (71.75035858154297 -B$8)</f>
        <v>0</v>
      </c>
      <c r="C298" t="str">
        <f>C$9 * (71.75035858154297 -C$8)</f>
        <v>0</v>
      </c>
      <c r="D298" t="str">
        <f>D$9 * (71.75035858154297 -D$8)</f>
        <v>0</v>
      </c>
      <c r="F298" t="str">
        <f>F$9 * (-0.001079760957509279 -F$8)</f>
        <v>0</v>
      </c>
      <c r="G298" t="str">
        <f>G$9 * (-1.779289960861206 -G$8)</f>
        <v>0</v>
      </c>
      <c r="H298" t="str">
        <f>H$9 * (1.702075958251953 -H$8)</f>
        <v>0</v>
      </c>
      <c r="I298" t="str">
        <f>I$9 * (1.811999936762732E-7 -I$8)</f>
        <v>0</v>
      </c>
    </row>
    <row r="299" spans="1:11">
      <c r="A299" t="str">
        <f>A$9 * (72.00016784667969 -A$8)</f>
        <v>0</v>
      </c>
      <c r="B299" t="str">
        <f>B$9 * (72.00016784667969 -B$8)</f>
        <v>0</v>
      </c>
      <c r="C299" t="str">
        <f>C$9 * (72.00016784667969 -C$8)</f>
        <v>0</v>
      </c>
      <c r="D299" t="str">
        <f>D$9 * (72.00016784667969 -D$8)</f>
        <v>0</v>
      </c>
      <c r="F299" t="str">
        <f>F$9 * (-0.0008535080123692751 -F$8)</f>
        <v>0</v>
      </c>
      <c r="G299" t="str">
        <f>G$9 * (-1.386598944664001 -G$8)</f>
        <v>0</v>
      </c>
      <c r="H299" t="str">
        <f>H$9 * (1.266477942466736 -H$8)</f>
        <v>0</v>
      </c>
      <c r="I299" t="str">
        <f>I$9 * (4.270000033557153E-7 -I$8)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Legends</vt:lpstr>
      <vt:lpstr>SIM1</vt:lpstr>
      <vt:lpstr>SIM2</vt:lpstr>
      <vt:lpstr>SIM3</vt:lpstr>
      <vt:lpstr>SIM4</vt:lpstr>
      <vt:lpstr>SIM5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e-fast(TM)</dc:creator>
  <cp:lastModifiedBy>ybanko</cp:lastModifiedBy>
  <dcterms:created xsi:type="dcterms:W3CDTF">2026-08-15T16:19:34+02:00</dcterms:created>
  <dcterms:modified xsi:type="dcterms:W3CDTF">2026-08-15T16:19:34+02:00</dcterms:modified>
  <dc:title>MULTIVAR</dc:title>
  <dc:description>Several variables for each of the selected simulations</dc:description>
  <dc:subject>Data export</dc:subject>
  <cp:keywords>/FAST/Development/TM/Agency/Yinka_Bankole/06_EBAN__01_2026_EPHQ/02_FEED/02_TD/</cp:keywords>
  <cp:category>e-fast(TM)</cp:category>
</cp:coreProperties>
</file>