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nka\Downloads\"/>
    </mc:Choice>
  </mc:AlternateContent>
  <xr:revisionPtr revIDLastSave="0" documentId="13_ncr:1_{344D69FA-661A-4FF2-82F2-7ADAE9FDB5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gends" sheetId="1" r:id="rId1"/>
    <sheet name="SIM1" sheetId="2" r:id="rId2"/>
    <sheet name="SIM2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9" i="2" l="1"/>
  <c r="D299" i="2"/>
  <c r="B299" i="2"/>
  <c r="A299" i="2"/>
  <c r="E298" i="2"/>
  <c r="D298" i="2"/>
  <c r="B298" i="2"/>
  <c r="A298" i="2"/>
  <c r="E297" i="2"/>
  <c r="D297" i="2"/>
  <c r="B297" i="2"/>
  <c r="B5" i="2" s="1"/>
  <c r="A297" i="2"/>
  <c r="E296" i="2"/>
  <c r="D296" i="2"/>
  <c r="B296" i="2"/>
  <c r="A296" i="2"/>
  <c r="E295" i="2"/>
  <c r="D295" i="2"/>
  <c r="B295" i="2"/>
  <c r="A295" i="2"/>
  <c r="E294" i="2"/>
  <c r="D294" i="2"/>
  <c r="B294" i="2"/>
  <c r="A294" i="2"/>
  <c r="E293" i="2"/>
  <c r="D293" i="2"/>
  <c r="B293" i="2"/>
  <c r="A293" i="2"/>
  <c r="E292" i="2"/>
  <c r="D292" i="2"/>
  <c r="B292" i="2"/>
  <c r="A292" i="2"/>
  <c r="E291" i="2"/>
  <c r="D291" i="2"/>
  <c r="B291" i="2"/>
  <c r="A291" i="2"/>
  <c r="E290" i="2"/>
  <c r="D290" i="2"/>
  <c r="B290" i="2"/>
  <c r="A290" i="2"/>
  <c r="E289" i="2"/>
  <c r="D289" i="2"/>
  <c r="B289" i="2"/>
  <c r="A289" i="2"/>
  <c r="E288" i="2"/>
  <c r="D288" i="2"/>
  <c r="B288" i="2"/>
  <c r="A288" i="2"/>
  <c r="E287" i="2"/>
  <c r="D287" i="2"/>
  <c r="B287" i="2"/>
  <c r="A287" i="2"/>
  <c r="E286" i="2"/>
  <c r="D286" i="2"/>
  <c r="B286" i="2"/>
  <c r="A286" i="2"/>
  <c r="E285" i="2"/>
  <c r="D285" i="2"/>
  <c r="B285" i="2"/>
  <c r="A285" i="2"/>
  <c r="E284" i="2"/>
  <c r="D284" i="2"/>
  <c r="B284" i="2"/>
  <c r="A284" i="2"/>
  <c r="E283" i="2"/>
  <c r="D283" i="2"/>
  <c r="B283" i="2"/>
  <c r="A283" i="2"/>
  <c r="E282" i="2"/>
  <c r="D282" i="2"/>
  <c r="B282" i="2"/>
  <c r="A282" i="2"/>
  <c r="E281" i="2"/>
  <c r="D281" i="2"/>
  <c r="B281" i="2"/>
  <c r="A281" i="2"/>
  <c r="E280" i="2"/>
  <c r="D280" i="2"/>
  <c r="B280" i="2"/>
  <c r="A280" i="2"/>
  <c r="E279" i="2"/>
  <c r="D279" i="2"/>
  <c r="B279" i="2"/>
  <c r="A279" i="2"/>
  <c r="E278" i="2"/>
  <c r="D278" i="2"/>
  <c r="B278" i="2"/>
  <c r="A278" i="2"/>
  <c r="E277" i="2"/>
  <c r="D277" i="2"/>
  <c r="B277" i="2"/>
  <c r="A277" i="2"/>
  <c r="E276" i="2"/>
  <c r="D276" i="2"/>
  <c r="B276" i="2"/>
  <c r="A276" i="2"/>
  <c r="E275" i="2"/>
  <c r="D275" i="2"/>
  <c r="B275" i="2"/>
  <c r="A275" i="2"/>
  <c r="E274" i="2"/>
  <c r="D274" i="2"/>
  <c r="B274" i="2"/>
  <c r="A274" i="2"/>
  <c r="E273" i="2"/>
  <c r="D273" i="2"/>
  <c r="B273" i="2"/>
  <c r="A273" i="2"/>
  <c r="E272" i="2"/>
  <c r="D272" i="2"/>
  <c r="B272" i="2"/>
  <c r="A272" i="2"/>
  <c r="E271" i="2"/>
  <c r="D271" i="2"/>
  <c r="B271" i="2"/>
  <c r="A271" i="2"/>
  <c r="E270" i="2"/>
  <c r="D270" i="2"/>
  <c r="B270" i="2"/>
  <c r="A270" i="2"/>
  <c r="E269" i="2"/>
  <c r="D269" i="2"/>
  <c r="B269" i="2"/>
  <c r="A269" i="2"/>
  <c r="E268" i="2"/>
  <c r="D268" i="2"/>
  <c r="B268" i="2"/>
  <c r="A268" i="2"/>
  <c r="E267" i="2"/>
  <c r="D267" i="2"/>
  <c r="B267" i="2"/>
  <c r="A267" i="2"/>
  <c r="E266" i="2"/>
  <c r="D266" i="2"/>
  <c r="B266" i="2"/>
  <c r="A266" i="2"/>
  <c r="E265" i="2"/>
  <c r="D265" i="2"/>
  <c r="B265" i="2"/>
  <c r="A265" i="2"/>
  <c r="E264" i="2"/>
  <c r="D264" i="2"/>
  <c r="B264" i="2"/>
  <c r="A264" i="2"/>
  <c r="E263" i="2"/>
  <c r="D263" i="2"/>
  <c r="B263" i="2"/>
  <c r="A263" i="2"/>
  <c r="E262" i="2"/>
  <c r="D262" i="2"/>
  <c r="B262" i="2"/>
  <c r="A262" i="2"/>
  <c r="E261" i="2"/>
  <c r="D261" i="2"/>
  <c r="B261" i="2"/>
  <c r="A261" i="2"/>
  <c r="E260" i="2"/>
  <c r="D260" i="2"/>
  <c r="B260" i="2"/>
  <c r="A260" i="2"/>
  <c r="E259" i="2"/>
  <c r="D259" i="2"/>
  <c r="B259" i="2"/>
  <c r="A259" i="2"/>
  <c r="E258" i="2"/>
  <c r="D258" i="2"/>
  <c r="B258" i="2"/>
  <c r="A258" i="2"/>
  <c r="E257" i="2"/>
  <c r="D257" i="2"/>
  <c r="B257" i="2"/>
  <c r="A257" i="2"/>
  <c r="E256" i="2"/>
  <c r="D256" i="2"/>
  <c r="B256" i="2"/>
  <c r="A256" i="2"/>
  <c r="E255" i="2"/>
  <c r="D255" i="2"/>
  <c r="B255" i="2"/>
  <c r="A255" i="2"/>
  <c r="E254" i="2"/>
  <c r="D254" i="2"/>
  <c r="B254" i="2"/>
  <c r="A254" i="2"/>
  <c r="E253" i="2"/>
  <c r="D253" i="2"/>
  <c r="B253" i="2"/>
  <c r="A253" i="2"/>
  <c r="E252" i="2"/>
  <c r="D252" i="2"/>
  <c r="B252" i="2"/>
  <c r="A252" i="2"/>
  <c r="E251" i="2"/>
  <c r="D251" i="2"/>
  <c r="B251" i="2"/>
  <c r="A251" i="2"/>
  <c r="E250" i="2"/>
  <c r="D250" i="2"/>
  <c r="B250" i="2"/>
  <c r="A250" i="2"/>
  <c r="E249" i="2"/>
  <c r="D249" i="2"/>
  <c r="B249" i="2"/>
  <c r="A249" i="2"/>
  <c r="E248" i="2"/>
  <c r="D248" i="2"/>
  <c r="B248" i="2"/>
  <c r="A248" i="2"/>
  <c r="E247" i="2"/>
  <c r="D247" i="2"/>
  <c r="B247" i="2"/>
  <c r="A247" i="2"/>
  <c r="E246" i="2"/>
  <c r="D246" i="2"/>
  <c r="B246" i="2"/>
  <c r="A246" i="2"/>
  <c r="E245" i="2"/>
  <c r="D245" i="2"/>
  <c r="B245" i="2"/>
  <c r="A245" i="2"/>
  <c r="E244" i="2"/>
  <c r="D244" i="2"/>
  <c r="B244" i="2"/>
  <c r="A244" i="2"/>
  <c r="E243" i="2"/>
  <c r="D243" i="2"/>
  <c r="B243" i="2"/>
  <c r="A243" i="2"/>
  <c r="E242" i="2"/>
  <c r="D242" i="2"/>
  <c r="B242" i="2"/>
  <c r="A242" i="2"/>
  <c r="E241" i="2"/>
  <c r="D241" i="2"/>
  <c r="B241" i="2"/>
  <c r="A241" i="2"/>
  <c r="E240" i="2"/>
  <c r="D240" i="2"/>
  <c r="B240" i="2"/>
  <c r="A240" i="2"/>
  <c r="E239" i="2"/>
  <c r="D239" i="2"/>
  <c r="B239" i="2"/>
  <c r="A239" i="2"/>
  <c r="E238" i="2"/>
  <c r="D238" i="2"/>
  <c r="B238" i="2"/>
  <c r="A238" i="2"/>
  <c r="E237" i="2"/>
  <c r="D237" i="2"/>
  <c r="B237" i="2"/>
  <c r="A237" i="2"/>
  <c r="E236" i="2"/>
  <c r="D236" i="2"/>
  <c r="B236" i="2"/>
  <c r="A236" i="2"/>
  <c r="E235" i="2"/>
  <c r="D235" i="2"/>
  <c r="B235" i="2"/>
  <c r="A235" i="2"/>
  <c r="E234" i="2"/>
  <c r="D234" i="2"/>
  <c r="B234" i="2"/>
  <c r="A234" i="2"/>
  <c r="E233" i="2"/>
  <c r="D233" i="2"/>
  <c r="B233" i="2"/>
  <c r="A233" i="2"/>
  <c r="E232" i="2"/>
  <c r="D232" i="2"/>
  <c r="B232" i="2"/>
  <c r="A232" i="2"/>
  <c r="E231" i="2"/>
  <c r="D231" i="2"/>
  <c r="B231" i="2"/>
  <c r="A231" i="2"/>
  <c r="E230" i="2"/>
  <c r="D230" i="2"/>
  <c r="B230" i="2"/>
  <c r="A230" i="2"/>
  <c r="E229" i="2"/>
  <c r="D229" i="2"/>
  <c r="B229" i="2"/>
  <c r="A229" i="2"/>
  <c r="E228" i="2"/>
  <c r="D228" i="2"/>
  <c r="B228" i="2"/>
  <c r="A228" i="2"/>
  <c r="E227" i="2"/>
  <c r="D227" i="2"/>
  <c r="B227" i="2"/>
  <c r="A227" i="2"/>
  <c r="E226" i="2"/>
  <c r="D226" i="2"/>
  <c r="B226" i="2"/>
  <c r="A226" i="2"/>
  <c r="E225" i="2"/>
  <c r="D225" i="2"/>
  <c r="B225" i="2"/>
  <c r="A225" i="2"/>
  <c r="E224" i="2"/>
  <c r="D224" i="2"/>
  <c r="B224" i="2"/>
  <c r="A224" i="2"/>
  <c r="E223" i="2"/>
  <c r="D223" i="2"/>
  <c r="B223" i="2"/>
  <c r="A223" i="2"/>
  <c r="E222" i="2"/>
  <c r="D222" i="2"/>
  <c r="B222" i="2"/>
  <c r="A222" i="2"/>
  <c r="E221" i="2"/>
  <c r="D221" i="2"/>
  <c r="B221" i="2"/>
  <c r="A221" i="2"/>
  <c r="E220" i="2"/>
  <c r="D220" i="2"/>
  <c r="B220" i="2"/>
  <c r="A220" i="2"/>
  <c r="E219" i="2"/>
  <c r="D219" i="2"/>
  <c r="B219" i="2"/>
  <c r="A219" i="2"/>
  <c r="E218" i="2"/>
  <c r="D218" i="2"/>
  <c r="B218" i="2"/>
  <c r="A218" i="2"/>
  <c r="E217" i="2"/>
  <c r="D217" i="2"/>
  <c r="B217" i="2"/>
  <c r="A217" i="2"/>
  <c r="E216" i="2"/>
  <c r="D216" i="2"/>
  <c r="B216" i="2"/>
  <c r="A216" i="2"/>
  <c r="E215" i="2"/>
  <c r="D215" i="2"/>
  <c r="B215" i="2"/>
  <c r="A215" i="2"/>
  <c r="E214" i="2"/>
  <c r="D214" i="2"/>
  <c r="B214" i="2"/>
  <c r="A214" i="2"/>
  <c r="E213" i="2"/>
  <c r="D213" i="2"/>
  <c r="B213" i="2"/>
  <c r="A213" i="2"/>
  <c r="E212" i="2"/>
  <c r="D212" i="2"/>
  <c r="B212" i="2"/>
  <c r="A212" i="2"/>
  <c r="E211" i="2"/>
  <c r="D211" i="2"/>
  <c r="B211" i="2"/>
  <c r="A211" i="2"/>
  <c r="E210" i="2"/>
  <c r="D210" i="2"/>
  <c r="B210" i="2"/>
  <c r="A210" i="2"/>
  <c r="E209" i="2"/>
  <c r="D209" i="2"/>
  <c r="B209" i="2"/>
  <c r="A209" i="2"/>
  <c r="E208" i="2"/>
  <c r="D208" i="2"/>
  <c r="B208" i="2"/>
  <c r="A208" i="2"/>
  <c r="E207" i="2"/>
  <c r="D207" i="2"/>
  <c r="B207" i="2"/>
  <c r="A207" i="2"/>
  <c r="E206" i="2"/>
  <c r="D206" i="2"/>
  <c r="B206" i="2"/>
  <c r="A206" i="2"/>
  <c r="E205" i="2"/>
  <c r="D205" i="2"/>
  <c r="B205" i="2"/>
  <c r="A205" i="2"/>
  <c r="E204" i="2"/>
  <c r="D204" i="2"/>
  <c r="B204" i="2"/>
  <c r="A204" i="2"/>
  <c r="E203" i="2"/>
  <c r="D203" i="2"/>
  <c r="B203" i="2"/>
  <c r="A203" i="2"/>
  <c r="E202" i="2"/>
  <c r="D202" i="2"/>
  <c r="B202" i="2"/>
  <c r="A202" i="2"/>
  <c r="E201" i="2"/>
  <c r="D201" i="2"/>
  <c r="B201" i="2"/>
  <c r="A201" i="2"/>
  <c r="E200" i="2"/>
  <c r="D200" i="2"/>
  <c r="B200" i="2"/>
  <c r="A200" i="2"/>
  <c r="E199" i="2"/>
  <c r="D199" i="2"/>
  <c r="B199" i="2"/>
  <c r="A199" i="2"/>
  <c r="E198" i="2"/>
  <c r="D198" i="2"/>
  <c r="B198" i="2"/>
  <c r="A198" i="2"/>
  <c r="E197" i="2"/>
  <c r="D197" i="2"/>
  <c r="B197" i="2"/>
  <c r="A197" i="2"/>
  <c r="E196" i="2"/>
  <c r="D196" i="2"/>
  <c r="B196" i="2"/>
  <c r="A196" i="2"/>
  <c r="E195" i="2"/>
  <c r="D195" i="2"/>
  <c r="B195" i="2"/>
  <c r="A195" i="2"/>
  <c r="E194" i="2"/>
  <c r="D194" i="2"/>
  <c r="B194" i="2"/>
  <c r="A194" i="2"/>
  <c r="E193" i="2"/>
  <c r="D193" i="2"/>
  <c r="B193" i="2"/>
  <c r="A193" i="2"/>
  <c r="E192" i="2"/>
  <c r="D192" i="2"/>
  <c r="B192" i="2"/>
  <c r="A192" i="2"/>
  <c r="E191" i="2"/>
  <c r="D191" i="2"/>
  <c r="B191" i="2"/>
  <c r="A191" i="2"/>
  <c r="E190" i="2"/>
  <c r="D190" i="2"/>
  <c r="B190" i="2"/>
  <c r="A190" i="2"/>
  <c r="E189" i="2"/>
  <c r="D189" i="2"/>
  <c r="B189" i="2"/>
  <c r="A189" i="2"/>
  <c r="E188" i="2"/>
  <c r="D188" i="2"/>
  <c r="B188" i="2"/>
  <c r="A188" i="2"/>
  <c r="E187" i="2"/>
  <c r="D187" i="2"/>
  <c r="B187" i="2"/>
  <c r="A187" i="2"/>
  <c r="E186" i="2"/>
  <c r="D186" i="2"/>
  <c r="B186" i="2"/>
  <c r="A186" i="2"/>
  <c r="E185" i="2"/>
  <c r="D185" i="2"/>
  <c r="B185" i="2"/>
  <c r="A185" i="2"/>
  <c r="E184" i="2"/>
  <c r="D184" i="2"/>
  <c r="B184" i="2"/>
  <c r="A184" i="2"/>
  <c r="E183" i="2"/>
  <c r="D183" i="2"/>
  <c r="B183" i="2"/>
  <c r="A183" i="2"/>
  <c r="E182" i="2"/>
  <c r="D182" i="2"/>
  <c r="B182" i="2"/>
  <c r="A182" i="2"/>
  <c r="E181" i="2"/>
  <c r="D181" i="2"/>
  <c r="B181" i="2"/>
  <c r="A181" i="2"/>
  <c r="E180" i="2"/>
  <c r="D180" i="2"/>
  <c r="B180" i="2"/>
  <c r="A180" i="2"/>
  <c r="E179" i="2"/>
  <c r="D179" i="2"/>
  <c r="B179" i="2"/>
  <c r="A179" i="2"/>
  <c r="E178" i="2"/>
  <c r="D178" i="2"/>
  <c r="B178" i="2"/>
  <c r="A178" i="2"/>
  <c r="E177" i="2"/>
  <c r="D177" i="2"/>
  <c r="B177" i="2"/>
  <c r="A177" i="2"/>
  <c r="E176" i="2"/>
  <c r="D176" i="2"/>
  <c r="B176" i="2"/>
  <c r="A176" i="2"/>
  <c r="E175" i="2"/>
  <c r="D175" i="2"/>
  <c r="B175" i="2"/>
  <c r="A175" i="2"/>
  <c r="E174" i="2"/>
  <c r="D174" i="2"/>
  <c r="B174" i="2"/>
  <c r="A174" i="2"/>
  <c r="E173" i="2"/>
  <c r="D173" i="2"/>
  <c r="B173" i="2"/>
  <c r="A173" i="2"/>
  <c r="E172" i="2"/>
  <c r="D172" i="2"/>
  <c r="B172" i="2"/>
  <c r="A172" i="2"/>
  <c r="E171" i="2"/>
  <c r="D171" i="2"/>
  <c r="B171" i="2"/>
  <c r="A171" i="2"/>
  <c r="E170" i="2"/>
  <c r="D170" i="2"/>
  <c r="B170" i="2"/>
  <c r="A170" i="2"/>
  <c r="E169" i="2"/>
  <c r="D169" i="2"/>
  <c r="B169" i="2"/>
  <c r="A169" i="2"/>
  <c r="E168" i="2"/>
  <c r="D168" i="2"/>
  <c r="B168" i="2"/>
  <c r="A168" i="2"/>
  <c r="E167" i="2"/>
  <c r="D167" i="2"/>
  <c r="B167" i="2"/>
  <c r="A167" i="2"/>
  <c r="E166" i="2"/>
  <c r="D166" i="2"/>
  <c r="B166" i="2"/>
  <c r="A166" i="2"/>
  <c r="E165" i="2"/>
  <c r="D165" i="2"/>
  <c r="B165" i="2"/>
  <c r="A165" i="2"/>
  <c r="E164" i="2"/>
  <c r="D164" i="2"/>
  <c r="B164" i="2"/>
  <c r="A164" i="2"/>
  <c r="E163" i="2"/>
  <c r="D163" i="2"/>
  <c r="B163" i="2"/>
  <c r="A163" i="2"/>
  <c r="E162" i="2"/>
  <c r="D162" i="2"/>
  <c r="B162" i="2"/>
  <c r="A162" i="2"/>
  <c r="E161" i="2"/>
  <c r="D161" i="2"/>
  <c r="B161" i="2"/>
  <c r="A161" i="2"/>
  <c r="E160" i="2"/>
  <c r="D160" i="2"/>
  <c r="B160" i="2"/>
  <c r="A160" i="2"/>
  <c r="E159" i="2"/>
  <c r="D159" i="2"/>
  <c r="B159" i="2"/>
  <c r="A159" i="2"/>
  <c r="E158" i="2"/>
  <c r="D158" i="2"/>
  <c r="B158" i="2"/>
  <c r="A158" i="2"/>
  <c r="E157" i="2"/>
  <c r="D157" i="2"/>
  <c r="B157" i="2"/>
  <c r="A157" i="2"/>
  <c r="E156" i="2"/>
  <c r="D156" i="2"/>
  <c r="B156" i="2"/>
  <c r="A156" i="2"/>
  <c r="E155" i="2"/>
  <c r="D155" i="2"/>
  <c r="B155" i="2"/>
  <c r="A155" i="2"/>
  <c r="E154" i="2"/>
  <c r="D154" i="2"/>
  <c r="B154" i="2"/>
  <c r="A154" i="2"/>
  <c r="E153" i="2"/>
  <c r="D153" i="2"/>
  <c r="B153" i="2"/>
  <c r="A153" i="2"/>
  <c r="E152" i="2"/>
  <c r="D152" i="2"/>
  <c r="B152" i="2"/>
  <c r="A152" i="2"/>
  <c r="E151" i="2"/>
  <c r="D151" i="2"/>
  <c r="B151" i="2"/>
  <c r="A151" i="2"/>
  <c r="E150" i="2"/>
  <c r="D150" i="2"/>
  <c r="B150" i="2"/>
  <c r="A150" i="2"/>
  <c r="E149" i="2"/>
  <c r="D149" i="2"/>
  <c r="B149" i="2"/>
  <c r="A149" i="2"/>
  <c r="E148" i="2"/>
  <c r="D148" i="2"/>
  <c r="B148" i="2"/>
  <c r="A148" i="2"/>
  <c r="E147" i="2"/>
  <c r="D147" i="2"/>
  <c r="B147" i="2"/>
  <c r="A147" i="2"/>
  <c r="E146" i="2"/>
  <c r="D146" i="2"/>
  <c r="B146" i="2"/>
  <c r="A146" i="2"/>
  <c r="E145" i="2"/>
  <c r="D145" i="2"/>
  <c r="B145" i="2"/>
  <c r="A145" i="2"/>
  <c r="E144" i="2"/>
  <c r="D144" i="2"/>
  <c r="B144" i="2"/>
  <c r="A144" i="2"/>
  <c r="E143" i="2"/>
  <c r="D143" i="2"/>
  <c r="B143" i="2"/>
  <c r="A143" i="2"/>
  <c r="E142" i="2"/>
  <c r="D142" i="2"/>
  <c r="B142" i="2"/>
  <c r="A142" i="2"/>
  <c r="E141" i="2"/>
  <c r="D141" i="2"/>
  <c r="B141" i="2"/>
  <c r="A141" i="2"/>
  <c r="E140" i="2"/>
  <c r="D140" i="2"/>
  <c r="B140" i="2"/>
  <c r="A140" i="2"/>
  <c r="E139" i="2"/>
  <c r="D139" i="2"/>
  <c r="B139" i="2"/>
  <c r="A139" i="2"/>
  <c r="E138" i="2"/>
  <c r="D138" i="2"/>
  <c r="B138" i="2"/>
  <c r="A138" i="2"/>
  <c r="E137" i="2"/>
  <c r="D137" i="2"/>
  <c r="B137" i="2"/>
  <c r="A137" i="2"/>
  <c r="E136" i="2"/>
  <c r="D136" i="2"/>
  <c r="B136" i="2"/>
  <c r="A136" i="2"/>
  <c r="E135" i="2"/>
  <c r="D135" i="2"/>
  <c r="B135" i="2"/>
  <c r="A135" i="2"/>
  <c r="E134" i="2"/>
  <c r="D134" i="2"/>
  <c r="B134" i="2"/>
  <c r="A134" i="2"/>
  <c r="E133" i="2"/>
  <c r="D133" i="2"/>
  <c r="B133" i="2"/>
  <c r="A133" i="2"/>
  <c r="E132" i="2"/>
  <c r="D132" i="2"/>
  <c r="B132" i="2"/>
  <c r="A132" i="2"/>
  <c r="E131" i="2"/>
  <c r="D131" i="2"/>
  <c r="B131" i="2"/>
  <c r="A131" i="2"/>
  <c r="E130" i="2"/>
  <c r="D130" i="2"/>
  <c r="B130" i="2"/>
  <c r="A130" i="2"/>
  <c r="E129" i="2"/>
  <c r="D129" i="2"/>
  <c r="B129" i="2"/>
  <c r="A129" i="2"/>
  <c r="E128" i="2"/>
  <c r="D128" i="2"/>
  <c r="B128" i="2"/>
  <c r="A128" i="2"/>
  <c r="E127" i="2"/>
  <c r="D127" i="2"/>
  <c r="B127" i="2"/>
  <c r="A127" i="2"/>
  <c r="E126" i="2"/>
  <c r="D126" i="2"/>
  <c r="B126" i="2"/>
  <c r="A126" i="2"/>
  <c r="E125" i="2"/>
  <c r="D125" i="2"/>
  <c r="B125" i="2"/>
  <c r="A125" i="2"/>
  <c r="E124" i="2"/>
  <c r="D124" i="2"/>
  <c r="B124" i="2"/>
  <c r="A124" i="2"/>
  <c r="E123" i="2"/>
  <c r="D123" i="2"/>
  <c r="B123" i="2"/>
  <c r="A123" i="2"/>
  <c r="E122" i="2"/>
  <c r="D122" i="2"/>
  <c r="B122" i="2"/>
  <c r="A122" i="2"/>
  <c r="E121" i="2"/>
  <c r="D121" i="2"/>
  <c r="B121" i="2"/>
  <c r="A121" i="2"/>
  <c r="E120" i="2"/>
  <c r="D120" i="2"/>
  <c r="B120" i="2"/>
  <c r="A120" i="2"/>
  <c r="E119" i="2"/>
  <c r="D119" i="2"/>
  <c r="B119" i="2"/>
  <c r="A119" i="2"/>
  <c r="E118" i="2"/>
  <c r="D118" i="2"/>
  <c r="B118" i="2"/>
  <c r="A118" i="2"/>
  <c r="E117" i="2"/>
  <c r="D117" i="2"/>
  <c r="B117" i="2"/>
  <c r="A117" i="2"/>
  <c r="E116" i="2"/>
  <c r="D116" i="2"/>
  <c r="B116" i="2"/>
  <c r="A116" i="2"/>
  <c r="E115" i="2"/>
  <c r="D115" i="2"/>
  <c r="B115" i="2"/>
  <c r="A115" i="2"/>
  <c r="E114" i="2"/>
  <c r="D114" i="2"/>
  <c r="B114" i="2"/>
  <c r="A114" i="2"/>
  <c r="E113" i="2"/>
  <c r="D113" i="2"/>
  <c r="B113" i="2"/>
  <c r="A113" i="2"/>
  <c r="E112" i="2"/>
  <c r="D112" i="2"/>
  <c r="B112" i="2"/>
  <c r="A112" i="2"/>
  <c r="E111" i="2"/>
  <c r="D111" i="2"/>
  <c r="B111" i="2"/>
  <c r="A111" i="2"/>
  <c r="E110" i="2"/>
  <c r="D110" i="2"/>
  <c r="B110" i="2"/>
  <c r="A110" i="2"/>
  <c r="E109" i="2"/>
  <c r="D109" i="2"/>
  <c r="B109" i="2"/>
  <c r="A109" i="2"/>
  <c r="E108" i="2"/>
  <c r="D108" i="2"/>
  <c r="B108" i="2"/>
  <c r="A108" i="2"/>
  <c r="E107" i="2"/>
  <c r="D107" i="2"/>
  <c r="B107" i="2"/>
  <c r="A107" i="2"/>
  <c r="E106" i="2"/>
  <c r="D106" i="2"/>
  <c r="B106" i="2"/>
  <c r="A106" i="2"/>
  <c r="E105" i="2"/>
  <c r="D105" i="2"/>
  <c r="B105" i="2"/>
  <c r="A105" i="2"/>
  <c r="E104" i="2"/>
  <c r="D104" i="2"/>
  <c r="B104" i="2"/>
  <c r="A104" i="2"/>
  <c r="E103" i="2"/>
  <c r="D103" i="2"/>
  <c r="B103" i="2"/>
  <c r="A103" i="2"/>
  <c r="E102" i="2"/>
  <c r="D102" i="2"/>
  <c r="B102" i="2"/>
  <c r="A102" i="2"/>
  <c r="E101" i="2"/>
  <c r="D101" i="2"/>
  <c r="B101" i="2"/>
  <c r="A101" i="2"/>
  <c r="E100" i="2"/>
  <c r="D100" i="2"/>
  <c r="B100" i="2"/>
  <c r="A100" i="2"/>
  <c r="E99" i="2"/>
  <c r="D99" i="2"/>
  <c r="B99" i="2"/>
  <c r="A99" i="2"/>
  <c r="E98" i="2"/>
  <c r="D98" i="2"/>
  <c r="B98" i="2"/>
  <c r="A98" i="2"/>
  <c r="E97" i="2"/>
  <c r="D97" i="2"/>
  <c r="B97" i="2"/>
  <c r="A97" i="2"/>
  <c r="E96" i="2"/>
  <c r="D96" i="2"/>
  <c r="B96" i="2"/>
  <c r="A96" i="2"/>
  <c r="E95" i="2"/>
  <c r="D95" i="2"/>
  <c r="B95" i="2"/>
  <c r="A95" i="2"/>
  <c r="E94" i="2"/>
  <c r="D94" i="2"/>
  <c r="B94" i="2"/>
  <c r="A94" i="2"/>
  <c r="E93" i="2"/>
  <c r="D93" i="2"/>
  <c r="B93" i="2"/>
  <c r="A93" i="2"/>
  <c r="E92" i="2"/>
  <c r="D92" i="2"/>
  <c r="B92" i="2"/>
  <c r="A92" i="2"/>
  <c r="E91" i="2"/>
  <c r="D91" i="2"/>
  <c r="B91" i="2"/>
  <c r="A91" i="2"/>
  <c r="E90" i="2"/>
  <c r="D90" i="2"/>
  <c r="B90" i="2"/>
  <c r="A90" i="2"/>
  <c r="E89" i="2"/>
  <c r="D89" i="2"/>
  <c r="B89" i="2"/>
  <c r="A89" i="2"/>
  <c r="E88" i="2"/>
  <c r="D88" i="2"/>
  <c r="B88" i="2"/>
  <c r="A88" i="2"/>
  <c r="E87" i="2"/>
  <c r="D87" i="2"/>
  <c r="B87" i="2"/>
  <c r="A87" i="2"/>
  <c r="E86" i="2"/>
  <c r="D86" i="2"/>
  <c r="B86" i="2"/>
  <c r="A86" i="2"/>
  <c r="E85" i="2"/>
  <c r="D85" i="2"/>
  <c r="B85" i="2"/>
  <c r="A85" i="2"/>
  <c r="E84" i="2"/>
  <c r="D84" i="2"/>
  <c r="B84" i="2"/>
  <c r="A84" i="2"/>
  <c r="E83" i="2"/>
  <c r="D83" i="2"/>
  <c r="B83" i="2"/>
  <c r="A83" i="2"/>
  <c r="E82" i="2"/>
  <c r="D82" i="2"/>
  <c r="B82" i="2"/>
  <c r="A82" i="2"/>
  <c r="E81" i="2"/>
  <c r="D81" i="2"/>
  <c r="B81" i="2"/>
  <c r="A81" i="2"/>
  <c r="E80" i="2"/>
  <c r="D80" i="2"/>
  <c r="B80" i="2"/>
  <c r="A80" i="2"/>
  <c r="E79" i="2"/>
  <c r="D79" i="2"/>
  <c r="B79" i="2"/>
  <c r="A79" i="2"/>
  <c r="E78" i="2"/>
  <c r="D78" i="2"/>
  <c r="B78" i="2"/>
  <c r="A78" i="2"/>
  <c r="E77" i="2"/>
  <c r="D77" i="2"/>
  <c r="B77" i="2"/>
  <c r="A77" i="2"/>
  <c r="E76" i="2"/>
  <c r="D76" i="2"/>
  <c r="B76" i="2"/>
  <c r="A76" i="2"/>
  <c r="E75" i="2"/>
  <c r="D75" i="2"/>
  <c r="B75" i="2"/>
  <c r="A75" i="2"/>
  <c r="E74" i="2"/>
  <c r="D74" i="2"/>
  <c r="B74" i="2"/>
  <c r="A74" i="2"/>
  <c r="E73" i="2"/>
  <c r="D73" i="2"/>
  <c r="B73" i="2"/>
  <c r="A73" i="2"/>
  <c r="E72" i="2"/>
  <c r="D72" i="2"/>
  <c r="B72" i="2"/>
  <c r="A72" i="2"/>
  <c r="E71" i="2"/>
  <c r="D71" i="2"/>
  <c r="B71" i="2"/>
  <c r="A71" i="2"/>
  <c r="E70" i="2"/>
  <c r="D70" i="2"/>
  <c r="B70" i="2"/>
  <c r="A70" i="2"/>
  <c r="E69" i="2"/>
  <c r="D69" i="2"/>
  <c r="B69" i="2"/>
  <c r="A69" i="2"/>
  <c r="E68" i="2"/>
  <c r="D68" i="2"/>
  <c r="B68" i="2"/>
  <c r="A68" i="2"/>
  <c r="E67" i="2"/>
  <c r="D67" i="2"/>
  <c r="B67" i="2"/>
  <c r="A67" i="2"/>
  <c r="E66" i="2"/>
  <c r="D66" i="2"/>
  <c r="B66" i="2"/>
  <c r="A66" i="2"/>
  <c r="E65" i="2"/>
  <c r="D65" i="2"/>
  <c r="B65" i="2"/>
  <c r="A65" i="2"/>
  <c r="E64" i="2"/>
  <c r="D64" i="2"/>
  <c r="B64" i="2"/>
  <c r="A64" i="2"/>
  <c r="E63" i="2"/>
  <c r="D63" i="2"/>
  <c r="B63" i="2"/>
  <c r="A63" i="2"/>
  <c r="E62" i="2"/>
  <c r="D62" i="2"/>
  <c r="B62" i="2"/>
  <c r="A62" i="2"/>
  <c r="E61" i="2"/>
  <c r="D61" i="2"/>
  <c r="B61" i="2"/>
  <c r="A61" i="2"/>
  <c r="E60" i="2"/>
  <c r="D60" i="2"/>
  <c r="B60" i="2"/>
  <c r="A60" i="2"/>
  <c r="E59" i="2"/>
  <c r="D59" i="2"/>
  <c r="B59" i="2"/>
  <c r="A59" i="2"/>
  <c r="E58" i="2"/>
  <c r="D58" i="2"/>
  <c r="B58" i="2"/>
  <c r="A58" i="2"/>
  <c r="E57" i="2"/>
  <c r="D57" i="2"/>
  <c r="B57" i="2"/>
  <c r="A57" i="2"/>
  <c r="E56" i="2"/>
  <c r="D56" i="2"/>
  <c r="B56" i="2"/>
  <c r="A56" i="2"/>
  <c r="E55" i="2"/>
  <c r="D55" i="2"/>
  <c r="B55" i="2"/>
  <c r="A55" i="2"/>
  <c r="E54" i="2"/>
  <c r="D54" i="2"/>
  <c r="B54" i="2"/>
  <c r="A54" i="2"/>
  <c r="E53" i="2"/>
  <c r="D53" i="2"/>
  <c r="B53" i="2"/>
  <c r="A53" i="2"/>
  <c r="E52" i="2"/>
  <c r="D52" i="2"/>
  <c r="B52" i="2"/>
  <c r="A52" i="2"/>
  <c r="E51" i="2"/>
  <c r="D51" i="2"/>
  <c r="B51" i="2"/>
  <c r="A51" i="2"/>
  <c r="E50" i="2"/>
  <c r="D50" i="2"/>
  <c r="B50" i="2"/>
  <c r="A50" i="2"/>
  <c r="E49" i="2"/>
  <c r="D49" i="2"/>
  <c r="B49" i="2"/>
  <c r="A49" i="2"/>
  <c r="E48" i="2"/>
  <c r="D48" i="2"/>
  <c r="B48" i="2"/>
  <c r="A48" i="2"/>
  <c r="E47" i="2"/>
  <c r="D47" i="2"/>
  <c r="B47" i="2"/>
  <c r="A47" i="2"/>
  <c r="E46" i="2"/>
  <c r="D46" i="2"/>
  <c r="B46" i="2"/>
  <c r="A46" i="2"/>
  <c r="E45" i="2"/>
  <c r="D45" i="2"/>
  <c r="B45" i="2"/>
  <c r="A45" i="2"/>
  <c r="E44" i="2"/>
  <c r="D44" i="2"/>
  <c r="B44" i="2"/>
  <c r="A44" i="2"/>
  <c r="E43" i="2"/>
  <c r="D43" i="2"/>
  <c r="B43" i="2"/>
  <c r="A43" i="2"/>
  <c r="E42" i="2"/>
  <c r="D42" i="2"/>
  <c r="B42" i="2"/>
  <c r="A42" i="2"/>
  <c r="E41" i="2"/>
  <c r="D41" i="2"/>
  <c r="B41" i="2"/>
  <c r="A41" i="2"/>
  <c r="E40" i="2"/>
  <c r="D40" i="2"/>
  <c r="B40" i="2"/>
  <c r="A40" i="2"/>
  <c r="E39" i="2"/>
  <c r="D39" i="2"/>
  <c r="B39" i="2"/>
  <c r="A39" i="2"/>
  <c r="E38" i="2"/>
  <c r="D38" i="2"/>
  <c r="B38" i="2"/>
  <c r="A38" i="2"/>
  <c r="E37" i="2"/>
  <c r="D37" i="2"/>
  <c r="B37" i="2"/>
  <c r="A37" i="2"/>
  <c r="E36" i="2"/>
  <c r="D36" i="2"/>
  <c r="B36" i="2"/>
  <c r="A36" i="2"/>
  <c r="E35" i="2"/>
  <c r="D35" i="2"/>
  <c r="B35" i="2"/>
  <c r="A35" i="2"/>
  <c r="E34" i="2"/>
  <c r="D34" i="2"/>
  <c r="B34" i="2"/>
  <c r="A34" i="2"/>
  <c r="E33" i="2"/>
  <c r="D33" i="2"/>
  <c r="B33" i="2"/>
  <c r="A33" i="2"/>
  <c r="E32" i="2"/>
  <c r="D32" i="2"/>
  <c r="B32" i="2"/>
  <c r="A32" i="2"/>
  <c r="E31" i="2"/>
  <c r="D31" i="2"/>
  <c r="B31" i="2"/>
  <c r="A31" i="2"/>
  <c r="E30" i="2"/>
  <c r="D30" i="2"/>
  <c r="B30" i="2"/>
  <c r="A30" i="2"/>
  <c r="E29" i="2"/>
  <c r="D29" i="2"/>
  <c r="B29" i="2"/>
  <c r="A29" i="2"/>
  <c r="E28" i="2"/>
  <c r="D28" i="2"/>
  <c r="B28" i="2"/>
  <c r="A28" i="2"/>
  <c r="E27" i="2"/>
  <c r="D27" i="2"/>
  <c r="B27" i="2"/>
  <c r="A27" i="2"/>
  <c r="E26" i="2"/>
  <c r="D26" i="2"/>
  <c r="B26" i="2"/>
  <c r="A26" i="2"/>
  <c r="E25" i="2"/>
  <c r="D25" i="2"/>
  <c r="B25" i="2"/>
  <c r="A25" i="2"/>
  <c r="E24" i="2"/>
  <c r="D24" i="2"/>
  <c r="B24" i="2"/>
  <c r="A24" i="2"/>
  <c r="E23" i="2"/>
  <c r="D23" i="2"/>
  <c r="B23" i="2"/>
  <c r="A23" i="2"/>
  <c r="E22" i="2"/>
  <c r="D22" i="2"/>
  <c r="B22" i="2"/>
  <c r="A22" i="2"/>
  <c r="E21" i="2"/>
  <c r="D21" i="2"/>
  <c r="B21" i="2"/>
  <c r="A21" i="2"/>
  <c r="E20" i="2"/>
  <c r="D20" i="2"/>
  <c r="B20" i="2"/>
  <c r="A20" i="2"/>
  <c r="E19" i="2"/>
  <c r="D19" i="2"/>
  <c r="B19" i="2"/>
  <c r="A19" i="2"/>
  <c r="E18" i="2"/>
  <c r="D18" i="2"/>
  <c r="B18" i="2"/>
  <c r="A18" i="2"/>
  <c r="E17" i="2"/>
  <c r="D17" i="2"/>
  <c r="B17" i="2"/>
  <c r="A17" i="2"/>
  <c r="E16" i="2"/>
  <c r="D16" i="2"/>
  <c r="B16" i="2"/>
  <c r="A16" i="2"/>
  <c r="E15" i="2"/>
  <c r="D15" i="2"/>
  <c r="B15" i="2"/>
  <c r="A15" i="2"/>
  <c r="E14" i="2"/>
  <c r="D14" i="2"/>
  <c r="B14" i="2"/>
  <c r="A14" i="2"/>
  <c r="E13" i="2"/>
  <c r="D13" i="2"/>
  <c r="B13" i="2"/>
  <c r="A13" i="2"/>
  <c r="E12" i="2"/>
  <c r="D12" i="2"/>
  <c r="B12" i="2"/>
  <c r="B4" i="2" s="1"/>
  <c r="A12" i="2"/>
  <c r="A4" i="2" s="1"/>
  <c r="E11" i="2"/>
  <c r="E4" i="2" s="1"/>
  <c r="D11" i="2"/>
  <c r="D4" i="2" s="1"/>
  <c r="B11" i="2"/>
  <c r="A11" i="2"/>
  <c r="E10" i="2"/>
  <c r="D10" i="2"/>
  <c r="A5" i="2"/>
  <c r="E2" i="2"/>
  <c r="D2" i="2"/>
  <c r="E299" i="3"/>
  <c r="D299" i="3"/>
  <c r="B299" i="3"/>
  <c r="A299" i="3"/>
  <c r="E298" i="3"/>
  <c r="D298" i="3"/>
  <c r="B298" i="3"/>
  <c r="A298" i="3"/>
  <c r="E297" i="3"/>
  <c r="D297" i="3"/>
  <c r="B297" i="3"/>
  <c r="A297" i="3"/>
  <c r="E296" i="3"/>
  <c r="D296" i="3"/>
  <c r="B296" i="3"/>
  <c r="A296" i="3"/>
  <c r="E295" i="3"/>
  <c r="D295" i="3"/>
  <c r="B295" i="3"/>
  <c r="A295" i="3"/>
  <c r="E294" i="3"/>
  <c r="D294" i="3"/>
  <c r="B294" i="3"/>
  <c r="A294" i="3"/>
  <c r="E293" i="3"/>
  <c r="D293" i="3"/>
  <c r="B293" i="3"/>
  <c r="A293" i="3"/>
  <c r="E292" i="3"/>
  <c r="D292" i="3"/>
  <c r="B292" i="3"/>
  <c r="A292" i="3"/>
  <c r="E291" i="3"/>
  <c r="D291" i="3"/>
  <c r="B291" i="3"/>
  <c r="A291" i="3"/>
  <c r="E290" i="3"/>
  <c r="D290" i="3"/>
  <c r="B290" i="3"/>
  <c r="A290" i="3"/>
  <c r="E289" i="3"/>
  <c r="D289" i="3"/>
  <c r="B289" i="3"/>
  <c r="A289" i="3"/>
  <c r="E288" i="3"/>
  <c r="D288" i="3"/>
  <c r="B288" i="3"/>
  <c r="A288" i="3"/>
  <c r="E287" i="3"/>
  <c r="D287" i="3"/>
  <c r="B287" i="3"/>
  <c r="A287" i="3"/>
  <c r="E286" i="3"/>
  <c r="D286" i="3"/>
  <c r="B286" i="3"/>
  <c r="A286" i="3"/>
  <c r="E285" i="3"/>
  <c r="D285" i="3"/>
  <c r="B285" i="3"/>
  <c r="A285" i="3"/>
  <c r="E284" i="3"/>
  <c r="D284" i="3"/>
  <c r="B284" i="3"/>
  <c r="A284" i="3"/>
  <c r="E283" i="3"/>
  <c r="D283" i="3"/>
  <c r="B283" i="3"/>
  <c r="A283" i="3"/>
  <c r="E282" i="3"/>
  <c r="D282" i="3"/>
  <c r="B282" i="3"/>
  <c r="A282" i="3"/>
  <c r="E281" i="3"/>
  <c r="D281" i="3"/>
  <c r="B281" i="3"/>
  <c r="A281" i="3"/>
  <c r="E280" i="3"/>
  <c r="D280" i="3"/>
  <c r="B280" i="3"/>
  <c r="A280" i="3"/>
  <c r="E279" i="3"/>
  <c r="D279" i="3"/>
  <c r="B279" i="3"/>
  <c r="A279" i="3"/>
  <c r="E278" i="3"/>
  <c r="D278" i="3"/>
  <c r="B278" i="3"/>
  <c r="A278" i="3"/>
  <c r="E277" i="3"/>
  <c r="D277" i="3"/>
  <c r="B277" i="3"/>
  <c r="A277" i="3"/>
  <c r="E276" i="3"/>
  <c r="D276" i="3"/>
  <c r="B276" i="3"/>
  <c r="A276" i="3"/>
  <c r="E275" i="3"/>
  <c r="D275" i="3"/>
  <c r="B275" i="3"/>
  <c r="A275" i="3"/>
  <c r="E274" i="3"/>
  <c r="D274" i="3"/>
  <c r="B274" i="3"/>
  <c r="A274" i="3"/>
  <c r="E273" i="3"/>
  <c r="D273" i="3"/>
  <c r="B273" i="3"/>
  <c r="A273" i="3"/>
  <c r="E272" i="3"/>
  <c r="D272" i="3"/>
  <c r="B272" i="3"/>
  <c r="A272" i="3"/>
  <c r="E271" i="3"/>
  <c r="D271" i="3"/>
  <c r="B271" i="3"/>
  <c r="A271" i="3"/>
  <c r="E270" i="3"/>
  <c r="D270" i="3"/>
  <c r="B270" i="3"/>
  <c r="A270" i="3"/>
  <c r="E269" i="3"/>
  <c r="D269" i="3"/>
  <c r="B269" i="3"/>
  <c r="A269" i="3"/>
  <c r="E268" i="3"/>
  <c r="D268" i="3"/>
  <c r="B268" i="3"/>
  <c r="A268" i="3"/>
  <c r="E267" i="3"/>
  <c r="D267" i="3"/>
  <c r="B267" i="3"/>
  <c r="A267" i="3"/>
  <c r="E266" i="3"/>
  <c r="D266" i="3"/>
  <c r="B266" i="3"/>
  <c r="A266" i="3"/>
  <c r="E265" i="3"/>
  <c r="D265" i="3"/>
  <c r="B265" i="3"/>
  <c r="A265" i="3"/>
  <c r="E264" i="3"/>
  <c r="D264" i="3"/>
  <c r="B264" i="3"/>
  <c r="A264" i="3"/>
  <c r="E263" i="3"/>
  <c r="D263" i="3"/>
  <c r="B263" i="3"/>
  <c r="A263" i="3"/>
  <c r="E262" i="3"/>
  <c r="D262" i="3"/>
  <c r="B262" i="3"/>
  <c r="A262" i="3"/>
  <c r="E261" i="3"/>
  <c r="D261" i="3"/>
  <c r="B261" i="3"/>
  <c r="A261" i="3"/>
  <c r="E260" i="3"/>
  <c r="D260" i="3"/>
  <c r="B260" i="3"/>
  <c r="A260" i="3"/>
  <c r="E259" i="3"/>
  <c r="D259" i="3"/>
  <c r="B259" i="3"/>
  <c r="A259" i="3"/>
  <c r="E258" i="3"/>
  <c r="D258" i="3"/>
  <c r="B258" i="3"/>
  <c r="A258" i="3"/>
  <c r="E257" i="3"/>
  <c r="D257" i="3"/>
  <c r="B257" i="3"/>
  <c r="A257" i="3"/>
  <c r="E256" i="3"/>
  <c r="D256" i="3"/>
  <c r="B256" i="3"/>
  <c r="A256" i="3"/>
  <c r="E255" i="3"/>
  <c r="D255" i="3"/>
  <c r="B255" i="3"/>
  <c r="A255" i="3"/>
  <c r="E254" i="3"/>
  <c r="D254" i="3"/>
  <c r="B254" i="3"/>
  <c r="A254" i="3"/>
  <c r="E253" i="3"/>
  <c r="D253" i="3"/>
  <c r="B253" i="3"/>
  <c r="A253" i="3"/>
  <c r="E252" i="3"/>
  <c r="D252" i="3"/>
  <c r="B252" i="3"/>
  <c r="A252" i="3"/>
  <c r="E251" i="3"/>
  <c r="D251" i="3"/>
  <c r="B251" i="3"/>
  <c r="A251" i="3"/>
  <c r="E250" i="3"/>
  <c r="D250" i="3"/>
  <c r="B250" i="3"/>
  <c r="A250" i="3"/>
  <c r="E249" i="3"/>
  <c r="D249" i="3"/>
  <c r="B249" i="3"/>
  <c r="A249" i="3"/>
  <c r="E248" i="3"/>
  <c r="D248" i="3"/>
  <c r="B248" i="3"/>
  <c r="A248" i="3"/>
  <c r="E247" i="3"/>
  <c r="D247" i="3"/>
  <c r="B247" i="3"/>
  <c r="A247" i="3"/>
  <c r="E246" i="3"/>
  <c r="D246" i="3"/>
  <c r="B246" i="3"/>
  <c r="A246" i="3"/>
  <c r="E245" i="3"/>
  <c r="D245" i="3"/>
  <c r="B245" i="3"/>
  <c r="A245" i="3"/>
  <c r="E244" i="3"/>
  <c r="D244" i="3"/>
  <c r="B244" i="3"/>
  <c r="A244" i="3"/>
  <c r="E243" i="3"/>
  <c r="D243" i="3"/>
  <c r="B243" i="3"/>
  <c r="A243" i="3"/>
  <c r="E242" i="3"/>
  <c r="D242" i="3"/>
  <c r="B242" i="3"/>
  <c r="A242" i="3"/>
  <c r="E241" i="3"/>
  <c r="D241" i="3"/>
  <c r="B241" i="3"/>
  <c r="A241" i="3"/>
  <c r="E240" i="3"/>
  <c r="D240" i="3"/>
  <c r="B240" i="3"/>
  <c r="A240" i="3"/>
  <c r="E239" i="3"/>
  <c r="D239" i="3"/>
  <c r="B239" i="3"/>
  <c r="A239" i="3"/>
  <c r="E238" i="3"/>
  <c r="D238" i="3"/>
  <c r="B238" i="3"/>
  <c r="A238" i="3"/>
  <c r="E237" i="3"/>
  <c r="D237" i="3"/>
  <c r="B237" i="3"/>
  <c r="A237" i="3"/>
  <c r="E236" i="3"/>
  <c r="D236" i="3"/>
  <c r="B236" i="3"/>
  <c r="A236" i="3"/>
  <c r="E235" i="3"/>
  <c r="D235" i="3"/>
  <c r="B235" i="3"/>
  <c r="A235" i="3"/>
  <c r="E234" i="3"/>
  <c r="D234" i="3"/>
  <c r="B234" i="3"/>
  <c r="A234" i="3"/>
  <c r="E233" i="3"/>
  <c r="D233" i="3"/>
  <c r="B233" i="3"/>
  <c r="A233" i="3"/>
  <c r="E232" i="3"/>
  <c r="D232" i="3"/>
  <c r="B232" i="3"/>
  <c r="A232" i="3"/>
  <c r="E231" i="3"/>
  <c r="D231" i="3"/>
  <c r="B231" i="3"/>
  <c r="A231" i="3"/>
  <c r="E230" i="3"/>
  <c r="D230" i="3"/>
  <c r="B230" i="3"/>
  <c r="A230" i="3"/>
  <c r="E229" i="3"/>
  <c r="D229" i="3"/>
  <c r="B229" i="3"/>
  <c r="A229" i="3"/>
  <c r="E228" i="3"/>
  <c r="D228" i="3"/>
  <c r="B228" i="3"/>
  <c r="A228" i="3"/>
  <c r="E227" i="3"/>
  <c r="D227" i="3"/>
  <c r="B227" i="3"/>
  <c r="A227" i="3"/>
  <c r="E226" i="3"/>
  <c r="D226" i="3"/>
  <c r="B226" i="3"/>
  <c r="A226" i="3"/>
  <c r="E225" i="3"/>
  <c r="D225" i="3"/>
  <c r="B225" i="3"/>
  <c r="A225" i="3"/>
  <c r="E224" i="3"/>
  <c r="D224" i="3"/>
  <c r="B224" i="3"/>
  <c r="A224" i="3"/>
  <c r="E223" i="3"/>
  <c r="D223" i="3"/>
  <c r="B223" i="3"/>
  <c r="A223" i="3"/>
  <c r="E222" i="3"/>
  <c r="D222" i="3"/>
  <c r="B222" i="3"/>
  <c r="A222" i="3"/>
  <c r="E221" i="3"/>
  <c r="D221" i="3"/>
  <c r="B221" i="3"/>
  <c r="A221" i="3"/>
  <c r="E220" i="3"/>
  <c r="D220" i="3"/>
  <c r="B220" i="3"/>
  <c r="A220" i="3"/>
  <c r="E219" i="3"/>
  <c r="D219" i="3"/>
  <c r="B219" i="3"/>
  <c r="A219" i="3"/>
  <c r="E218" i="3"/>
  <c r="D218" i="3"/>
  <c r="B218" i="3"/>
  <c r="A218" i="3"/>
  <c r="E217" i="3"/>
  <c r="D217" i="3"/>
  <c r="B217" i="3"/>
  <c r="A217" i="3"/>
  <c r="E216" i="3"/>
  <c r="D216" i="3"/>
  <c r="B216" i="3"/>
  <c r="A216" i="3"/>
  <c r="E215" i="3"/>
  <c r="D215" i="3"/>
  <c r="B215" i="3"/>
  <c r="A215" i="3"/>
  <c r="E214" i="3"/>
  <c r="D214" i="3"/>
  <c r="B214" i="3"/>
  <c r="A214" i="3"/>
  <c r="E213" i="3"/>
  <c r="D213" i="3"/>
  <c r="B213" i="3"/>
  <c r="A213" i="3"/>
  <c r="E212" i="3"/>
  <c r="D212" i="3"/>
  <c r="B212" i="3"/>
  <c r="A212" i="3"/>
  <c r="E211" i="3"/>
  <c r="D211" i="3"/>
  <c r="B211" i="3"/>
  <c r="A211" i="3"/>
  <c r="E210" i="3"/>
  <c r="D210" i="3"/>
  <c r="B210" i="3"/>
  <c r="A210" i="3"/>
  <c r="E209" i="3"/>
  <c r="D209" i="3"/>
  <c r="B209" i="3"/>
  <c r="A209" i="3"/>
  <c r="E208" i="3"/>
  <c r="D208" i="3"/>
  <c r="B208" i="3"/>
  <c r="A208" i="3"/>
  <c r="E207" i="3"/>
  <c r="D207" i="3"/>
  <c r="B207" i="3"/>
  <c r="A207" i="3"/>
  <c r="E206" i="3"/>
  <c r="D206" i="3"/>
  <c r="B206" i="3"/>
  <c r="A206" i="3"/>
  <c r="E205" i="3"/>
  <c r="D205" i="3"/>
  <c r="B205" i="3"/>
  <c r="A205" i="3"/>
  <c r="E204" i="3"/>
  <c r="D204" i="3"/>
  <c r="B204" i="3"/>
  <c r="A204" i="3"/>
  <c r="E203" i="3"/>
  <c r="D203" i="3"/>
  <c r="B203" i="3"/>
  <c r="A203" i="3"/>
  <c r="E202" i="3"/>
  <c r="D202" i="3"/>
  <c r="B202" i="3"/>
  <c r="A202" i="3"/>
  <c r="E201" i="3"/>
  <c r="D201" i="3"/>
  <c r="B201" i="3"/>
  <c r="A201" i="3"/>
  <c r="E200" i="3"/>
  <c r="D200" i="3"/>
  <c r="B200" i="3"/>
  <c r="A200" i="3"/>
  <c r="E199" i="3"/>
  <c r="D199" i="3"/>
  <c r="B199" i="3"/>
  <c r="A199" i="3"/>
  <c r="E198" i="3"/>
  <c r="D198" i="3"/>
  <c r="B198" i="3"/>
  <c r="A198" i="3"/>
  <c r="E197" i="3"/>
  <c r="D197" i="3"/>
  <c r="B197" i="3"/>
  <c r="A197" i="3"/>
  <c r="E196" i="3"/>
  <c r="D196" i="3"/>
  <c r="B196" i="3"/>
  <c r="A196" i="3"/>
  <c r="E195" i="3"/>
  <c r="D195" i="3"/>
  <c r="B195" i="3"/>
  <c r="A195" i="3"/>
  <c r="E194" i="3"/>
  <c r="D194" i="3"/>
  <c r="B194" i="3"/>
  <c r="A194" i="3"/>
  <c r="E193" i="3"/>
  <c r="D193" i="3"/>
  <c r="B193" i="3"/>
  <c r="A193" i="3"/>
  <c r="E192" i="3"/>
  <c r="D192" i="3"/>
  <c r="B192" i="3"/>
  <c r="A192" i="3"/>
  <c r="E191" i="3"/>
  <c r="D191" i="3"/>
  <c r="B191" i="3"/>
  <c r="A191" i="3"/>
  <c r="E190" i="3"/>
  <c r="D190" i="3"/>
  <c r="B190" i="3"/>
  <c r="A190" i="3"/>
  <c r="E189" i="3"/>
  <c r="D189" i="3"/>
  <c r="B189" i="3"/>
  <c r="A189" i="3"/>
  <c r="E188" i="3"/>
  <c r="D188" i="3"/>
  <c r="B188" i="3"/>
  <c r="A188" i="3"/>
  <c r="E187" i="3"/>
  <c r="D187" i="3"/>
  <c r="B187" i="3"/>
  <c r="A187" i="3"/>
  <c r="E186" i="3"/>
  <c r="D186" i="3"/>
  <c r="B186" i="3"/>
  <c r="A186" i="3"/>
  <c r="E185" i="3"/>
  <c r="D185" i="3"/>
  <c r="B185" i="3"/>
  <c r="A185" i="3"/>
  <c r="E184" i="3"/>
  <c r="D184" i="3"/>
  <c r="B184" i="3"/>
  <c r="A184" i="3"/>
  <c r="E183" i="3"/>
  <c r="D183" i="3"/>
  <c r="B183" i="3"/>
  <c r="A183" i="3"/>
  <c r="E182" i="3"/>
  <c r="D182" i="3"/>
  <c r="B182" i="3"/>
  <c r="A182" i="3"/>
  <c r="E181" i="3"/>
  <c r="D181" i="3"/>
  <c r="B181" i="3"/>
  <c r="A181" i="3"/>
  <c r="E180" i="3"/>
  <c r="D180" i="3"/>
  <c r="B180" i="3"/>
  <c r="A180" i="3"/>
  <c r="E179" i="3"/>
  <c r="D179" i="3"/>
  <c r="B179" i="3"/>
  <c r="A179" i="3"/>
  <c r="E178" i="3"/>
  <c r="D178" i="3"/>
  <c r="B178" i="3"/>
  <c r="A178" i="3"/>
  <c r="E177" i="3"/>
  <c r="D177" i="3"/>
  <c r="B177" i="3"/>
  <c r="A177" i="3"/>
  <c r="E176" i="3"/>
  <c r="D176" i="3"/>
  <c r="B176" i="3"/>
  <c r="A176" i="3"/>
  <c r="E175" i="3"/>
  <c r="D175" i="3"/>
  <c r="B175" i="3"/>
  <c r="A175" i="3"/>
  <c r="E174" i="3"/>
  <c r="D174" i="3"/>
  <c r="B174" i="3"/>
  <c r="A174" i="3"/>
  <c r="E173" i="3"/>
  <c r="D173" i="3"/>
  <c r="B173" i="3"/>
  <c r="A173" i="3"/>
  <c r="E172" i="3"/>
  <c r="D172" i="3"/>
  <c r="B172" i="3"/>
  <c r="A172" i="3"/>
  <c r="E171" i="3"/>
  <c r="D171" i="3"/>
  <c r="B171" i="3"/>
  <c r="A171" i="3"/>
  <c r="E170" i="3"/>
  <c r="D170" i="3"/>
  <c r="B170" i="3"/>
  <c r="A170" i="3"/>
  <c r="E169" i="3"/>
  <c r="D169" i="3"/>
  <c r="B169" i="3"/>
  <c r="A169" i="3"/>
  <c r="E168" i="3"/>
  <c r="D168" i="3"/>
  <c r="B168" i="3"/>
  <c r="A168" i="3"/>
  <c r="E167" i="3"/>
  <c r="D167" i="3"/>
  <c r="B167" i="3"/>
  <c r="A167" i="3"/>
  <c r="E166" i="3"/>
  <c r="D166" i="3"/>
  <c r="B166" i="3"/>
  <c r="A166" i="3"/>
  <c r="E165" i="3"/>
  <c r="D165" i="3"/>
  <c r="B165" i="3"/>
  <c r="A165" i="3"/>
  <c r="E164" i="3"/>
  <c r="D164" i="3"/>
  <c r="B164" i="3"/>
  <c r="A164" i="3"/>
  <c r="E163" i="3"/>
  <c r="D163" i="3"/>
  <c r="B163" i="3"/>
  <c r="A163" i="3"/>
  <c r="E162" i="3"/>
  <c r="D162" i="3"/>
  <c r="B162" i="3"/>
  <c r="A162" i="3"/>
  <c r="E161" i="3"/>
  <c r="D161" i="3"/>
  <c r="B161" i="3"/>
  <c r="A161" i="3"/>
  <c r="E160" i="3"/>
  <c r="D160" i="3"/>
  <c r="B160" i="3"/>
  <c r="A160" i="3"/>
  <c r="E159" i="3"/>
  <c r="D159" i="3"/>
  <c r="B159" i="3"/>
  <c r="A159" i="3"/>
  <c r="E158" i="3"/>
  <c r="D158" i="3"/>
  <c r="B158" i="3"/>
  <c r="A158" i="3"/>
  <c r="E157" i="3"/>
  <c r="D157" i="3"/>
  <c r="B157" i="3"/>
  <c r="A157" i="3"/>
  <c r="E156" i="3"/>
  <c r="D156" i="3"/>
  <c r="B156" i="3"/>
  <c r="A156" i="3"/>
  <c r="E155" i="3"/>
  <c r="D155" i="3"/>
  <c r="B155" i="3"/>
  <c r="A155" i="3"/>
  <c r="E154" i="3"/>
  <c r="D154" i="3"/>
  <c r="B154" i="3"/>
  <c r="A154" i="3"/>
  <c r="E153" i="3"/>
  <c r="D153" i="3"/>
  <c r="B153" i="3"/>
  <c r="A153" i="3"/>
  <c r="E152" i="3"/>
  <c r="D152" i="3"/>
  <c r="B152" i="3"/>
  <c r="A152" i="3"/>
  <c r="E151" i="3"/>
  <c r="D151" i="3"/>
  <c r="B151" i="3"/>
  <c r="A151" i="3"/>
  <c r="E150" i="3"/>
  <c r="D150" i="3"/>
  <c r="B150" i="3"/>
  <c r="A150" i="3"/>
  <c r="E149" i="3"/>
  <c r="D149" i="3"/>
  <c r="B149" i="3"/>
  <c r="A149" i="3"/>
  <c r="E148" i="3"/>
  <c r="D148" i="3"/>
  <c r="B148" i="3"/>
  <c r="A148" i="3"/>
  <c r="E147" i="3"/>
  <c r="D147" i="3"/>
  <c r="B147" i="3"/>
  <c r="A147" i="3"/>
  <c r="E146" i="3"/>
  <c r="D146" i="3"/>
  <c r="B146" i="3"/>
  <c r="A146" i="3"/>
  <c r="E145" i="3"/>
  <c r="D145" i="3"/>
  <c r="B145" i="3"/>
  <c r="A145" i="3"/>
  <c r="E144" i="3"/>
  <c r="D144" i="3"/>
  <c r="B144" i="3"/>
  <c r="A144" i="3"/>
  <c r="E143" i="3"/>
  <c r="D143" i="3"/>
  <c r="B143" i="3"/>
  <c r="A143" i="3"/>
  <c r="E142" i="3"/>
  <c r="D142" i="3"/>
  <c r="B142" i="3"/>
  <c r="A142" i="3"/>
  <c r="E141" i="3"/>
  <c r="D141" i="3"/>
  <c r="B141" i="3"/>
  <c r="A141" i="3"/>
  <c r="E140" i="3"/>
  <c r="D140" i="3"/>
  <c r="B140" i="3"/>
  <c r="A140" i="3"/>
  <c r="E139" i="3"/>
  <c r="D139" i="3"/>
  <c r="B139" i="3"/>
  <c r="A139" i="3"/>
  <c r="E138" i="3"/>
  <c r="D138" i="3"/>
  <c r="B138" i="3"/>
  <c r="A138" i="3"/>
  <c r="E137" i="3"/>
  <c r="D137" i="3"/>
  <c r="B137" i="3"/>
  <c r="A137" i="3"/>
  <c r="E136" i="3"/>
  <c r="D136" i="3"/>
  <c r="B136" i="3"/>
  <c r="A136" i="3"/>
  <c r="E135" i="3"/>
  <c r="D135" i="3"/>
  <c r="B135" i="3"/>
  <c r="A135" i="3"/>
  <c r="E134" i="3"/>
  <c r="D134" i="3"/>
  <c r="B134" i="3"/>
  <c r="A134" i="3"/>
  <c r="E133" i="3"/>
  <c r="D133" i="3"/>
  <c r="B133" i="3"/>
  <c r="A133" i="3"/>
  <c r="E132" i="3"/>
  <c r="D132" i="3"/>
  <c r="B132" i="3"/>
  <c r="A132" i="3"/>
  <c r="E131" i="3"/>
  <c r="D131" i="3"/>
  <c r="B131" i="3"/>
  <c r="A131" i="3"/>
  <c r="E130" i="3"/>
  <c r="D130" i="3"/>
  <c r="B130" i="3"/>
  <c r="A130" i="3"/>
  <c r="E129" i="3"/>
  <c r="D129" i="3"/>
  <c r="B129" i="3"/>
  <c r="A129" i="3"/>
  <c r="E128" i="3"/>
  <c r="D128" i="3"/>
  <c r="B128" i="3"/>
  <c r="A128" i="3"/>
  <c r="E127" i="3"/>
  <c r="D127" i="3"/>
  <c r="B127" i="3"/>
  <c r="A127" i="3"/>
  <c r="E126" i="3"/>
  <c r="D126" i="3"/>
  <c r="B126" i="3"/>
  <c r="A126" i="3"/>
  <c r="E125" i="3"/>
  <c r="D125" i="3"/>
  <c r="B125" i="3"/>
  <c r="A125" i="3"/>
  <c r="E124" i="3"/>
  <c r="D124" i="3"/>
  <c r="B124" i="3"/>
  <c r="A124" i="3"/>
  <c r="E123" i="3"/>
  <c r="D123" i="3"/>
  <c r="B123" i="3"/>
  <c r="A123" i="3"/>
  <c r="E122" i="3"/>
  <c r="D122" i="3"/>
  <c r="B122" i="3"/>
  <c r="A122" i="3"/>
  <c r="E121" i="3"/>
  <c r="D121" i="3"/>
  <c r="B121" i="3"/>
  <c r="A121" i="3"/>
  <c r="E120" i="3"/>
  <c r="D120" i="3"/>
  <c r="B120" i="3"/>
  <c r="A120" i="3"/>
  <c r="E119" i="3"/>
  <c r="D119" i="3"/>
  <c r="B119" i="3"/>
  <c r="A119" i="3"/>
  <c r="E118" i="3"/>
  <c r="D118" i="3"/>
  <c r="B118" i="3"/>
  <c r="A118" i="3"/>
  <c r="E117" i="3"/>
  <c r="D117" i="3"/>
  <c r="B117" i="3"/>
  <c r="A117" i="3"/>
  <c r="E116" i="3"/>
  <c r="D116" i="3"/>
  <c r="B116" i="3"/>
  <c r="A116" i="3"/>
  <c r="E115" i="3"/>
  <c r="D115" i="3"/>
  <c r="B115" i="3"/>
  <c r="A115" i="3"/>
  <c r="E114" i="3"/>
  <c r="D114" i="3"/>
  <c r="B114" i="3"/>
  <c r="A114" i="3"/>
  <c r="E113" i="3"/>
  <c r="D113" i="3"/>
  <c r="B113" i="3"/>
  <c r="A113" i="3"/>
  <c r="E112" i="3"/>
  <c r="D112" i="3"/>
  <c r="B112" i="3"/>
  <c r="A112" i="3"/>
  <c r="E111" i="3"/>
  <c r="D111" i="3"/>
  <c r="B111" i="3"/>
  <c r="A111" i="3"/>
  <c r="E110" i="3"/>
  <c r="D110" i="3"/>
  <c r="B110" i="3"/>
  <c r="A110" i="3"/>
  <c r="E109" i="3"/>
  <c r="D109" i="3"/>
  <c r="B109" i="3"/>
  <c r="A109" i="3"/>
  <c r="E108" i="3"/>
  <c r="D108" i="3"/>
  <c r="B108" i="3"/>
  <c r="A108" i="3"/>
  <c r="E107" i="3"/>
  <c r="D107" i="3"/>
  <c r="B107" i="3"/>
  <c r="A107" i="3"/>
  <c r="E106" i="3"/>
  <c r="D106" i="3"/>
  <c r="B106" i="3"/>
  <c r="A106" i="3"/>
  <c r="E105" i="3"/>
  <c r="D105" i="3"/>
  <c r="B105" i="3"/>
  <c r="A105" i="3"/>
  <c r="E104" i="3"/>
  <c r="D104" i="3"/>
  <c r="B104" i="3"/>
  <c r="A104" i="3"/>
  <c r="E103" i="3"/>
  <c r="D103" i="3"/>
  <c r="B103" i="3"/>
  <c r="A103" i="3"/>
  <c r="E102" i="3"/>
  <c r="D102" i="3"/>
  <c r="B102" i="3"/>
  <c r="A102" i="3"/>
  <c r="E101" i="3"/>
  <c r="D101" i="3"/>
  <c r="B101" i="3"/>
  <c r="A101" i="3"/>
  <c r="E100" i="3"/>
  <c r="D100" i="3"/>
  <c r="B100" i="3"/>
  <c r="A100" i="3"/>
  <c r="E99" i="3"/>
  <c r="D99" i="3"/>
  <c r="B99" i="3"/>
  <c r="A99" i="3"/>
  <c r="E98" i="3"/>
  <c r="D98" i="3"/>
  <c r="B98" i="3"/>
  <c r="A98" i="3"/>
  <c r="E97" i="3"/>
  <c r="D97" i="3"/>
  <c r="B97" i="3"/>
  <c r="A97" i="3"/>
  <c r="E96" i="3"/>
  <c r="D96" i="3"/>
  <c r="B96" i="3"/>
  <c r="A96" i="3"/>
  <c r="E95" i="3"/>
  <c r="D95" i="3"/>
  <c r="B95" i="3"/>
  <c r="A95" i="3"/>
  <c r="E94" i="3"/>
  <c r="D94" i="3"/>
  <c r="B94" i="3"/>
  <c r="A94" i="3"/>
  <c r="E93" i="3"/>
  <c r="D93" i="3"/>
  <c r="B93" i="3"/>
  <c r="A93" i="3"/>
  <c r="E92" i="3"/>
  <c r="D92" i="3"/>
  <c r="B92" i="3"/>
  <c r="A92" i="3"/>
  <c r="E91" i="3"/>
  <c r="D91" i="3"/>
  <c r="B91" i="3"/>
  <c r="A91" i="3"/>
  <c r="E90" i="3"/>
  <c r="D90" i="3"/>
  <c r="B90" i="3"/>
  <c r="A90" i="3"/>
  <c r="E89" i="3"/>
  <c r="D89" i="3"/>
  <c r="B89" i="3"/>
  <c r="A89" i="3"/>
  <c r="E88" i="3"/>
  <c r="D88" i="3"/>
  <c r="B88" i="3"/>
  <c r="A88" i="3"/>
  <c r="E87" i="3"/>
  <c r="D87" i="3"/>
  <c r="B87" i="3"/>
  <c r="A87" i="3"/>
  <c r="E86" i="3"/>
  <c r="D86" i="3"/>
  <c r="B86" i="3"/>
  <c r="A86" i="3"/>
  <c r="E85" i="3"/>
  <c r="D85" i="3"/>
  <c r="B85" i="3"/>
  <c r="A85" i="3"/>
  <c r="E84" i="3"/>
  <c r="D84" i="3"/>
  <c r="B84" i="3"/>
  <c r="A84" i="3"/>
  <c r="E83" i="3"/>
  <c r="D83" i="3"/>
  <c r="B83" i="3"/>
  <c r="A83" i="3"/>
  <c r="E82" i="3"/>
  <c r="D82" i="3"/>
  <c r="B82" i="3"/>
  <c r="A82" i="3"/>
  <c r="E81" i="3"/>
  <c r="D81" i="3"/>
  <c r="B81" i="3"/>
  <c r="A81" i="3"/>
  <c r="E80" i="3"/>
  <c r="D80" i="3"/>
  <c r="B80" i="3"/>
  <c r="A80" i="3"/>
  <c r="E79" i="3"/>
  <c r="D79" i="3"/>
  <c r="B79" i="3"/>
  <c r="A79" i="3"/>
  <c r="E78" i="3"/>
  <c r="D78" i="3"/>
  <c r="B78" i="3"/>
  <c r="A78" i="3"/>
  <c r="E77" i="3"/>
  <c r="D77" i="3"/>
  <c r="B77" i="3"/>
  <c r="A77" i="3"/>
  <c r="E76" i="3"/>
  <c r="D76" i="3"/>
  <c r="B76" i="3"/>
  <c r="A76" i="3"/>
  <c r="E75" i="3"/>
  <c r="D75" i="3"/>
  <c r="B75" i="3"/>
  <c r="A75" i="3"/>
  <c r="E74" i="3"/>
  <c r="D74" i="3"/>
  <c r="B74" i="3"/>
  <c r="A74" i="3"/>
  <c r="E73" i="3"/>
  <c r="D73" i="3"/>
  <c r="B73" i="3"/>
  <c r="A73" i="3"/>
  <c r="E72" i="3"/>
  <c r="D72" i="3"/>
  <c r="B72" i="3"/>
  <c r="A72" i="3"/>
  <c r="E71" i="3"/>
  <c r="D71" i="3"/>
  <c r="B71" i="3"/>
  <c r="A71" i="3"/>
  <c r="E70" i="3"/>
  <c r="D70" i="3"/>
  <c r="B70" i="3"/>
  <c r="A70" i="3"/>
  <c r="E69" i="3"/>
  <c r="D69" i="3"/>
  <c r="B69" i="3"/>
  <c r="A69" i="3"/>
  <c r="E68" i="3"/>
  <c r="D68" i="3"/>
  <c r="B68" i="3"/>
  <c r="A68" i="3"/>
  <c r="E67" i="3"/>
  <c r="D67" i="3"/>
  <c r="B67" i="3"/>
  <c r="A67" i="3"/>
  <c r="E66" i="3"/>
  <c r="D66" i="3"/>
  <c r="B66" i="3"/>
  <c r="A66" i="3"/>
  <c r="E65" i="3"/>
  <c r="D65" i="3"/>
  <c r="B65" i="3"/>
  <c r="A65" i="3"/>
  <c r="E64" i="3"/>
  <c r="D64" i="3"/>
  <c r="B64" i="3"/>
  <c r="A64" i="3"/>
  <c r="E63" i="3"/>
  <c r="D63" i="3"/>
  <c r="B63" i="3"/>
  <c r="A63" i="3"/>
  <c r="E62" i="3"/>
  <c r="D62" i="3"/>
  <c r="B62" i="3"/>
  <c r="A62" i="3"/>
  <c r="E61" i="3"/>
  <c r="D61" i="3"/>
  <c r="B61" i="3"/>
  <c r="A61" i="3"/>
  <c r="E60" i="3"/>
  <c r="D60" i="3"/>
  <c r="B60" i="3"/>
  <c r="A60" i="3"/>
  <c r="E59" i="3"/>
  <c r="D59" i="3"/>
  <c r="B59" i="3"/>
  <c r="A59" i="3"/>
  <c r="E58" i="3"/>
  <c r="D58" i="3"/>
  <c r="B58" i="3"/>
  <c r="A58" i="3"/>
  <c r="E57" i="3"/>
  <c r="D57" i="3"/>
  <c r="B57" i="3"/>
  <c r="A57" i="3"/>
  <c r="E56" i="3"/>
  <c r="D56" i="3"/>
  <c r="B56" i="3"/>
  <c r="A56" i="3"/>
  <c r="E55" i="3"/>
  <c r="D55" i="3"/>
  <c r="B55" i="3"/>
  <c r="A55" i="3"/>
  <c r="E54" i="3"/>
  <c r="D54" i="3"/>
  <c r="B54" i="3"/>
  <c r="A54" i="3"/>
  <c r="E53" i="3"/>
  <c r="D53" i="3"/>
  <c r="B53" i="3"/>
  <c r="A53" i="3"/>
  <c r="E52" i="3"/>
  <c r="D52" i="3"/>
  <c r="B52" i="3"/>
  <c r="A52" i="3"/>
  <c r="E51" i="3"/>
  <c r="D51" i="3"/>
  <c r="B51" i="3"/>
  <c r="A51" i="3"/>
  <c r="E50" i="3"/>
  <c r="D50" i="3"/>
  <c r="B50" i="3"/>
  <c r="A50" i="3"/>
  <c r="E49" i="3"/>
  <c r="D49" i="3"/>
  <c r="B49" i="3"/>
  <c r="A49" i="3"/>
  <c r="E48" i="3"/>
  <c r="D48" i="3"/>
  <c r="B48" i="3"/>
  <c r="A48" i="3"/>
  <c r="E47" i="3"/>
  <c r="D47" i="3"/>
  <c r="B47" i="3"/>
  <c r="A47" i="3"/>
  <c r="E46" i="3"/>
  <c r="D46" i="3"/>
  <c r="B46" i="3"/>
  <c r="A46" i="3"/>
  <c r="E45" i="3"/>
  <c r="D45" i="3"/>
  <c r="B45" i="3"/>
  <c r="A45" i="3"/>
  <c r="E44" i="3"/>
  <c r="D44" i="3"/>
  <c r="B44" i="3"/>
  <c r="A44" i="3"/>
  <c r="E43" i="3"/>
  <c r="D43" i="3"/>
  <c r="B43" i="3"/>
  <c r="A43" i="3"/>
  <c r="E42" i="3"/>
  <c r="D42" i="3"/>
  <c r="B42" i="3"/>
  <c r="A42" i="3"/>
  <c r="E41" i="3"/>
  <c r="D41" i="3"/>
  <c r="B41" i="3"/>
  <c r="A41" i="3"/>
  <c r="E40" i="3"/>
  <c r="D40" i="3"/>
  <c r="B40" i="3"/>
  <c r="A40" i="3"/>
  <c r="E39" i="3"/>
  <c r="D39" i="3"/>
  <c r="B39" i="3"/>
  <c r="A39" i="3"/>
  <c r="E38" i="3"/>
  <c r="D38" i="3"/>
  <c r="B38" i="3"/>
  <c r="A38" i="3"/>
  <c r="E37" i="3"/>
  <c r="D37" i="3"/>
  <c r="B37" i="3"/>
  <c r="A37" i="3"/>
  <c r="E36" i="3"/>
  <c r="D36" i="3"/>
  <c r="B36" i="3"/>
  <c r="A36" i="3"/>
  <c r="E35" i="3"/>
  <c r="D35" i="3"/>
  <c r="B35" i="3"/>
  <c r="A35" i="3"/>
  <c r="E34" i="3"/>
  <c r="D34" i="3"/>
  <c r="B34" i="3"/>
  <c r="A34" i="3"/>
  <c r="E33" i="3"/>
  <c r="D33" i="3"/>
  <c r="B33" i="3"/>
  <c r="A33" i="3"/>
  <c r="E32" i="3"/>
  <c r="D32" i="3"/>
  <c r="B32" i="3"/>
  <c r="A32" i="3"/>
  <c r="E31" i="3"/>
  <c r="D31" i="3"/>
  <c r="B31" i="3"/>
  <c r="A31" i="3"/>
  <c r="E30" i="3"/>
  <c r="D30" i="3"/>
  <c r="B30" i="3"/>
  <c r="A30" i="3"/>
  <c r="E29" i="3"/>
  <c r="D29" i="3"/>
  <c r="B29" i="3"/>
  <c r="A29" i="3"/>
  <c r="E28" i="3"/>
  <c r="D28" i="3"/>
  <c r="B28" i="3"/>
  <c r="A28" i="3"/>
  <c r="E27" i="3"/>
  <c r="D27" i="3"/>
  <c r="B27" i="3"/>
  <c r="A27" i="3"/>
  <c r="E26" i="3"/>
  <c r="D26" i="3"/>
  <c r="B26" i="3"/>
  <c r="A26" i="3"/>
  <c r="E25" i="3"/>
  <c r="D25" i="3"/>
  <c r="B25" i="3"/>
  <c r="A25" i="3"/>
  <c r="E24" i="3"/>
  <c r="D24" i="3"/>
  <c r="B24" i="3"/>
  <c r="A24" i="3"/>
  <c r="E23" i="3"/>
  <c r="D23" i="3"/>
  <c r="B23" i="3"/>
  <c r="A23" i="3"/>
  <c r="E22" i="3"/>
  <c r="D22" i="3"/>
  <c r="B22" i="3"/>
  <c r="A22" i="3"/>
  <c r="E21" i="3"/>
  <c r="D21" i="3"/>
  <c r="B21" i="3"/>
  <c r="A21" i="3"/>
  <c r="E20" i="3"/>
  <c r="D20" i="3"/>
  <c r="B20" i="3"/>
  <c r="A20" i="3"/>
  <c r="E19" i="3"/>
  <c r="D19" i="3"/>
  <c r="B19" i="3"/>
  <c r="A19" i="3"/>
  <c r="E18" i="3"/>
  <c r="D18" i="3"/>
  <c r="B18" i="3"/>
  <c r="A18" i="3"/>
  <c r="E17" i="3"/>
  <c r="D17" i="3"/>
  <c r="B17" i="3"/>
  <c r="A17" i="3"/>
  <c r="E16" i="3"/>
  <c r="D16" i="3"/>
  <c r="B16" i="3"/>
  <c r="A16" i="3"/>
  <c r="E15" i="3"/>
  <c r="D15" i="3"/>
  <c r="B15" i="3"/>
  <c r="A15" i="3"/>
  <c r="E14" i="3"/>
  <c r="D14" i="3"/>
  <c r="B14" i="3"/>
  <c r="A14" i="3"/>
  <c r="E13" i="3"/>
  <c r="D13" i="3"/>
  <c r="B13" i="3"/>
  <c r="A13" i="3"/>
  <c r="E12" i="3"/>
  <c r="D12" i="3"/>
  <c r="B12" i="3"/>
  <c r="B4" i="3" s="1"/>
  <c r="A12" i="3"/>
  <c r="A4" i="3" s="1"/>
  <c r="E11" i="3"/>
  <c r="E4" i="3" s="1"/>
  <c r="D11" i="3"/>
  <c r="D4" i="3" s="1"/>
  <c r="B11" i="3"/>
  <c r="A11" i="3"/>
  <c r="E10" i="3"/>
  <c r="D10" i="3"/>
  <c r="B5" i="3"/>
  <c r="A5" i="3"/>
  <c r="E2" i="3"/>
  <c r="D2" i="3"/>
  <c r="D5" i="2" l="1"/>
  <c r="D6" i="2" s="1"/>
  <c r="D5" i="3"/>
  <c r="D6" i="3" s="1"/>
  <c r="E5" i="3"/>
  <c r="E6" i="3" s="1"/>
  <c r="E5" i="2"/>
  <c r="E6" i="2" s="1"/>
  <c r="A3" i="3"/>
  <c r="A6" i="3" s="1"/>
  <c r="A3" i="2"/>
  <c r="A6" i="2" s="1"/>
  <c r="B3" i="3"/>
  <c r="B6" i="3" s="1"/>
  <c r="B3" i="2"/>
  <c r="B6" i="2" s="1"/>
  <c r="D3" i="3"/>
  <c r="D3" i="2"/>
  <c r="E3" i="3"/>
  <c r="E3" i="2"/>
</calcChain>
</file>

<file path=xl/sharedStrings.xml><?xml version="1.0" encoding="utf-8"?>
<sst xmlns="http://schemas.openxmlformats.org/spreadsheetml/2006/main" count="44" uniqueCount="18">
  <si>
    <t>VARIABLE</t>
  </si>
  <si>
    <t>LEGEND</t>
  </si>
  <si>
    <t>TREND___PT___(BARA)___OP1-US_CHOKE</t>
  </si>
  <si>
    <t>TREND___PT___(BARA)___OP1-DS_CHOKE</t>
  </si>
  <si>
    <t>h</t>
  </si>
  <si>
    <t>(BARA)</t>
  </si>
  <si>
    <t>TIME1</t>
  </si>
  <si>
    <t>TIME2</t>
  </si>
  <si>
    <t>Report-2031_Oil_4500bopd_Liquid_4789blpd_5MMSCFD_GL_TD_Only_OP1_TCV_5pc.genkey</t>
  </si>
  <si>
    <t>Min</t>
  </si>
  <si>
    <t>P50</t>
  </si>
  <si>
    <t>Max</t>
  </si>
  <si>
    <t>Delta</t>
  </si>
  <si>
    <t>Offset</t>
  </si>
  <si>
    <t>Scale</t>
  </si>
  <si>
    <t>Report-2031_Oil_4500bopd_Liquid_4789blpd_No_GL_TD_Only_OP1.genkey</t>
  </si>
  <si>
    <t>Pressure upstream choke</t>
  </si>
  <si>
    <t>Pressure downstream choke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</si>
</sst>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Report-2031_Oil_4500bopd_Liquid_4789blpd_5MMSCFD_GL_TD_Only_OP1_TCV_5pc.genkey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Legends!$B$2</c:f>
              <c:strCache>
                <c:ptCount val="1"/>
                <c:pt idx="0">
                  <c:v>Pressure upstream choke</c:v>
                </c:pt>
              </c:strCache>
            </c:strRef>
          </c:tx>
          <c:marker>
            <c:symbol val="none"/>
          </c:marker>
          <c:xVal>
            <c:numRef>
              <c:f>'SIM1'!$A$11:$A$299</c:f>
              <c:numCache>
                <c:formatCode>General</c:formatCode>
                <c:ptCount val="289"/>
                <c:pt idx="0">
                  <c:v>0</c:v>
                </c:pt>
                <c:pt idx="1">
                  <c:v>0.25039237737655601</c:v>
                </c:pt>
                <c:pt idx="2">
                  <c:v>0.500002801418304</c:v>
                </c:pt>
                <c:pt idx="3">
                  <c:v>0.750080525875091</c:v>
                </c:pt>
                <c:pt idx="4">
                  <c:v>1.00001060962677</c:v>
                </c:pt>
                <c:pt idx="5">
                  <c:v>1.2502125501632599</c:v>
                </c:pt>
                <c:pt idx="6">
                  <c:v>1.5001511573791499</c:v>
                </c:pt>
                <c:pt idx="7">
                  <c:v>1.75008249282836</c:v>
                </c:pt>
                <c:pt idx="8">
                  <c:v>2.0003707408904998</c:v>
                </c:pt>
                <c:pt idx="9">
                  <c:v>2.25034308433532</c:v>
                </c:pt>
                <c:pt idx="10">
                  <c:v>2.5000836849212602</c:v>
                </c:pt>
                <c:pt idx="11">
                  <c:v>2.7502522468566801</c:v>
                </c:pt>
                <c:pt idx="12">
                  <c:v>3.0002167224884002</c:v>
                </c:pt>
                <c:pt idx="13">
                  <c:v>3.2504360675811701</c:v>
                </c:pt>
                <c:pt idx="14">
                  <c:v>3.5000584125518799</c:v>
                </c:pt>
                <c:pt idx="15">
                  <c:v>3.7503638267517001</c:v>
                </c:pt>
                <c:pt idx="16">
                  <c:v>4.0006694793701101</c:v>
                </c:pt>
                <c:pt idx="17">
                  <c:v>4.2506084442138601</c:v>
                </c:pt>
                <c:pt idx="18">
                  <c:v>4.5000805854797301</c:v>
                </c:pt>
                <c:pt idx="19">
                  <c:v>4.7501029968261701</c:v>
                </c:pt>
                <c:pt idx="20">
                  <c:v>5.0001249313354403</c:v>
                </c:pt>
                <c:pt idx="21">
                  <c:v>5.2501473426818803</c:v>
                </c:pt>
                <c:pt idx="22">
                  <c:v>5.5001692771911603</c:v>
                </c:pt>
                <c:pt idx="23">
                  <c:v>5.7501916885375897</c:v>
                </c:pt>
                <c:pt idx="24">
                  <c:v>6.0002140998840297</c:v>
                </c:pt>
                <c:pt idx="25">
                  <c:v>6.2502360343933097</c:v>
                </c:pt>
                <c:pt idx="26">
                  <c:v>6.5002555847167898</c:v>
                </c:pt>
                <c:pt idx="27">
                  <c:v>6.7502779960632298</c:v>
                </c:pt>
                <c:pt idx="28">
                  <c:v>7.0002999305725098</c:v>
                </c:pt>
                <c:pt idx="29">
                  <c:v>7.25032234191894</c:v>
                </c:pt>
                <c:pt idx="30">
                  <c:v>7.50034427642822</c:v>
                </c:pt>
                <c:pt idx="31">
                  <c:v>7.7503666877746502</c:v>
                </c:pt>
                <c:pt idx="32">
                  <c:v>8.0003890991210902</c:v>
                </c:pt>
                <c:pt idx="33">
                  <c:v>8.2504110336303693</c:v>
                </c:pt>
                <c:pt idx="34">
                  <c:v>8.5004329681396396</c:v>
                </c:pt>
                <c:pt idx="35">
                  <c:v>8.7504558563232404</c:v>
                </c:pt>
                <c:pt idx="36">
                  <c:v>9.0004777908325195</c:v>
                </c:pt>
                <c:pt idx="37">
                  <c:v>9.2504997253417898</c:v>
                </c:pt>
                <c:pt idx="38">
                  <c:v>9.5005226135253906</c:v>
                </c:pt>
                <c:pt idx="39">
                  <c:v>9.7505445480346609</c:v>
                </c:pt>
                <c:pt idx="40">
                  <c:v>10.000566482543899</c:v>
                </c:pt>
                <c:pt idx="41">
                  <c:v>10.2505884170532</c:v>
                </c:pt>
                <c:pt idx="42">
                  <c:v>10.5006084442138</c:v>
                </c:pt>
                <c:pt idx="43">
                  <c:v>10.7506303787231</c:v>
                </c:pt>
                <c:pt idx="44">
                  <c:v>11.000652313232401</c:v>
                </c:pt>
                <c:pt idx="45">
                  <c:v>11.250016212463301</c:v>
                </c:pt>
                <c:pt idx="46">
                  <c:v>11.5000391006469</c:v>
                </c:pt>
                <c:pt idx="47">
                  <c:v>11.7500610351562</c:v>
                </c:pt>
                <c:pt idx="48">
                  <c:v>12.000082969665501</c:v>
                </c:pt>
                <c:pt idx="49">
                  <c:v>12.2501058578491</c:v>
                </c:pt>
                <c:pt idx="50">
                  <c:v>12.500124931335399</c:v>
                </c:pt>
                <c:pt idx="51">
                  <c:v>12.7501468658447</c:v>
                </c:pt>
                <c:pt idx="52">
                  <c:v>13.000169754028301</c:v>
                </c:pt>
                <c:pt idx="53">
                  <c:v>13.250191688537599</c:v>
                </c:pt>
                <c:pt idx="54">
                  <c:v>13.5002136230468</c:v>
                </c:pt>
                <c:pt idx="55">
                  <c:v>13.750236511230399</c:v>
                </c:pt>
                <c:pt idx="56">
                  <c:v>14.0002584457397</c:v>
                </c:pt>
                <c:pt idx="57">
                  <c:v>14.250280380249</c:v>
                </c:pt>
                <c:pt idx="58">
                  <c:v>14.500302314758301</c:v>
                </c:pt>
                <c:pt idx="59">
                  <c:v>14.7503252029418</c:v>
                </c:pt>
                <c:pt idx="60">
                  <c:v>15.000347137451101</c:v>
                </c:pt>
                <c:pt idx="61">
                  <c:v>15.250369071960399</c:v>
                </c:pt>
                <c:pt idx="62">
                  <c:v>15.500391960144</c:v>
                </c:pt>
                <c:pt idx="63">
                  <c:v>15.750413894653301</c:v>
                </c:pt>
                <c:pt idx="64">
                  <c:v>16.0004367828369</c:v>
                </c:pt>
                <c:pt idx="65">
                  <c:v>16.2504558563232</c:v>
                </c:pt>
                <c:pt idx="66">
                  <c:v>16.5004768371582</c:v>
                </c:pt>
                <c:pt idx="67">
                  <c:v>16.7504997253418</c:v>
                </c:pt>
                <c:pt idx="68">
                  <c:v>17.000522613525298</c:v>
                </c:pt>
                <c:pt idx="69">
                  <c:v>17.250543594360298</c:v>
                </c:pt>
                <c:pt idx="70">
                  <c:v>17.500566482543899</c:v>
                </c:pt>
                <c:pt idx="71">
                  <c:v>17.7505893707275</c:v>
                </c:pt>
                <c:pt idx="72">
                  <c:v>18.0006103515625</c:v>
                </c:pt>
                <c:pt idx="73">
                  <c:v>18.250633239746001</c:v>
                </c:pt>
                <c:pt idx="74">
                  <c:v>18.500656127929599</c:v>
                </c:pt>
                <c:pt idx="75">
                  <c:v>18.750017166137699</c:v>
                </c:pt>
                <c:pt idx="76">
                  <c:v>19.000038146972599</c:v>
                </c:pt>
                <c:pt idx="77">
                  <c:v>19.2500610351562</c:v>
                </c:pt>
                <c:pt idx="78">
                  <c:v>19.500083923339801</c:v>
                </c:pt>
                <c:pt idx="79">
                  <c:v>19.750104904174801</c:v>
                </c:pt>
                <c:pt idx="80">
                  <c:v>20.000127792358398</c:v>
                </c:pt>
                <c:pt idx="81">
                  <c:v>20.2501506805419</c:v>
                </c:pt>
                <c:pt idx="82">
                  <c:v>20.5001716613769</c:v>
                </c:pt>
                <c:pt idx="83">
                  <c:v>20.750194549560501</c:v>
                </c:pt>
                <c:pt idx="84">
                  <c:v>21.000217437744102</c:v>
                </c:pt>
                <c:pt idx="85">
                  <c:v>21.250238418579102</c:v>
                </c:pt>
                <c:pt idx="86">
                  <c:v>21.500261306762699</c:v>
                </c:pt>
                <c:pt idx="87">
                  <c:v>21.7502841949462</c:v>
                </c:pt>
                <c:pt idx="88">
                  <c:v>22.000303268432599</c:v>
                </c:pt>
                <c:pt idx="89">
                  <c:v>22.2503242492675</c:v>
                </c:pt>
                <c:pt idx="90">
                  <c:v>22.500347137451101</c:v>
                </c:pt>
                <c:pt idx="91">
                  <c:v>22.750370025634702</c:v>
                </c:pt>
                <c:pt idx="92">
                  <c:v>23.000391006469702</c:v>
                </c:pt>
                <c:pt idx="93">
                  <c:v>23.250413894653299</c:v>
                </c:pt>
                <c:pt idx="94">
                  <c:v>23.5004367828369</c:v>
                </c:pt>
                <c:pt idx="95">
                  <c:v>23.7504577636718</c:v>
                </c:pt>
                <c:pt idx="96">
                  <c:v>24.000480651855401</c:v>
                </c:pt>
                <c:pt idx="97">
                  <c:v>24.250503540038999</c:v>
                </c:pt>
                <c:pt idx="98">
                  <c:v>24.500524520873999</c:v>
                </c:pt>
                <c:pt idx="99">
                  <c:v>24.750547409057599</c:v>
                </c:pt>
                <c:pt idx="100">
                  <c:v>25.0005702972412</c:v>
                </c:pt>
                <c:pt idx="101">
                  <c:v>25.250591278076101</c:v>
                </c:pt>
                <c:pt idx="102">
                  <c:v>25.500614166259702</c:v>
                </c:pt>
                <c:pt idx="103">
                  <c:v>25.750637054443299</c:v>
                </c:pt>
                <c:pt idx="104">
                  <c:v>26.000656127929599</c:v>
                </c:pt>
                <c:pt idx="105">
                  <c:v>26.2500190734863</c:v>
                </c:pt>
                <c:pt idx="106">
                  <c:v>26.500041961669901</c:v>
                </c:pt>
                <c:pt idx="107">
                  <c:v>26.750062942504801</c:v>
                </c:pt>
                <c:pt idx="108">
                  <c:v>27.000085830688398</c:v>
                </c:pt>
                <c:pt idx="109">
                  <c:v>27.250108718871999</c:v>
                </c:pt>
                <c:pt idx="110">
                  <c:v>27.500129699706999</c:v>
                </c:pt>
                <c:pt idx="111">
                  <c:v>27.7501525878906</c:v>
                </c:pt>
                <c:pt idx="112">
                  <c:v>28.000165939331001</c:v>
                </c:pt>
                <c:pt idx="113">
                  <c:v>28.250194549560501</c:v>
                </c:pt>
                <c:pt idx="114">
                  <c:v>28.50022315979</c:v>
                </c:pt>
                <c:pt idx="115">
                  <c:v>28.750249862670898</c:v>
                </c:pt>
                <c:pt idx="116">
                  <c:v>29.000249862670898</c:v>
                </c:pt>
                <c:pt idx="117">
                  <c:v>29.250278472900298</c:v>
                </c:pt>
                <c:pt idx="118">
                  <c:v>29.5003051757812</c:v>
                </c:pt>
                <c:pt idx="119">
                  <c:v>29.7503337860107</c:v>
                </c:pt>
                <c:pt idx="120">
                  <c:v>30.000360488891602</c:v>
                </c:pt>
                <c:pt idx="121">
                  <c:v>30.250360488891602</c:v>
                </c:pt>
                <c:pt idx="122">
                  <c:v>30.500389099121001</c:v>
                </c:pt>
                <c:pt idx="123">
                  <c:v>30.7504158020019</c:v>
                </c:pt>
                <c:pt idx="124">
                  <c:v>31.000444412231399</c:v>
                </c:pt>
                <c:pt idx="125">
                  <c:v>31.250473022460898</c:v>
                </c:pt>
                <c:pt idx="126">
                  <c:v>31.500473022460898</c:v>
                </c:pt>
                <c:pt idx="127">
                  <c:v>31.7504997253418</c:v>
                </c:pt>
                <c:pt idx="128">
                  <c:v>32.000526428222599</c:v>
                </c:pt>
                <c:pt idx="129">
                  <c:v>32.250556945800703</c:v>
                </c:pt>
                <c:pt idx="130">
                  <c:v>32.500583648681598</c:v>
                </c:pt>
                <c:pt idx="131">
                  <c:v>32.750583648681598</c:v>
                </c:pt>
                <c:pt idx="132">
                  <c:v>33.0006103515625</c:v>
                </c:pt>
                <c:pt idx="133">
                  <c:v>33.250637054443303</c:v>
                </c:pt>
                <c:pt idx="134">
                  <c:v>33.500667572021399</c:v>
                </c:pt>
                <c:pt idx="135">
                  <c:v>33.750026702880803</c:v>
                </c:pt>
                <c:pt idx="136">
                  <c:v>34.000057220458899</c:v>
                </c:pt>
                <c:pt idx="137">
                  <c:v>34.250057220458899</c:v>
                </c:pt>
                <c:pt idx="138">
                  <c:v>34.500083923339801</c:v>
                </c:pt>
                <c:pt idx="139">
                  <c:v>34.750110626220703</c:v>
                </c:pt>
                <c:pt idx="140">
                  <c:v>35.000137329101499</c:v>
                </c:pt>
                <c:pt idx="141">
                  <c:v>35.250167846679602</c:v>
                </c:pt>
                <c:pt idx="142">
                  <c:v>35.500167846679602</c:v>
                </c:pt>
                <c:pt idx="143">
                  <c:v>35.750194549560497</c:v>
                </c:pt>
                <c:pt idx="144">
                  <c:v>36.000221252441399</c:v>
                </c:pt>
                <c:pt idx="145">
                  <c:v>36.250251770019503</c:v>
                </c:pt>
                <c:pt idx="146">
                  <c:v>36.500251770019503</c:v>
                </c:pt>
                <c:pt idx="147">
                  <c:v>36.750278472900298</c:v>
                </c:pt>
                <c:pt idx="148">
                  <c:v>37.0003051757812</c:v>
                </c:pt>
                <c:pt idx="149">
                  <c:v>37.250331878662102</c:v>
                </c:pt>
                <c:pt idx="150">
                  <c:v>37.500362396240199</c:v>
                </c:pt>
                <c:pt idx="151">
                  <c:v>37.750362396240199</c:v>
                </c:pt>
                <c:pt idx="152">
                  <c:v>38.000389099121001</c:v>
                </c:pt>
                <c:pt idx="153">
                  <c:v>38.250415802001903</c:v>
                </c:pt>
                <c:pt idx="154">
                  <c:v>38.50044631958</c:v>
                </c:pt>
                <c:pt idx="155">
                  <c:v>38.750473022460902</c:v>
                </c:pt>
                <c:pt idx="156">
                  <c:v>39.000473022460902</c:v>
                </c:pt>
                <c:pt idx="157">
                  <c:v>39.250499725341797</c:v>
                </c:pt>
                <c:pt idx="158">
                  <c:v>39.500526428222599</c:v>
                </c:pt>
                <c:pt idx="159">
                  <c:v>39.750556945800703</c:v>
                </c:pt>
                <c:pt idx="160">
                  <c:v>40.000583648681598</c:v>
                </c:pt>
                <c:pt idx="161">
                  <c:v>40.250583648681598</c:v>
                </c:pt>
                <c:pt idx="162">
                  <c:v>40.5006103515625</c:v>
                </c:pt>
                <c:pt idx="163">
                  <c:v>40.750637054443303</c:v>
                </c:pt>
                <c:pt idx="164">
                  <c:v>41</c:v>
                </c:pt>
                <c:pt idx="165">
                  <c:v>41.250026702880803</c:v>
                </c:pt>
                <c:pt idx="166">
                  <c:v>41.500057220458899</c:v>
                </c:pt>
                <c:pt idx="167">
                  <c:v>41.750057220458899</c:v>
                </c:pt>
                <c:pt idx="168">
                  <c:v>42.000083923339801</c:v>
                </c:pt>
                <c:pt idx="169">
                  <c:v>42.250110626220703</c:v>
                </c:pt>
                <c:pt idx="170">
                  <c:v>42.500137329101499</c:v>
                </c:pt>
                <c:pt idx="171">
                  <c:v>42.750167846679602</c:v>
                </c:pt>
                <c:pt idx="172">
                  <c:v>43.000167846679602</c:v>
                </c:pt>
                <c:pt idx="173">
                  <c:v>43.250194549560497</c:v>
                </c:pt>
                <c:pt idx="174">
                  <c:v>43.500221252441399</c:v>
                </c:pt>
                <c:pt idx="175">
                  <c:v>43.750251770019503</c:v>
                </c:pt>
                <c:pt idx="176">
                  <c:v>44.000278472900298</c:v>
                </c:pt>
                <c:pt idx="177">
                  <c:v>44.250278472900298</c:v>
                </c:pt>
                <c:pt idx="178">
                  <c:v>44.5003051757812</c:v>
                </c:pt>
                <c:pt idx="179">
                  <c:v>44.750331878662102</c:v>
                </c:pt>
                <c:pt idx="180">
                  <c:v>45.000362396240199</c:v>
                </c:pt>
                <c:pt idx="181">
                  <c:v>45.250389099121001</c:v>
                </c:pt>
                <c:pt idx="182">
                  <c:v>45.500389099121001</c:v>
                </c:pt>
                <c:pt idx="183">
                  <c:v>45.750415802001903</c:v>
                </c:pt>
                <c:pt idx="184">
                  <c:v>46.00044631958</c:v>
                </c:pt>
                <c:pt idx="185">
                  <c:v>46.250473022460902</c:v>
                </c:pt>
                <c:pt idx="186">
                  <c:v>46.500473022460902</c:v>
                </c:pt>
                <c:pt idx="187">
                  <c:v>46.750499725341797</c:v>
                </c:pt>
                <c:pt idx="188">
                  <c:v>47.000526428222599</c:v>
                </c:pt>
                <c:pt idx="189">
                  <c:v>47.250556945800703</c:v>
                </c:pt>
                <c:pt idx="190">
                  <c:v>47.500583648681598</c:v>
                </c:pt>
                <c:pt idx="191">
                  <c:v>47.750583648681598</c:v>
                </c:pt>
                <c:pt idx="192">
                  <c:v>48.0006103515625</c:v>
                </c:pt>
                <c:pt idx="193">
                  <c:v>48.250637054443303</c:v>
                </c:pt>
                <c:pt idx="194">
                  <c:v>48.5</c:v>
                </c:pt>
                <c:pt idx="195">
                  <c:v>48.750026702880803</c:v>
                </c:pt>
                <c:pt idx="196">
                  <c:v>49.000057220458899</c:v>
                </c:pt>
                <c:pt idx="197">
                  <c:v>49.250057220458899</c:v>
                </c:pt>
                <c:pt idx="198">
                  <c:v>49.500083923339801</c:v>
                </c:pt>
                <c:pt idx="199">
                  <c:v>49.750110626220703</c:v>
                </c:pt>
                <c:pt idx="200">
                  <c:v>50.000137329101499</c:v>
                </c:pt>
                <c:pt idx="201">
                  <c:v>50.250167846679602</c:v>
                </c:pt>
                <c:pt idx="202">
                  <c:v>50.500167846679602</c:v>
                </c:pt>
                <c:pt idx="203">
                  <c:v>50.750194549560497</c:v>
                </c:pt>
                <c:pt idx="204">
                  <c:v>51.000221252441399</c:v>
                </c:pt>
                <c:pt idx="205">
                  <c:v>51.250251770019503</c:v>
                </c:pt>
                <c:pt idx="206">
                  <c:v>51.500278472900298</c:v>
                </c:pt>
                <c:pt idx="207">
                  <c:v>51.750278472900298</c:v>
                </c:pt>
                <c:pt idx="208">
                  <c:v>52.0003051757812</c:v>
                </c:pt>
                <c:pt idx="209">
                  <c:v>52.250331878662102</c:v>
                </c:pt>
                <c:pt idx="210">
                  <c:v>52.500362396240199</c:v>
                </c:pt>
                <c:pt idx="211">
                  <c:v>52.750389099121001</c:v>
                </c:pt>
                <c:pt idx="212">
                  <c:v>53.000389099121001</c:v>
                </c:pt>
                <c:pt idx="213">
                  <c:v>53.250415802001903</c:v>
                </c:pt>
                <c:pt idx="214">
                  <c:v>53.50044631958</c:v>
                </c:pt>
                <c:pt idx="215">
                  <c:v>53.750473022460902</c:v>
                </c:pt>
                <c:pt idx="216">
                  <c:v>54.000499725341797</c:v>
                </c:pt>
                <c:pt idx="217">
                  <c:v>54.250499725341797</c:v>
                </c:pt>
                <c:pt idx="218">
                  <c:v>54.500526428222599</c:v>
                </c:pt>
                <c:pt idx="219">
                  <c:v>54.750556945800703</c:v>
                </c:pt>
                <c:pt idx="220">
                  <c:v>55.000583648681598</c:v>
                </c:pt>
                <c:pt idx="221">
                  <c:v>55.250583648681598</c:v>
                </c:pt>
                <c:pt idx="222">
                  <c:v>55.5006103515625</c:v>
                </c:pt>
                <c:pt idx="223">
                  <c:v>55.750637054443303</c:v>
                </c:pt>
                <c:pt idx="224">
                  <c:v>56</c:v>
                </c:pt>
                <c:pt idx="225">
                  <c:v>56.250026702880803</c:v>
                </c:pt>
                <c:pt idx="226">
                  <c:v>56.500057220458899</c:v>
                </c:pt>
                <c:pt idx="227">
                  <c:v>56.750083923339801</c:v>
                </c:pt>
                <c:pt idx="228">
                  <c:v>57.000083923339801</c:v>
                </c:pt>
                <c:pt idx="229">
                  <c:v>57.250110626220703</c:v>
                </c:pt>
                <c:pt idx="230">
                  <c:v>57.500137329101499</c:v>
                </c:pt>
                <c:pt idx="231">
                  <c:v>57.750167846679602</c:v>
                </c:pt>
                <c:pt idx="232">
                  <c:v>58.000167846679602</c:v>
                </c:pt>
                <c:pt idx="233">
                  <c:v>58.250194549560497</c:v>
                </c:pt>
                <c:pt idx="234">
                  <c:v>58.500221252441399</c:v>
                </c:pt>
                <c:pt idx="235">
                  <c:v>58.750251770019503</c:v>
                </c:pt>
                <c:pt idx="236">
                  <c:v>59.000278472900298</c:v>
                </c:pt>
                <c:pt idx="237">
                  <c:v>59.250278472900298</c:v>
                </c:pt>
                <c:pt idx="238">
                  <c:v>59.5003051757812</c:v>
                </c:pt>
                <c:pt idx="239">
                  <c:v>59.750331878662102</c:v>
                </c:pt>
                <c:pt idx="240">
                  <c:v>60.000362396240199</c:v>
                </c:pt>
                <c:pt idx="241">
                  <c:v>60.250389099121001</c:v>
                </c:pt>
                <c:pt idx="242">
                  <c:v>60.500389099121001</c:v>
                </c:pt>
                <c:pt idx="243">
                  <c:v>60.750415802001903</c:v>
                </c:pt>
                <c:pt idx="244">
                  <c:v>61.00044631958</c:v>
                </c:pt>
                <c:pt idx="245">
                  <c:v>61.250473022460902</c:v>
                </c:pt>
                <c:pt idx="246">
                  <c:v>61.500499725341797</c:v>
                </c:pt>
                <c:pt idx="247">
                  <c:v>61.750499725341797</c:v>
                </c:pt>
                <c:pt idx="248">
                  <c:v>62.000526428222599</c:v>
                </c:pt>
                <c:pt idx="249">
                  <c:v>62.250556945800703</c:v>
                </c:pt>
                <c:pt idx="250">
                  <c:v>62.500583648681598</c:v>
                </c:pt>
                <c:pt idx="251">
                  <c:v>62.7506103515625</c:v>
                </c:pt>
                <c:pt idx="252">
                  <c:v>63.0006103515625</c:v>
                </c:pt>
                <c:pt idx="253">
                  <c:v>63.250637054443303</c:v>
                </c:pt>
                <c:pt idx="254">
                  <c:v>63.5</c:v>
                </c:pt>
                <c:pt idx="255">
                  <c:v>63.750026702880803</c:v>
                </c:pt>
                <c:pt idx="256">
                  <c:v>64.000053405761705</c:v>
                </c:pt>
                <c:pt idx="257">
                  <c:v>64.250083923339801</c:v>
                </c:pt>
                <c:pt idx="258">
                  <c:v>64.500083923339801</c:v>
                </c:pt>
                <c:pt idx="259">
                  <c:v>64.750114440917898</c:v>
                </c:pt>
                <c:pt idx="260">
                  <c:v>65.000137329101506</c:v>
                </c:pt>
                <c:pt idx="261">
                  <c:v>65.250167846679602</c:v>
                </c:pt>
                <c:pt idx="262">
                  <c:v>65.500190734863196</c:v>
                </c:pt>
                <c:pt idx="263">
                  <c:v>65.750190734863196</c:v>
                </c:pt>
                <c:pt idx="264">
                  <c:v>66.000221252441406</c:v>
                </c:pt>
                <c:pt idx="265">
                  <c:v>66.250251770019503</c:v>
                </c:pt>
                <c:pt idx="266">
                  <c:v>66.500274658203097</c:v>
                </c:pt>
                <c:pt idx="267">
                  <c:v>66.750305175781193</c:v>
                </c:pt>
                <c:pt idx="268">
                  <c:v>67.000305175781193</c:v>
                </c:pt>
                <c:pt idx="269">
                  <c:v>67.250335693359304</c:v>
                </c:pt>
                <c:pt idx="270">
                  <c:v>67.500358581542898</c:v>
                </c:pt>
                <c:pt idx="271">
                  <c:v>67.750389099120994</c:v>
                </c:pt>
                <c:pt idx="272">
                  <c:v>68.000389099120994</c:v>
                </c:pt>
                <c:pt idx="273">
                  <c:v>68.250419616699205</c:v>
                </c:pt>
                <c:pt idx="274">
                  <c:v>68.500442504882798</c:v>
                </c:pt>
                <c:pt idx="275">
                  <c:v>68.750473022460895</c:v>
                </c:pt>
                <c:pt idx="276">
                  <c:v>69.000503540039006</c:v>
                </c:pt>
                <c:pt idx="277">
                  <c:v>69.250503540039006</c:v>
                </c:pt>
                <c:pt idx="278">
                  <c:v>69.500526428222599</c:v>
                </c:pt>
                <c:pt idx="279">
                  <c:v>69.750556945800696</c:v>
                </c:pt>
                <c:pt idx="280">
                  <c:v>70.000579833984304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70.750640869140597</c:v>
                </c:pt>
                <c:pt idx="284">
                  <c:v>71</c:v>
                </c:pt>
                <c:pt idx="285">
                  <c:v>71.250030517578097</c:v>
                </c:pt>
                <c:pt idx="286">
                  <c:v>71.500053405761705</c:v>
                </c:pt>
                <c:pt idx="287">
                  <c:v>71.750083923339801</c:v>
                </c:pt>
                <c:pt idx="288">
                  <c:v>72.000083923339801</c:v>
                </c:pt>
              </c:numCache>
            </c:numRef>
          </c:xVal>
          <c:yVal>
            <c:numRef>
              <c:f>'SIM1'!$D$11:$D$299</c:f>
              <c:numCache>
                <c:formatCode>General</c:formatCode>
                <c:ptCount val="289"/>
                <c:pt idx="0">
                  <c:v>156.74009704589801</c:v>
                </c:pt>
                <c:pt idx="1">
                  <c:v>156.71960449218699</c:v>
                </c:pt>
                <c:pt idx="2">
                  <c:v>156.80050659179599</c:v>
                </c:pt>
                <c:pt idx="3">
                  <c:v>156.794998168945</c:v>
                </c:pt>
                <c:pt idx="4">
                  <c:v>156.793701171875</c:v>
                </c:pt>
                <c:pt idx="5">
                  <c:v>156.79339599609301</c:v>
                </c:pt>
                <c:pt idx="6">
                  <c:v>156.796295166015</c:v>
                </c:pt>
                <c:pt idx="7">
                  <c:v>156.79449462890599</c:v>
                </c:pt>
                <c:pt idx="8">
                  <c:v>156.79449462890599</c:v>
                </c:pt>
                <c:pt idx="9">
                  <c:v>156.79350280761699</c:v>
                </c:pt>
                <c:pt idx="10">
                  <c:v>156.79379272460901</c:v>
                </c:pt>
                <c:pt idx="11">
                  <c:v>156.74229431152301</c:v>
                </c:pt>
                <c:pt idx="12">
                  <c:v>156.79769897460901</c:v>
                </c:pt>
                <c:pt idx="13">
                  <c:v>156.79460144042901</c:v>
                </c:pt>
                <c:pt idx="14">
                  <c:v>156.79420471191401</c:v>
                </c:pt>
                <c:pt idx="15">
                  <c:v>156.79460144042901</c:v>
                </c:pt>
                <c:pt idx="16">
                  <c:v>156.79429626464801</c:v>
                </c:pt>
                <c:pt idx="17">
                  <c:v>156.79479980468699</c:v>
                </c:pt>
                <c:pt idx="18">
                  <c:v>156.79479980468699</c:v>
                </c:pt>
                <c:pt idx="19">
                  <c:v>156.79490661621</c:v>
                </c:pt>
                <c:pt idx="20">
                  <c:v>156.79490661621</c:v>
                </c:pt>
                <c:pt idx="21">
                  <c:v>156.79479980468699</c:v>
                </c:pt>
                <c:pt idx="22">
                  <c:v>156.79469299316401</c:v>
                </c:pt>
                <c:pt idx="23">
                  <c:v>156.79449462890599</c:v>
                </c:pt>
                <c:pt idx="24">
                  <c:v>156.79429626464801</c:v>
                </c:pt>
                <c:pt idx="25">
                  <c:v>156.79409790039</c:v>
                </c:pt>
                <c:pt idx="26">
                  <c:v>156.79400634765599</c:v>
                </c:pt>
                <c:pt idx="27">
                  <c:v>156.79400634765599</c:v>
                </c:pt>
                <c:pt idx="28">
                  <c:v>156.79409790039</c:v>
                </c:pt>
                <c:pt idx="29">
                  <c:v>156.79420471191401</c:v>
                </c:pt>
                <c:pt idx="30">
                  <c:v>156.79440307617099</c:v>
                </c:pt>
                <c:pt idx="31">
                  <c:v>156.79460144042901</c:v>
                </c:pt>
                <c:pt idx="32">
                  <c:v>156.79469299316401</c:v>
                </c:pt>
                <c:pt idx="33">
                  <c:v>156.79479980468699</c:v>
                </c:pt>
                <c:pt idx="34">
                  <c:v>156.79490661621</c:v>
                </c:pt>
                <c:pt idx="35">
                  <c:v>156.79479980468699</c:v>
                </c:pt>
                <c:pt idx="36">
                  <c:v>156.79469299316401</c:v>
                </c:pt>
                <c:pt idx="37">
                  <c:v>156.79449462890599</c:v>
                </c:pt>
                <c:pt idx="38">
                  <c:v>156.79429626464801</c:v>
                </c:pt>
                <c:pt idx="39">
                  <c:v>156.79409790039</c:v>
                </c:pt>
                <c:pt idx="40">
                  <c:v>156.79400634765599</c:v>
                </c:pt>
                <c:pt idx="41">
                  <c:v>156.79400634765599</c:v>
                </c:pt>
                <c:pt idx="42">
                  <c:v>156.79409790039</c:v>
                </c:pt>
                <c:pt idx="43">
                  <c:v>156.79420471191401</c:v>
                </c:pt>
                <c:pt idx="44">
                  <c:v>156.79440307617099</c:v>
                </c:pt>
                <c:pt idx="45">
                  <c:v>156.79440307617099</c:v>
                </c:pt>
                <c:pt idx="46">
                  <c:v>156.79460144042901</c:v>
                </c:pt>
                <c:pt idx="47">
                  <c:v>156.79469299316401</c:v>
                </c:pt>
                <c:pt idx="48">
                  <c:v>156.79479980468699</c:v>
                </c:pt>
                <c:pt idx="49">
                  <c:v>156.79490661621</c:v>
                </c:pt>
                <c:pt idx="50">
                  <c:v>156.79479980468699</c:v>
                </c:pt>
                <c:pt idx="51">
                  <c:v>156.79469299316401</c:v>
                </c:pt>
                <c:pt idx="52">
                  <c:v>156.79449462890599</c:v>
                </c:pt>
                <c:pt idx="53">
                  <c:v>156.79429626464801</c:v>
                </c:pt>
                <c:pt idx="54">
                  <c:v>156.79409790039</c:v>
                </c:pt>
                <c:pt idx="55">
                  <c:v>156.79400634765599</c:v>
                </c:pt>
                <c:pt idx="56">
                  <c:v>156.79400634765599</c:v>
                </c:pt>
                <c:pt idx="57">
                  <c:v>156.79409790039</c:v>
                </c:pt>
                <c:pt idx="58">
                  <c:v>156.79420471191401</c:v>
                </c:pt>
                <c:pt idx="59">
                  <c:v>156.79440307617099</c:v>
                </c:pt>
                <c:pt idx="60">
                  <c:v>156.79460144042901</c:v>
                </c:pt>
                <c:pt idx="61">
                  <c:v>156.79479980468699</c:v>
                </c:pt>
                <c:pt idx="62">
                  <c:v>156.79490661621</c:v>
                </c:pt>
                <c:pt idx="63">
                  <c:v>156.79490661621</c:v>
                </c:pt>
                <c:pt idx="64">
                  <c:v>156.79479980468699</c:v>
                </c:pt>
                <c:pt idx="65">
                  <c:v>156.79469299316401</c:v>
                </c:pt>
                <c:pt idx="66">
                  <c:v>156.79449462890599</c:v>
                </c:pt>
                <c:pt idx="67">
                  <c:v>156.79429626464801</c:v>
                </c:pt>
                <c:pt idx="68">
                  <c:v>156.79409790039</c:v>
                </c:pt>
                <c:pt idx="69">
                  <c:v>156.79400634765599</c:v>
                </c:pt>
                <c:pt idx="70">
                  <c:v>156.79400634765599</c:v>
                </c:pt>
                <c:pt idx="71">
                  <c:v>156.79409790039</c:v>
                </c:pt>
                <c:pt idx="72">
                  <c:v>156.79420471191401</c:v>
                </c:pt>
                <c:pt idx="73">
                  <c:v>156.79440307617099</c:v>
                </c:pt>
                <c:pt idx="74">
                  <c:v>156.79460144042901</c:v>
                </c:pt>
                <c:pt idx="75">
                  <c:v>156.79460144042901</c:v>
                </c:pt>
                <c:pt idx="76">
                  <c:v>156.79479980468699</c:v>
                </c:pt>
                <c:pt idx="77">
                  <c:v>156.79490661621</c:v>
                </c:pt>
                <c:pt idx="78">
                  <c:v>156.79490661621</c:v>
                </c:pt>
                <c:pt idx="79">
                  <c:v>156.79479980468699</c:v>
                </c:pt>
                <c:pt idx="80">
                  <c:v>156.79469299316401</c:v>
                </c:pt>
                <c:pt idx="81">
                  <c:v>156.79449462890599</c:v>
                </c:pt>
                <c:pt idx="82">
                  <c:v>156.79429626464801</c:v>
                </c:pt>
                <c:pt idx="83">
                  <c:v>156.79409790039</c:v>
                </c:pt>
                <c:pt idx="84">
                  <c:v>156.79400634765599</c:v>
                </c:pt>
                <c:pt idx="85">
                  <c:v>156.79400634765599</c:v>
                </c:pt>
                <c:pt idx="86">
                  <c:v>156.79409790039</c:v>
                </c:pt>
                <c:pt idx="87">
                  <c:v>156.79420471191401</c:v>
                </c:pt>
                <c:pt idx="88">
                  <c:v>156.79440307617099</c:v>
                </c:pt>
                <c:pt idx="89">
                  <c:v>156.79460144042901</c:v>
                </c:pt>
                <c:pt idx="90">
                  <c:v>156.79479980468699</c:v>
                </c:pt>
                <c:pt idx="91">
                  <c:v>156.79490661621</c:v>
                </c:pt>
                <c:pt idx="92">
                  <c:v>156.79490661621</c:v>
                </c:pt>
                <c:pt idx="93">
                  <c:v>156.79479980468699</c:v>
                </c:pt>
                <c:pt idx="94">
                  <c:v>156.79469299316401</c:v>
                </c:pt>
                <c:pt idx="95">
                  <c:v>156.79449462890599</c:v>
                </c:pt>
                <c:pt idx="96">
                  <c:v>156.79429626464801</c:v>
                </c:pt>
                <c:pt idx="97">
                  <c:v>156.79409790039</c:v>
                </c:pt>
                <c:pt idx="98">
                  <c:v>156.79400634765599</c:v>
                </c:pt>
                <c:pt idx="99">
                  <c:v>156.79400634765599</c:v>
                </c:pt>
                <c:pt idx="100">
                  <c:v>156.79409790039</c:v>
                </c:pt>
                <c:pt idx="101">
                  <c:v>156.79420471191401</c:v>
                </c:pt>
                <c:pt idx="102">
                  <c:v>156.79440307617099</c:v>
                </c:pt>
                <c:pt idx="103">
                  <c:v>156.79460144042901</c:v>
                </c:pt>
                <c:pt idx="104">
                  <c:v>156.79479980468699</c:v>
                </c:pt>
                <c:pt idx="105">
                  <c:v>156.79479980468699</c:v>
                </c:pt>
                <c:pt idx="106">
                  <c:v>156.79490661621</c:v>
                </c:pt>
                <c:pt idx="107">
                  <c:v>156.79490661621</c:v>
                </c:pt>
                <c:pt idx="108">
                  <c:v>156.79479980468699</c:v>
                </c:pt>
                <c:pt idx="109">
                  <c:v>156.79469299316401</c:v>
                </c:pt>
                <c:pt idx="110">
                  <c:v>156.79449462890599</c:v>
                </c:pt>
                <c:pt idx="111">
                  <c:v>156.79429626464801</c:v>
                </c:pt>
                <c:pt idx="112">
                  <c:v>156.79409790039</c:v>
                </c:pt>
                <c:pt idx="113">
                  <c:v>156.79400634765599</c:v>
                </c:pt>
                <c:pt idx="114">
                  <c:v>156.79400634765599</c:v>
                </c:pt>
                <c:pt idx="115">
                  <c:v>156.79409790039</c:v>
                </c:pt>
                <c:pt idx="116">
                  <c:v>156.79420471191401</c:v>
                </c:pt>
                <c:pt idx="117">
                  <c:v>156.79440307617099</c:v>
                </c:pt>
                <c:pt idx="118">
                  <c:v>156.79460144042901</c:v>
                </c:pt>
                <c:pt idx="119">
                  <c:v>156.79479980468699</c:v>
                </c:pt>
                <c:pt idx="120">
                  <c:v>156.79490661621</c:v>
                </c:pt>
                <c:pt idx="121">
                  <c:v>156.79490661621</c:v>
                </c:pt>
                <c:pt idx="122">
                  <c:v>156.79479980468699</c:v>
                </c:pt>
                <c:pt idx="123">
                  <c:v>156.79469299316401</c:v>
                </c:pt>
                <c:pt idx="124">
                  <c:v>156.79449462890599</c:v>
                </c:pt>
                <c:pt idx="125">
                  <c:v>156.79429626464801</c:v>
                </c:pt>
                <c:pt idx="126">
                  <c:v>156.79409790039</c:v>
                </c:pt>
                <c:pt idx="127">
                  <c:v>156.79400634765599</c:v>
                </c:pt>
                <c:pt idx="128">
                  <c:v>156.79400634765599</c:v>
                </c:pt>
                <c:pt idx="129">
                  <c:v>156.79409790039</c:v>
                </c:pt>
                <c:pt idx="130">
                  <c:v>156.79420471191401</c:v>
                </c:pt>
                <c:pt idx="131">
                  <c:v>156.79440307617099</c:v>
                </c:pt>
                <c:pt idx="132">
                  <c:v>156.79460144042901</c:v>
                </c:pt>
                <c:pt idx="133">
                  <c:v>156.79479980468699</c:v>
                </c:pt>
                <c:pt idx="134">
                  <c:v>156.79490661621</c:v>
                </c:pt>
                <c:pt idx="135">
                  <c:v>156.79490661621</c:v>
                </c:pt>
                <c:pt idx="136">
                  <c:v>156.79490661621</c:v>
                </c:pt>
                <c:pt idx="137">
                  <c:v>156.79479980468699</c:v>
                </c:pt>
                <c:pt idx="138">
                  <c:v>156.79469299316401</c:v>
                </c:pt>
                <c:pt idx="139">
                  <c:v>156.79449462890599</c:v>
                </c:pt>
                <c:pt idx="140">
                  <c:v>156.79429626464801</c:v>
                </c:pt>
                <c:pt idx="141">
                  <c:v>156.79409790039</c:v>
                </c:pt>
                <c:pt idx="142">
                  <c:v>156.79400634765599</c:v>
                </c:pt>
                <c:pt idx="143">
                  <c:v>156.79400634765599</c:v>
                </c:pt>
                <c:pt idx="144">
                  <c:v>156.79409790039</c:v>
                </c:pt>
                <c:pt idx="145">
                  <c:v>156.79420471191401</c:v>
                </c:pt>
                <c:pt idx="146">
                  <c:v>156.79440307617099</c:v>
                </c:pt>
                <c:pt idx="147">
                  <c:v>156.79460144042901</c:v>
                </c:pt>
                <c:pt idx="148">
                  <c:v>156.79479980468699</c:v>
                </c:pt>
                <c:pt idx="149">
                  <c:v>156.79490661621</c:v>
                </c:pt>
                <c:pt idx="150">
                  <c:v>156.79490661621</c:v>
                </c:pt>
                <c:pt idx="151">
                  <c:v>156.79479980468699</c:v>
                </c:pt>
                <c:pt idx="152">
                  <c:v>156.79469299316401</c:v>
                </c:pt>
                <c:pt idx="153">
                  <c:v>156.79449462890599</c:v>
                </c:pt>
                <c:pt idx="154">
                  <c:v>156.79429626464801</c:v>
                </c:pt>
                <c:pt idx="155">
                  <c:v>156.79409790039</c:v>
                </c:pt>
                <c:pt idx="156">
                  <c:v>156.79400634765599</c:v>
                </c:pt>
                <c:pt idx="157">
                  <c:v>156.79400634765599</c:v>
                </c:pt>
                <c:pt idx="158">
                  <c:v>156.79409790039</c:v>
                </c:pt>
                <c:pt idx="159">
                  <c:v>156.79420471191401</c:v>
                </c:pt>
                <c:pt idx="160">
                  <c:v>156.79440307617099</c:v>
                </c:pt>
                <c:pt idx="161">
                  <c:v>156.79460144042901</c:v>
                </c:pt>
                <c:pt idx="162">
                  <c:v>156.79479980468699</c:v>
                </c:pt>
                <c:pt idx="163">
                  <c:v>156.79490661621</c:v>
                </c:pt>
                <c:pt idx="164">
                  <c:v>156.79490661621</c:v>
                </c:pt>
                <c:pt idx="165">
                  <c:v>156.79490661621</c:v>
                </c:pt>
                <c:pt idx="166">
                  <c:v>156.79479980468699</c:v>
                </c:pt>
                <c:pt idx="167">
                  <c:v>156.79469299316401</c:v>
                </c:pt>
                <c:pt idx="168">
                  <c:v>156.79449462890599</c:v>
                </c:pt>
                <c:pt idx="169">
                  <c:v>156.79429626464801</c:v>
                </c:pt>
                <c:pt idx="170">
                  <c:v>156.79409790039</c:v>
                </c:pt>
                <c:pt idx="171">
                  <c:v>156.79400634765599</c:v>
                </c:pt>
                <c:pt idx="172">
                  <c:v>156.79400634765599</c:v>
                </c:pt>
                <c:pt idx="173">
                  <c:v>156.79409790039</c:v>
                </c:pt>
                <c:pt idx="174">
                  <c:v>156.79420471191401</c:v>
                </c:pt>
                <c:pt idx="175">
                  <c:v>156.79440307617099</c:v>
                </c:pt>
                <c:pt idx="176">
                  <c:v>156.79460144042901</c:v>
                </c:pt>
                <c:pt idx="177">
                  <c:v>156.79479980468699</c:v>
                </c:pt>
                <c:pt idx="178">
                  <c:v>156.79490661621</c:v>
                </c:pt>
                <c:pt idx="179">
                  <c:v>156.79490661621</c:v>
                </c:pt>
                <c:pt idx="180">
                  <c:v>156.79479980468699</c:v>
                </c:pt>
                <c:pt idx="181">
                  <c:v>156.79469299316401</c:v>
                </c:pt>
                <c:pt idx="182">
                  <c:v>156.79449462890599</c:v>
                </c:pt>
                <c:pt idx="183">
                  <c:v>156.79429626464801</c:v>
                </c:pt>
                <c:pt idx="184">
                  <c:v>156.79409790039</c:v>
                </c:pt>
                <c:pt idx="185">
                  <c:v>156.79400634765599</c:v>
                </c:pt>
                <c:pt idx="186">
                  <c:v>156.79400634765599</c:v>
                </c:pt>
                <c:pt idx="187">
                  <c:v>156.79409790039</c:v>
                </c:pt>
                <c:pt idx="188">
                  <c:v>156.79420471191401</c:v>
                </c:pt>
                <c:pt idx="189">
                  <c:v>156.79440307617099</c:v>
                </c:pt>
                <c:pt idx="190">
                  <c:v>156.79460144042901</c:v>
                </c:pt>
                <c:pt idx="191">
                  <c:v>156.79479980468699</c:v>
                </c:pt>
                <c:pt idx="192">
                  <c:v>156.79490661621</c:v>
                </c:pt>
                <c:pt idx="193">
                  <c:v>156.79490661621</c:v>
                </c:pt>
                <c:pt idx="194">
                  <c:v>156.79490661621</c:v>
                </c:pt>
                <c:pt idx="195">
                  <c:v>156.79479980468699</c:v>
                </c:pt>
                <c:pt idx="196">
                  <c:v>156.79469299316401</c:v>
                </c:pt>
                <c:pt idx="197">
                  <c:v>156.79449462890599</c:v>
                </c:pt>
                <c:pt idx="198">
                  <c:v>156.79429626464801</c:v>
                </c:pt>
                <c:pt idx="199">
                  <c:v>156.79409790039</c:v>
                </c:pt>
                <c:pt idx="200">
                  <c:v>156.79400634765599</c:v>
                </c:pt>
                <c:pt idx="201">
                  <c:v>156.79400634765599</c:v>
                </c:pt>
                <c:pt idx="202">
                  <c:v>156.79409790039</c:v>
                </c:pt>
                <c:pt idx="203">
                  <c:v>156.79420471191401</c:v>
                </c:pt>
                <c:pt idx="204">
                  <c:v>156.79440307617099</c:v>
                </c:pt>
                <c:pt idx="205">
                  <c:v>156.79460144042901</c:v>
                </c:pt>
                <c:pt idx="206">
                  <c:v>156.79479980468699</c:v>
                </c:pt>
                <c:pt idx="207">
                  <c:v>156.79490661621</c:v>
                </c:pt>
                <c:pt idx="208">
                  <c:v>156.79490661621</c:v>
                </c:pt>
                <c:pt idx="209">
                  <c:v>156.79479980468699</c:v>
                </c:pt>
                <c:pt idx="210">
                  <c:v>156.79469299316401</c:v>
                </c:pt>
                <c:pt idx="211">
                  <c:v>156.79449462890599</c:v>
                </c:pt>
                <c:pt idx="212">
                  <c:v>156.79429626464801</c:v>
                </c:pt>
                <c:pt idx="213">
                  <c:v>156.79409790039</c:v>
                </c:pt>
                <c:pt idx="214">
                  <c:v>156.79400634765599</c:v>
                </c:pt>
                <c:pt idx="215">
                  <c:v>156.79400634765599</c:v>
                </c:pt>
                <c:pt idx="216">
                  <c:v>156.79409790039</c:v>
                </c:pt>
                <c:pt idx="217">
                  <c:v>156.79420471191401</c:v>
                </c:pt>
                <c:pt idx="218">
                  <c:v>156.79440307617099</c:v>
                </c:pt>
                <c:pt idx="219">
                  <c:v>156.79460144042901</c:v>
                </c:pt>
                <c:pt idx="220">
                  <c:v>156.79479980468699</c:v>
                </c:pt>
                <c:pt idx="221">
                  <c:v>156.79490661621</c:v>
                </c:pt>
                <c:pt idx="222">
                  <c:v>156.79490661621</c:v>
                </c:pt>
                <c:pt idx="223">
                  <c:v>156.79479980468699</c:v>
                </c:pt>
                <c:pt idx="224">
                  <c:v>156.79479980468699</c:v>
                </c:pt>
                <c:pt idx="225">
                  <c:v>156.79469299316401</c:v>
                </c:pt>
                <c:pt idx="226">
                  <c:v>156.79449462890599</c:v>
                </c:pt>
                <c:pt idx="227">
                  <c:v>156.79429626464801</c:v>
                </c:pt>
                <c:pt idx="228">
                  <c:v>156.79409790039</c:v>
                </c:pt>
                <c:pt idx="229">
                  <c:v>156.79400634765599</c:v>
                </c:pt>
                <c:pt idx="230">
                  <c:v>156.79400634765599</c:v>
                </c:pt>
                <c:pt idx="231">
                  <c:v>156.79409790039</c:v>
                </c:pt>
                <c:pt idx="232">
                  <c:v>156.79420471191401</c:v>
                </c:pt>
                <c:pt idx="233">
                  <c:v>156.79440307617099</c:v>
                </c:pt>
                <c:pt idx="234">
                  <c:v>156.79460144042901</c:v>
                </c:pt>
                <c:pt idx="235">
                  <c:v>156.79479980468699</c:v>
                </c:pt>
                <c:pt idx="236">
                  <c:v>156.79490661621</c:v>
                </c:pt>
                <c:pt idx="237">
                  <c:v>156.79490661621</c:v>
                </c:pt>
                <c:pt idx="238">
                  <c:v>156.79479980468699</c:v>
                </c:pt>
                <c:pt idx="239">
                  <c:v>156.79469299316401</c:v>
                </c:pt>
                <c:pt idx="240">
                  <c:v>156.79449462890599</c:v>
                </c:pt>
                <c:pt idx="241">
                  <c:v>156.79429626464801</c:v>
                </c:pt>
                <c:pt idx="242">
                  <c:v>156.79409790039</c:v>
                </c:pt>
                <c:pt idx="243">
                  <c:v>156.79400634765599</c:v>
                </c:pt>
                <c:pt idx="244">
                  <c:v>156.79400634765599</c:v>
                </c:pt>
                <c:pt idx="245">
                  <c:v>156.79409790039</c:v>
                </c:pt>
                <c:pt idx="246">
                  <c:v>156.79420471191401</c:v>
                </c:pt>
                <c:pt idx="247">
                  <c:v>156.79440307617099</c:v>
                </c:pt>
                <c:pt idx="248">
                  <c:v>156.79460144042901</c:v>
                </c:pt>
                <c:pt idx="249">
                  <c:v>156.79479980468699</c:v>
                </c:pt>
                <c:pt idx="250">
                  <c:v>156.79490661621</c:v>
                </c:pt>
                <c:pt idx="251">
                  <c:v>156.79490661621</c:v>
                </c:pt>
                <c:pt idx="252">
                  <c:v>156.79479980468699</c:v>
                </c:pt>
                <c:pt idx="253">
                  <c:v>156.79469299316401</c:v>
                </c:pt>
                <c:pt idx="254">
                  <c:v>156.79469299316401</c:v>
                </c:pt>
                <c:pt idx="255">
                  <c:v>156.79449462890599</c:v>
                </c:pt>
                <c:pt idx="256">
                  <c:v>156.79429626464801</c:v>
                </c:pt>
                <c:pt idx="257">
                  <c:v>156.79409790039</c:v>
                </c:pt>
                <c:pt idx="258">
                  <c:v>156.79400634765599</c:v>
                </c:pt>
                <c:pt idx="259">
                  <c:v>156.79400634765599</c:v>
                </c:pt>
                <c:pt idx="260">
                  <c:v>156.79409790039</c:v>
                </c:pt>
                <c:pt idx="261">
                  <c:v>156.79420471191401</c:v>
                </c:pt>
                <c:pt idx="262">
                  <c:v>156.79440307617099</c:v>
                </c:pt>
                <c:pt idx="263">
                  <c:v>156.79460144042901</c:v>
                </c:pt>
                <c:pt idx="264">
                  <c:v>156.79479980468699</c:v>
                </c:pt>
                <c:pt idx="265">
                  <c:v>156.79490661621</c:v>
                </c:pt>
                <c:pt idx="266">
                  <c:v>156.79490661621</c:v>
                </c:pt>
                <c:pt idx="267">
                  <c:v>156.79479980468699</c:v>
                </c:pt>
                <c:pt idx="268">
                  <c:v>156.79469299316401</c:v>
                </c:pt>
                <c:pt idx="269">
                  <c:v>156.79449462890599</c:v>
                </c:pt>
                <c:pt idx="270">
                  <c:v>156.79429626464801</c:v>
                </c:pt>
                <c:pt idx="271">
                  <c:v>156.79409790039</c:v>
                </c:pt>
                <c:pt idx="272">
                  <c:v>156.79400634765599</c:v>
                </c:pt>
                <c:pt idx="273">
                  <c:v>156.79400634765599</c:v>
                </c:pt>
                <c:pt idx="274">
                  <c:v>156.79409790039</c:v>
                </c:pt>
                <c:pt idx="275">
                  <c:v>156.79420471191401</c:v>
                </c:pt>
                <c:pt idx="276">
                  <c:v>156.79440307617099</c:v>
                </c:pt>
                <c:pt idx="277">
                  <c:v>156.79460144042901</c:v>
                </c:pt>
                <c:pt idx="278">
                  <c:v>156.79479980468699</c:v>
                </c:pt>
                <c:pt idx="279">
                  <c:v>156.79490661621</c:v>
                </c:pt>
                <c:pt idx="280">
                  <c:v>156.79490661621</c:v>
                </c:pt>
                <c:pt idx="281">
                  <c:v>156.79479980468699</c:v>
                </c:pt>
                <c:pt idx="282">
                  <c:v>156.79469299316401</c:v>
                </c:pt>
                <c:pt idx="283">
                  <c:v>156.79449462890599</c:v>
                </c:pt>
                <c:pt idx="284">
                  <c:v>156.79449462890599</c:v>
                </c:pt>
                <c:pt idx="285">
                  <c:v>156.79429626464801</c:v>
                </c:pt>
                <c:pt idx="286">
                  <c:v>156.79409790039</c:v>
                </c:pt>
                <c:pt idx="287">
                  <c:v>156.79400634765599</c:v>
                </c:pt>
                <c:pt idx="288">
                  <c:v>156.79400634765599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1-4556-BA19-07FA031B28C1}"/>
            </c:ext>
          </c:extLst>
        </c:ser>
        <c:ser>
          <c:idx val="1"/>
          <c:order val="1"/>
          <c:tx>
            <c:strRef>
              <c:f>Legends!$B$3</c:f>
              <c:strCache>
                <c:ptCount val="1"/>
                <c:pt idx="0">
                  <c:v>Pressure downstream choke</c:v>
                </c:pt>
              </c:strCache>
            </c:strRef>
          </c:tx>
          <c:marker>
            <c:symbol val="none"/>
          </c:marker>
          <c:xVal>
            <c:numRef>
              <c:f>'SIM1'!$B$11:$B$299</c:f>
              <c:numCache>
                <c:formatCode>General</c:formatCode>
                <c:ptCount val="289"/>
                <c:pt idx="0">
                  <c:v>0</c:v>
                </c:pt>
                <c:pt idx="1">
                  <c:v>0.25039237737655601</c:v>
                </c:pt>
                <c:pt idx="2">
                  <c:v>0.500002801418304</c:v>
                </c:pt>
                <c:pt idx="3">
                  <c:v>0.750080525875091</c:v>
                </c:pt>
                <c:pt idx="4">
                  <c:v>1.00001060962677</c:v>
                </c:pt>
                <c:pt idx="5">
                  <c:v>1.2502125501632599</c:v>
                </c:pt>
                <c:pt idx="6">
                  <c:v>1.5001511573791499</c:v>
                </c:pt>
                <c:pt idx="7">
                  <c:v>1.75008249282836</c:v>
                </c:pt>
                <c:pt idx="8">
                  <c:v>2.0003707408904998</c:v>
                </c:pt>
                <c:pt idx="9">
                  <c:v>2.25034308433532</c:v>
                </c:pt>
                <c:pt idx="10">
                  <c:v>2.5000836849212602</c:v>
                </c:pt>
                <c:pt idx="11">
                  <c:v>2.7502522468566801</c:v>
                </c:pt>
                <c:pt idx="12">
                  <c:v>3.0002167224884002</c:v>
                </c:pt>
                <c:pt idx="13">
                  <c:v>3.2504360675811701</c:v>
                </c:pt>
                <c:pt idx="14">
                  <c:v>3.5000584125518799</c:v>
                </c:pt>
                <c:pt idx="15">
                  <c:v>3.7503638267517001</c:v>
                </c:pt>
                <c:pt idx="16">
                  <c:v>4.0006694793701101</c:v>
                </c:pt>
                <c:pt idx="17">
                  <c:v>4.2506084442138601</c:v>
                </c:pt>
                <c:pt idx="18">
                  <c:v>4.5000805854797301</c:v>
                </c:pt>
                <c:pt idx="19">
                  <c:v>4.7501029968261701</c:v>
                </c:pt>
                <c:pt idx="20">
                  <c:v>5.0001249313354403</c:v>
                </c:pt>
                <c:pt idx="21">
                  <c:v>5.2501473426818803</c:v>
                </c:pt>
                <c:pt idx="22">
                  <c:v>5.5001692771911603</c:v>
                </c:pt>
                <c:pt idx="23">
                  <c:v>5.7501916885375897</c:v>
                </c:pt>
                <c:pt idx="24">
                  <c:v>6.0002140998840297</c:v>
                </c:pt>
                <c:pt idx="25">
                  <c:v>6.2502360343933097</c:v>
                </c:pt>
                <c:pt idx="26">
                  <c:v>6.5002555847167898</c:v>
                </c:pt>
                <c:pt idx="27">
                  <c:v>6.7502779960632298</c:v>
                </c:pt>
                <c:pt idx="28">
                  <c:v>7.0002999305725098</c:v>
                </c:pt>
                <c:pt idx="29">
                  <c:v>7.25032234191894</c:v>
                </c:pt>
                <c:pt idx="30">
                  <c:v>7.50034427642822</c:v>
                </c:pt>
                <c:pt idx="31">
                  <c:v>7.7503666877746502</c:v>
                </c:pt>
                <c:pt idx="32">
                  <c:v>8.0003890991210902</c:v>
                </c:pt>
                <c:pt idx="33">
                  <c:v>8.2504110336303693</c:v>
                </c:pt>
                <c:pt idx="34">
                  <c:v>8.5004329681396396</c:v>
                </c:pt>
                <c:pt idx="35">
                  <c:v>8.7504558563232404</c:v>
                </c:pt>
                <c:pt idx="36">
                  <c:v>9.0004777908325195</c:v>
                </c:pt>
                <c:pt idx="37">
                  <c:v>9.2504997253417898</c:v>
                </c:pt>
                <c:pt idx="38">
                  <c:v>9.5005226135253906</c:v>
                </c:pt>
                <c:pt idx="39">
                  <c:v>9.7505445480346609</c:v>
                </c:pt>
                <c:pt idx="40">
                  <c:v>10.000566482543899</c:v>
                </c:pt>
                <c:pt idx="41">
                  <c:v>10.2505884170532</c:v>
                </c:pt>
                <c:pt idx="42">
                  <c:v>10.5006084442138</c:v>
                </c:pt>
                <c:pt idx="43">
                  <c:v>10.7506303787231</c:v>
                </c:pt>
                <c:pt idx="44">
                  <c:v>11.000652313232401</c:v>
                </c:pt>
                <c:pt idx="45">
                  <c:v>11.250016212463301</c:v>
                </c:pt>
                <c:pt idx="46">
                  <c:v>11.5000391006469</c:v>
                </c:pt>
                <c:pt idx="47">
                  <c:v>11.7500610351562</c:v>
                </c:pt>
                <c:pt idx="48">
                  <c:v>12.000082969665501</c:v>
                </c:pt>
                <c:pt idx="49">
                  <c:v>12.2501058578491</c:v>
                </c:pt>
                <c:pt idx="50">
                  <c:v>12.500124931335399</c:v>
                </c:pt>
                <c:pt idx="51">
                  <c:v>12.7501468658447</c:v>
                </c:pt>
                <c:pt idx="52">
                  <c:v>13.000169754028301</c:v>
                </c:pt>
                <c:pt idx="53">
                  <c:v>13.250191688537599</c:v>
                </c:pt>
                <c:pt idx="54">
                  <c:v>13.5002136230468</c:v>
                </c:pt>
                <c:pt idx="55">
                  <c:v>13.750236511230399</c:v>
                </c:pt>
                <c:pt idx="56">
                  <c:v>14.0002584457397</c:v>
                </c:pt>
                <c:pt idx="57">
                  <c:v>14.250280380249</c:v>
                </c:pt>
                <c:pt idx="58">
                  <c:v>14.500302314758301</c:v>
                </c:pt>
                <c:pt idx="59">
                  <c:v>14.7503252029418</c:v>
                </c:pt>
                <c:pt idx="60">
                  <c:v>15.000347137451101</c:v>
                </c:pt>
                <c:pt idx="61">
                  <c:v>15.250369071960399</c:v>
                </c:pt>
                <c:pt idx="62">
                  <c:v>15.500391960144</c:v>
                </c:pt>
                <c:pt idx="63">
                  <c:v>15.750413894653301</c:v>
                </c:pt>
                <c:pt idx="64">
                  <c:v>16.0004367828369</c:v>
                </c:pt>
                <c:pt idx="65">
                  <c:v>16.2504558563232</c:v>
                </c:pt>
                <c:pt idx="66">
                  <c:v>16.5004768371582</c:v>
                </c:pt>
                <c:pt idx="67">
                  <c:v>16.7504997253418</c:v>
                </c:pt>
                <c:pt idx="68">
                  <c:v>17.000522613525298</c:v>
                </c:pt>
                <c:pt idx="69">
                  <c:v>17.250543594360298</c:v>
                </c:pt>
                <c:pt idx="70">
                  <c:v>17.500566482543899</c:v>
                </c:pt>
                <c:pt idx="71">
                  <c:v>17.7505893707275</c:v>
                </c:pt>
                <c:pt idx="72">
                  <c:v>18.0006103515625</c:v>
                </c:pt>
                <c:pt idx="73">
                  <c:v>18.250633239746001</c:v>
                </c:pt>
                <c:pt idx="74">
                  <c:v>18.500656127929599</c:v>
                </c:pt>
                <c:pt idx="75">
                  <c:v>18.750017166137699</c:v>
                </c:pt>
                <c:pt idx="76">
                  <c:v>19.000038146972599</c:v>
                </c:pt>
                <c:pt idx="77">
                  <c:v>19.2500610351562</c:v>
                </c:pt>
                <c:pt idx="78">
                  <c:v>19.500083923339801</c:v>
                </c:pt>
                <c:pt idx="79">
                  <c:v>19.750104904174801</c:v>
                </c:pt>
                <c:pt idx="80">
                  <c:v>20.000127792358398</c:v>
                </c:pt>
                <c:pt idx="81">
                  <c:v>20.2501506805419</c:v>
                </c:pt>
                <c:pt idx="82">
                  <c:v>20.5001716613769</c:v>
                </c:pt>
                <c:pt idx="83">
                  <c:v>20.750194549560501</c:v>
                </c:pt>
                <c:pt idx="84">
                  <c:v>21.000217437744102</c:v>
                </c:pt>
                <c:pt idx="85">
                  <c:v>21.250238418579102</c:v>
                </c:pt>
                <c:pt idx="86">
                  <c:v>21.500261306762699</c:v>
                </c:pt>
                <c:pt idx="87">
                  <c:v>21.7502841949462</c:v>
                </c:pt>
                <c:pt idx="88">
                  <c:v>22.000303268432599</c:v>
                </c:pt>
                <c:pt idx="89">
                  <c:v>22.2503242492675</c:v>
                </c:pt>
                <c:pt idx="90">
                  <c:v>22.500347137451101</c:v>
                </c:pt>
                <c:pt idx="91">
                  <c:v>22.750370025634702</c:v>
                </c:pt>
                <c:pt idx="92">
                  <c:v>23.000391006469702</c:v>
                </c:pt>
                <c:pt idx="93">
                  <c:v>23.250413894653299</c:v>
                </c:pt>
                <c:pt idx="94">
                  <c:v>23.5004367828369</c:v>
                </c:pt>
                <c:pt idx="95">
                  <c:v>23.7504577636718</c:v>
                </c:pt>
                <c:pt idx="96">
                  <c:v>24.000480651855401</c:v>
                </c:pt>
                <c:pt idx="97">
                  <c:v>24.250503540038999</c:v>
                </c:pt>
                <c:pt idx="98">
                  <c:v>24.500524520873999</c:v>
                </c:pt>
                <c:pt idx="99">
                  <c:v>24.750547409057599</c:v>
                </c:pt>
                <c:pt idx="100">
                  <c:v>25.0005702972412</c:v>
                </c:pt>
                <c:pt idx="101">
                  <c:v>25.250591278076101</c:v>
                </c:pt>
                <c:pt idx="102">
                  <c:v>25.500614166259702</c:v>
                </c:pt>
                <c:pt idx="103">
                  <c:v>25.750637054443299</c:v>
                </c:pt>
                <c:pt idx="104">
                  <c:v>26.000656127929599</c:v>
                </c:pt>
                <c:pt idx="105">
                  <c:v>26.2500190734863</c:v>
                </c:pt>
                <c:pt idx="106">
                  <c:v>26.500041961669901</c:v>
                </c:pt>
                <c:pt idx="107">
                  <c:v>26.750062942504801</c:v>
                </c:pt>
                <c:pt idx="108">
                  <c:v>27.000085830688398</c:v>
                </c:pt>
                <c:pt idx="109">
                  <c:v>27.250108718871999</c:v>
                </c:pt>
                <c:pt idx="110">
                  <c:v>27.500129699706999</c:v>
                </c:pt>
                <c:pt idx="111">
                  <c:v>27.7501525878906</c:v>
                </c:pt>
                <c:pt idx="112">
                  <c:v>28.000165939331001</c:v>
                </c:pt>
                <c:pt idx="113">
                  <c:v>28.250194549560501</c:v>
                </c:pt>
                <c:pt idx="114">
                  <c:v>28.50022315979</c:v>
                </c:pt>
                <c:pt idx="115">
                  <c:v>28.750249862670898</c:v>
                </c:pt>
                <c:pt idx="116">
                  <c:v>29.000249862670898</c:v>
                </c:pt>
                <c:pt idx="117">
                  <c:v>29.250278472900298</c:v>
                </c:pt>
                <c:pt idx="118">
                  <c:v>29.5003051757812</c:v>
                </c:pt>
                <c:pt idx="119">
                  <c:v>29.7503337860107</c:v>
                </c:pt>
                <c:pt idx="120">
                  <c:v>30.000360488891602</c:v>
                </c:pt>
                <c:pt idx="121">
                  <c:v>30.250360488891602</c:v>
                </c:pt>
                <c:pt idx="122">
                  <c:v>30.500389099121001</c:v>
                </c:pt>
                <c:pt idx="123">
                  <c:v>30.7504158020019</c:v>
                </c:pt>
                <c:pt idx="124">
                  <c:v>31.000444412231399</c:v>
                </c:pt>
                <c:pt idx="125">
                  <c:v>31.250473022460898</c:v>
                </c:pt>
                <c:pt idx="126">
                  <c:v>31.500473022460898</c:v>
                </c:pt>
                <c:pt idx="127">
                  <c:v>31.7504997253418</c:v>
                </c:pt>
                <c:pt idx="128">
                  <c:v>32.000526428222599</c:v>
                </c:pt>
                <c:pt idx="129">
                  <c:v>32.250556945800703</c:v>
                </c:pt>
                <c:pt idx="130">
                  <c:v>32.500583648681598</c:v>
                </c:pt>
                <c:pt idx="131">
                  <c:v>32.750583648681598</c:v>
                </c:pt>
                <c:pt idx="132">
                  <c:v>33.0006103515625</c:v>
                </c:pt>
                <c:pt idx="133">
                  <c:v>33.250637054443303</c:v>
                </c:pt>
                <c:pt idx="134">
                  <c:v>33.500667572021399</c:v>
                </c:pt>
                <c:pt idx="135">
                  <c:v>33.750026702880803</c:v>
                </c:pt>
                <c:pt idx="136">
                  <c:v>34.000057220458899</c:v>
                </c:pt>
                <c:pt idx="137">
                  <c:v>34.250057220458899</c:v>
                </c:pt>
                <c:pt idx="138">
                  <c:v>34.500083923339801</c:v>
                </c:pt>
                <c:pt idx="139">
                  <c:v>34.750110626220703</c:v>
                </c:pt>
                <c:pt idx="140">
                  <c:v>35.000137329101499</c:v>
                </c:pt>
                <c:pt idx="141">
                  <c:v>35.250167846679602</c:v>
                </c:pt>
                <c:pt idx="142">
                  <c:v>35.500167846679602</c:v>
                </c:pt>
                <c:pt idx="143">
                  <c:v>35.750194549560497</c:v>
                </c:pt>
                <c:pt idx="144">
                  <c:v>36.000221252441399</c:v>
                </c:pt>
                <c:pt idx="145">
                  <c:v>36.250251770019503</c:v>
                </c:pt>
                <c:pt idx="146">
                  <c:v>36.500251770019503</c:v>
                </c:pt>
                <c:pt idx="147">
                  <c:v>36.750278472900298</c:v>
                </c:pt>
                <c:pt idx="148">
                  <c:v>37.0003051757812</c:v>
                </c:pt>
                <c:pt idx="149">
                  <c:v>37.250331878662102</c:v>
                </c:pt>
                <c:pt idx="150">
                  <c:v>37.500362396240199</c:v>
                </c:pt>
                <c:pt idx="151">
                  <c:v>37.750362396240199</c:v>
                </c:pt>
                <c:pt idx="152">
                  <c:v>38.000389099121001</c:v>
                </c:pt>
                <c:pt idx="153">
                  <c:v>38.250415802001903</c:v>
                </c:pt>
                <c:pt idx="154">
                  <c:v>38.50044631958</c:v>
                </c:pt>
                <c:pt idx="155">
                  <c:v>38.750473022460902</c:v>
                </c:pt>
                <c:pt idx="156">
                  <c:v>39.000473022460902</c:v>
                </c:pt>
                <c:pt idx="157">
                  <c:v>39.250499725341797</c:v>
                </c:pt>
                <c:pt idx="158">
                  <c:v>39.500526428222599</c:v>
                </c:pt>
                <c:pt idx="159">
                  <c:v>39.750556945800703</c:v>
                </c:pt>
                <c:pt idx="160">
                  <c:v>40.000583648681598</c:v>
                </c:pt>
                <c:pt idx="161">
                  <c:v>40.250583648681598</c:v>
                </c:pt>
                <c:pt idx="162">
                  <c:v>40.5006103515625</c:v>
                </c:pt>
                <c:pt idx="163">
                  <c:v>40.750637054443303</c:v>
                </c:pt>
                <c:pt idx="164">
                  <c:v>41</c:v>
                </c:pt>
                <c:pt idx="165">
                  <c:v>41.250026702880803</c:v>
                </c:pt>
                <c:pt idx="166">
                  <c:v>41.500057220458899</c:v>
                </c:pt>
                <c:pt idx="167">
                  <c:v>41.750057220458899</c:v>
                </c:pt>
                <c:pt idx="168">
                  <c:v>42.000083923339801</c:v>
                </c:pt>
                <c:pt idx="169">
                  <c:v>42.250110626220703</c:v>
                </c:pt>
                <c:pt idx="170">
                  <c:v>42.500137329101499</c:v>
                </c:pt>
                <c:pt idx="171">
                  <c:v>42.750167846679602</c:v>
                </c:pt>
                <c:pt idx="172">
                  <c:v>43.000167846679602</c:v>
                </c:pt>
                <c:pt idx="173">
                  <c:v>43.250194549560497</c:v>
                </c:pt>
                <c:pt idx="174">
                  <c:v>43.500221252441399</c:v>
                </c:pt>
                <c:pt idx="175">
                  <c:v>43.750251770019503</c:v>
                </c:pt>
                <c:pt idx="176">
                  <c:v>44.000278472900298</c:v>
                </c:pt>
                <c:pt idx="177">
                  <c:v>44.250278472900298</c:v>
                </c:pt>
                <c:pt idx="178">
                  <c:v>44.5003051757812</c:v>
                </c:pt>
                <c:pt idx="179">
                  <c:v>44.750331878662102</c:v>
                </c:pt>
                <c:pt idx="180">
                  <c:v>45.000362396240199</c:v>
                </c:pt>
                <c:pt idx="181">
                  <c:v>45.250389099121001</c:v>
                </c:pt>
                <c:pt idx="182">
                  <c:v>45.500389099121001</c:v>
                </c:pt>
                <c:pt idx="183">
                  <c:v>45.750415802001903</c:v>
                </c:pt>
                <c:pt idx="184">
                  <c:v>46.00044631958</c:v>
                </c:pt>
                <c:pt idx="185">
                  <c:v>46.250473022460902</c:v>
                </c:pt>
                <c:pt idx="186">
                  <c:v>46.500473022460902</c:v>
                </c:pt>
                <c:pt idx="187">
                  <c:v>46.750499725341797</c:v>
                </c:pt>
                <c:pt idx="188">
                  <c:v>47.000526428222599</c:v>
                </c:pt>
                <c:pt idx="189">
                  <c:v>47.250556945800703</c:v>
                </c:pt>
                <c:pt idx="190">
                  <c:v>47.500583648681598</c:v>
                </c:pt>
                <c:pt idx="191">
                  <c:v>47.750583648681598</c:v>
                </c:pt>
                <c:pt idx="192">
                  <c:v>48.0006103515625</c:v>
                </c:pt>
                <c:pt idx="193">
                  <c:v>48.250637054443303</c:v>
                </c:pt>
                <c:pt idx="194">
                  <c:v>48.5</c:v>
                </c:pt>
                <c:pt idx="195">
                  <c:v>48.750026702880803</c:v>
                </c:pt>
                <c:pt idx="196">
                  <c:v>49.000057220458899</c:v>
                </c:pt>
                <c:pt idx="197">
                  <c:v>49.250057220458899</c:v>
                </c:pt>
                <c:pt idx="198">
                  <c:v>49.500083923339801</c:v>
                </c:pt>
                <c:pt idx="199">
                  <c:v>49.750110626220703</c:v>
                </c:pt>
                <c:pt idx="200">
                  <c:v>50.000137329101499</c:v>
                </c:pt>
                <c:pt idx="201">
                  <c:v>50.250167846679602</c:v>
                </c:pt>
                <c:pt idx="202">
                  <c:v>50.500167846679602</c:v>
                </c:pt>
                <c:pt idx="203">
                  <c:v>50.750194549560497</c:v>
                </c:pt>
                <c:pt idx="204">
                  <c:v>51.000221252441399</c:v>
                </c:pt>
                <c:pt idx="205">
                  <c:v>51.250251770019503</c:v>
                </c:pt>
                <c:pt idx="206">
                  <c:v>51.500278472900298</c:v>
                </c:pt>
                <c:pt idx="207">
                  <c:v>51.750278472900298</c:v>
                </c:pt>
                <c:pt idx="208">
                  <c:v>52.0003051757812</c:v>
                </c:pt>
                <c:pt idx="209">
                  <c:v>52.250331878662102</c:v>
                </c:pt>
                <c:pt idx="210">
                  <c:v>52.500362396240199</c:v>
                </c:pt>
                <c:pt idx="211">
                  <c:v>52.750389099121001</c:v>
                </c:pt>
                <c:pt idx="212">
                  <c:v>53.000389099121001</c:v>
                </c:pt>
                <c:pt idx="213">
                  <c:v>53.250415802001903</c:v>
                </c:pt>
                <c:pt idx="214">
                  <c:v>53.50044631958</c:v>
                </c:pt>
                <c:pt idx="215">
                  <c:v>53.750473022460902</c:v>
                </c:pt>
                <c:pt idx="216">
                  <c:v>54.000499725341797</c:v>
                </c:pt>
                <c:pt idx="217">
                  <c:v>54.250499725341797</c:v>
                </c:pt>
                <c:pt idx="218">
                  <c:v>54.500526428222599</c:v>
                </c:pt>
                <c:pt idx="219">
                  <c:v>54.750556945800703</c:v>
                </c:pt>
                <c:pt idx="220">
                  <c:v>55.000583648681598</c:v>
                </c:pt>
                <c:pt idx="221">
                  <c:v>55.250583648681598</c:v>
                </c:pt>
                <c:pt idx="222">
                  <c:v>55.5006103515625</c:v>
                </c:pt>
                <c:pt idx="223">
                  <c:v>55.750637054443303</c:v>
                </c:pt>
                <c:pt idx="224">
                  <c:v>56</c:v>
                </c:pt>
                <c:pt idx="225">
                  <c:v>56.250026702880803</c:v>
                </c:pt>
                <c:pt idx="226">
                  <c:v>56.500057220458899</c:v>
                </c:pt>
                <c:pt idx="227">
                  <c:v>56.750083923339801</c:v>
                </c:pt>
                <c:pt idx="228">
                  <c:v>57.000083923339801</c:v>
                </c:pt>
                <c:pt idx="229">
                  <c:v>57.250110626220703</c:v>
                </c:pt>
                <c:pt idx="230">
                  <c:v>57.500137329101499</c:v>
                </c:pt>
                <c:pt idx="231">
                  <c:v>57.750167846679602</c:v>
                </c:pt>
                <c:pt idx="232">
                  <c:v>58.000167846679602</c:v>
                </c:pt>
                <c:pt idx="233">
                  <c:v>58.250194549560497</c:v>
                </c:pt>
                <c:pt idx="234">
                  <c:v>58.500221252441399</c:v>
                </c:pt>
                <c:pt idx="235">
                  <c:v>58.750251770019503</c:v>
                </c:pt>
                <c:pt idx="236">
                  <c:v>59.000278472900298</c:v>
                </c:pt>
                <c:pt idx="237">
                  <c:v>59.250278472900298</c:v>
                </c:pt>
                <c:pt idx="238">
                  <c:v>59.5003051757812</c:v>
                </c:pt>
                <c:pt idx="239">
                  <c:v>59.750331878662102</c:v>
                </c:pt>
                <c:pt idx="240">
                  <c:v>60.000362396240199</c:v>
                </c:pt>
                <c:pt idx="241">
                  <c:v>60.250389099121001</c:v>
                </c:pt>
                <c:pt idx="242">
                  <c:v>60.500389099121001</c:v>
                </c:pt>
                <c:pt idx="243">
                  <c:v>60.750415802001903</c:v>
                </c:pt>
                <c:pt idx="244">
                  <c:v>61.00044631958</c:v>
                </c:pt>
                <c:pt idx="245">
                  <c:v>61.250473022460902</c:v>
                </c:pt>
                <c:pt idx="246">
                  <c:v>61.500499725341797</c:v>
                </c:pt>
                <c:pt idx="247">
                  <c:v>61.750499725341797</c:v>
                </c:pt>
                <c:pt idx="248">
                  <c:v>62.000526428222599</c:v>
                </c:pt>
                <c:pt idx="249">
                  <c:v>62.250556945800703</c:v>
                </c:pt>
                <c:pt idx="250">
                  <c:v>62.500583648681598</c:v>
                </c:pt>
                <c:pt idx="251">
                  <c:v>62.7506103515625</c:v>
                </c:pt>
                <c:pt idx="252">
                  <c:v>63.0006103515625</c:v>
                </c:pt>
                <c:pt idx="253">
                  <c:v>63.250637054443303</c:v>
                </c:pt>
                <c:pt idx="254">
                  <c:v>63.5</c:v>
                </c:pt>
                <c:pt idx="255">
                  <c:v>63.750026702880803</c:v>
                </c:pt>
                <c:pt idx="256">
                  <c:v>64.000053405761705</c:v>
                </c:pt>
                <c:pt idx="257">
                  <c:v>64.250083923339801</c:v>
                </c:pt>
                <c:pt idx="258">
                  <c:v>64.500083923339801</c:v>
                </c:pt>
                <c:pt idx="259">
                  <c:v>64.750114440917898</c:v>
                </c:pt>
                <c:pt idx="260">
                  <c:v>65.000137329101506</c:v>
                </c:pt>
                <c:pt idx="261">
                  <c:v>65.250167846679602</c:v>
                </c:pt>
                <c:pt idx="262">
                  <c:v>65.500190734863196</c:v>
                </c:pt>
                <c:pt idx="263">
                  <c:v>65.750190734863196</c:v>
                </c:pt>
                <c:pt idx="264">
                  <c:v>66.000221252441406</c:v>
                </c:pt>
                <c:pt idx="265">
                  <c:v>66.250251770019503</c:v>
                </c:pt>
                <c:pt idx="266">
                  <c:v>66.500274658203097</c:v>
                </c:pt>
                <c:pt idx="267">
                  <c:v>66.750305175781193</c:v>
                </c:pt>
                <c:pt idx="268">
                  <c:v>67.000305175781193</c:v>
                </c:pt>
                <c:pt idx="269">
                  <c:v>67.250335693359304</c:v>
                </c:pt>
                <c:pt idx="270">
                  <c:v>67.500358581542898</c:v>
                </c:pt>
                <c:pt idx="271">
                  <c:v>67.750389099120994</c:v>
                </c:pt>
                <c:pt idx="272">
                  <c:v>68.000389099120994</c:v>
                </c:pt>
                <c:pt idx="273">
                  <c:v>68.250419616699205</c:v>
                </c:pt>
                <c:pt idx="274">
                  <c:v>68.500442504882798</c:v>
                </c:pt>
                <c:pt idx="275">
                  <c:v>68.750473022460895</c:v>
                </c:pt>
                <c:pt idx="276">
                  <c:v>69.000503540039006</c:v>
                </c:pt>
                <c:pt idx="277">
                  <c:v>69.250503540039006</c:v>
                </c:pt>
                <c:pt idx="278">
                  <c:v>69.500526428222599</c:v>
                </c:pt>
                <c:pt idx="279">
                  <c:v>69.750556945800696</c:v>
                </c:pt>
                <c:pt idx="280">
                  <c:v>70.000579833984304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70.750640869140597</c:v>
                </c:pt>
                <c:pt idx="284">
                  <c:v>71</c:v>
                </c:pt>
                <c:pt idx="285">
                  <c:v>71.250030517578097</c:v>
                </c:pt>
                <c:pt idx="286">
                  <c:v>71.500053405761705</c:v>
                </c:pt>
                <c:pt idx="287">
                  <c:v>71.750083923339801</c:v>
                </c:pt>
                <c:pt idx="288">
                  <c:v>72.000083923339801</c:v>
                </c:pt>
              </c:numCache>
            </c:numRef>
          </c:xVal>
          <c:yVal>
            <c:numRef>
              <c:f>'SIM1'!$E$11:$E$299</c:f>
              <c:numCache>
                <c:formatCode>General</c:formatCode>
                <c:ptCount val="289"/>
                <c:pt idx="0">
                  <c:v>49.829238891601499</c:v>
                </c:pt>
                <c:pt idx="1">
                  <c:v>40.901329040527301</c:v>
                </c:pt>
                <c:pt idx="2">
                  <c:v>37.019081115722599</c:v>
                </c:pt>
                <c:pt idx="3">
                  <c:v>37.356361389160099</c:v>
                </c:pt>
                <c:pt idx="4">
                  <c:v>36.276641845703097</c:v>
                </c:pt>
                <c:pt idx="5">
                  <c:v>42.796398162841797</c:v>
                </c:pt>
                <c:pt idx="6">
                  <c:v>53.872589111328097</c:v>
                </c:pt>
                <c:pt idx="7">
                  <c:v>64.946670532226506</c:v>
                </c:pt>
                <c:pt idx="8">
                  <c:v>69.534713745117102</c:v>
                </c:pt>
                <c:pt idx="9">
                  <c:v>62.020759582519503</c:v>
                </c:pt>
                <c:pt idx="10">
                  <c:v>64.184661865234304</c:v>
                </c:pt>
                <c:pt idx="11">
                  <c:v>71.296691894531193</c:v>
                </c:pt>
                <c:pt idx="12">
                  <c:v>68.537422180175696</c:v>
                </c:pt>
                <c:pt idx="13">
                  <c:v>64.100547790527301</c:v>
                </c:pt>
                <c:pt idx="14">
                  <c:v>64.253036499023395</c:v>
                </c:pt>
                <c:pt idx="15">
                  <c:v>67.131553649902301</c:v>
                </c:pt>
                <c:pt idx="16">
                  <c:v>65.061920166015597</c:v>
                </c:pt>
                <c:pt idx="17">
                  <c:v>61.858489990234297</c:v>
                </c:pt>
                <c:pt idx="18">
                  <c:v>63.3673706054687</c:v>
                </c:pt>
                <c:pt idx="19">
                  <c:v>65.397087097167898</c:v>
                </c:pt>
                <c:pt idx="20">
                  <c:v>63.803581237792898</c:v>
                </c:pt>
                <c:pt idx="21">
                  <c:v>61.648689270019503</c:v>
                </c:pt>
                <c:pt idx="22">
                  <c:v>63.496818542480398</c:v>
                </c:pt>
                <c:pt idx="23">
                  <c:v>64.932907104492102</c:v>
                </c:pt>
                <c:pt idx="24">
                  <c:v>63.578941345214801</c:v>
                </c:pt>
                <c:pt idx="25">
                  <c:v>61.889389038085902</c:v>
                </c:pt>
                <c:pt idx="26">
                  <c:v>63.6680908203125</c:v>
                </c:pt>
                <c:pt idx="27">
                  <c:v>64.675498962402301</c:v>
                </c:pt>
                <c:pt idx="28">
                  <c:v>63.529129028320298</c:v>
                </c:pt>
                <c:pt idx="29">
                  <c:v>62.587791442871001</c:v>
                </c:pt>
                <c:pt idx="30">
                  <c:v>63.722949981689403</c:v>
                </c:pt>
                <c:pt idx="31">
                  <c:v>64.368049621582003</c:v>
                </c:pt>
                <c:pt idx="32">
                  <c:v>63.491348266601499</c:v>
                </c:pt>
                <c:pt idx="33">
                  <c:v>62.916728973388601</c:v>
                </c:pt>
                <c:pt idx="34">
                  <c:v>63.742538452148402</c:v>
                </c:pt>
                <c:pt idx="35">
                  <c:v>64.127059936523395</c:v>
                </c:pt>
                <c:pt idx="36">
                  <c:v>63.441028594970703</c:v>
                </c:pt>
                <c:pt idx="37">
                  <c:v>63.083080291747997</c:v>
                </c:pt>
                <c:pt idx="38">
                  <c:v>63.707168579101499</c:v>
                </c:pt>
                <c:pt idx="39">
                  <c:v>63.937950134277301</c:v>
                </c:pt>
                <c:pt idx="40">
                  <c:v>63.412670135497997</c:v>
                </c:pt>
                <c:pt idx="41">
                  <c:v>63.201408386230398</c:v>
                </c:pt>
                <c:pt idx="42">
                  <c:v>63.689620971679602</c:v>
                </c:pt>
                <c:pt idx="43">
                  <c:v>63.816368103027301</c:v>
                </c:pt>
                <c:pt idx="44">
                  <c:v>63.41402053833</c:v>
                </c:pt>
                <c:pt idx="45">
                  <c:v>63.303169250488203</c:v>
                </c:pt>
                <c:pt idx="46">
                  <c:v>63.665859222412102</c:v>
                </c:pt>
                <c:pt idx="47">
                  <c:v>63.734500885009702</c:v>
                </c:pt>
                <c:pt idx="48">
                  <c:v>63.4298706054687</c:v>
                </c:pt>
                <c:pt idx="49">
                  <c:v>63.370201110839801</c:v>
                </c:pt>
                <c:pt idx="50">
                  <c:v>63.646270751953097</c:v>
                </c:pt>
                <c:pt idx="51">
                  <c:v>63.668788909912102</c:v>
                </c:pt>
                <c:pt idx="52">
                  <c:v>63.4446601867675</c:v>
                </c:pt>
                <c:pt idx="53">
                  <c:v>63.427890777587798</c:v>
                </c:pt>
                <c:pt idx="54">
                  <c:v>63.635829925537102</c:v>
                </c:pt>
                <c:pt idx="55">
                  <c:v>63.630039215087798</c:v>
                </c:pt>
                <c:pt idx="56">
                  <c:v>63.462169647216797</c:v>
                </c:pt>
                <c:pt idx="57">
                  <c:v>63.466419219970703</c:v>
                </c:pt>
                <c:pt idx="58">
                  <c:v>63.622398376464801</c:v>
                </c:pt>
                <c:pt idx="59">
                  <c:v>63.613628387451101</c:v>
                </c:pt>
                <c:pt idx="60">
                  <c:v>63.490650177001903</c:v>
                </c:pt>
                <c:pt idx="61">
                  <c:v>63.504100799560497</c:v>
                </c:pt>
                <c:pt idx="62">
                  <c:v>63.612880706787102</c:v>
                </c:pt>
                <c:pt idx="63">
                  <c:v>63.592361450195298</c:v>
                </c:pt>
                <c:pt idx="64">
                  <c:v>63.508430480957003</c:v>
                </c:pt>
                <c:pt idx="65">
                  <c:v>63.528709411621001</c:v>
                </c:pt>
                <c:pt idx="66">
                  <c:v>63.601730346679602</c:v>
                </c:pt>
                <c:pt idx="67">
                  <c:v>63.576988220214801</c:v>
                </c:pt>
                <c:pt idx="68">
                  <c:v>63.510768890380803</c:v>
                </c:pt>
                <c:pt idx="69">
                  <c:v>63.534999847412102</c:v>
                </c:pt>
                <c:pt idx="70">
                  <c:v>63.600559234619098</c:v>
                </c:pt>
                <c:pt idx="71">
                  <c:v>63.569278717041001</c:v>
                </c:pt>
                <c:pt idx="72">
                  <c:v>63.530509948730398</c:v>
                </c:pt>
                <c:pt idx="73">
                  <c:v>63.556480407714801</c:v>
                </c:pt>
                <c:pt idx="74">
                  <c:v>63.594371795654297</c:v>
                </c:pt>
                <c:pt idx="75">
                  <c:v>63.572910308837798</c:v>
                </c:pt>
                <c:pt idx="76">
                  <c:v>63.543838500976499</c:v>
                </c:pt>
                <c:pt idx="77">
                  <c:v>63.5583686828613</c:v>
                </c:pt>
                <c:pt idx="78">
                  <c:v>63.585380554199197</c:v>
                </c:pt>
                <c:pt idx="79">
                  <c:v>63.575851440429602</c:v>
                </c:pt>
                <c:pt idx="80">
                  <c:v>63.550010681152301</c:v>
                </c:pt>
                <c:pt idx="81">
                  <c:v>63.563190460205</c:v>
                </c:pt>
                <c:pt idx="82">
                  <c:v>63.590969085693303</c:v>
                </c:pt>
                <c:pt idx="83">
                  <c:v>63.584400177001903</c:v>
                </c:pt>
                <c:pt idx="84">
                  <c:v>63.5567207336425</c:v>
                </c:pt>
                <c:pt idx="85">
                  <c:v>63.566738128662102</c:v>
                </c:pt>
                <c:pt idx="86">
                  <c:v>63.586441040038999</c:v>
                </c:pt>
                <c:pt idx="87">
                  <c:v>63.581199645996001</c:v>
                </c:pt>
                <c:pt idx="88">
                  <c:v>63.560680389404297</c:v>
                </c:pt>
                <c:pt idx="89">
                  <c:v>63.572280883788999</c:v>
                </c:pt>
                <c:pt idx="90">
                  <c:v>63.5853881835937</c:v>
                </c:pt>
                <c:pt idx="91">
                  <c:v>63.582401275634702</c:v>
                </c:pt>
                <c:pt idx="92">
                  <c:v>63.5720405578613</c:v>
                </c:pt>
                <c:pt idx="93">
                  <c:v>63.574790954589801</c:v>
                </c:pt>
                <c:pt idx="94">
                  <c:v>63.589630126953097</c:v>
                </c:pt>
                <c:pt idx="95">
                  <c:v>63.585720062255803</c:v>
                </c:pt>
                <c:pt idx="96">
                  <c:v>63.5778999328613</c:v>
                </c:pt>
                <c:pt idx="97">
                  <c:v>63.577301025390597</c:v>
                </c:pt>
                <c:pt idx="98">
                  <c:v>63.5850410461425</c:v>
                </c:pt>
                <c:pt idx="99">
                  <c:v>63.579879760742102</c:v>
                </c:pt>
                <c:pt idx="100">
                  <c:v>63.576591491699197</c:v>
                </c:pt>
                <c:pt idx="101">
                  <c:v>63.579330444335902</c:v>
                </c:pt>
                <c:pt idx="102">
                  <c:v>63.583431243896399</c:v>
                </c:pt>
                <c:pt idx="103">
                  <c:v>63.583408355712798</c:v>
                </c:pt>
                <c:pt idx="104">
                  <c:v>63.581081390380803</c:v>
                </c:pt>
                <c:pt idx="105">
                  <c:v>63.581329345703097</c:v>
                </c:pt>
                <c:pt idx="106">
                  <c:v>63.584751129150298</c:v>
                </c:pt>
                <c:pt idx="107">
                  <c:v>63.586360931396399</c:v>
                </c:pt>
                <c:pt idx="108">
                  <c:v>63.583660125732401</c:v>
                </c:pt>
                <c:pt idx="109">
                  <c:v>63.585361480712798</c:v>
                </c:pt>
                <c:pt idx="110">
                  <c:v>63.584911346435497</c:v>
                </c:pt>
                <c:pt idx="111">
                  <c:v>63.587551116943303</c:v>
                </c:pt>
                <c:pt idx="112">
                  <c:v>63.585548400878899</c:v>
                </c:pt>
                <c:pt idx="113">
                  <c:v>63.589420318603501</c:v>
                </c:pt>
                <c:pt idx="114">
                  <c:v>63.592159271240199</c:v>
                </c:pt>
                <c:pt idx="115">
                  <c:v>63.590858459472599</c:v>
                </c:pt>
                <c:pt idx="116">
                  <c:v>63.589389801025298</c:v>
                </c:pt>
                <c:pt idx="117">
                  <c:v>63.589321136474602</c:v>
                </c:pt>
                <c:pt idx="118">
                  <c:v>63.587959289550703</c:v>
                </c:pt>
                <c:pt idx="119">
                  <c:v>63.587779998779297</c:v>
                </c:pt>
                <c:pt idx="120">
                  <c:v>63.589000701904297</c:v>
                </c:pt>
                <c:pt idx="121">
                  <c:v>63.592079162597599</c:v>
                </c:pt>
                <c:pt idx="122">
                  <c:v>63.588951110839801</c:v>
                </c:pt>
                <c:pt idx="123">
                  <c:v>63.591541290283203</c:v>
                </c:pt>
                <c:pt idx="124">
                  <c:v>63.591400146484297</c:v>
                </c:pt>
                <c:pt idx="125">
                  <c:v>63.589748382568303</c:v>
                </c:pt>
                <c:pt idx="126">
                  <c:v>63.592010498046797</c:v>
                </c:pt>
                <c:pt idx="127">
                  <c:v>63.591861724853501</c:v>
                </c:pt>
                <c:pt idx="128">
                  <c:v>63.589530944824197</c:v>
                </c:pt>
                <c:pt idx="129">
                  <c:v>63.594181060791001</c:v>
                </c:pt>
                <c:pt idx="130">
                  <c:v>63.594959259033203</c:v>
                </c:pt>
                <c:pt idx="131">
                  <c:v>63.5902709960937</c:v>
                </c:pt>
                <c:pt idx="132">
                  <c:v>63.591960906982401</c:v>
                </c:pt>
                <c:pt idx="133">
                  <c:v>63.5908393859863</c:v>
                </c:pt>
                <c:pt idx="134">
                  <c:v>63.594631195068303</c:v>
                </c:pt>
                <c:pt idx="135">
                  <c:v>63.593540191650298</c:v>
                </c:pt>
                <c:pt idx="136">
                  <c:v>63.59130859375</c:v>
                </c:pt>
                <c:pt idx="137">
                  <c:v>63.591930389404297</c:v>
                </c:pt>
                <c:pt idx="138">
                  <c:v>63.594818115234297</c:v>
                </c:pt>
                <c:pt idx="139">
                  <c:v>63.592739105224602</c:v>
                </c:pt>
                <c:pt idx="140">
                  <c:v>63.592399597167898</c:v>
                </c:pt>
                <c:pt idx="141">
                  <c:v>63.595909118652301</c:v>
                </c:pt>
                <c:pt idx="142">
                  <c:v>63.594211578369098</c:v>
                </c:pt>
                <c:pt idx="143">
                  <c:v>63.597671508788999</c:v>
                </c:pt>
                <c:pt idx="144">
                  <c:v>63.597251892089801</c:v>
                </c:pt>
                <c:pt idx="145">
                  <c:v>63.597190856933501</c:v>
                </c:pt>
                <c:pt idx="146">
                  <c:v>63.596969604492102</c:v>
                </c:pt>
                <c:pt idx="147">
                  <c:v>63.597541809082003</c:v>
                </c:pt>
                <c:pt idx="148">
                  <c:v>63.598079681396399</c:v>
                </c:pt>
                <c:pt idx="149">
                  <c:v>63.598251342773402</c:v>
                </c:pt>
                <c:pt idx="150">
                  <c:v>63.5980415344238</c:v>
                </c:pt>
                <c:pt idx="151">
                  <c:v>63.599300384521399</c:v>
                </c:pt>
                <c:pt idx="152">
                  <c:v>63.599540710449197</c:v>
                </c:pt>
                <c:pt idx="153">
                  <c:v>63.598720550537102</c:v>
                </c:pt>
                <c:pt idx="154">
                  <c:v>63.599040985107401</c:v>
                </c:pt>
                <c:pt idx="155">
                  <c:v>63.596851348876903</c:v>
                </c:pt>
                <c:pt idx="156">
                  <c:v>63.597129821777301</c:v>
                </c:pt>
                <c:pt idx="157">
                  <c:v>63.597339630126903</c:v>
                </c:pt>
                <c:pt idx="158">
                  <c:v>63.597339630126903</c:v>
                </c:pt>
                <c:pt idx="159">
                  <c:v>63.597938537597599</c:v>
                </c:pt>
                <c:pt idx="160">
                  <c:v>63.598220825195298</c:v>
                </c:pt>
                <c:pt idx="161">
                  <c:v>63.597030639648402</c:v>
                </c:pt>
                <c:pt idx="162">
                  <c:v>63.599071502685497</c:v>
                </c:pt>
                <c:pt idx="163">
                  <c:v>63.597911834716797</c:v>
                </c:pt>
                <c:pt idx="164">
                  <c:v>63.600631713867102</c:v>
                </c:pt>
                <c:pt idx="165">
                  <c:v>63.598968505859297</c:v>
                </c:pt>
                <c:pt idx="166">
                  <c:v>63.598968505859297</c:v>
                </c:pt>
                <c:pt idx="167">
                  <c:v>63.598831176757798</c:v>
                </c:pt>
                <c:pt idx="168">
                  <c:v>63.598621368408203</c:v>
                </c:pt>
                <c:pt idx="169">
                  <c:v>63.598659515380803</c:v>
                </c:pt>
                <c:pt idx="170">
                  <c:v>63.598678588867102</c:v>
                </c:pt>
                <c:pt idx="171">
                  <c:v>63.599010467529297</c:v>
                </c:pt>
                <c:pt idx="172">
                  <c:v>63.599468231201101</c:v>
                </c:pt>
                <c:pt idx="173">
                  <c:v>63.600818634033203</c:v>
                </c:pt>
                <c:pt idx="174">
                  <c:v>63.600940704345703</c:v>
                </c:pt>
                <c:pt idx="175">
                  <c:v>63.600711822509702</c:v>
                </c:pt>
                <c:pt idx="176">
                  <c:v>63.600589752197202</c:v>
                </c:pt>
                <c:pt idx="177">
                  <c:v>63.600788116455</c:v>
                </c:pt>
                <c:pt idx="178">
                  <c:v>63.602119445800703</c:v>
                </c:pt>
                <c:pt idx="179">
                  <c:v>63.599971771240199</c:v>
                </c:pt>
                <c:pt idx="180">
                  <c:v>63.601699829101499</c:v>
                </c:pt>
                <c:pt idx="181">
                  <c:v>63.600379943847599</c:v>
                </c:pt>
                <c:pt idx="182">
                  <c:v>63.599960327148402</c:v>
                </c:pt>
                <c:pt idx="183">
                  <c:v>63.600978851318303</c:v>
                </c:pt>
                <c:pt idx="184">
                  <c:v>63.602630615234297</c:v>
                </c:pt>
                <c:pt idx="185">
                  <c:v>63.6033515930175</c:v>
                </c:pt>
                <c:pt idx="186">
                  <c:v>63.600990295410099</c:v>
                </c:pt>
                <c:pt idx="187">
                  <c:v>63.604228973388601</c:v>
                </c:pt>
                <c:pt idx="188">
                  <c:v>63.602119445800703</c:v>
                </c:pt>
                <c:pt idx="189">
                  <c:v>63.6015014648437</c:v>
                </c:pt>
                <c:pt idx="190">
                  <c:v>63.604091644287102</c:v>
                </c:pt>
                <c:pt idx="191">
                  <c:v>63.602981567382798</c:v>
                </c:pt>
                <c:pt idx="192">
                  <c:v>63.60205078125</c:v>
                </c:pt>
                <c:pt idx="193">
                  <c:v>63.602199554443303</c:v>
                </c:pt>
                <c:pt idx="194">
                  <c:v>63.602920532226499</c:v>
                </c:pt>
                <c:pt idx="195">
                  <c:v>63.604518890380803</c:v>
                </c:pt>
                <c:pt idx="196">
                  <c:v>63.6019287109375</c:v>
                </c:pt>
                <c:pt idx="197">
                  <c:v>63.602020263671797</c:v>
                </c:pt>
                <c:pt idx="198">
                  <c:v>63.601840972900298</c:v>
                </c:pt>
                <c:pt idx="199">
                  <c:v>63.601760864257798</c:v>
                </c:pt>
                <c:pt idx="200">
                  <c:v>63.602489471435497</c:v>
                </c:pt>
                <c:pt idx="201">
                  <c:v>63.603099822997997</c:v>
                </c:pt>
                <c:pt idx="202">
                  <c:v>63.601799011230398</c:v>
                </c:pt>
                <c:pt idx="203">
                  <c:v>63.602970123291001</c:v>
                </c:pt>
                <c:pt idx="204">
                  <c:v>63.602119445800703</c:v>
                </c:pt>
                <c:pt idx="205">
                  <c:v>63.602321624755803</c:v>
                </c:pt>
                <c:pt idx="206">
                  <c:v>63.6025390625</c:v>
                </c:pt>
                <c:pt idx="207">
                  <c:v>63.604339599609297</c:v>
                </c:pt>
                <c:pt idx="208">
                  <c:v>63.602821350097599</c:v>
                </c:pt>
                <c:pt idx="209">
                  <c:v>63.603721618652301</c:v>
                </c:pt>
                <c:pt idx="210">
                  <c:v>63.6043090820312</c:v>
                </c:pt>
                <c:pt idx="211">
                  <c:v>63.603858947753899</c:v>
                </c:pt>
                <c:pt idx="212">
                  <c:v>63.603981018066399</c:v>
                </c:pt>
                <c:pt idx="213">
                  <c:v>63.604038238525298</c:v>
                </c:pt>
                <c:pt idx="214">
                  <c:v>63.604850769042898</c:v>
                </c:pt>
                <c:pt idx="215">
                  <c:v>63.604148864746001</c:v>
                </c:pt>
                <c:pt idx="216">
                  <c:v>63.604061126708899</c:v>
                </c:pt>
                <c:pt idx="217">
                  <c:v>63.603519439697202</c:v>
                </c:pt>
                <c:pt idx="218">
                  <c:v>63.603931427001903</c:v>
                </c:pt>
                <c:pt idx="219">
                  <c:v>63.603809356689403</c:v>
                </c:pt>
                <c:pt idx="220">
                  <c:v>63.603641510009702</c:v>
                </c:pt>
                <c:pt idx="221">
                  <c:v>63.603511810302699</c:v>
                </c:pt>
                <c:pt idx="222">
                  <c:v>63.603439331054602</c:v>
                </c:pt>
                <c:pt idx="223">
                  <c:v>63.604000091552699</c:v>
                </c:pt>
                <c:pt idx="224">
                  <c:v>63.604251861572202</c:v>
                </c:pt>
                <c:pt idx="225">
                  <c:v>63.604129791259702</c:v>
                </c:pt>
                <c:pt idx="226">
                  <c:v>63.604438781738203</c:v>
                </c:pt>
                <c:pt idx="227">
                  <c:v>63.604610443115199</c:v>
                </c:pt>
                <c:pt idx="228">
                  <c:v>63.604728698730398</c:v>
                </c:pt>
                <c:pt idx="229">
                  <c:v>63.604640960693303</c:v>
                </c:pt>
                <c:pt idx="230">
                  <c:v>63.604949951171797</c:v>
                </c:pt>
                <c:pt idx="231">
                  <c:v>63.605030059814403</c:v>
                </c:pt>
                <c:pt idx="232">
                  <c:v>63.605140686035099</c:v>
                </c:pt>
                <c:pt idx="233">
                  <c:v>63.606391906738203</c:v>
                </c:pt>
                <c:pt idx="234">
                  <c:v>63.605239868163999</c:v>
                </c:pt>
                <c:pt idx="235">
                  <c:v>63.605438232421797</c:v>
                </c:pt>
                <c:pt idx="236">
                  <c:v>63.6055488586425</c:v>
                </c:pt>
                <c:pt idx="237">
                  <c:v>63.605228424072202</c:v>
                </c:pt>
                <c:pt idx="238">
                  <c:v>63.605239868163999</c:v>
                </c:pt>
                <c:pt idx="239">
                  <c:v>63.605499267578097</c:v>
                </c:pt>
                <c:pt idx="240">
                  <c:v>63.604801177978501</c:v>
                </c:pt>
                <c:pt idx="241">
                  <c:v>63.604518890380803</c:v>
                </c:pt>
                <c:pt idx="242">
                  <c:v>63.603759765625</c:v>
                </c:pt>
                <c:pt idx="243">
                  <c:v>63.603969573974602</c:v>
                </c:pt>
                <c:pt idx="244">
                  <c:v>63.604728698730398</c:v>
                </c:pt>
                <c:pt idx="245">
                  <c:v>63.6049194335937</c:v>
                </c:pt>
                <c:pt idx="246">
                  <c:v>63.605098724365199</c:v>
                </c:pt>
                <c:pt idx="247">
                  <c:v>63.605640411376903</c:v>
                </c:pt>
                <c:pt idx="248">
                  <c:v>63.606540679931598</c:v>
                </c:pt>
                <c:pt idx="249">
                  <c:v>63.606571197509702</c:v>
                </c:pt>
                <c:pt idx="250">
                  <c:v>63.606491088867102</c:v>
                </c:pt>
                <c:pt idx="251">
                  <c:v>63.605991363525298</c:v>
                </c:pt>
                <c:pt idx="252">
                  <c:v>63.605941772460902</c:v>
                </c:pt>
                <c:pt idx="253">
                  <c:v>63.606300354003899</c:v>
                </c:pt>
                <c:pt idx="254">
                  <c:v>63.605949401855398</c:v>
                </c:pt>
                <c:pt idx="255">
                  <c:v>63.606731414794901</c:v>
                </c:pt>
                <c:pt idx="256">
                  <c:v>63.607059478759702</c:v>
                </c:pt>
                <c:pt idx="257">
                  <c:v>63.60689163208</c:v>
                </c:pt>
                <c:pt idx="258">
                  <c:v>63.607330322265597</c:v>
                </c:pt>
                <c:pt idx="259">
                  <c:v>63.6066284179687</c:v>
                </c:pt>
                <c:pt idx="260">
                  <c:v>63.606189727783203</c:v>
                </c:pt>
                <c:pt idx="261">
                  <c:v>63.6073608398437</c:v>
                </c:pt>
                <c:pt idx="262">
                  <c:v>63.606380462646399</c:v>
                </c:pt>
                <c:pt idx="263">
                  <c:v>63.605690002441399</c:v>
                </c:pt>
                <c:pt idx="264">
                  <c:v>63.605541229247997</c:v>
                </c:pt>
                <c:pt idx="265">
                  <c:v>63.606288909912102</c:v>
                </c:pt>
                <c:pt idx="266">
                  <c:v>63.607128143310497</c:v>
                </c:pt>
                <c:pt idx="267">
                  <c:v>63.605880737304602</c:v>
                </c:pt>
                <c:pt idx="268">
                  <c:v>63.605628967285099</c:v>
                </c:pt>
                <c:pt idx="269">
                  <c:v>63.606231689453097</c:v>
                </c:pt>
                <c:pt idx="270">
                  <c:v>63.605968475341797</c:v>
                </c:pt>
                <c:pt idx="271">
                  <c:v>63.606361389160099</c:v>
                </c:pt>
                <c:pt idx="272">
                  <c:v>63.607978820800703</c:v>
                </c:pt>
                <c:pt idx="273">
                  <c:v>63.608070373535099</c:v>
                </c:pt>
                <c:pt idx="274">
                  <c:v>63.607078552246001</c:v>
                </c:pt>
                <c:pt idx="275">
                  <c:v>63.6072387695312</c:v>
                </c:pt>
                <c:pt idx="276">
                  <c:v>63.607978820800703</c:v>
                </c:pt>
                <c:pt idx="277">
                  <c:v>63.607528686523402</c:v>
                </c:pt>
                <c:pt idx="278">
                  <c:v>63.606269836425703</c:v>
                </c:pt>
                <c:pt idx="279">
                  <c:v>63.607078552246001</c:v>
                </c:pt>
                <c:pt idx="280">
                  <c:v>63.607681274413999</c:v>
                </c:pt>
                <c:pt idx="281">
                  <c:v>63.607051849365199</c:v>
                </c:pt>
                <c:pt idx="282">
                  <c:v>63.605949401855398</c:v>
                </c:pt>
                <c:pt idx="283">
                  <c:v>63.607391357421797</c:v>
                </c:pt>
                <c:pt idx="284">
                  <c:v>63.607570648193303</c:v>
                </c:pt>
                <c:pt idx="285">
                  <c:v>63.606979370117102</c:v>
                </c:pt>
                <c:pt idx="286">
                  <c:v>63.606460571288999</c:v>
                </c:pt>
                <c:pt idx="287">
                  <c:v>63.607730865478501</c:v>
                </c:pt>
                <c:pt idx="288">
                  <c:v>63.607349395751903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81-4556-BA19-07FA031B2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crossBetween val="midCat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b="0" i="0" u="none" strike="noStrike">
                <a:latin typeface="Calibri"/>
              </a:rPr>
              <a:t>Report-2031_Oil_4500bopd_Liquid_4789blpd_No_GL_TD_Only_OP1.genkey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Legends!$B$2</c:f>
              <c:strCache>
                <c:ptCount val="1"/>
                <c:pt idx="0">
                  <c:v>Pressure upstream choke</c:v>
                </c:pt>
              </c:strCache>
            </c:strRef>
          </c:tx>
          <c:marker>
            <c:symbol val="none"/>
          </c:marker>
          <c:xVal>
            <c:numRef>
              <c:f>'SIM2'!$A$11:$A$299</c:f>
              <c:numCache>
                <c:formatCode>General</c:formatCode>
                <c:ptCount val="289"/>
                <c:pt idx="0">
                  <c:v>0</c:v>
                </c:pt>
                <c:pt idx="1">
                  <c:v>0.25036987662315302</c:v>
                </c:pt>
                <c:pt idx="2">
                  <c:v>0.50034749507903997</c:v>
                </c:pt>
                <c:pt idx="3">
                  <c:v>0.75036638975143399</c:v>
                </c:pt>
                <c:pt idx="4">
                  <c:v>1.00027227401733</c:v>
                </c:pt>
                <c:pt idx="5">
                  <c:v>1.25033855438232</c:v>
                </c:pt>
                <c:pt idx="6">
                  <c:v>1.50031077861785</c:v>
                </c:pt>
                <c:pt idx="7">
                  <c:v>1.75039339065551</c:v>
                </c:pt>
                <c:pt idx="8">
                  <c:v>2.0002985000610298</c:v>
                </c:pt>
                <c:pt idx="9">
                  <c:v>2.2502260208129798</c:v>
                </c:pt>
                <c:pt idx="10">
                  <c:v>2.5003199577331499</c:v>
                </c:pt>
                <c:pt idx="11">
                  <c:v>2.7502677440643302</c:v>
                </c:pt>
                <c:pt idx="12">
                  <c:v>3.0001916885375901</c:v>
                </c:pt>
                <c:pt idx="13">
                  <c:v>3.25028324127197</c:v>
                </c:pt>
                <c:pt idx="14">
                  <c:v>3.5001471042632999</c:v>
                </c:pt>
                <c:pt idx="15">
                  <c:v>3.7502889633178702</c:v>
                </c:pt>
                <c:pt idx="16">
                  <c:v>4.0003137588500897</c:v>
                </c:pt>
                <c:pt idx="17">
                  <c:v>4.2500414848327601</c:v>
                </c:pt>
                <c:pt idx="18">
                  <c:v>4.5006608963012704</c:v>
                </c:pt>
                <c:pt idx="19">
                  <c:v>4.7502470016479403</c:v>
                </c:pt>
                <c:pt idx="20">
                  <c:v>5.0002779960632298</c:v>
                </c:pt>
                <c:pt idx="21">
                  <c:v>5.2502360343933097</c:v>
                </c:pt>
                <c:pt idx="22">
                  <c:v>5.5005168914794904</c:v>
                </c:pt>
                <c:pt idx="23">
                  <c:v>5.7500863075256303</c:v>
                </c:pt>
                <c:pt idx="24">
                  <c:v>6.0003890991210902</c:v>
                </c:pt>
                <c:pt idx="25">
                  <c:v>6.2504692077636701</c:v>
                </c:pt>
                <c:pt idx="26">
                  <c:v>6.5000529289245597</c:v>
                </c:pt>
                <c:pt idx="27">
                  <c:v>6.7505526542663503</c:v>
                </c:pt>
                <c:pt idx="28">
                  <c:v>7.0006999969482404</c:v>
                </c:pt>
                <c:pt idx="29">
                  <c:v>7.25026130676269</c:v>
                </c:pt>
                <c:pt idx="30">
                  <c:v>7.5004582405090297</c:v>
                </c:pt>
                <c:pt idx="31">
                  <c:v>7.7501306533813397</c:v>
                </c:pt>
                <c:pt idx="32">
                  <c:v>8.0003862380981392</c:v>
                </c:pt>
                <c:pt idx="33">
                  <c:v>8.2503137588500906</c:v>
                </c:pt>
                <c:pt idx="34">
                  <c:v>8.5003643035888601</c:v>
                </c:pt>
                <c:pt idx="35">
                  <c:v>8.7504053115844709</c:v>
                </c:pt>
                <c:pt idx="36">
                  <c:v>9.0001420974731392</c:v>
                </c:pt>
                <c:pt idx="37">
                  <c:v>9.2501611709594709</c:v>
                </c:pt>
                <c:pt idx="38">
                  <c:v>9.50001621246337</c:v>
                </c:pt>
                <c:pt idx="39">
                  <c:v>9.7503719329833896</c:v>
                </c:pt>
                <c:pt idx="40">
                  <c:v>10.000139236450201</c:v>
                </c:pt>
                <c:pt idx="41">
                  <c:v>10.2504224777221</c:v>
                </c:pt>
                <c:pt idx="42">
                  <c:v>10.5000858306884</c:v>
                </c:pt>
                <c:pt idx="43">
                  <c:v>10.7500495910644</c:v>
                </c:pt>
                <c:pt idx="44">
                  <c:v>11.0002698898315</c:v>
                </c:pt>
                <c:pt idx="45">
                  <c:v>11.250389099121</c:v>
                </c:pt>
                <c:pt idx="46">
                  <c:v>11.500566482543899</c:v>
                </c:pt>
                <c:pt idx="47">
                  <c:v>11.7500057220459</c:v>
                </c:pt>
                <c:pt idx="48">
                  <c:v>12.0005273818969</c:v>
                </c:pt>
                <c:pt idx="49">
                  <c:v>12.250308036804199</c:v>
                </c:pt>
                <c:pt idx="50">
                  <c:v>12.500169754028301</c:v>
                </c:pt>
                <c:pt idx="51">
                  <c:v>12.750102996826101</c:v>
                </c:pt>
                <c:pt idx="52">
                  <c:v>13.000124931335399</c:v>
                </c:pt>
                <c:pt idx="53">
                  <c:v>13.2501611709594</c:v>
                </c:pt>
                <c:pt idx="54">
                  <c:v>13.500452995300201</c:v>
                </c:pt>
                <c:pt idx="55">
                  <c:v>13.7502555847168</c:v>
                </c:pt>
                <c:pt idx="56">
                  <c:v>14.0000057220459</c:v>
                </c:pt>
                <c:pt idx="57">
                  <c:v>14.250047683715801</c:v>
                </c:pt>
                <c:pt idx="58">
                  <c:v>14.5001668930053</c:v>
                </c:pt>
                <c:pt idx="59">
                  <c:v>14.7503108978271</c:v>
                </c:pt>
                <c:pt idx="60">
                  <c:v>15.000236511230399</c:v>
                </c:pt>
                <c:pt idx="61">
                  <c:v>15.250724792480399</c:v>
                </c:pt>
                <c:pt idx="62">
                  <c:v>15.5000858306884</c:v>
                </c:pt>
                <c:pt idx="63">
                  <c:v>15.750780105590801</c:v>
                </c:pt>
                <c:pt idx="64">
                  <c:v>16.000085830688398</c:v>
                </c:pt>
                <c:pt idx="65">
                  <c:v>16.250022888183501</c:v>
                </c:pt>
                <c:pt idx="66">
                  <c:v>16.500297546386701</c:v>
                </c:pt>
                <c:pt idx="67">
                  <c:v>16.750450134277301</c:v>
                </c:pt>
                <c:pt idx="68">
                  <c:v>17.0007610321044</c:v>
                </c:pt>
                <c:pt idx="69">
                  <c:v>17.250202178955</c:v>
                </c:pt>
                <c:pt idx="70">
                  <c:v>17.500144958496001</c:v>
                </c:pt>
                <c:pt idx="71">
                  <c:v>17.750125885009702</c:v>
                </c:pt>
                <c:pt idx="72">
                  <c:v>18.000017166137699</c:v>
                </c:pt>
                <c:pt idx="73">
                  <c:v>18.250062942504801</c:v>
                </c:pt>
                <c:pt idx="74">
                  <c:v>18.500543594360298</c:v>
                </c:pt>
                <c:pt idx="75">
                  <c:v>18.750591278076101</c:v>
                </c:pt>
                <c:pt idx="76">
                  <c:v>19.000705718994102</c:v>
                </c:pt>
                <c:pt idx="77">
                  <c:v>19.250625610351499</c:v>
                </c:pt>
                <c:pt idx="78">
                  <c:v>19.500225067138601</c:v>
                </c:pt>
                <c:pt idx="79">
                  <c:v>19.7506504058837</c:v>
                </c:pt>
                <c:pt idx="80">
                  <c:v>20.0004577636718</c:v>
                </c:pt>
                <c:pt idx="81">
                  <c:v>20.2502841949462</c:v>
                </c:pt>
                <c:pt idx="82">
                  <c:v>20.5000190734863</c:v>
                </c:pt>
                <c:pt idx="83">
                  <c:v>20.750104904174801</c:v>
                </c:pt>
                <c:pt idx="84">
                  <c:v>21.000597000121999</c:v>
                </c:pt>
                <c:pt idx="85">
                  <c:v>21.2500495910644</c:v>
                </c:pt>
                <c:pt idx="86">
                  <c:v>21.500677108764599</c:v>
                </c:pt>
                <c:pt idx="87">
                  <c:v>21.7505798339843</c:v>
                </c:pt>
                <c:pt idx="88">
                  <c:v>22.0003643035888</c:v>
                </c:pt>
                <c:pt idx="89">
                  <c:v>22.250442504882798</c:v>
                </c:pt>
                <c:pt idx="90">
                  <c:v>22.5002746582031</c:v>
                </c:pt>
                <c:pt idx="91">
                  <c:v>22.750158309936499</c:v>
                </c:pt>
                <c:pt idx="92">
                  <c:v>23.000186920166001</c:v>
                </c:pt>
                <c:pt idx="93">
                  <c:v>23.250114440917901</c:v>
                </c:pt>
                <c:pt idx="94">
                  <c:v>23.5003852844238</c:v>
                </c:pt>
                <c:pt idx="95">
                  <c:v>23.750177383422798</c:v>
                </c:pt>
                <c:pt idx="96">
                  <c:v>24.0006389617919</c:v>
                </c:pt>
                <c:pt idx="97">
                  <c:v>24.250637054443299</c:v>
                </c:pt>
                <c:pt idx="98">
                  <c:v>24.500480651855401</c:v>
                </c:pt>
                <c:pt idx="99">
                  <c:v>24.750085830688398</c:v>
                </c:pt>
                <c:pt idx="100">
                  <c:v>25.000442504882798</c:v>
                </c:pt>
                <c:pt idx="101">
                  <c:v>25.2506084442138</c:v>
                </c:pt>
                <c:pt idx="102">
                  <c:v>25.5000686645507</c:v>
                </c:pt>
                <c:pt idx="103">
                  <c:v>25.750452041625898</c:v>
                </c:pt>
                <c:pt idx="104">
                  <c:v>26.000291824340799</c:v>
                </c:pt>
                <c:pt idx="105">
                  <c:v>26.250202178955</c:v>
                </c:pt>
                <c:pt idx="106">
                  <c:v>26.500719070434499</c:v>
                </c:pt>
                <c:pt idx="107">
                  <c:v>26.750350952148398</c:v>
                </c:pt>
                <c:pt idx="108">
                  <c:v>27.000438690185501</c:v>
                </c:pt>
                <c:pt idx="109">
                  <c:v>27.250247955322202</c:v>
                </c:pt>
                <c:pt idx="110">
                  <c:v>27.500322341918899</c:v>
                </c:pt>
                <c:pt idx="111">
                  <c:v>27.750181198120099</c:v>
                </c:pt>
                <c:pt idx="112">
                  <c:v>28.0000286102294</c:v>
                </c:pt>
                <c:pt idx="113">
                  <c:v>28.2500286102294</c:v>
                </c:pt>
                <c:pt idx="114">
                  <c:v>28.500278472900298</c:v>
                </c:pt>
                <c:pt idx="115">
                  <c:v>28.7501106262207</c:v>
                </c:pt>
                <c:pt idx="116">
                  <c:v>29.0006103515625</c:v>
                </c:pt>
                <c:pt idx="117">
                  <c:v>29.250249862670898</c:v>
                </c:pt>
                <c:pt idx="118">
                  <c:v>29.500473022460898</c:v>
                </c:pt>
                <c:pt idx="119">
                  <c:v>29.7501106262207</c:v>
                </c:pt>
                <c:pt idx="120">
                  <c:v>30.000249862670898</c:v>
                </c:pt>
                <c:pt idx="121">
                  <c:v>30.25</c:v>
                </c:pt>
                <c:pt idx="122">
                  <c:v>30.500165939331001</c:v>
                </c:pt>
                <c:pt idx="123">
                  <c:v>30.750583648681602</c:v>
                </c:pt>
                <c:pt idx="124">
                  <c:v>31.000083923339801</c:v>
                </c:pt>
                <c:pt idx="125">
                  <c:v>31.250278472900298</c:v>
                </c:pt>
                <c:pt idx="126">
                  <c:v>31.5003337860107</c:v>
                </c:pt>
                <c:pt idx="127">
                  <c:v>31.750194549560501</c:v>
                </c:pt>
                <c:pt idx="128">
                  <c:v>32.00044631958</c:v>
                </c:pt>
                <c:pt idx="129">
                  <c:v>32.250389099121001</c:v>
                </c:pt>
                <c:pt idx="130">
                  <c:v>32.5</c:v>
                </c:pt>
                <c:pt idx="131">
                  <c:v>32.750331878662102</c:v>
                </c:pt>
                <c:pt idx="132">
                  <c:v>33.000251770019503</c:v>
                </c:pt>
                <c:pt idx="133">
                  <c:v>33.250415802001903</c:v>
                </c:pt>
                <c:pt idx="134">
                  <c:v>33.500278472900298</c:v>
                </c:pt>
                <c:pt idx="135">
                  <c:v>33.750694274902301</c:v>
                </c:pt>
                <c:pt idx="136">
                  <c:v>34.000110626220703</c:v>
                </c:pt>
                <c:pt idx="137">
                  <c:v>34.250583648681598</c:v>
                </c:pt>
                <c:pt idx="138">
                  <c:v>34.500167846679602</c:v>
                </c:pt>
                <c:pt idx="139">
                  <c:v>34.750251770019503</c:v>
                </c:pt>
                <c:pt idx="140">
                  <c:v>35.000637054443303</c:v>
                </c:pt>
                <c:pt idx="141">
                  <c:v>35.2509155273437</c:v>
                </c:pt>
                <c:pt idx="142">
                  <c:v>35.500137329101499</c:v>
                </c:pt>
                <c:pt idx="143">
                  <c:v>35.750194549560497</c:v>
                </c:pt>
                <c:pt idx="144">
                  <c:v>36.000194549560497</c:v>
                </c:pt>
                <c:pt idx="145">
                  <c:v>36.250278472900298</c:v>
                </c:pt>
                <c:pt idx="146">
                  <c:v>36.500778198242102</c:v>
                </c:pt>
                <c:pt idx="147">
                  <c:v>36.750057220458899</c:v>
                </c:pt>
                <c:pt idx="148">
                  <c:v>37.000415802001903</c:v>
                </c:pt>
                <c:pt idx="149">
                  <c:v>37.250331878662102</c:v>
                </c:pt>
                <c:pt idx="150">
                  <c:v>37.500083923339801</c:v>
                </c:pt>
                <c:pt idx="151">
                  <c:v>37.750362396240199</c:v>
                </c:pt>
                <c:pt idx="152">
                  <c:v>38.000415802001903</c:v>
                </c:pt>
                <c:pt idx="153">
                  <c:v>38.25044631958</c:v>
                </c:pt>
                <c:pt idx="154">
                  <c:v>38.500415802001903</c:v>
                </c:pt>
                <c:pt idx="155">
                  <c:v>38.750526428222599</c:v>
                </c:pt>
                <c:pt idx="156">
                  <c:v>39.00044631958</c:v>
                </c:pt>
                <c:pt idx="157">
                  <c:v>39.250194549560497</c:v>
                </c:pt>
                <c:pt idx="158">
                  <c:v>39.500083923339801</c:v>
                </c:pt>
                <c:pt idx="159">
                  <c:v>39.750804901122997</c:v>
                </c:pt>
                <c:pt idx="160">
                  <c:v>40.000637054443303</c:v>
                </c:pt>
                <c:pt idx="161">
                  <c:v>40.250110626220703</c:v>
                </c:pt>
                <c:pt idx="162">
                  <c:v>40.5003051757812</c:v>
                </c:pt>
                <c:pt idx="163">
                  <c:v>40.750415802001903</c:v>
                </c:pt>
                <c:pt idx="164">
                  <c:v>41.000778198242102</c:v>
                </c:pt>
                <c:pt idx="165">
                  <c:v>41.250720977783203</c:v>
                </c:pt>
                <c:pt idx="166">
                  <c:v>41.500137329101499</c:v>
                </c:pt>
                <c:pt idx="167">
                  <c:v>41.750526428222599</c:v>
                </c:pt>
                <c:pt idx="168">
                  <c:v>42.0003051757812</c:v>
                </c:pt>
                <c:pt idx="169">
                  <c:v>42.250137329101499</c:v>
                </c:pt>
                <c:pt idx="170">
                  <c:v>42.5003051757812</c:v>
                </c:pt>
                <c:pt idx="171">
                  <c:v>42.750473022460902</c:v>
                </c:pt>
                <c:pt idx="172">
                  <c:v>43.0003051757812</c:v>
                </c:pt>
                <c:pt idx="173">
                  <c:v>43.250637054443303</c:v>
                </c:pt>
                <c:pt idx="174">
                  <c:v>43.5006103515625</c:v>
                </c:pt>
                <c:pt idx="175">
                  <c:v>43.750362396240199</c:v>
                </c:pt>
                <c:pt idx="176">
                  <c:v>44.000526428222599</c:v>
                </c:pt>
                <c:pt idx="177">
                  <c:v>44.250278472900298</c:v>
                </c:pt>
                <c:pt idx="178">
                  <c:v>44.500473022460902</c:v>
                </c:pt>
                <c:pt idx="179">
                  <c:v>44.750526428222599</c:v>
                </c:pt>
                <c:pt idx="180">
                  <c:v>45.000556945800703</c:v>
                </c:pt>
                <c:pt idx="181">
                  <c:v>45.250167846679602</c:v>
                </c:pt>
                <c:pt idx="182">
                  <c:v>45.5006103515625</c:v>
                </c:pt>
                <c:pt idx="183">
                  <c:v>45.750667572021399</c:v>
                </c:pt>
                <c:pt idx="184">
                  <c:v>46.000694274902301</c:v>
                </c:pt>
                <c:pt idx="185">
                  <c:v>46.250720977783203</c:v>
                </c:pt>
                <c:pt idx="186">
                  <c:v>46.500526428222599</c:v>
                </c:pt>
                <c:pt idx="187">
                  <c:v>46.750362396240199</c:v>
                </c:pt>
                <c:pt idx="188">
                  <c:v>47.0003051757812</c:v>
                </c:pt>
                <c:pt idx="189">
                  <c:v>47.250278472900298</c:v>
                </c:pt>
                <c:pt idx="190">
                  <c:v>47.500057220458899</c:v>
                </c:pt>
                <c:pt idx="191">
                  <c:v>47.750362396240199</c:v>
                </c:pt>
                <c:pt idx="192">
                  <c:v>48.000167846679602</c:v>
                </c:pt>
                <c:pt idx="193">
                  <c:v>48.250137329101499</c:v>
                </c:pt>
                <c:pt idx="194">
                  <c:v>48.500278472900298</c:v>
                </c:pt>
                <c:pt idx="195">
                  <c:v>48.750389099121001</c:v>
                </c:pt>
                <c:pt idx="196">
                  <c:v>49.000194549560497</c:v>
                </c:pt>
                <c:pt idx="197">
                  <c:v>49.250667572021399</c:v>
                </c:pt>
                <c:pt idx="198">
                  <c:v>49.500251770019503</c:v>
                </c:pt>
                <c:pt idx="199">
                  <c:v>49.750694274902301</c:v>
                </c:pt>
                <c:pt idx="200">
                  <c:v>50.000057220458899</c:v>
                </c:pt>
                <c:pt idx="201">
                  <c:v>50.2503051757812</c:v>
                </c:pt>
                <c:pt idx="202">
                  <c:v>50.500083923339801</c:v>
                </c:pt>
                <c:pt idx="203">
                  <c:v>50.750804901122997</c:v>
                </c:pt>
                <c:pt idx="204">
                  <c:v>51.000389099121001</c:v>
                </c:pt>
                <c:pt idx="205">
                  <c:v>51.250110626220703</c:v>
                </c:pt>
                <c:pt idx="206">
                  <c:v>51.500499725341797</c:v>
                </c:pt>
                <c:pt idx="207">
                  <c:v>51.750194549560497</c:v>
                </c:pt>
                <c:pt idx="208">
                  <c:v>52.0003051757812</c:v>
                </c:pt>
                <c:pt idx="209">
                  <c:v>52.2503051757812</c:v>
                </c:pt>
                <c:pt idx="210">
                  <c:v>52.500251770019503</c:v>
                </c:pt>
                <c:pt idx="211">
                  <c:v>52.750331878662102</c:v>
                </c:pt>
                <c:pt idx="212">
                  <c:v>53.000583648681598</c:v>
                </c:pt>
                <c:pt idx="213">
                  <c:v>53.250110626220703</c:v>
                </c:pt>
                <c:pt idx="214">
                  <c:v>53.500251770019503</c:v>
                </c:pt>
                <c:pt idx="215">
                  <c:v>53.750362396240199</c:v>
                </c:pt>
                <c:pt idx="216">
                  <c:v>54.000473022460902</c:v>
                </c:pt>
                <c:pt idx="217">
                  <c:v>54.250278472900298</c:v>
                </c:pt>
                <c:pt idx="218">
                  <c:v>54.500778198242102</c:v>
                </c:pt>
                <c:pt idx="219">
                  <c:v>54.750137329101499</c:v>
                </c:pt>
                <c:pt idx="220">
                  <c:v>55.000362396240199</c:v>
                </c:pt>
                <c:pt idx="221">
                  <c:v>55.250251770019503</c:v>
                </c:pt>
                <c:pt idx="222">
                  <c:v>55.500026702880803</c:v>
                </c:pt>
                <c:pt idx="223">
                  <c:v>55.750583648681598</c:v>
                </c:pt>
                <c:pt idx="224">
                  <c:v>56.000720977783203</c:v>
                </c:pt>
                <c:pt idx="225">
                  <c:v>56.250526428222599</c:v>
                </c:pt>
                <c:pt idx="226">
                  <c:v>56.5003051757812</c:v>
                </c:pt>
                <c:pt idx="227">
                  <c:v>56.75</c:v>
                </c:pt>
                <c:pt idx="228">
                  <c:v>57.000110626220703</c:v>
                </c:pt>
                <c:pt idx="229">
                  <c:v>57.250110626220703</c:v>
                </c:pt>
                <c:pt idx="230">
                  <c:v>57.500278472900298</c:v>
                </c:pt>
                <c:pt idx="231">
                  <c:v>57.750637054443303</c:v>
                </c:pt>
                <c:pt idx="232">
                  <c:v>58.000499725341797</c:v>
                </c:pt>
                <c:pt idx="233">
                  <c:v>58.250362396240199</c:v>
                </c:pt>
                <c:pt idx="234">
                  <c:v>58.5</c:v>
                </c:pt>
                <c:pt idx="235">
                  <c:v>58.750389099121001</c:v>
                </c:pt>
                <c:pt idx="236">
                  <c:v>59.000110626220703</c:v>
                </c:pt>
                <c:pt idx="237">
                  <c:v>59.250251770019503</c:v>
                </c:pt>
                <c:pt idx="238">
                  <c:v>59.500110626220703</c:v>
                </c:pt>
                <c:pt idx="239">
                  <c:v>59.750194549560497</c:v>
                </c:pt>
                <c:pt idx="240">
                  <c:v>60.000331878662102</c:v>
                </c:pt>
                <c:pt idx="241">
                  <c:v>60.250057220458899</c:v>
                </c:pt>
                <c:pt idx="242">
                  <c:v>60.500583648681598</c:v>
                </c:pt>
                <c:pt idx="243">
                  <c:v>60.750473022460902</c:v>
                </c:pt>
                <c:pt idx="244">
                  <c:v>61.000415802001903</c:v>
                </c:pt>
                <c:pt idx="245">
                  <c:v>61.250331878662102</c:v>
                </c:pt>
                <c:pt idx="246">
                  <c:v>61.500331878662102</c:v>
                </c:pt>
                <c:pt idx="247">
                  <c:v>61.750167846679602</c:v>
                </c:pt>
                <c:pt idx="248">
                  <c:v>62</c:v>
                </c:pt>
                <c:pt idx="249">
                  <c:v>62.250415802001903</c:v>
                </c:pt>
                <c:pt idx="250">
                  <c:v>62.500362396240199</c:v>
                </c:pt>
                <c:pt idx="251">
                  <c:v>62.75044631958</c:v>
                </c:pt>
                <c:pt idx="252">
                  <c:v>63.000137329101499</c:v>
                </c:pt>
                <c:pt idx="253">
                  <c:v>63.250499725341797</c:v>
                </c:pt>
                <c:pt idx="254">
                  <c:v>63.500556945800703</c:v>
                </c:pt>
                <c:pt idx="255">
                  <c:v>63.7503051757812</c:v>
                </c:pt>
                <c:pt idx="256">
                  <c:v>64.000114440917898</c:v>
                </c:pt>
                <c:pt idx="257">
                  <c:v>64.250167846679602</c:v>
                </c:pt>
                <c:pt idx="258">
                  <c:v>64.500442504882798</c:v>
                </c:pt>
                <c:pt idx="259">
                  <c:v>64.7506103515625</c:v>
                </c:pt>
                <c:pt idx="260">
                  <c:v>65.000640869140597</c:v>
                </c:pt>
                <c:pt idx="261">
                  <c:v>65.250137329101506</c:v>
                </c:pt>
                <c:pt idx="262">
                  <c:v>65.500305175781193</c:v>
                </c:pt>
                <c:pt idx="263">
                  <c:v>65.750503540039006</c:v>
                </c:pt>
                <c:pt idx="264">
                  <c:v>66.000503540039006</c:v>
                </c:pt>
                <c:pt idx="265">
                  <c:v>66.250030517578097</c:v>
                </c:pt>
                <c:pt idx="266">
                  <c:v>66.500137329101506</c:v>
                </c:pt>
                <c:pt idx="267">
                  <c:v>66.750274658203097</c:v>
                </c:pt>
                <c:pt idx="268">
                  <c:v>67.000083923339801</c:v>
                </c:pt>
                <c:pt idx="269">
                  <c:v>67.250221252441406</c:v>
                </c:pt>
                <c:pt idx="270">
                  <c:v>67.500167846679602</c:v>
                </c:pt>
                <c:pt idx="271">
                  <c:v>67.750503540039006</c:v>
                </c:pt>
                <c:pt idx="272">
                  <c:v>68.000137329101506</c:v>
                </c:pt>
                <c:pt idx="273">
                  <c:v>68.250083923339801</c:v>
                </c:pt>
                <c:pt idx="274">
                  <c:v>68.500556945800696</c:v>
                </c:pt>
                <c:pt idx="275">
                  <c:v>68.750556945800696</c:v>
                </c:pt>
                <c:pt idx="276">
                  <c:v>69.000358581542898</c:v>
                </c:pt>
                <c:pt idx="277">
                  <c:v>69.250694274902301</c:v>
                </c:pt>
                <c:pt idx="278">
                  <c:v>69.500137329101506</c:v>
                </c:pt>
                <c:pt idx="279">
                  <c:v>69.7506103515625</c:v>
                </c:pt>
                <c:pt idx="280">
                  <c:v>70.000251770019503</c:v>
                </c:pt>
                <c:pt idx="281">
                  <c:v>70.250640869140597</c:v>
                </c:pt>
                <c:pt idx="282">
                  <c:v>70.500473022460895</c:v>
                </c:pt>
                <c:pt idx="283">
                  <c:v>70.750053405761705</c:v>
                </c:pt>
                <c:pt idx="284">
                  <c:v>71.000503540039006</c:v>
                </c:pt>
                <c:pt idx="285">
                  <c:v>71.250389099120994</c:v>
                </c:pt>
                <c:pt idx="286">
                  <c:v>71.500274658203097</c:v>
                </c:pt>
                <c:pt idx="287">
                  <c:v>71.750358581542898</c:v>
                </c:pt>
                <c:pt idx="288">
                  <c:v>72.000167846679602</c:v>
                </c:pt>
              </c:numCache>
            </c:numRef>
          </c:xVal>
          <c:yVal>
            <c:numRef>
              <c:f>'SIM2'!$D$11:$D$299</c:f>
              <c:numCache>
                <c:formatCode>General</c:formatCode>
                <c:ptCount val="289"/>
                <c:pt idx="0">
                  <c:v>156.74009704589801</c:v>
                </c:pt>
                <c:pt idx="1">
                  <c:v>156.72059631347599</c:v>
                </c:pt>
                <c:pt idx="2">
                  <c:v>156.79789733886699</c:v>
                </c:pt>
                <c:pt idx="3">
                  <c:v>156.79490661621</c:v>
                </c:pt>
                <c:pt idx="4">
                  <c:v>156.793701171875</c:v>
                </c:pt>
                <c:pt idx="5">
                  <c:v>156.79379272460901</c:v>
                </c:pt>
                <c:pt idx="6">
                  <c:v>156.79350280761699</c:v>
                </c:pt>
                <c:pt idx="7">
                  <c:v>156.76710510253901</c:v>
                </c:pt>
                <c:pt idx="8">
                  <c:v>157.033203125</c:v>
                </c:pt>
                <c:pt idx="9">
                  <c:v>156.94349670410099</c:v>
                </c:pt>
                <c:pt idx="10">
                  <c:v>156.31869506835901</c:v>
                </c:pt>
                <c:pt idx="11">
                  <c:v>156.67849731445301</c:v>
                </c:pt>
                <c:pt idx="12">
                  <c:v>156.68290710449199</c:v>
                </c:pt>
                <c:pt idx="13">
                  <c:v>156.662506103515</c:v>
                </c:pt>
                <c:pt idx="14">
                  <c:v>156.66160583496</c:v>
                </c:pt>
                <c:pt idx="15">
                  <c:v>156.66119384765599</c:v>
                </c:pt>
                <c:pt idx="16">
                  <c:v>156.66310119628901</c:v>
                </c:pt>
                <c:pt idx="17">
                  <c:v>156.662506103515</c:v>
                </c:pt>
                <c:pt idx="18">
                  <c:v>156.70700073242099</c:v>
                </c:pt>
                <c:pt idx="19">
                  <c:v>156.66850280761699</c:v>
                </c:pt>
                <c:pt idx="20">
                  <c:v>156.66200256347599</c:v>
                </c:pt>
                <c:pt idx="21">
                  <c:v>156.66220092773401</c:v>
                </c:pt>
                <c:pt idx="22">
                  <c:v>156.83720397949199</c:v>
                </c:pt>
                <c:pt idx="23">
                  <c:v>156.75399780273401</c:v>
                </c:pt>
                <c:pt idx="24">
                  <c:v>156.54379272460901</c:v>
                </c:pt>
                <c:pt idx="25">
                  <c:v>156.62640380859301</c:v>
                </c:pt>
                <c:pt idx="26">
                  <c:v>156.69000244140599</c:v>
                </c:pt>
                <c:pt idx="27">
                  <c:v>156.82440185546801</c:v>
                </c:pt>
                <c:pt idx="28">
                  <c:v>156.74560546875</c:v>
                </c:pt>
                <c:pt idx="29">
                  <c:v>156.43760681152301</c:v>
                </c:pt>
                <c:pt idx="30">
                  <c:v>156.69920349121</c:v>
                </c:pt>
                <c:pt idx="31">
                  <c:v>156.780502319335</c:v>
                </c:pt>
                <c:pt idx="32">
                  <c:v>156.76280212402301</c:v>
                </c:pt>
                <c:pt idx="33">
                  <c:v>156.760498046875</c:v>
                </c:pt>
                <c:pt idx="34">
                  <c:v>156.75750732421801</c:v>
                </c:pt>
                <c:pt idx="35">
                  <c:v>156.75779724121</c:v>
                </c:pt>
                <c:pt idx="36">
                  <c:v>156.75500488281199</c:v>
                </c:pt>
                <c:pt idx="37">
                  <c:v>156.68159484863199</c:v>
                </c:pt>
                <c:pt idx="38">
                  <c:v>156.68730163574199</c:v>
                </c:pt>
                <c:pt idx="39">
                  <c:v>156.752197265625</c:v>
                </c:pt>
                <c:pt idx="40">
                  <c:v>156.76060485839801</c:v>
                </c:pt>
                <c:pt idx="41">
                  <c:v>156.72450256347599</c:v>
                </c:pt>
                <c:pt idx="42">
                  <c:v>156.83239746093699</c:v>
                </c:pt>
                <c:pt idx="43">
                  <c:v>156.91050720214801</c:v>
                </c:pt>
                <c:pt idx="44">
                  <c:v>156.28329467773401</c:v>
                </c:pt>
                <c:pt idx="45">
                  <c:v>156.73309326171801</c:v>
                </c:pt>
                <c:pt idx="46">
                  <c:v>156.773193359375</c:v>
                </c:pt>
                <c:pt idx="47">
                  <c:v>156.81610107421801</c:v>
                </c:pt>
                <c:pt idx="48">
                  <c:v>156.92300415039</c:v>
                </c:pt>
                <c:pt idx="49">
                  <c:v>156.41720581054599</c:v>
                </c:pt>
                <c:pt idx="50">
                  <c:v>156.74929809570301</c:v>
                </c:pt>
                <c:pt idx="51">
                  <c:v>156.76679992675699</c:v>
                </c:pt>
                <c:pt idx="52">
                  <c:v>156.76089477539</c:v>
                </c:pt>
                <c:pt idx="53">
                  <c:v>156.75770568847599</c:v>
                </c:pt>
                <c:pt idx="54">
                  <c:v>156.75549316406199</c:v>
                </c:pt>
                <c:pt idx="55">
                  <c:v>156.75810241699199</c:v>
                </c:pt>
                <c:pt idx="56">
                  <c:v>156.75860595703099</c:v>
                </c:pt>
                <c:pt idx="57">
                  <c:v>156.83799743652301</c:v>
                </c:pt>
                <c:pt idx="58">
                  <c:v>156.75599670410099</c:v>
                </c:pt>
                <c:pt idx="59">
                  <c:v>156.75810241699199</c:v>
                </c:pt>
                <c:pt idx="60">
                  <c:v>156.75920104980401</c:v>
                </c:pt>
                <c:pt idx="61">
                  <c:v>156.891998291015</c:v>
                </c:pt>
                <c:pt idx="62">
                  <c:v>156.78630065917901</c:v>
                </c:pt>
                <c:pt idx="63">
                  <c:v>156.94639587402301</c:v>
                </c:pt>
                <c:pt idx="64">
                  <c:v>156.61030578613199</c:v>
                </c:pt>
                <c:pt idx="65">
                  <c:v>156.77630615234301</c:v>
                </c:pt>
                <c:pt idx="66">
                  <c:v>156.81010437011699</c:v>
                </c:pt>
                <c:pt idx="67">
                  <c:v>156.77810668945301</c:v>
                </c:pt>
                <c:pt idx="68">
                  <c:v>156.76530456542901</c:v>
                </c:pt>
                <c:pt idx="69">
                  <c:v>156.70719909667901</c:v>
                </c:pt>
                <c:pt idx="70">
                  <c:v>156.78300476074199</c:v>
                </c:pt>
                <c:pt idx="71">
                  <c:v>156.75920104980401</c:v>
                </c:pt>
                <c:pt idx="72">
                  <c:v>156.75929260253901</c:v>
                </c:pt>
                <c:pt idx="73">
                  <c:v>156.75650024414</c:v>
                </c:pt>
                <c:pt idx="74">
                  <c:v>156.75759887695301</c:v>
                </c:pt>
                <c:pt idx="75">
                  <c:v>156.75819396972599</c:v>
                </c:pt>
                <c:pt idx="76">
                  <c:v>156.76100158691401</c:v>
                </c:pt>
                <c:pt idx="77">
                  <c:v>156.772705078125</c:v>
                </c:pt>
                <c:pt idx="78">
                  <c:v>156.75520324707</c:v>
                </c:pt>
                <c:pt idx="79">
                  <c:v>156.75979614257801</c:v>
                </c:pt>
                <c:pt idx="80">
                  <c:v>156.68589782714801</c:v>
                </c:pt>
                <c:pt idx="81">
                  <c:v>156.78439331054599</c:v>
                </c:pt>
                <c:pt idx="82">
                  <c:v>156.88259887695301</c:v>
                </c:pt>
                <c:pt idx="83">
                  <c:v>156.48800659179599</c:v>
                </c:pt>
                <c:pt idx="84">
                  <c:v>156.71890258789</c:v>
                </c:pt>
                <c:pt idx="85">
                  <c:v>156.75379943847599</c:v>
                </c:pt>
                <c:pt idx="86">
                  <c:v>156.97009277343699</c:v>
                </c:pt>
                <c:pt idx="87">
                  <c:v>156.902099609375</c:v>
                </c:pt>
                <c:pt idx="88">
                  <c:v>156.47189331054599</c:v>
                </c:pt>
                <c:pt idx="89">
                  <c:v>156.74479675292901</c:v>
                </c:pt>
                <c:pt idx="90">
                  <c:v>156.76849365234301</c:v>
                </c:pt>
                <c:pt idx="91">
                  <c:v>156.75929260253901</c:v>
                </c:pt>
                <c:pt idx="92">
                  <c:v>156.75830078125</c:v>
                </c:pt>
                <c:pt idx="93">
                  <c:v>156.75849914550699</c:v>
                </c:pt>
                <c:pt idx="94">
                  <c:v>156.75920104980401</c:v>
                </c:pt>
                <c:pt idx="95">
                  <c:v>156.75799560546801</c:v>
                </c:pt>
                <c:pt idx="96">
                  <c:v>156.77760314941401</c:v>
                </c:pt>
                <c:pt idx="97">
                  <c:v>156.75469970703099</c:v>
                </c:pt>
                <c:pt idx="98">
                  <c:v>156.75880432128901</c:v>
                </c:pt>
                <c:pt idx="99">
                  <c:v>156.75379943847599</c:v>
                </c:pt>
                <c:pt idx="100">
                  <c:v>156.87120056152301</c:v>
                </c:pt>
                <c:pt idx="101">
                  <c:v>156.71539306640599</c:v>
                </c:pt>
                <c:pt idx="102">
                  <c:v>156.93629455566401</c:v>
                </c:pt>
                <c:pt idx="103">
                  <c:v>156.40980529785099</c:v>
                </c:pt>
                <c:pt idx="104">
                  <c:v>156.76359558105401</c:v>
                </c:pt>
                <c:pt idx="105">
                  <c:v>156.80900573730401</c:v>
                </c:pt>
                <c:pt idx="106">
                  <c:v>156.71180725097599</c:v>
                </c:pt>
                <c:pt idx="107">
                  <c:v>156.880599975585</c:v>
                </c:pt>
                <c:pt idx="108">
                  <c:v>156.68179321289</c:v>
                </c:pt>
                <c:pt idx="109">
                  <c:v>156.781005859375</c:v>
                </c:pt>
                <c:pt idx="110">
                  <c:v>156.76159667968699</c:v>
                </c:pt>
                <c:pt idx="111">
                  <c:v>156.75709533691401</c:v>
                </c:pt>
                <c:pt idx="112">
                  <c:v>156.75909423828099</c:v>
                </c:pt>
                <c:pt idx="113">
                  <c:v>156.75590515136699</c:v>
                </c:pt>
                <c:pt idx="114">
                  <c:v>156.757400512695</c:v>
                </c:pt>
                <c:pt idx="115">
                  <c:v>156.76060485839801</c:v>
                </c:pt>
                <c:pt idx="116">
                  <c:v>156.85690307617099</c:v>
                </c:pt>
                <c:pt idx="117">
                  <c:v>156.75630187988199</c:v>
                </c:pt>
                <c:pt idx="118">
                  <c:v>156.75959777832</c:v>
                </c:pt>
                <c:pt idx="119">
                  <c:v>156.73390197753901</c:v>
                </c:pt>
                <c:pt idx="120">
                  <c:v>156.951400756835</c:v>
                </c:pt>
                <c:pt idx="121">
                  <c:v>156.87680053710901</c:v>
                </c:pt>
                <c:pt idx="122">
                  <c:v>156.58320617675699</c:v>
                </c:pt>
                <c:pt idx="123">
                  <c:v>156.71560668945301</c:v>
                </c:pt>
                <c:pt idx="124">
                  <c:v>156.71929931640599</c:v>
                </c:pt>
                <c:pt idx="125">
                  <c:v>156.94810485839801</c:v>
                </c:pt>
                <c:pt idx="126">
                  <c:v>156.88909912109301</c:v>
                </c:pt>
                <c:pt idx="127">
                  <c:v>156.39790344238199</c:v>
                </c:pt>
                <c:pt idx="128">
                  <c:v>156.72970581054599</c:v>
                </c:pt>
                <c:pt idx="129">
                  <c:v>156.77569580078099</c:v>
                </c:pt>
                <c:pt idx="130">
                  <c:v>156.75849914550699</c:v>
                </c:pt>
                <c:pt idx="131">
                  <c:v>156.75830078125</c:v>
                </c:pt>
                <c:pt idx="132">
                  <c:v>156.76010131835901</c:v>
                </c:pt>
                <c:pt idx="133">
                  <c:v>156.75799560546801</c:v>
                </c:pt>
                <c:pt idx="134">
                  <c:v>156.75909423828099</c:v>
                </c:pt>
                <c:pt idx="135">
                  <c:v>156.71659851074199</c:v>
                </c:pt>
                <c:pt idx="136">
                  <c:v>156.73159790039</c:v>
                </c:pt>
                <c:pt idx="137">
                  <c:v>156.75329589843699</c:v>
                </c:pt>
                <c:pt idx="138">
                  <c:v>156.75880432128901</c:v>
                </c:pt>
                <c:pt idx="139">
                  <c:v>156.78039550781199</c:v>
                </c:pt>
                <c:pt idx="140">
                  <c:v>156.81930541992099</c:v>
                </c:pt>
                <c:pt idx="141">
                  <c:v>156.92230224609301</c:v>
                </c:pt>
                <c:pt idx="142">
                  <c:v>156.38070678710901</c:v>
                </c:pt>
                <c:pt idx="143">
                  <c:v>156.74819946289</c:v>
                </c:pt>
                <c:pt idx="144">
                  <c:v>156.79730224609301</c:v>
                </c:pt>
                <c:pt idx="145">
                  <c:v>156.76989746093699</c:v>
                </c:pt>
                <c:pt idx="146">
                  <c:v>156.92810058593699</c:v>
                </c:pt>
                <c:pt idx="147">
                  <c:v>156.511795043945</c:v>
                </c:pt>
                <c:pt idx="148">
                  <c:v>156.76109313964801</c:v>
                </c:pt>
                <c:pt idx="149">
                  <c:v>156.76310729980401</c:v>
                </c:pt>
                <c:pt idx="150">
                  <c:v>156.75750732421801</c:v>
                </c:pt>
                <c:pt idx="151">
                  <c:v>156.75729370117099</c:v>
                </c:pt>
                <c:pt idx="152">
                  <c:v>156.76069641113199</c:v>
                </c:pt>
                <c:pt idx="153">
                  <c:v>156.75720214843699</c:v>
                </c:pt>
                <c:pt idx="154">
                  <c:v>156.75880432128901</c:v>
                </c:pt>
                <c:pt idx="155">
                  <c:v>156.80740356445301</c:v>
                </c:pt>
                <c:pt idx="156">
                  <c:v>156.76100158691401</c:v>
                </c:pt>
                <c:pt idx="157">
                  <c:v>156.75779724121</c:v>
                </c:pt>
                <c:pt idx="158">
                  <c:v>156.75700378417901</c:v>
                </c:pt>
                <c:pt idx="159">
                  <c:v>156.94410705566401</c:v>
                </c:pt>
                <c:pt idx="160">
                  <c:v>156.87260437011699</c:v>
                </c:pt>
                <c:pt idx="161">
                  <c:v>156.522201538085</c:v>
                </c:pt>
                <c:pt idx="162">
                  <c:v>156.72079467773401</c:v>
                </c:pt>
                <c:pt idx="163">
                  <c:v>156.73609924316401</c:v>
                </c:pt>
                <c:pt idx="164">
                  <c:v>156.956298828125</c:v>
                </c:pt>
                <c:pt idx="165">
                  <c:v>156.888900756835</c:v>
                </c:pt>
                <c:pt idx="166">
                  <c:v>156.36459350585901</c:v>
                </c:pt>
                <c:pt idx="167">
                  <c:v>156.73469543457</c:v>
                </c:pt>
                <c:pt idx="168">
                  <c:v>156.77290344238199</c:v>
                </c:pt>
                <c:pt idx="169">
                  <c:v>156.761306762695</c:v>
                </c:pt>
                <c:pt idx="170">
                  <c:v>156.75799560546801</c:v>
                </c:pt>
                <c:pt idx="171">
                  <c:v>156.75979614257801</c:v>
                </c:pt>
                <c:pt idx="172">
                  <c:v>156.75840759277301</c:v>
                </c:pt>
                <c:pt idx="173">
                  <c:v>156.75540161132801</c:v>
                </c:pt>
                <c:pt idx="174">
                  <c:v>156.73500061035099</c:v>
                </c:pt>
                <c:pt idx="175">
                  <c:v>156.74969482421801</c:v>
                </c:pt>
                <c:pt idx="176">
                  <c:v>156.75689697265599</c:v>
                </c:pt>
                <c:pt idx="177">
                  <c:v>156.76139831542901</c:v>
                </c:pt>
                <c:pt idx="178">
                  <c:v>156.86410522460901</c:v>
                </c:pt>
                <c:pt idx="179">
                  <c:v>156.70610046386699</c:v>
                </c:pt>
                <c:pt idx="180">
                  <c:v>156.92820739746</c:v>
                </c:pt>
                <c:pt idx="181">
                  <c:v>156.47860717773401</c:v>
                </c:pt>
                <c:pt idx="182">
                  <c:v>156.76469421386699</c:v>
                </c:pt>
                <c:pt idx="183">
                  <c:v>156.81100463867099</c:v>
                </c:pt>
                <c:pt idx="184">
                  <c:v>156.72390747070301</c:v>
                </c:pt>
                <c:pt idx="185">
                  <c:v>156.85490417480401</c:v>
                </c:pt>
                <c:pt idx="186">
                  <c:v>156.68449401855401</c:v>
                </c:pt>
                <c:pt idx="187">
                  <c:v>156.77630615234301</c:v>
                </c:pt>
                <c:pt idx="188">
                  <c:v>156.75830078125</c:v>
                </c:pt>
                <c:pt idx="189">
                  <c:v>156.75729370117099</c:v>
                </c:pt>
                <c:pt idx="190">
                  <c:v>156.76119995117099</c:v>
                </c:pt>
                <c:pt idx="191">
                  <c:v>156.758697509765</c:v>
                </c:pt>
                <c:pt idx="192">
                  <c:v>156.75759887695301</c:v>
                </c:pt>
                <c:pt idx="193">
                  <c:v>156.75729370117099</c:v>
                </c:pt>
                <c:pt idx="194">
                  <c:v>156.81539916992099</c:v>
                </c:pt>
                <c:pt idx="195">
                  <c:v>156.76109313964801</c:v>
                </c:pt>
                <c:pt idx="196">
                  <c:v>156.75529479980401</c:v>
                </c:pt>
                <c:pt idx="197">
                  <c:v>156.72929382324199</c:v>
                </c:pt>
                <c:pt idx="198">
                  <c:v>156.79699707031199</c:v>
                </c:pt>
                <c:pt idx="199">
                  <c:v>156.89190673828099</c:v>
                </c:pt>
                <c:pt idx="200">
                  <c:v>156.42219543457</c:v>
                </c:pt>
                <c:pt idx="201">
                  <c:v>156.725494384765</c:v>
                </c:pt>
                <c:pt idx="202">
                  <c:v>156.74229431152301</c:v>
                </c:pt>
                <c:pt idx="203">
                  <c:v>156.79930114746</c:v>
                </c:pt>
                <c:pt idx="204">
                  <c:v>156.90229797363199</c:v>
                </c:pt>
                <c:pt idx="205">
                  <c:v>156.464096069335</c:v>
                </c:pt>
                <c:pt idx="206">
                  <c:v>156.739501953125</c:v>
                </c:pt>
                <c:pt idx="207">
                  <c:v>156.76730346679599</c:v>
                </c:pt>
                <c:pt idx="208">
                  <c:v>156.759506225585</c:v>
                </c:pt>
                <c:pt idx="209">
                  <c:v>156.75790405273401</c:v>
                </c:pt>
                <c:pt idx="210">
                  <c:v>156.75819396972599</c:v>
                </c:pt>
                <c:pt idx="211">
                  <c:v>156.75700378417901</c:v>
                </c:pt>
                <c:pt idx="212">
                  <c:v>156.75729370117099</c:v>
                </c:pt>
                <c:pt idx="213">
                  <c:v>156.73199462890599</c:v>
                </c:pt>
                <c:pt idx="214">
                  <c:v>156.75259399414</c:v>
                </c:pt>
                <c:pt idx="215">
                  <c:v>156.75729370117099</c:v>
                </c:pt>
                <c:pt idx="216">
                  <c:v>156.76010131835901</c:v>
                </c:pt>
                <c:pt idx="217">
                  <c:v>156.80499267578099</c:v>
                </c:pt>
                <c:pt idx="218">
                  <c:v>156.74220275878901</c:v>
                </c:pt>
                <c:pt idx="219">
                  <c:v>156.93679809570301</c:v>
                </c:pt>
                <c:pt idx="220">
                  <c:v>156.58590698242099</c:v>
                </c:pt>
                <c:pt idx="221">
                  <c:v>156.77310180664</c:v>
                </c:pt>
                <c:pt idx="222">
                  <c:v>156.80419921875</c:v>
                </c:pt>
                <c:pt idx="223">
                  <c:v>156.75709533691401</c:v>
                </c:pt>
                <c:pt idx="224">
                  <c:v>156.79829406738199</c:v>
                </c:pt>
                <c:pt idx="225">
                  <c:v>156.70359802246</c:v>
                </c:pt>
                <c:pt idx="226">
                  <c:v>156.78309631347599</c:v>
                </c:pt>
                <c:pt idx="227">
                  <c:v>156.76069641113199</c:v>
                </c:pt>
                <c:pt idx="228">
                  <c:v>156.75810241699199</c:v>
                </c:pt>
                <c:pt idx="229">
                  <c:v>156.76069641113199</c:v>
                </c:pt>
                <c:pt idx="230">
                  <c:v>156.75810241699199</c:v>
                </c:pt>
                <c:pt idx="231">
                  <c:v>156.75810241699199</c:v>
                </c:pt>
                <c:pt idx="232">
                  <c:v>156.75880432128901</c:v>
                </c:pt>
                <c:pt idx="233">
                  <c:v>156.81329345703099</c:v>
                </c:pt>
                <c:pt idx="234">
                  <c:v>156.75540161132801</c:v>
                </c:pt>
                <c:pt idx="235">
                  <c:v>156.75990295410099</c:v>
                </c:pt>
                <c:pt idx="236">
                  <c:v>156.730697631835</c:v>
                </c:pt>
                <c:pt idx="237">
                  <c:v>157.00019836425699</c:v>
                </c:pt>
                <c:pt idx="238">
                  <c:v>156.89869689941401</c:v>
                </c:pt>
                <c:pt idx="239">
                  <c:v>156.39169311523401</c:v>
                </c:pt>
                <c:pt idx="240">
                  <c:v>156.72830200195301</c:v>
                </c:pt>
                <c:pt idx="241">
                  <c:v>156.76480102539</c:v>
                </c:pt>
                <c:pt idx="242">
                  <c:v>156.80549621582</c:v>
                </c:pt>
                <c:pt idx="243">
                  <c:v>156.90690612792901</c:v>
                </c:pt>
                <c:pt idx="244">
                  <c:v>156.39050292968699</c:v>
                </c:pt>
                <c:pt idx="245">
                  <c:v>156.74279785156199</c:v>
                </c:pt>
                <c:pt idx="246">
                  <c:v>156.76669311523401</c:v>
                </c:pt>
                <c:pt idx="247">
                  <c:v>156.75469970703099</c:v>
                </c:pt>
                <c:pt idx="248">
                  <c:v>156.759506225585</c:v>
                </c:pt>
                <c:pt idx="249">
                  <c:v>156.75929260253901</c:v>
                </c:pt>
                <c:pt idx="250">
                  <c:v>156.757400512695</c:v>
                </c:pt>
                <c:pt idx="251">
                  <c:v>156.76080322265599</c:v>
                </c:pt>
                <c:pt idx="252">
                  <c:v>156.74479675292901</c:v>
                </c:pt>
                <c:pt idx="253">
                  <c:v>156.75419616699199</c:v>
                </c:pt>
                <c:pt idx="254">
                  <c:v>156.75849914550699</c:v>
                </c:pt>
                <c:pt idx="255">
                  <c:v>156.75549316406199</c:v>
                </c:pt>
                <c:pt idx="256">
                  <c:v>156.80690002441401</c:v>
                </c:pt>
                <c:pt idx="257">
                  <c:v>156.76019287109301</c:v>
                </c:pt>
                <c:pt idx="258">
                  <c:v>156.928298950195</c:v>
                </c:pt>
                <c:pt idx="259">
                  <c:v>156.61740112304599</c:v>
                </c:pt>
                <c:pt idx="260">
                  <c:v>156.77520751953099</c:v>
                </c:pt>
                <c:pt idx="261">
                  <c:v>156.89410400390599</c:v>
                </c:pt>
                <c:pt idx="262">
                  <c:v>156.78120422363199</c:v>
                </c:pt>
                <c:pt idx="263">
                  <c:v>156.78599548339801</c:v>
                </c:pt>
                <c:pt idx="264">
                  <c:v>156.70120239257801</c:v>
                </c:pt>
                <c:pt idx="265">
                  <c:v>156.78169250488199</c:v>
                </c:pt>
                <c:pt idx="266">
                  <c:v>156.76040649414</c:v>
                </c:pt>
                <c:pt idx="267">
                  <c:v>156.75840759277301</c:v>
                </c:pt>
                <c:pt idx="268">
                  <c:v>156.75909423828099</c:v>
                </c:pt>
                <c:pt idx="269">
                  <c:v>156.75660705566401</c:v>
                </c:pt>
                <c:pt idx="270">
                  <c:v>156.75840759277301</c:v>
                </c:pt>
                <c:pt idx="271">
                  <c:v>156.75830078125</c:v>
                </c:pt>
                <c:pt idx="272">
                  <c:v>156.79859924316401</c:v>
                </c:pt>
                <c:pt idx="273">
                  <c:v>156.75810241699199</c:v>
                </c:pt>
                <c:pt idx="274">
                  <c:v>156.75840759277301</c:v>
                </c:pt>
                <c:pt idx="275">
                  <c:v>156.742904663085</c:v>
                </c:pt>
                <c:pt idx="276">
                  <c:v>156.81430053710901</c:v>
                </c:pt>
                <c:pt idx="277">
                  <c:v>156.90669250488199</c:v>
                </c:pt>
                <c:pt idx="278">
                  <c:v>156.34060668945301</c:v>
                </c:pt>
                <c:pt idx="279">
                  <c:v>156.73759460449199</c:v>
                </c:pt>
                <c:pt idx="280">
                  <c:v>156.83810424804599</c:v>
                </c:pt>
                <c:pt idx="281">
                  <c:v>156.82269287109301</c:v>
                </c:pt>
                <c:pt idx="282">
                  <c:v>156.91610717773401</c:v>
                </c:pt>
                <c:pt idx="283">
                  <c:v>156.44129943847599</c:v>
                </c:pt>
                <c:pt idx="284">
                  <c:v>156.75090026855401</c:v>
                </c:pt>
                <c:pt idx="285">
                  <c:v>156.76669311523401</c:v>
                </c:pt>
                <c:pt idx="286">
                  <c:v>156.759506225585</c:v>
                </c:pt>
                <c:pt idx="287">
                  <c:v>156.75509643554599</c:v>
                </c:pt>
                <c:pt idx="288">
                  <c:v>156.75819396972599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A-4075-996E-D725BE103013}"/>
            </c:ext>
          </c:extLst>
        </c:ser>
        <c:ser>
          <c:idx val="1"/>
          <c:order val="1"/>
          <c:tx>
            <c:strRef>
              <c:f>Legends!$B$3</c:f>
              <c:strCache>
                <c:ptCount val="1"/>
                <c:pt idx="0">
                  <c:v>Pressure downstream choke</c:v>
                </c:pt>
              </c:strCache>
            </c:strRef>
          </c:tx>
          <c:marker>
            <c:symbol val="none"/>
          </c:marker>
          <c:xVal>
            <c:numRef>
              <c:f>'SIM2'!$B$11:$B$299</c:f>
              <c:numCache>
                <c:formatCode>General</c:formatCode>
                <c:ptCount val="289"/>
                <c:pt idx="0">
                  <c:v>0</c:v>
                </c:pt>
                <c:pt idx="1">
                  <c:v>0.25036987662315302</c:v>
                </c:pt>
                <c:pt idx="2">
                  <c:v>0.50034749507903997</c:v>
                </c:pt>
                <c:pt idx="3">
                  <c:v>0.75036638975143399</c:v>
                </c:pt>
                <c:pt idx="4">
                  <c:v>1.00027227401733</c:v>
                </c:pt>
                <c:pt idx="5">
                  <c:v>1.25033855438232</c:v>
                </c:pt>
                <c:pt idx="6">
                  <c:v>1.50031077861785</c:v>
                </c:pt>
                <c:pt idx="7">
                  <c:v>1.75039339065551</c:v>
                </c:pt>
                <c:pt idx="8">
                  <c:v>2.0002985000610298</c:v>
                </c:pt>
                <c:pt idx="9">
                  <c:v>2.2502260208129798</c:v>
                </c:pt>
                <c:pt idx="10">
                  <c:v>2.5003199577331499</c:v>
                </c:pt>
                <c:pt idx="11">
                  <c:v>2.7502677440643302</c:v>
                </c:pt>
                <c:pt idx="12">
                  <c:v>3.0001916885375901</c:v>
                </c:pt>
                <c:pt idx="13">
                  <c:v>3.25028324127197</c:v>
                </c:pt>
                <c:pt idx="14">
                  <c:v>3.5001471042632999</c:v>
                </c:pt>
                <c:pt idx="15">
                  <c:v>3.7502889633178702</c:v>
                </c:pt>
                <c:pt idx="16">
                  <c:v>4.0003137588500897</c:v>
                </c:pt>
                <c:pt idx="17">
                  <c:v>4.2500414848327601</c:v>
                </c:pt>
                <c:pt idx="18">
                  <c:v>4.5006608963012704</c:v>
                </c:pt>
                <c:pt idx="19">
                  <c:v>4.7502470016479403</c:v>
                </c:pt>
                <c:pt idx="20">
                  <c:v>5.0002779960632298</c:v>
                </c:pt>
                <c:pt idx="21">
                  <c:v>5.2502360343933097</c:v>
                </c:pt>
                <c:pt idx="22">
                  <c:v>5.5005168914794904</c:v>
                </c:pt>
                <c:pt idx="23">
                  <c:v>5.7500863075256303</c:v>
                </c:pt>
                <c:pt idx="24">
                  <c:v>6.0003890991210902</c:v>
                </c:pt>
                <c:pt idx="25">
                  <c:v>6.2504692077636701</c:v>
                </c:pt>
                <c:pt idx="26">
                  <c:v>6.5000529289245597</c:v>
                </c:pt>
                <c:pt idx="27">
                  <c:v>6.7505526542663503</c:v>
                </c:pt>
                <c:pt idx="28">
                  <c:v>7.0006999969482404</c:v>
                </c:pt>
                <c:pt idx="29">
                  <c:v>7.25026130676269</c:v>
                </c:pt>
                <c:pt idx="30">
                  <c:v>7.5004582405090297</c:v>
                </c:pt>
                <c:pt idx="31">
                  <c:v>7.7501306533813397</c:v>
                </c:pt>
                <c:pt idx="32">
                  <c:v>8.0003862380981392</c:v>
                </c:pt>
                <c:pt idx="33">
                  <c:v>8.2503137588500906</c:v>
                </c:pt>
                <c:pt idx="34">
                  <c:v>8.5003643035888601</c:v>
                </c:pt>
                <c:pt idx="35">
                  <c:v>8.7504053115844709</c:v>
                </c:pt>
                <c:pt idx="36">
                  <c:v>9.0001420974731392</c:v>
                </c:pt>
                <c:pt idx="37">
                  <c:v>9.2501611709594709</c:v>
                </c:pt>
                <c:pt idx="38">
                  <c:v>9.50001621246337</c:v>
                </c:pt>
                <c:pt idx="39">
                  <c:v>9.7503719329833896</c:v>
                </c:pt>
                <c:pt idx="40">
                  <c:v>10.000139236450201</c:v>
                </c:pt>
                <c:pt idx="41">
                  <c:v>10.2504224777221</c:v>
                </c:pt>
                <c:pt idx="42">
                  <c:v>10.5000858306884</c:v>
                </c:pt>
                <c:pt idx="43">
                  <c:v>10.7500495910644</c:v>
                </c:pt>
                <c:pt idx="44">
                  <c:v>11.0002698898315</c:v>
                </c:pt>
                <c:pt idx="45">
                  <c:v>11.250389099121</c:v>
                </c:pt>
                <c:pt idx="46">
                  <c:v>11.500566482543899</c:v>
                </c:pt>
                <c:pt idx="47">
                  <c:v>11.7500057220459</c:v>
                </c:pt>
                <c:pt idx="48">
                  <c:v>12.0005273818969</c:v>
                </c:pt>
                <c:pt idx="49">
                  <c:v>12.250308036804199</c:v>
                </c:pt>
                <c:pt idx="50">
                  <c:v>12.500169754028301</c:v>
                </c:pt>
                <c:pt idx="51">
                  <c:v>12.750102996826101</c:v>
                </c:pt>
                <c:pt idx="52">
                  <c:v>13.000124931335399</c:v>
                </c:pt>
                <c:pt idx="53">
                  <c:v>13.2501611709594</c:v>
                </c:pt>
                <c:pt idx="54">
                  <c:v>13.500452995300201</c:v>
                </c:pt>
                <c:pt idx="55">
                  <c:v>13.7502555847168</c:v>
                </c:pt>
                <c:pt idx="56">
                  <c:v>14.0000057220459</c:v>
                </c:pt>
                <c:pt idx="57">
                  <c:v>14.250047683715801</c:v>
                </c:pt>
                <c:pt idx="58">
                  <c:v>14.5001668930053</c:v>
                </c:pt>
                <c:pt idx="59">
                  <c:v>14.7503108978271</c:v>
                </c:pt>
                <c:pt idx="60">
                  <c:v>15.000236511230399</c:v>
                </c:pt>
                <c:pt idx="61">
                  <c:v>15.250724792480399</c:v>
                </c:pt>
                <c:pt idx="62">
                  <c:v>15.5000858306884</c:v>
                </c:pt>
                <c:pt idx="63">
                  <c:v>15.750780105590801</c:v>
                </c:pt>
                <c:pt idx="64">
                  <c:v>16.000085830688398</c:v>
                </c:pt>
                <c:pt idx="65">
                  <c:v>16.250022888183501</c:v>
                </c:pt>
                <c:pt idx="66">
                  <c:v>16.500297546386701</c:v>
                </c:pt>
                <c:pt idx="67">
                  <c:v>16.750450134277301</c:v>
                </c:pt>
                <c:pt idx="68">
                  <c:v>17.0007610321044</c:v>
                </c:pt>
                <c:pt idx="69">
                  <c:v>17.250202178955</c:v>
                </c:pt>
                <c:pt idx="70">
                  <c:v>17.500144958496001</c:v>
                </c:pt>
                <c:pt idx="71">
                  <c:v>17.750125885009702</c:v>
                </c:pt>
                <c:pt idx="72">
                  <c:v>18.000017166137699</c:v>
                </c:pt>
                <c:pt idx="73">
                  <c:v>18.250062942504801</c:v>
                </c:pt>
                <c:pt idx="74">
                  <c:v>18.500543594360298</c:v>
                </c:pt>
                <c:pt idx="75">
                  <c:v>18.750591278076101</c:v>
                </c:pt>
                <c:pt idx="76">
                  <c:v>19.000705718994102</c:v>
                </c:pt>
                <c:pt idx="77">
                  <c:v>19.250625610351499</c:v>
                </c:pt>
                <c:pt idx="78">
                  <c:v>19.500225067138601</c:v>
                </c:pt>
                <c:pt idx="79">
                  <c:v>19.7506504058837</c:v>
                </c:pt>
                <c:pt idx="80">
                  <c:v>20.0004577636718</c:v>
                </c:pt>
                <c:pt idx="81">
                  <c:v>20.2502841949462</c:v>
                </c:pt>
                <c:pt idx="82">
                  <c:v>20.5000190734863</c:v>
                </c:pt>
                <c:pt idx="83">
                  <c:v>20.750104904174801</c:v>
                </c:pt>
                <c:pt idx="84">
                  <c:v>21.000597000121999</c:v>
                </c:pt>
                <c:pt idx="85">
                  <c:v>21.2500495910644</c:v>
                </c:pt>
                <c:pt idx="86">
                  <c:v>21.500677108764599</c:v>
                </c:pt>
                <c:pt idx="87">
                  <c:v>21.7505798339843</c:v>
                </c:pt>
                <c:pt idx="88">
                  <c:v>22.0003643035888</c:v>
                </c:pt>
                <c:pt idx="89">
                  <c:v>22.250442504882798</c:v>
                </c:pt>
                <c:pt idx="90">
                  <c:v>22.5002746582031</c:v>
                </c:pt>
                <c:pt idx="91">
                  <c:v>22.750158309936499</c:v>
                </c:pt>
                <c:pt idx="92">
                  <c:v>23.000186920166001</c:v>
                </c:pt>
                <c:pt idx="93">
                  <c:v>23.250114440917901</c:v>
                </c:pt>
                <c:pt idx="94">
                  <c:v>23.5003852844238</c:v>
                </c:pt>
                <c:pt idx="95">
                  <c:v>23.750177383422798</c:v>
                </c:pt>
                <c:pt idx="96">
                  <c:v>24.0006389617919</c:v>
                </c:pt>
                <c:pt idx="97">
                  <c:v>24.250637054443299</c:v>
                </c:pt>
                <c:pt idx="98">
                  <c:v>24.500480651855401</c:v>
                </c:pt>
                <c:pt idx="99">
                  <c:v>24.750085830688398</c:v>
                </c:pt>
                <c:pt idx="100">
                  <c:v>25.000442504882798</c:v>
                </c:pt>
                <c:pt idx="101">
                  <c:v>25.2506084442138</c:v>
                </c:pt>
                <c:pt idx="102">
                  <c:v>25.5000686645507</c:v>
                </c:pt>
                <c:pt idx="103">
                  <c:v>25.750452041625898</c:v>
                </c:pt>
                <c:pt idx="104">
                  <c:v>26.000291824340799</c:v>
                </c:pt>
                <c:pt idx="105">
                  <c:v>26.250202178955</c:v>
                </c:pt>
                <c:pt idx="106">
                  <c:v>26.500719070434499</c:v>
                </c:pt>
                <c:pt idx="107">
                  <c:v>26.750350952148398</c:v>
                </c:pt>
                <c:pt idx="108">
                  <c:v>27.000438690185501</c:v>
                </c:pt>
                <c:pt idx="109">
                  <c:v>27.250247955322202</c:v>
                </c:pt>
                <c:pt idx="110">
                  <c:v>27.500322341918899</c:v>
                </c:pt>
                <c:pt idx="111">
                  <c:v>27.750181198120099</c:v>
                </c:pt>
                <c:pt idx="112">
                  <c:v>28.0000286102294</c:v>
                </c:pt>
                <c:pt idx="113">
                  <c:v>28.2500286102294</c:v>
                </c:pt>
                <c:pt idx="114">
                  <c:v>28.500278472900298</c:v>
                </c:pt>
                <c:pt idx="115">
                  <c:v>28.7501106262207</c:v>
                </c:pt>
                <c:pt idx="116">
                  <c:v>29.0006103515625</c:v>
                </c:pt>
                <c:pt idx="117">
                  <c:v>29.250249862670898</c:v>
                </c:pt>
                <c:pt idx="118">
                  <c:v>29.500473022460898</c:v>
                </c:pt>
                <c:pt idx="119">
                  <c:v>29.7501106262207</c:v>
                </c:pt>
                <c:pt idx="120">
                  <c:v>30.000249862670898</c:v>
                </c:pt>
                <c:pt idx="121">
                  <c:v>30.25</c:v>
                </c:pt>
                <c:pt idx="122">
                  <c:v>30.500165939331001</c:v>
                </c:pt>
                <c:pt idx="123">
                  <c:v>30.750583648681602</c:v>
                </c:pt>
                <c:pt idx="124">
                  <c:v>31.000083923339801</c:v>
                </c:pt>
                <c:pt idx="125">
                  <c:v>31.250278472900298</c:v>
                </c:pt>
                <c:pt idx="126">
                  <c:v>31.5003337860107</c:v>
                </c:pt>
                <c:pt idx="127">
                  <c:v>31.750194549560501</c:v>
                </c:pt>
                <c:pt idx="128">
                  <c:v>32.00044631958</c:v>
                </c:pt>
                <c:pt idx="129">
                  <c:v>32.250389099121001</c:v>
                </c:pt>
                <c:pt idx="130">
                  <c:v>32.5</c:v>
                </c:pt>
                <c:pt idx="131">
                  <c:v>32.750331878662102</c:v>
                </c:pt>
                <c:pt idx="132">
                  <c:v>33.000251770019503</c:v>
                </c:pt>
                <c:pt idx="133">
                  <c:v>33.250415802001903</c:v>
                </c:pt>
                <c:pt idx="134">
                  <c:v>33.500278472900298</c:v>
                </c:pt>
                <c:pt idx="135">
                  <c:v>33.750694274902301</c:v>
                </c:pt>
                <c:pt idx="136">
                  <c:v>34.000110626220703</c:v>
                </c:pt>
                <c:pt idx="137">
                  <c:v>34.250583648681598</c:v>
                </c:pt>
                <c:pt idx="138">
                  <c:v>34.500167846679602</c:v>
                </c:pt>
                <c:pt idx="139">
                  <c:v>34.750251770019503</c:v>
                </c:pt>
                <c:pt idx="140">
                  <c:v>35.000637054443303</c:v>
                </c:pt>
                <c:pt idx="141">
                  <c:v>35.2509155273437</c:v>
                </c:pt>
                <c:pt idx="142">
                  <c:v>35.500137329101499</c:v>
                </c:pt>
                <c:pt idx="143">
                  <c:v>35.750194549560497</c:v>
                </c:pt>
                <c:pt idx="144">
                  <c:v>36.000194549560497</c:v>
                </c:pt>
                <c:pt idx="145">
                  <c:v>36.250278472900298</c:v>
                </c:pt>
                <c:pt idx="146">
                  <c:v>36.500778198242102</c:v>
                </c:pt>
                <c:pt idx="147">
                  <c:v>36.750057220458899</c:v>
                </c:pt>
                <c:pt idx="148">
                  <c:v>37.000415802001903</c:v>
                </c:pt>
                <c:pt idx="149">
                  <c:v>37.250331878662102</c:v>
                </c:pt>
                <c:pt idx="150">
                  <c:v>37.500083923339801</c:v>
                </c:pt>
                <c:pt idx="151">
                  <c:v>37.750362396240199</c:v>
                </c:pt>
                <c:pt idx="152">
                  <c:v>38.000415802001903</c:v>
                </c:pt>
                <c:pt idx="153">
                  <c:v>38.25044631958</c:v>
                </c:pt>
                <c:pt idx="154">
                  <c:v>38.500415802001903</c:v>
                </c:pt>
                <c:pt idx="155">
                  <c:v>38.750526428222599</c:v>
                </c:pt>
                <c:pt idx="156">
                  <c:v>39.00044631958</c:v>
                </c:pt>
                <c:pt idx="157">
                  <c:v>39.250194549560497</c:v>
                </c:pt>
                <c:pt idx="158">
                  <c:v>39.500083923339801</c:v>
                </c:pt>
                <c:pt idx="159">
                  <c:v>39.750804901122997</c:v>
                </c:pt>
                <c:pt idx="160">
                  <c:v>40.000637054443303</c:v>
                </c:pt>
                <c:pt idx="161">
                  <c:v>40.250110626220703</c:v>
                </c:pt>
                <c:pt idx="162">
                  <c:v>40.5003051757812</c:v>
                </c:pt>
                <c:pt idx="163">
                  <c:v>40.750415802001903</c:v>
                </c:pt>
                <c:pt idx="164">
                  <c:v>41.000778198242102</c:v>
                </c:pt>
                <c:pt idx="165">
                  <c:v>41.250720977783203</c:v>
                </c:pt>
                <c:pt idx="166">
                  <c:v>41.500137329101499</c:v>
                </c:pt>
                <c:pt idx="167">
                  <c:v>41.750526428222599</c:v>
                </c:pt>
                <c:pt idx="168">
                  <c:v>42.0003051757812</c:v>
                </c:pt>
                <c:pt idx="169">
                  <c:v>42.250137329101499</c:v>
                </c:pt>
                <c:pt idx="170">
                  <c:v>42.5003051757812</c:v>
                </c:pt>
                <c:pt idx="171">
                  <c:v>42.750473022460902</c:v>
                </c:pt>
                <c:pt idx="172">
                  <c:v>43.0003051757812</c:v>
                </c:pt>
                <c:pt idx="173">
                  <c:v>43.250637054443303</c:v>
                </c:pt>
                <c:pt idx="174">
                  <c:v>43.5006103515625</c:v>
                </c:pt>
                <c:pt idx="175">
                  <c:v>43.750362396240199</c:v>
                </c:pt>
                <c:pt idx="176">
                  <c:v>44.000526428222599</c:v>
                </c:pt>
                <c:pt idx="177">
                  <c:v>44.250278472900298</c:v>
                </c:pt>
                <c:pt idx="178">
                  <c:v>44.500473022460902</c:v>
                </c:pt>
                <c:pt idx="179">
                  <c:v>44.750526428222599</c:v>
                </c:pt>
                <c:pt idx="180">
                  <c:v>45.000556945800703</c:v>
                </c:pt>
                <c:pt idx="181">
                  <c:v>45.250167846679602</c:v>
                </c:pt>
                <c:pt idx="182">
                  <c:v>45.5006103515625</c:v>
                </c:pt>
                <c:pt idx="183">
                  <c:v>45.750667572021399</c:v>
                </c:pt>
                <c:pt idx="184">
                  <c:v>46.000694274902301</c:v>
                </c:pt>
                <c:pt idx="185">
                  <c:v>46.250720977783203</c:v>
                </c:pt>
                <c:pt idx="186">
                  <c:v>46.500526428222599</c:v>
                </c:pt>
                <c:pt idx="187">
                  <c:v>46.750362396240199</c:v>
                </c:pt>
                <c:pt idx="188">
                  <c:v>47.0003051757812</c:v>
                </c:pt>
                <c:pt idx="189">
                  <c:v>47.250278472900298</c:v>
                </c:pt>
                <c:pt idx="190">
                  <c:v>47.500057220458899</c:v>
                </c:pt>
                <c:pt idx="191">
                  <c:v>47.750362396240199</c:v>
                </c:pt>
                <c:pt idx="192">
                  <c:v>48.000167846679602</c:v>
                </c:pt>
                <c:pt idx="193">
                  <c:v>48.250137329101499</c:v>
                </c:pt>
                <c:pt idx="194">
                  <c:v>48.500278472900298</c:v>
                </c:pt>
                <c:pt idx="195">
                  <c:v>48.750389099121001</c:v>
                </c:pt>
                <c:pt idx="196">
                  <c:v>49.000194549560497</c:v>
                </c:pt>
                <c:pt idx="197">
                  <c:v>49.250667572021399</c:v>
                </c:pt>
                <c:pt idx="198">
                  <c:v>49.500251770019503</c:v>
                </c:pt>
                <c:pt idx="199">
                  <c:v>49.750694274902301</c:v>
                </c:pt>
                <c:pt idx="200">
                  <c:v>50.000057220458899</c:v>
                </c:pt>
                <c:pt idx="201">
                  <c:v>50.2503051757812</c:v>
                </c:pt>
                <c:pt idx="202">
                  <c:v>50.500083923339801</c:v>
                </c:pt>
                <c:pt idx="203">
                  <c:v>50.750804901122997</c:v>
                </c:pt>
                <c:pt idx="204">
                  <c:v>51.000389099121001</c:v>
                </c:pt>
                <c:pt idx="205">
                  <c:v>51.250110626220703</c:v>
                </c:pt>
                <c:pt idx="206">
                  <c:v>51.500499725341797</c:v>
                </c:pt>
                <c:pt idx="207">
                  <c:v>51.750194549560497</c:v>
                </c:pt>
                <c:pt idx="208">
                  <c:v>52.0003051757812</c:v>
                </c:pt>
                <c:pt idx="209">
                  <c:v>52.2503051757812</c:v>
                </c:pt>
                <c:pt idx="210">
                  <c:v>52.500251770019503</c:v>
                </c:pt>
                <c:pt idx="211">
                  <c:v>52.750331878662102</c:v>
                </c:pt>
                <c:pt idx="212">
                  <c:v>53.000583648681598</c:v>
                </c:pt>
                <c:pt idx="213">
                  <c:v>53.250110626220703</c:v>
                </c:pt>
                <c:pt idx="214">
                  <c:v>53.500251770019503</c:v>
                </c:pt>
                <c:pt idx="215">
                  <c:v>53.750362396240199</c:v>
                </c:pt>
                <c:pt idx="216">
                  <c:v>54.000473022460902</c:v>
                </c:pt>
                <c:pt idx="217">
                  <c:v>54.250278472900298</c:v>
                </c:pt>
                <c:pt idx="218">
                  <c:v>54.500778198242102</c:v>
                </c:pt>
                <c:pt idx="219">
                  <c:v>54.750137329101499</c:v>
                </c:pt>
                <c:pt idx="220">
                  <c:v>55.000362396240199</c:v>
                </c:pt>
                <c:pt idx="221">
                  <c:v>55.250251770019503</c:v>
                </c:pt>
                <c:pt idx="222">
                  <c:v>55.500026702880803</c:v>
                </c:pt>
                <c:pt idx="223">
                  <c:v>55.750583648681598</c:v>
                </c:pt>
                <c:pt idx="224">
                  <c:v>56.000720977783203</c:v>
                </c:pt>
                <c:pt idx="225">
                  <c:v>56.250526428222599</c:v>
                </c:pt>
                <c:pt idx="226">
                  <c:v>56.5003051757812</c:v>
                </c:pt>
                <c:pt idx="227">
                  <c:v>56.75</c:v>
                </c:pt>
                <c:pt idx="228">
                  <c:v>57.000110626220703</c:v>
                </c:pt>
                <c:pt idx="229">
                  <c:v>57.250110626220703</c:v>
                </c:pt>
                <c:pt idx="230">
                  <c:v>57.500278472900298</c:v>
                </c:pt>
                <c:pt idx="231">
                  <c:v>57.750637054443303</c:v>
                </c:pt>
                <c:pt idx="232">
                  <c:v>58.000499725341797</c:v>
                </c:pt>
                <c:pt idx="233">
                  <c:v>58.250362396240199</c:v>
                </c:pt>
                <c:pt idx="234">
                  <c:v>58.5</c:v>
                </c:pt>
                <c:pt idx="235">
                  <c:v>58.750389099121001</c:v>
                </c:pt>
                <c:pt idx="236">
                  <c:v>59.000110626220703</c:v>
                </c:pt>
                <c:pt idx="237">
                  <c:v>59.250251770019503</c:v>
                </c:pt>
                <c:pt idx="238">
                  <c:v>59.500110626220703</c:v>
                </c:pt>
                <c:pt idx="239">
                  <c:v>59.750194549560497</c:v>
                </c:pt>
                <c:pt idx="240">
                  <c:v>60.000331878662102</c:v>
                </c:pt>
                <c:pt idx="241">
                  <c:v>60.250057220458899</c:v>
                </c:pt>
                <c:pt idx="242">
                  <c:v>60.500583648681598</c:v>
                </c:pt>
                <c:pt idx="243">
                  <c:v>60.750473022460902</c:v>
                </c:pt>
                <c:pt idx="244">
                  <c:v>61.000415802001903</c:v>
                </c:pt>
                <c:pt idx="245">
                  <c:v>61.250331878662102</c:v>
                </c:pt>
                <c:pt idx="246">
                  <c:v>61.500331878662102</c:v>
                </c:pt>
                <c:pt idx="247">
                  <c:v>61.750167846679602</c:v>
                </c:pt>
                <c:pt idx="248">
                  <c:v>62</c:v>
                </c:pt>
                <c:pt idx="249">
                  <c:v>62.250415802001903</c:v>
                </c:pt>
                <c:pt idx="250">
                  <c:v>62.500362396240199</c:v>
                </c:pt>
                <c:pt idx="251">
                  <c:v>62.75044631958</c:v>
                </c:pt>
                <c:pt idx="252">
                  <c:v>63.000137329101499</c:v>
                </c:pt>
                <c:pt idx="253">
                  <c:v>63.250499725341797</c:v>
                </c:pt>
                <c:pt idx="254">
                  <c:v>63.500556945800703</c:v>
                </c:pt>
                <c:pt idx="255">
                  <c:v>63.7503051757812</c:v>
                </c:pt>
                <c:pt idx="256">
                  <c:v>64.000114440917898</c:v>
                </c:pt>
                <c:pt idx="257">
                  <c:v>64.250167846679602</c:v>
                </c:pt>
                <c:pt idx="258">
                  <c:v>64.500442504882798</c:v>
                </c:pt>
                <c:pt idx="259">
                  <c:v>64.7506103515625</c:v>
                </c:pt>
                <c:pt idx="260">
                  <c:v>65.000640869140597</c:v>
                </c:pt>
                <c:pt idx="261">
                  <c:v>65.250137329101506</c:v>
                </c:pt>
                <c:pt idx="262">
                  <c:v>65.500305175781193</c:v>
                </c:pt>
                <c:pt idx="263">
                  <c:v>65.750503540039006</c:v>
                </c:pt>
                <c:pt idx="264">
                  <c:v>66.000503540039006</c:v>
                </c:pt>
                <c:pt idx="265">
                  <c:v>66.250030517578097</c:v>
                </c:pt>
                <c:pt idx="266">
                  <c:v>66.500137329101506</c:v>
                </c:pt>
                <c:pt idx="267">
                  <c:v>66.750274658203097</c:v>
                </c:pt>
                <c:pt idx="268">
                  <c:v>67.000083923339801</c:v>
                </c:pt>
                <c:pt idx="269">
                  <c:v>67.250221252441406</c:v>
                </c:pt>
                <c:pt idx="270">
                  <c:v>67.500167846679602</c:v>
                </c:pt>
                <c:pt idx="271">
                  <c:v>67.750503540039006</c:v>
                </c:pt>
                <c:pt idx="272">
                  <c:v>68.000137329101506</c:v>
                </c:pt>
                <c:pt idx="273">
                  <c:v>68.250083923339801</c:v>
                </c:pt>
                <c:pt idx="274">
                  <c:v>68.500556945800696</c:v>
                </c:pt>
                <c:pt idx="275">
                  <c:v>68.750556945800696</c:v>
                </c:pt>
                <c:pt idx="276">
                  <c:v>69.000358581542898</c:v>
                </c:pt>
                <c:pt idx="277">
                  <c:v>69.250694274902301</c:v>
                </c:pt>
                <c:pt idx="278">
                  <c:v>69.500137329101506</c:v>
                </c:pt>
                <c:pt idx="279">
                  <c:v>69.7506103515625</c:v>
                </c:pt>
                <c:pt idx="280">
                  <c:v>70.000251770019503</c:v>
                </c:pt>
                <c:pt idx="281">
                  <c:v>70.250640869140597</c:v>
                </c:pt>
                <c:pt idx="282">
                  <c:v>70.500473022460895</c:v>
                </c:pt>
                <c:pt idx="283">
                  <c:v>70.750053405761705</c:v>
                </c:pt>
                <c:pt idx="284">
                  <c:v>71.000503540039006</c:v>
                </c:pt>
                <c:pt idx="285">
                  <c:v>71.250389099120994</c:v>
                </c:pt>
                <c:pt idx="286">
                  <c:v>71.500274658203097</c:v>
                </c:pt>
                <c:pt idx="287">
                  <c:v>71.750358581542898</c:v>
                </c:pt>
                <c:pt idx="288">
                  <c:v>72.000167846679602</c:v>
                </c:pt>
              </c:numCache>
            </c:numRef>
          </c:xVal>
          <c:yVal>
            <c:numRef>
              <c:f>'SIM2'!$E$11:$E$299</c:f>
              <c:numCache>
                <c:formatCode>General</c:formatCode>
                <c:ptCount val="289"/>
                <c:pt idx="0">
                  <c:v>49.829238891601499</c:v>
                </c:pt>
                <c:pt idx="1">
                  <c:v>39.774570465087798</c:v>
                </c:pt>
                <c:pt idx="2">
                  <c:v>36.972888946533203</c:v>
                </c:pt>
                <c:pt idx="3">
                  <c:v>36.691570281982401</c:v>
                </c:pt>
                <c:pt idx="4">
                  <c:v>44.473091125488203</c:v>
                </c:pt>
                <c:pt idx="5">
                  <c:v>53.884620666503899</c:v>
                </c:pt>
                <c:pt idx="6">
                  <c:v>63.203029632568303</c:v>
                </c:pt>
                <c:pt idx="7">
                  <c:v>72.660057067870994</c:v>
                </c:pt>
                <c:pt idx="8">
                  <c:v>81.802520751953097</c:v>
                </c:pt>
                <c:pt idx="9">
                  <c:v>91.337799072265597</c:v>
                </c:pt>
                <c:pt idx="10">
                  <c:v>84.221328735351506</c:v>
                </c:pt>
                <c:pt idx="11">
                  <c:v>60.6998481750488</c:v>
                </c:pt>
                <c:pt idx="12">
                  <c:v>43.446170806884702</c:v>
                </c:pt>
                <c:pt idx="13">
                  <c:v>34.700160980224602</c:v>
                </c:pt>
                <c:pt idx="14">
                  <c:v>39.353500366210902</c:v>
                </c:pt>
                <c:pt idx="15">
                  <c:v>48.385860443115199</c:v>
                </c:pt>
                <c:pt idx="16">
                  <c:v>57.020549774169901</c:v>
                </c:pt>
                <c:pt idx="17">
                  <c:v>65.605552673339801</c:v>
                </c:pt>
                <c:pt idx="18">
                  <c:v>73.127960205078097</c:v>
                </c:pt>
                <c:pt idx="19">
                  <c:v>54.593940734863203</c:v>
                </c:pt>
                <c:pt idx="20">
                  <c:v>59.981990814208899</c:v>
                </c:pt>
                <c:pt idx="21">
                  <c:v>69.475982666015597</c:v>
                </c:pt>
                <c:pt idx="22">
                  <c:v>79.182136535644503</c:v>
                </c:pt>
                <c:pt idx="23">
                  <c:v>88.816421508789006</c:v>
                </c:pt>
                <c:pt idx="24">
                  <c:v>92.842819213867102</c:v>
                </c:pt>
                <c:pt idx="25">
                  <c:v>61.847568511962798</c:v>
                </c:pt>
                <c:pt idx="26">
                  <c:v>69.610900878906193</c:v>
                </c:pt>
                <c:pt idx="27">
                  <c:v>78.738761901855398</c:v>
                </c:pt>
                <c:pt idx="28">
                  <c:v>88.014701843261705</c:v>
                </c:pt>
                <c:pt idx="29">
                  <c:v>92.431327819824205</c:v>
                </c:pt>
                <c:pt idx="30">
                  <c:v>59.418788909912102</c:v>
                </c:pt>
                <c:pt idx="31">
                  <c:v>52.279548645019503</c:v>
                </c:pt>
                <c:pt idx="32">
                  <c:v>36.672840118408203</c:v>
                </c:pt>
                <c:pt idx="33">
                  <c:v>37.529170989990199</c:v>
                </c:pt>
                <c:pt idx="34">
                  <c:v>46.198299407958899</c:v>
                </c:pt>
                <c:pt idx="35">
                  <c:v>54.948089599609297</c:v>
                </c:pt>
                <c:pt idx="36">
                  <c:v>63.552719116210902</c:v>
                </c:pt>
                <c:pt idx="37">
                  <c:v>72.001487731933494</c:v>
                </c:pt>
                <c:pt idx="38">
                  <c:v>75.033462524414006</c:v>
                </c:pt>
                <c:pt idx="39">
                  <c:v>54.880771636962798</c:v>
                </c:pt>
                <c:pt idx="40">
                  <c:v>63.669788360595703</c:v>
                </c:pt>
                <c:pt idx="41">
                  <c:v>73.003326416015597</c:v>
                </c:pt>
                <c:pt idx="42">
                  <c:v>82.762512207031193</c:v>
                </c:pt>
                <c:pt idx="43">
                  <c:v>91.978706359863196</c:v>
                </c:pt>
                <c:pt idx="44">
                  <c:v>82.458061218261705</c:v>
                </c:pt>
                <c:pt idx="45">
                  <c:v>64.064437866210895</c:v>
                </c:pt>
                <c:pt idx="46">
                  <c:v>73.233367919921804</c:v>
                </c:pt>
                <c:pt idx="47">
                  <c:v>82.548927307128906</c:v>
                </c:pt>
                <c:pt idx="48">
                  <c:v>91.979537963867102</c:v>
                </c:pt>
                <c:pt idx="49">
                  <c:v>74.546661376953097</c:v>
                </c:pt>
                <c:pt idx="50">
                  <c:v>57.903221130371001</c:v>
                </c:pt>
                <c:pt idx="51">
                  <c:v>40.431270599365199</c:v>
                </c:pt>
                <c:pt idx="52">
                  <c:v>34.3743286132812</c:v>
                </c:pt>
                <c:pt idx="53">
                  <c:v>41.568130493163999</c:v>
                </c:pt>
                <c:pt idx="54">
                  <c:v>50.4411010742187</c:v>
                </c:pt>
                <c:pt idx="55">
                  <c:v>58.962200164794901</c:v>
                </c:pt>
                <c:pt idx="56">
                  <c:v>67.394371032714801</c:v>
                </c:pt>
                <c:pt idx="57">
                  <c:v>75.2642822265625</c:v>
                </c:pt>
                <c:pt idx="58">
                  <c:v>61.897911071777301</c:v>
                </c:pt>
                <c:pt idx="59">
                  <c:v>58.784511566162102</c:v>
                </c:pt>
                <c:pt idx="60">
                  <c:v>67.916893005370994</c:v>
                </c:pt>
                <c:pt idx="61">
                  <c:v>77.318801879882798</c:v>
                </c:pt>
                <c:pt idx="62">
                  <c:v>86.779693603515597</c:v>
                </c:pt>
                <c:pt idx="63">
                  <c:v>95.978729248046804</c:v>
                </c:pt>
                <c:pt idx="64">
                  <c:v>66.589920043945298</c:v>
                </c:pt>
                <c:pt idx="65">
                  <c:v>68.386512756347599</c:v>
                </c:pt>
                <c:pt idx="66">
                  <c:v>77.524871826171804</c:v>
                </c:pt>
                <c:pt idx="67">
                  <c:v>86.648590087890597</c:v>
                </c:pt>
                <c:pt idx="68">
                  <c:v>93.1976318359375</c:v>
                </c:pt>
                <c:pt idx="69">
                  <c:v>60.338241577148402</c:v>
                </c:pt>
                <c:pt idx="70">
                  <c:v>49.387088775634702</c:v>
                </c:pt>
                <c:pt idx="71">
                  <c:v>35.8873291015625</c:v>
                </c:pt>
                <c:pt idx="72">
                  <c:v>36.779811859130803</c:v>
                </c:pt>
                <c:pt idx="73">
                  <c:v>45.246608734130803</c:v>
                </c:pt>
                <c:pt idx="74">
                  <c:v>54.221038818359297</c:v>
                </c:pt>
                <c:pt idx="75">
                  <c:v>62.629161834716797</c:v>
                </c:pt>
                <c:pt idx="76">
                  <c:v>70.798011779785099</c:v>
                </c:pt>
                <c:pt idx="77">
                  <c:v>77.593711853027301</c:v>
                </c:pt>
                <c:pt idx="78">
                  <c:v>55.445899963378899</c:v>
                </c:pt>
                <c:pt idx="79">
                  <c:v>62.261508941650298</c:v>
                </c:pt>
                <c:pt idx="80">
                  <c:v>71.486358642578097</c:v>
                </c:pt>
                <c:pt idx="81">
                  <c:v>81.028480529785099</c:v>
                </c:pt>
                <c:pt idx="82">
                  <c:v>90.019691467285099</c:v>
                </c:pt>
                <c:pt idx="83">
                  <c:v>90.302513122558494</c:v>
                </c:pt>
                <c:pt idx="84">
                  <c:v>62.907840728759702</c:v>
                </c:pt>
                <c:pt idx="85">
                  <c:v>71.714202880859304</c:v>
                </c:pt>
                <c:pt idx="86">
                  <c:v>80.9532470703125</c:v>
                </c:pt>
                <c:pt idx="87">
                  <c:v>90.238250732421804</c:v>
                </c:pt>
                <c:pt idx="88">
                  <c:v>75.9051513671875</c:v>
                </c:pt>
                <c:pt idx="89">
                  <c:v>56.864391326904297</c:v>
                </c:pt>
                <c:pt idx="90">
                  <c:v>40.231838226318303</c:v>
                </c:pt>
                <c:pt idx="91">
                  <c:v>34.045520782470703</c:v>
                </c:pt>
                <c:pt idx="92">
                  <c:v>40.716930389404297</c:v>
                </c:pt>
                <c:pt idx="93">
                  <c:v>49.581668853759702</c:v>
                </c:pt>
                <c:pt idx="94">
                  <c:v>58.023189544677699</c:v>
                </c:pt>
                <c:pt idx="95">
                  <c:v>66.431632995605398</c:v>
                </c:pt>
                <c:pt idx="96">
                  <c:v>74.289306640625</c:v>
                </c:pt>
                <c:pt idx="97">
                  <c:v>64.280090332031193</c:v>
                </c:pt>
                <c:pt idx="98">
                  <c:v>58.033859252929602</c:v>
                </c:pt>
                <c:pt idx="99">
                  <c:v>67.157707214355398</c:v>
                </c:pt>
                <c:pt idx="100">
                  <c:v>76.357872009277301</c:v>
                </c:pt>
                <c:pt idx="101">
                  <c:v>85.755126953125</c:v>
                </c:pt>
                <c:pt idx="102">
                  <c:v>94.87158203125</c:v>
                </c:pt>
                <c:pt idx="103">
                  <c:v>71.048728942870994</c:v>
                </c:pt>
                <c:pt idx="104">
                  <c:v>67.490432739257798</c:v>
                </c:pt>
                <c:pt idx="105">
                  <c:v>76.501060485839801</c:v>
                </c:pt>
                <c:pt idx="106">
                  <c:v>85.6036376953125</c:v>
                </c:pt>
                <c:pt idx="107">
                  <c:v>93.942413330078097</c:v>
                </c:pt>
                <c:pt idx="108">
                  <c:v>62.870811462402301</c:v>
                </c:pt>
                <c:pt idx="109">
                  <c:v>51.555400848388601</c:v>
                </c:pt>
                <c:pt idx="110">
                  <c:v>36.819778442382798</c:v>
                </c:pt>
                <c:pt idx="111">
                  <c:v>36.081760406494098</c:v>
                </c:pt>
                <c:pt idx="112">
                  <c:v>44.220371246337798</c:v>
                </c:pt>
                <c:pt idx="113">
                  <c:v>52.952850341796797</c:v>
                </c:pt>
                <c:pt idx="114">
                  <c:v>61.372489929199197</c:v>
                </c:pt>
                <c:pt idx="115">
                  <c:v>69.500167846679602</c:v>
                </c:pt>
                <c:pt idx="116">
                  <c:v>76.462608337402301</c:v>
                </c:pt>
                <c:pt idx="117">
                  <c:v>55.511379241943303</c:v>
                </c:pt>
                <c:pt idx="118">
                  <c:v>61.954540252685497</c:v>
                </c:pt>
                <c:pt idx="119">
                  <c:v>71.117347717285099</c:v>
                </c:pt>
                <c:pt idx="120">
                  <c:v>80.461761474609304</c:v>
                </c:pt>
                <c:pt idx="121">
                  <c:v>89.528877258300696</c:v>
                </c:pt>
                <c:pt idx="122">
                  <c:v>92.137969970703097</c:v>
                </c:pt>
                <c:pt idx="123">
                  <c:v>62.908679962158203</c:v>
                </c:pt>
                <c:pt idx="124">
                  <c:v>71.347351074218693</c:v>
                </c:pt>
                <c:pt idx="125">
                  <c:v>80.451370239257798</c:v>
                </c:pt>
                <c:pt idx="126">
                  <c:v>89.630233764648395</c:v>
                </c:pt>
                <c:pt idx="127">
                  <c:v>85.654296875</c:v>
                </c:pt>
                <c:pt idx="128">
                  <c:v>59.455348968505803</c:v>
                </c:pt>
                <c:pt idx="129">
                  <c:v>44.6498413085937</c:v>
                </c:pt>
                <c:pt idx="130">
                  <c:v>34.627079010009702</c:v>
                </c:pt>
                <c:pt idx="131">
                  <c:v>38.949558258056598</c:v>
                </c:pt>
                <c:pt idx="132">
                  <c:v>47.4905586242675</c:v>
                </c:pt>
                <c:pt idx="133">
                  <c:v>56.068061828613203</c:v>
                </c:pt>
                <c:pt idx="134">
                  <c:v>64.167778015136705</c:v>
                </c:pt>
                <c:pt idx="135">
                  <c:v>72.060760498046804</c:v>
                </c:pt>
                <c:pt idx="136">
                  <c:v>69.201423645019503</c:v>
                </c:pt>
                <c:pt idx="137">
                  <c:v>56.518688201904297</c:v>
                </c:pt>
                <c:pt idx="138">
                  <c:v>65.632148742675696</c:v>
                </c:pt>
                <c:pt idx="139">
                  <c:v>74.681892395019503</c:v>
                </c:pt>
                <c:pt idx="140">
                  <c:v>84.141792297363196</c:v>
                </c:pt>
                <c:pt idx="141">
                  <c:v>93.285751342773395</c:v>
                </c:pt>
                <c:pt idx="142">
                  <c:v>76.872077941894503</c:v>
                </c:pt>
                <c:pt idx="143">
                  <c:v>66.064147949218693</c:v>
                </c:pt>
                <c:pt idx="144">
                  <c:v>75.268028259277301</c:v>
                </c:pt>
                <c:pt idx="145">
                  <c:v>84.365852355957003</c:v>
                </c:pt>
                <c:pt idx="146">
                  <c:v>93.583122253417898</c:v>
                </c:pt>
                <c:pt idx="147">
                  <c:v>69.497291564941406</c:v>
                </c:pt>
                <c:pt idx="148">
                  <c:v>55.798500061035099</c:v>
                </c:pt>
                <c:pt idx="149">
                  <c:v>38.912010192871001</c:v>
                </c:pt>
                <c:pt idx="150">
                  <c:v>35.013679504394503</c:v>
                </c:pt>
                <c:pt idx="151">
                  <c:v>42.444869995117102</c:v>
                </c:pt>
                <c:pt idx="152">
                  <c:v>51.080928802490199</c:v>
                </c:pt>
                <c:pt idx="153">
                  <c:v>59.297878265380803</c:v>
                </c:pt>
                <c:pt idx="154">
                  <c:v>67.378929138183494</c:v>
                </c:pt>
                <c:pt idx="155">
                  <c:v>74.418258666992102</c:v>
                </c:pt>
                <c:pt idx="156">
                  <c:v>54.548080444335902</c:v>
                </c:pt>
                <c:pt idx="157">
                  <c:v>61.786140441894503</c:v>
                </c:pt>
                <c:pt idx="158">
                  <c:v>70.831871032714801</c:v>
                </c:pt>
                <c:pt idx="159">
                  <c:v>80.268203735351506</c:v>
                </c:pt>
                <c:pt idx="160">
                  <c:v>89.356277465820298</c:v>
                </c:pt>
                <c:pt idx="161">
                  <c:v>90.207580566406193</c:v>
                </c:pt>
                <c:pt idx="162">
                  <c:v>62.913539886474602</c:v>
                </c:pt>
                <c:pt idx="163">
                  <c:v>71.677810668945298</c:v>
                </c:pt>
                <c:pt idx="164">
                  <c:v>80.673309326171804</c:v>
                </c:pt>
                <c:pt idx="165">
                  <c:v>89.826789855957003</c:v>
                </c:pt>
                <c:pt idx="166">
                  <c:v>82.591361999511705</c:v>
                </c:pt>
                <c:pt idx="167">
                  <c:v>59.246269226074197</c:v>
                </c:pt>
                <c:pt idx="168">
                  <c:v>43.525619506835902</c:v>
                </c:pt>
                <c:pt idx="169">
                  <c:v>34.468730926513601</c:v>
                </c:pt>
                <c:pt idx="170">
                  <c:v>39.40571975708</c:v>
                </c:pt>
                <c:pt idx="171">
                  <c:v>48.090789794921797</c:v>
                </c:pt>
                <c:pt idx="172">
                  <c:v>56.574760437011697</c:v>
                </c:pt>
                <c:pt idx="173">
                  <c:v>64.600242614745994</c:v>
                </c:pt>
                <c:pt idx="174">
                  <c:v>72.372253417968693</c:v>
                </c:pt>
                <c:pt idx="175">
                  <c:v>63.863109588622997</c:v>
                </c:pt>
                <c:pt idx="176">
                  <c:v>57.9104614257812</c:v>
                </c:pt>
                <c:pt idx="177">
                  <c:v>66.917327880859304</c:v>
                </c:pt>
                <c:pt idx="178">
                  <c:v>76.176437377929602</c:v>
                </c:pt>
                <c:pt idx="179">
                  <c:v>85.570640563964801</c:v>
                </c:pt>
                <c:pt idx="180">
                  <c:v>94.742469787597599</c:v>
                </c:pt>
                <c:pt idx="181">
                  <c:v>70.400100708007798</c:v>
                </c:pt>
                <c:pt idx="182">
                  <c:v>67.939521789550696</c:v>
                </c:pt>
                <c:pt idx="183">
                  <c:v>76.907638549804602</c:v>
                </c:pt>
                <c:pt idx="184">
                  <c:v>85.842018127441406</c:v>
                </c:pt>
                <c:pt idx="185">
                  <c:v>93.796089172363196</c:v>
                </c:pt>
                <c:pt idx="186">
                  <c:v>62.954380035400298</c:v>
                </c:pt>
                <c:pt idx="187">
                  <c:v>51.794589996337798</c:v>
                </c:pt>
                <c:pt idx="188">
                  <c:v>36.987758636474602</c:v>
                </c:pt>
                <c:pt idx="189">
                  <c:v>36.1585083007812</c:v>
                </c:pt>
                <c:pt idx="190">
                  <c:v>44.03076171875</c:v>
                </c:pt>
                <c:pt idx="191">
                  <c:v>52.6968383789062</c:v>
                </c:pt>
                <c:pt idx="192">
                  <c:v>60.838249206542898</c:v>
                </c:pt>
                <c:pt idx="193">
                  <c:v>68.847099304199205</c:v>
                </c:pt>
                <c:pt idx="194">
                  <c:v>74.929298400878906</c:v>
                </c:pt>
                <c:pt idx="195">
                  <c:v>54.464229583740199</c:v>
                </c:pt>
                <c:pt idx="196">
                  <c:v>62.884441375732401</c:v>
                </c:pt>
                <c:pt idx="197">
                  <c:v>71.993019104003906</c:v>
                </c:pt>
                <c:pt idx="198">
                  <c:v>81.412322998046804</c:v>
                </c:pt>
                <c:pt idx="199">
                  <c:v>90.433090209960895</c:v>
                </c:pt>
                <c:pt idx="200">
                  <c:v>87.934837341308494</c:v>
                </c:pt>
                <c:pt idx="201">
                  <c:v>63.7280883789062</c:v>
                </c:pt>
                <c:pt idx="202">
                  <c:v>72.735649108886705</c:v>
                </c:pt>
                <c:pt idx="203">
                  <c:v>81.713798522949205</c:v>
                </c:pt>
                <c:pt idx="204">
                  <c:v>90.859687805175696</c:v>
                </c:pt>
                <c:pt idx="205">
                  <c:v>80.231430053710895</c:v>
                </c:pt>
                <c:pt idx="206">
                  <c:v>59.230308532714801</c:v>
                </c:pt>
                <c:pt idx="207">
                  <c:v>42.492481231689403</c:v>
                </c:pt>
                <c:pt idx="208">
                  <c:v>34.412628173828097</c:v>
                </c:pt>
                <c:pt idx="209">
                  <c:v>39.855381011962798</c:v>
                </c:pt>
                <c:pt idx="210">
                  <c:v>48.428848266601499</c:v>
                </c:pt>
                <c:pt idx="211">
                  <c:v>56.936241149902301</c:v>
                </c:pt>
                <c:pt idx="212">
                  <c:v>64.941711425781193</c:v>
                </c:pt>
                <c:pt idx="213">
                  <c:v>72.606369018554602</c:v>
                </c:pt>
                <c:pt idx="214">
                  <c:v>62.331790924072202</c:v>
                </c:pt>
                <c:pt idx="215">
                  <c:v>58.569980621337798</c:v>
                </c:pt>
                <c:pt idx="216">
                  <c:v>67.690109252929602</c:v>
                </c:pt>
                <c:pt idx="217">
                  <c:v>76.867698669433494</c:v>
                </c:pt>
                <c:pt idx="218">
                  <c:v>86.215667724609304</c:v>
                </c:pt>
                <c:pt idx="219">
                  <c:v>95.278358459472599</c:v>
                </c:pt>
                <c:pt idx="220">
                  <c:v>68.196853637695298</c:v>
                </c:pt>
                <c:pt idx="221">
                  <c:v>68.325622558593693</c:v>
                </c:pt>
                <c:pt idx="222">
                  <c:v>77.398246765136705</c:v>
                </c:pt>
                <c:pt idx="223">
                  <c:v>86.349807739257798</c:v>
                </c:pt>
                <c:pt idx="224">
                  <c:v>93.279151916503906</c:v>
                </c:pt>
                <c:pt idx="225">
                  <c:v>61.664520263671797</c:v>
                </c:pt>
                <c:pt idx="226">
                  <c:v>50.925769805908203</c:v>
                </c:pt>
                <c:pt idx="227">
                  <c:v>36.581371307372997</c:v>
                </c:pt>
                <c:pt idx="228">
                  <c:v>36.430828094482401</c:v>
                </c:pt>
                <c:pt idx="229">
                  <c:v>44.414451599121001</c:v>
                </c:pt>
                <c:pt idx="230">
                  <c:v>52.950199127197202</c:v>
                </c:pt>
                <c:pt idx="231">
                  <c:v>61.2159004211425</c:v>
                </c:pt>
                <c:pt idx="232">
                  <c:v>69.188529968261705</c:v>
                </c:pt>
                <c:pt idx="233">
                  <c:v>75.020401000976506</c:v>
                </c:pt>
                <c:pt idx="234">
                  <c:v>54.645221710205</c:v>
                </c:pt>
                <c:pt idx="235">
                  <c:v>63.154731750488203</c:v>
                </c:pt>
                <c:pt idx="236">
                  <c:v>72.101249694824205</c:v>
                </c:pt>
                <c:pt idx="237">
                  <c:v>81.605369567870994</c:v>
                </c:pt>
                <c:pt idx="238">
                  <c:v>90.666847229003906</c:v>
                </c:pt>
                <c:pt idx="239">
                  <c:v>86.529693603515597</c:v>
                </c:pt>
                <c:pt idx="240">
                  <c:v>63.985679626464801</c:v>
                </c:pt>
                <c:pt idx="241">
                  <c:v>73.046737670898395</c:v>
                </c:pt>
                <c:pt idx="242">
                  <c:v>82.014472961425696</c:v>
                </c:pt>
                <c:pt idx="243">
                  <c:v>91.128776550292898</c:v>
                </c:pt>
                <c:pt idx="244">
                  <c:v>78.678596496582003</c:v>
                </c:pt>
                <c:pt idx="245">
                  <c:v>59.074779510497997</c:v>
                </c:pt>
                <c:pt idx="246">
                  <c:v>42.034561157226499</c:v>
                </c:pt>
                <c:pt idx="247">
                  <c:v>34.4268989562988</c:v>
                </c:pt>
                <c:pt idx="248">
                  <c:v>40.141799926757798</c:v>
                </c:pt>
                <c:pt idx="249">
                  <c:v>48.676429748535099</c:v>
                </c:pt>
                <c:pt idx="250">
                  <c:v>56.982200622558501</c:v>
                </c:pt>
                <c:pt idx="251">
                  <c:v>65.102378845214801</c:v>
                </c:pt>
                <c:pt idx="252">
                  <c:v>72.714050292968693</c:v>
                </c:pt>
                <c:pt idx="253">
                  <c:v>61.651981353759702</c:v>
                </c:pt>
                <c:pt idx="254">
                  <c:v>58.9138793945312</c:v>
                </c:pt>
                <c:pt idx="255">
                  <c:v>68.005302429199205</c:v>
                </c:pt>
                <c:pt idx="256">
                  <c:v>77.203666687011705</c:v>
                </c:pt>
                <c:pt idx="257">
                  <c:v>86.45458984375</c:v>
                </c:pt>
                <c:pt idx="258">
                  <c:v>95.29736328125</c:v>
                </c:pt>
                <c:pt idx="259">
                  <c:v>66.955001831054602</c:v>
                </c:pt>
                <c:pt idx="260">
                  <c:v>68.769416809082003</c:v>
                </c:pt>
                <c:pt idx="261">
                  <c:v>77.781753540039006</c:v>
                </c:pt>
                <c:pt idx="262">
                  <c:v>86.694961547851506</c:v>
                </c:pt>
                <c:pt idx="263">
                  <c:v>93.379821777343693</c:v>
                </c:pt>
                <c:pt idx="264">
                  <c:v>61.547500610351499</c:v>
                </c:pt>
                <c:pt idx="265">
                  <c:v>51.077060699462798</c:v>
                </c:pt>
                <c:pt idx="266">
                  <c:v>36.645149230957003</c:v>
                </c:pt>
                <c:pt idx="267">
                  <c:v>36.467838287353501</c:v>
                </c:pt>
                <c:pt idx="268">
                  <c:v>44.332569122314403</c:v>
                </c:pt>
                <c:pt idx="269">
                  <c:v>52.814620971679602</c:v>
                </c:pt>
                <c:pt idx="270">
                  <c:v>61.083301544189403</c:v>
                </c:pt>
                <c:pt idx="271">
                  <c:v>68.961372375488196</c:v>
                </c:pt>
                <c:pt idx="272">
                  <c:v>71.823318481445298</c:v>
                </c:pt>
                <c:pt idx="273">
                  <c:v>54.786899566650298</c:v>
                </c:pt>
                <c:pt idx="274">
                  <c:v>63.813331604003899</c:v>
                </c:pt>
                <c:pt idx="275">
                  <c:v>72.909111022949205</c:v>
                </c:pt>
                <c:pt idx="276">
                  <c:v>82.396537780761705</c:v>
                </c:pt>
                <c:pt idx="277">
                  <c:v>91.486343383789006</c:v>
                </c:pt>
                <c:pt idx="278">
                  <c:v>82.615913391113196</c:v>
                </c:pt>
                <c:pt idx="279">
                  <c:v>64.961593627929602</c:v>
                </c:pt>
                <c:pt idx="280">
                  <c:v>73.917617797851506</c:v>
                </c:pt>
                <c:pt idx="281">
                  <c:v>82.968582153320298</c:v>
                </c:pt>
                <c:pt idx="282">
                  <c:v>92.070556640625</c:v>
                </c:pt>
                <c:pt idx="283">
                  <c:v>75.277099609375</c:v>
                </c:pt>
                <c:pt idx="284">
                  <c:v>58.430061340332003</c:v>
                </c:pt>
                <c:pt idx="285">
                  <c:v>40.957950592041001</c:v>
                </c:pt>
                <c:pt idx="286">
                  <c:v>34.56148147583</c:v>
                </c:pt>
                <c:pt idx="287">
                  <c:v>40.726181030273402</c:v>
                </c:pt>
                <c:pt idx="288">
                  <c:v>49.236980438232401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A-4075-996E-D725BE103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GB"/>
                  <a:t>Time [h]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crossBetween val="midCat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0</xdr:rowOff>
    </xdr:from>
    <xdr:to>
      <xdr:col>16</xdr:col>
      <xdr:colOff>95250</xdr:colOff>
      <xdr:row>30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0</xdr:rowOff>
    </xdr:from>
    <xdr:to>
      <xdr:col>16</xdr:col>
      <xdr:colOff>95250</xdr:colOff>
      <xdr:row>30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41.109375" bestFit="1" customWidth="1"/>
    <col min="2" max="2" width="24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16</v>
      </c>
    </row>
    <row r="3" spans="1:2" x14ac:dyDescent="0.3">
      <c r="A3" t="s">
        <v>3</v>
      </c>
      <c r="B3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9"/>
  <sheetViews>
    <sheetView workbookViewId="0">
      <selection activeCell="E10" sqref="E10"/>
    </sheetView>
  </sheetViews>
  <sheetFormatPr defaultRowHeight="14.4" x14ac:dyDescent="0.3"/>
  <sheetData>
    <row r="1" spans="1:7" x14ac:dyDescent="0.3">
      <c r="A1" s="2" t="s">
        <v>4</v>
      </c>
      <c r="B1" s="2" t="s">
        <v>4</v>
      </c>
      <c r="C1" s="1"/>
      <c r="D1" s="2" t="s">
        <v>5</v>
      </c>
      <c r="E1" s="2" t="s">
        <v>5</v>
      </c>
    </row>
    <row r="2" spans="1:7" x14ac:dyDescent="0.3">
      <c r="A2" s="1" t="s">
        <v>6</v>
      </c>
      <c r="B2" s="1" t="s">
        <v>7</v>
      </c>
      <c r="C2" s="1"/>
      <c r="D2" s="1" t="str">
        <f>Legends!B2</f>
        <v>Pressure upstream choke</v>
      </c>
      <c r="E2" s="1" t="str">
        <f>Legends!B3</f>
        <v>Pressure downstream choke</v>
      </c>
      <c r="G2" s="3" t="s">
        <v>8</v>
      </c>
    </row>
    <row r="3" spans="1:7" x14ac:dyDescent="0.3">
      <c r="A3">
        <f>MIN($A$11:$A$299)</f>
        <v>0</v>
      </c>
      <c r="B3">
        <f>MIN($B$11:$B$299)</f>
        <v>0</v>
      </c>
      <c r="C3" s="1" t="s">
        <v>9</v>
      </c>
      <c r="D3">
        <f>MIN($D$11:$D$299)</f>
        <v>156.71960449218699</v>
      </c>
      <c r="E3">
        <f>MIN($E$11:$E$299)</f>
        <v>36.276641845703097</v>
      </c>
    </row>
    <row r="4" spans="1:7" x14ac:dyDescent="0.3">
      <c r="A4">
        <f>MEDIAN($A$11:$A$299)</f>
        <v>36.000221252441399</v>
      </c>
      <c r="B4">
        <f>MEDIAN($B$11:$B$299)</f>
        <v>36.000221252441399</v>
      </c>
      <c r="C4" s="1" t="s">
        <v>10</v>
      </c>
      <c r="D4">
        <f>MEDIAN($D$11:$D$299)</f>
        <v>156.79449462890599</v>
      </c>
      <c r="E4">
        <f>MEDIAN($E$11:$E$299)</f>
        <v>63.600631713867102</v>
      </c>
    </row>
    <row r="5" spans="1:7" x14ac:dyDescent="0.3">
      <c r="A5">
        <f>MAX($A$11:$A$299)</f>
        <v>72.000083923339801</v>
      </c>
      <c r="B5">
        <f>MAX($B$11:$B$299)</f>
        <v>72.000083923339801</v>
      </c>
      <c r="C5" s="1" t="s">
        <v>11</v>
      </c>
      <c r="D5">
        <f>MAX($D$11:$D$299)</f>
        <v>156.80050659179599</v>
      </c>
      <c r="E5">
        <f>MAX($E$11:$E$299)</f>
        <v>71.296691894531193</v>
      </c>
    </row>
    <row r="6" spans="1:7" x14ac:dyDescent="0.3">
      <c r="A6">
        <f>$A5-$A3</f>
        <v>72.000083923339801</v>
      </c>
      <c r="B6">
        <f>$B5-$B3</f>
        <v>72.000083923339801</v>
      </c>
      <c r="C6" s="1" t="s">
        <v>12</v>
      </c>
      <c r="D6">
        <f>$D5-$D3</f>
        <v>8.0902099609005518E-2</v>
      </c>
      <c r="E6">
        <f>$E5-$E3</f>
        <v>35.020050048828097</v>
      </c>
    </row>
    <row r="7" spans="1:7" x14ac:dyDescent="0.3">
      <c r="A7" s="2" t="s">
        <v>4</v>
      </c>
      <c r="B7" s="2" t="s">
        <v>4</v>
      </c>
      <c r="C7" s="1"/>
      <c r="D7" s="2" t="s">
        <v>5</v>
      </c>
      <c r="E7" s="2" t="s">
        <v>5</v>
      </c>
    </row>
    <row r="8" spans="1:7" x14ac:dyDescent="0.3">
      <c r="A8">
        <v>0</v>
      </c>
      <c r="B8">
        <v>0</v>
      </c>
      <c r="C8" s="1" t="s">
        <v>13</v>
      </c>
      <c r="D8">
        <v>0</v>
      </c>
      <c r="E8">
        <v>0</v>
      </c>
    </row>
    <row r="9" spans="1:7" x14ac:dyDescent="0.3">
      <c r="A9">
        <v>1</v>
      </c>
      <c r="B9">
        <v>1</v>
      </c>
      <c r="C9" s="1" t="s">
        <v>14</v>
      </c>
      <c r="D9">
        <v>1</v>
      </c>
      <c r="E9">
        <v>1</v>
      </c>
    </row>
    <row r="10" spans="1:7" x14ac:dyDescent="0.3">
      <c r="A10" s="1" t="s">
        <v>6</v>
      </c>
      <c r="B10" s="1" t="s">
        <v>7</v>
      </c>
      <c r="C10" s="1"/>
      <c r="D10" s="1" t="str">
        <f>Legends!B2</f>
        <v>Pressure upstream choke</v>
      </c>
      <c r="E10" s="1" t="str">
        <f>Legends!B3</f>
        <v>Pressure downstream choke</v>
      </c>
    </row>
    <row r="11" spans="1:7" x14ac:dyDescent="0.3">
      <c r="A11">
        <f>A$9 * (0 -A$8)</f>
        <v>0</v>
      </c>
      <c r="B11">
        <f>B$9 * (0 -B$8)</f>
        <v>0</v>
      </c>
      <c r="D11">
        <f>D$9 * (156.740097045898 -D$8)</f>
        <v>156.74009704589801</v>
      </c>
      <c r="E11">
        <f>E$9 * (49.8292388916015 -E$8)</f>
        <v>49.829238891601499</v>
      </c>
    </row>
    <row r="12" spans="1:7" x14ac:dyDescent="0.3">
      <c r="A12">
        <f>A$9 * (0.250392377376556 -A$8)</f>
        <v>0.25039237737655601</v>
      </c>
      <c r="B12">
        <f>B$9 * (0.250392377376556 -B$8)</f>
        <v>0.25039237737655601</v>
      </c>
      <c r="D12">
        <f>D$9 * (156.719604492187 -D$8)</f>
        <v>156.71960449218699</v>
      </c>
      <c r="E12">
        <f>E$9 * (40.9013290405273 -E$8)</f>
        <v>40.901329040527301</v>
      </c>
    </row>
    <row r="13" spans="1:7" x14ac:dyDescent="0.3">
      <c r="A13">
        <f>A$9 * (0.500002801418304 -A$8)</f>
        <v>0.500002801418304</v>
      </c>
      <c r="B13">
        <f>B$9 * (0.500002801418304 -B$8)</f>
        <v>0.500002801418304</v>
      </c>
      <c r="D13">
        <f>D$9 * (156.800506591796 -D$8)</f>
        <v>156.80050659179599</v>
      </c>
      <c r="E13">
        <f>E$9 * (37.0190811157226 -E$8)</f>
        <v>37.019081115722599</v>
      </c>
    </row>
    <row r="14" spans="1:7" x14ac:dyDescent="0.3">
      <c r="A14">
        <f>A$9 * (0.750080525875091 -A$8)</f>
        <v>0.750080525875091</v>
      </c>
      <c r="B14">
        <f>B$9 * (0.750080525875091 -B$8)</f>
        <v>0.750080525875091</v>
      </c>
      <c r="D14">
        <f>D$9 * (156.794998168945 -D$8)</f>
        <v>156.794998168945</v>
      </c>
      <c r="E14">
        <f>E$9 * (37.3563613891601 -E$8)</f>
        <v>37.356361389160099</v>
      </c>
    </row>
    <row r="15" spans="1:7" x14ac:dyDescent="0.3">
      <c r="A15">
        <f>A$9 * (1.00001060962677 -A$8)</f>
        <v>1.00001060962677</v>
      </c>
      <c r="B15">
        <f>B$9 * (1.00001060962677 -B$8)</f>
        <v>1.00001060962677</v>
      </c>
      <c r="D15">
        <f>D$9 * (156.793701171875 -D$8)</f>
        <v>156.793701171875</v>
      </c>
      <c r="E15">
        <f>E$9 * (36.2766418457031 -E$8)</f>
        <v>36.276641845703097</v>
      </c>
    </row>
    <row r="16" spans="1:7" x14ac:dyDescent="0.3">
      <c r="A16">
        <f>A$9 * (1.25021255016326 -A$8)</f>
        <v>1.2502125501632599</v>
      </c>
      <c r="B16">
        <f>B$9 * (1.25021255016326 -B$8)</f>
        <v>1.2502125501632599</v>
      </c>
      <c r="D16">
        <f>D$9 * (156.793395996093 -D$8)</f>
        <v>156.79339599609301</v>
      </c>
      <c r="E16">
        <f>E$9 * (42.7963981628418 -E$8)</f>
        <v>42.796398162841797</v>
      </c>
    </row>
    <row r="17" spans="1:5" x14ac:dyDescent="0.3">
      <c r="A17">
        <f>A$9 * (1.50015115737915 -A$8)</f>
        <v>1.5001511573791499</v>
      </c>
      <c r="B17">
        <f>B$9 * (1.50015115737915 -B$8)</f>
        <v>1.5001511573791499</v>
      </c>
      <c r="D17">
        <f>D$9 * (156.796295166015 -D$8)</f>
        <v>156.796295166015</v>
      </c>
      <c r="E17">
        <f>E$9 * (53.8725891113281 -E$8)</f>
        <v>53.872589111328097</v>
      </c>
    </row>
    <row r="18" spans="1:5" x14ac:dyDescent="0.3">
      <c r="A18">
        <f>A$9 * (1.75008249282836 -A$8)</f>
        <v>1.75008249282836</v>
      </c>
      <c r="B18">
        <f>B$9 * (1.75008249282836 -B$8)</f>
        <v>1.75008249282836</v>
      </c>
      <c r="D18">
        <f>D$9 * (156.794494628906 -D$8)</f>
        <v>156.79449462890599</v>
      </c>
      <c r="E18">
        <f>E$9 * (64.9466705322265 -E$8)</f>
        <v>64.946670532226506</v>
      </c>
    </row>
    <row r="19" spans="1:5" x14ac:dyDescent="0.3">
      <c r="A19">
        <f>A$9 * (2.0003707408905 -A$8)</f>
        <v>2.0003707408904998</v>
      </c>
      <c r="B19">
        <f>B$9 * (2.0003707408905 -B$8)</f>
        <v>2.0003707408904998</v>
      </c>
      <c r="D19">
        <f>D$9 * (156.794494628906 -D$8)</f>
        <v>156.79449462890599</v>
      </c>
      <c r="E19">
        <f>E$9 * (69.5347137451171 -E$8)</f>
        <v>69.534713745117102</v>
      </c>
    </row>
    <row r="20" spans="1:5" x14ac:dyDescent="0.3">
      <c r="A20">
        <f>A$9 * (2.25034308433532 -A$8)</f>
        <v>2.25034308433532</v>
      </c>
      <c r="B20">
        <f>B$9 * (2.25034308433532 -B$8)</f>
        <v>2.25034308433532</v>
      </c>
      <c r="D20">
        <f>D$9 * (156.793502807617 -D$8)</f>
        <v>156.79350280761699</v>
      </c>
      <c r="E20">
        <f>E$9 * (62.0207595825195 -E$8)</f>
        <v>62.020759582519503</v>
      </c>
    </row>
    <row r="21" spans="1:5" x14ac:dyDescent="0.3">
      <c r="A21">
        <f>A$9 * (2.50008368492126 -A$8)</f>
        <v>2.5000836849212602</v>
      </c>
      <c r="B21">
        <f>B$9 * (2.50008368492126 -B$8)</f>
        <v>2.5000836849212602</v>
      </c>
      <c r="D21">
        <f>D$9 * (156.793792724609 -D$8)</f>
        <v>156.79379272460901</v>
      </c>
      <c r="E21">
        <f>E$9 * (64.1846618652343 -E$8)</f>
        <v>64.184661865234304</v>
      </c>
    </row>
    <row r="22" spans="1:5" x14ac:dyDescent="0.3">
      <c r="A22">
        <f>A$9 * (2.75025224685668 -A$8)</f>
        <v>2.7502522468566801</v>
      </c>
      <c r="B22">
        <f>B$9 * (2.75025224685668 -B$8)</f>
        <v>2.7502522468566801</v>
      </c>
      <c r="D22">
        <f>D$9 * (156.742294311523 -D$8)</f>
        <v>156.74229431152301</v>
      </c>
      <c r="E22">
        <f>E$9 * (71.2966918945312 -E$8)</f>
        <v>71.296691894531193</v>
      </c>
    </row>
    <row r="23" spans="1:5" x14ac:dyDescent="0.3">
      <c r="A23">
        <f>A$9 * (3.0002167224884 -A$8)</f>
        <v>3.0002167224884002</v>
      </c>
      <c r="B23">
        <f>B$9 * (3.0002167224884 -B$8)</f>
        <v>3.0002167224884002</v>
      </c>
      <c r="D23">
        <f>D$9 * (156.797698974609 -D$8)</f>
        <v>156.79769897460901</v>
      </c>
      <c r="E23">
        <f>E$9 * (68.5374221801757 -E$8)</f>
        <v>68.537422180175696</v>
      </c>
    </row>
    <row r="24" spans="1:5" x14ac:dyDescent="0.3">
      <c r="A24">
        <f>A$9 * (3.25043606758117 -A$8)</f>
        <v>3.2504360675811701</v>
      </c>
      <c r="B24">
        <f>B$9 * (3.25043606758117 -B$8)</f>
        <v>3.2504360675811701</v>
      </c>
      <c r="D24">
        <f>D$9 * (156.794601440429 -D$8)</f>
        <v>156.79460144042901</v>
      </c>
      <c r="E24">
        <f>E$9 * (64.1005477905273 -E$8)</f>
        <v>64.100547790527301</v>
      </c>
    </row>
    <row r="25" spans="1:5" x14ac:dyDescent="0.3">
      <c r="A25">
        <f>A$9 * (3.50005841255188 -A$8)</f>
        <v>3.5000584125518799</v>
      </c>
      <c r="B25">
        <f>B$9 * (3.50005841255188 -B$8)</f>
        <v>3.5000584125518799</v>
      </c>
      <c r="D25">
        <f>D$9 * (156.794204711914 -D$8)</f>
        <v>156.79420471191401</v>
      </c>
      <c r="E25">
        <f>E$9 * (64.2530364990234 -E$8)</f>
        <v>64.253036499023395</v>
      </c>
    </row>
    <row r="26" spans="1:5" x14ac:dyDescent="0.3">
      <c r="A26">
        <f>A$9 * (3.7503638267517 -A$8)</f>
        <v>3.7503638267517001</v>
      </c>
      <c r="B26">
        <f>B$9 * (3.7503638267517 -B$8)</f>
        <v>3.7503638267517001</v>
      </c>
      <c r="D26">
        <f>D$9 * (156.794601440429 -D$8)</f>
        <v>156.79460144042901</v>
      </c>
      <c r="E26">
        <f>E$9 * (67.1315536499023 -E$8)</f>
        <v>67.131553649902301</v>
      </c>
    </row>
    <row r="27" spans="1:5" x14ac:dyDescent="0.3">
      <c r="A27">
        <f>A$9 * (4.00066947937011 -A$8)</f>
        <v>4.0006694793701101</v>
      </c>
      <c r="B27">
        <f>B$9 * (4.00066947937011 -B$8)</f>
        <v>4.0006694793701101</v>
      </c>
      <c r="D27">
        <f>D$9 * (156.794296264648 -D$8)</f>
        <v>156.79429626464801</v>
      </c>
      <c r="E27">
        <f>E$9 * (65.0619201660156 -E$8)</f>
        <v>65.061920166015597</v>
      </c>
    </row>
    <row r="28" spans="1:5" x14ac:dyDescent="0.3">
      <c r="A28">
        <f>A$9 * (4.25060844421386 -A$8)</f>
        <v>4.2506084442138601</v>
      </c>
      <c r="B28">
        <f>B$9 * (4.25060844421386 -B$8)</f>
        <v>4.2506084442138601</v>
      </c>
      <c r="D28">
        <f>D$9 * (156.794799804687 -D$8)</f>
        <v>156.79479980468699</v>
      </c>
      <c r="E28">
        <f>E$9 * (61.8584899902343 -E$8)</f>
        <v>61.858489990234297</v>
      </c>
    </row>
    <row r="29" spans="1:5" x14ac:dyDescent="0.3">
      <c r="A29">
        <f>A$9 * (4.50008058547973 -A$8)</f>
        <v>4.5000805854797301</v>
      </c>
      <c r="B29">
        <f>B$9 * (4.50008058547973 -B$8)</f>
        <v>4.5000805854797301</v>
      </c>
      <c r="D29">
        <f>D$9 * (156.794799804687 -D$8)</f>
        <v>156.79479980468699</v>
      </c>
      <c r="E29">
        <f>E$9 * (63.3673706054687 -E$8)</f>
        <v>63.3673706054687</v>
      </c>
    </row>
    <row r="30" spans="1:5" x14ac:dyDescent="0.3">
      <c r="A30">
        <f>A$9 * (4.75010299682617 -A$8)</f>
        <v>4.7501029968261701</v>
      </c>
      <c r="B30">
        <f>B$9 * (4.75010299682617 -B$8)</f>
        <v>4.7501029968261701</v>
      </c>
      <c r="D30">
        <f>D$9 * (156.79490661621 -D$8)</f>
        <v>156.79490661621</v>
      </c>
      <c r="E30">
        <f>E$9 * (65.3970870971679 -E$8)</f>
        <v>65.397087097167898</v>
      </c>
    </row>
    <row r="31" spans="1:5" x14ac:dyDescent="0.3">
      <c r="A31">
        <f>A$9 * (5.00012493133544 -A$8)</f>
        <v>5.0001249313354403</v>
      </c>
      <c r="B31">
        <f>B$9 * (5.00012493133544 -B$8)</f>
        <v>5.0001249313354403</v>
      </c>
      <c r="D31">
        <f>D$9 * (156.79490661621 -D$8)</f>
        <v>156.79490661621</v>
      </c>
      <c r="E31">
        <f>E$9 * (63.8035812377929 -E$8)</f>
        <v>63.803581237792898</v>
      </c>
    </row>
    <row r="32" spans="1:5" x14ac:dyDescent="0.3">
      <c r="A32">
        <f>A$9 * (5.25014734268188 -A$8)</f>
        <v>5.2501473426818803</v>
      </c>
      <c r="B32">
        <f>B$9 * (5.25014734268188 -B$8)</f>
        <v>5.2501473426818803</v>
      </c>
      <c r="D32">
        <f>D$9 * (156.794799804687 -D$8)</f>
        <v>156.79479980468699</v>
      </c>
      <c r="E32">
        <f>E$9 * (61.6486892700195 -E$8)</f>
        <v>61.648689270019503</v>
      </c>
    </row>
    <row r="33" spans="1:5" x14ac:dyDescent="0.3">
      <c r="A33">
        <f>A$9 * (5.50016927719116 -A$8)</f>
        <v>5.5001692771911603</v>
      </c>
      <c r="B33">
        <f>B$9 * (5.50016927719116 -B$8)</f>
        <v>5.5001692771911603</v>
      </c>
      <c r="D33">
        <f>D$9 * (156.794692993164 -D$8)</f>
        <v>156.79469299316401</v>
      </c>
      <c r="E33">
        <f>E$9 * (63.4968185424804 -E$8)</f>
        <v>63.496818542480398</v>
      </c>
    </row>
    <row r="34" spans="1:5" x14ac:dyDescent="0.3">
      <c r="A34">
        <f>A$9 * (5.75019168853759 -A$8)</f>
        <v>5.7501916885375897</v>
      </c>
      <c r="B34">
        <f>B$9 * (5.75019168853759 -B$8)</f>
        <v>5.7501916885375897</v>
      </c>
      <c r="D34">
        <f>D$9 * (156.794494628906 -D$8)</f>
        <v>156.79449462890599</v>
      </c>
      <c r="E34">
        <f>E$9 * (64.9329071044921 -E$8)</f>
        <v>64.932907104492102</v>
      </c>
    </row>
    <row r="35" spans="1:5" x14ac:dyDescent="0.3">
      <c r="A35">
        <f>A$9 * (6.00021409988403 -A$8)</f>
        <v>6.0002140998840297</v>
      </c>
      <c r="B35">
        <f>B$9 * (6.00021409988403 -B$8)</f>
        <v>6.0002140998840297</v>
      </c>
      <c r="D35">
        <f>D$9 * (156.794296264648 -D$8)</f>
        <v>156.79429626464801</v>
      </c>
      <c r="E35">
        <f>E$9 * (63.5789413452148 -E$8)</f>
        <v>63.578941345214801</v>
      </c>
    </row>
    <row r="36" spans="1:5" x14ac:dyDescent="0.3">
      <c r="A36">
        <f>A$9 * (6.25023603439331 -A$8)</f>
        <v>6.2502360343933097</v>
      </c>
      <c r="B36">
        <f>B$9 * (6.25023603439331 -B$8)</f>
        <v>6.2502360343933097</v>
      </c>
      <c r="D36">
        <f>D$9 * (156.79409790039 -D$8)</f>
        <v>156.79409790039</v>
      </c>
      <c r="E36">
        <f>E$9 * (61.8893890380859 -E$8)</f>
        <v>61.889389038085902</v>
      </c>
    </row>
    <row r="37" spans="1:5" x14ac:dyDescent="0.3">
      <c r="A37">
        <f>A$9 * (6.50025558471679 -A$8)</f>
        <v>6.5002555847167898</v>
      </c>
      <c r="B37">
        <f>B$9 * (6.50025558471679 -B$8)</f>
        <v>6.5002555847167898</v>
      </c>
      <c r="D37">
        <f>D$9 * (156.794006347656 -D$8)</f>
        <v>156.79400634765599</v>
      </c>
      <c r="E37">
        <f>E$9 * (63.6680908203125 -E$8)</f>
        <v>63.6680908203125</v>
      </c>
    </row>
    <row r="38" spans="1:5" x14ac:dyDescent="0.3">
      <c r="A38">
        <f>A$9 * (6.75027799606323 -A$8)</f>
        <v>6.7502779960632298</v>
      </c>
      <c r="B38">
        <f>B$9 * (6.75027799606323 -B$8)</f>
        <v>6.7502779960632298</v>
      </c>
      <c r="D38">
        <f>D$9 * (156.794006347656 -D$8)</f>
        <v>156.79400634765599</v>
      </c>
      <c r="E38">
        <f>E$9 * (64.6754989624023 -E$8)</f>
        <v>64.675498962402301</v>
      </c>
    </row>
    <row r="39" spans="1:5" x14ac:dyDescent="0.3">
      <c r="A39">
        <f>A$9 * (7.00029993057251 -A$8)</f>
        <v>7.0002999305725098</v>
      </c>
      <c r="B39">
        <f>B$9 * (7.00029993057251 -B$8)</f>
        <v>7.0002999305725098</v>
      </c>
      <c r="D39">
        <f>D$9 * (156.79409790039 -D$8)</f>
        <v>156.79409790039</v>
      </c>
      <c r="E39">
        <f>E$9 * (63.5291290283203 -E$8)</f>
        <v>63.529129028320298</v>
      </c>
    </row>
    <row r="40" spans="1:5" x14ac:dyDescent="0.3">
      <c r="A40">
        <f>A$9 * (7.25032234191894 -A$8)</f>
        <v>7.25032234191894</v>
      </c>
      <c r="B40">
        <f>B$9 * (7.25032234191894 -B$8)</f>
        <v>7.25032234191894</v>
      </c>
      <c r="D40">
        <f>D$9 * (156.794204711914 -D$8)</f>
        <v>156.79420471191401</v>
      </c>
      <c r="E40">
        <f>E$9 * (62.587791442871 -E$8)</f>
        <v>62.587791442871001</v>
      </c>
    </row>
    <row r="41" spans="1:5" x14ac:dyDescent="0.3">
      <c r="A41">
        <f>A$9 * (7.50034427642822 -A$8)</f>
        <v>7.50034427642822</v>
      </c>
      <c r="B41">
        <f>B$9 * (7.50034427642822 -B$8)</f>
        <v>7.50034427642822</v>
      </c>
      <c r="D41">
        <f>D$9 * (156.794403076171 -D$8)</f>
        <v>156.79440307617099</v>
      </c>
      <c r="E41">
        <f>E$9 * (63.7229499816894 -E$8)</f>
        <v>63.722949981689403</v>
      </c>
    </row>
    <row r="42" spans="1:5" x14ac:dyDescent="0.3">
      <c r="A42">
        <f>A$9 * (7.75036668777465 -A$8)</f>
        <v>7.7503666877746502</v>
      </c>
      <c r="B42">
        <f>B$9 * (7.75036668777465 -B$8)</f>
        <v>7.7503666877746502</v>
      </c>
      <c r="D42">
        <f>D$9 * (156.794601440429 -D$8)</f>
        <v>156.79460144042901</v>
      </c>
      <c r="E42">
        <f>E$9 * (64.368049621582 -E$8)</f>
        <v>64.368049621582003</v>
      </c>
    </row>
    <row r="43" spans="1:5" x14ac:dyDescent="0.3">
      <c r="A43">
        <f>A$9 * (8.00038909912109 -A$8)</f>
        <v>8.0003890991210902</v>
      </c>
      <c r="B43">
        <f>B$9 * (8.00038909912109 -B$8)</f>
        <v>8.0003890991210902</v>
      </c>
      <c r="D43">
        <f>D$9 * (156.794692993164 -D$8)</f>
        <v>156.79469299316401</v>
      </c>
      <c r="E43">
        <f>E$9 * (63.4913482666015 -E$8)</f>
        <v>63.491348266601499</v>
      </c>
    </row>
    <row r="44" spans="1:5" x14ac:dyDescent="0.3">
      <c r="A44">
        <f>A$9 * (8.25041103363037 -A$8)</f>
        <v>8.2504110336303693</v>
      </c>
      <c r="B44">
        <f>B$9 * (8.25041103363037 -B$8)</f>
        <v>8.2504110336303693</v>
      </c>
      <c r="D44">
        <f>D$9 * (156.794799804687 -D$8)</f>
        <v>156.79479980468699</v>
      </c>
      <c r="E44">
        <f>E$9 * (62.9167289733886 -E$8)</f>
        <v>62.916728973388601</v>
      </c>
    </row>
    <row r="45" spans="1:5" x14ac:dyDescent="0.3">
      <c r="A45">
        <f>A$9 * (8.50043296813964 -A$8)</f>
        <v>8.5004329681396396</v>
      </c>
      <c r="B45">
        <f>B$9 * (8.50043296813964 -B$8)</f>
        <v>8.5004329681396396</v>
      </c>
      <c r="D45">
        <f>D$9 * (156.79490661621 -D$8)</f>
        <v>156.79490661621</v>
      </c>
      <c r="E45">
        <f>E$9 * (63.7425384521484 -E$8)</f>
        <v>63.742538452148402</v>
      </c>
    </row>
    <row r="46" spans="1:5" x14ac:dyDescent="0.3">
      <c r="A46">
        <f>A$9 * (8.75045585632324 -A$8)</f>
        <v>8.7504558563232404</v>
      </c>
      <c r="B46">
        <f>B$9 * (8.75045585632324 -B$8)</f>
        <v>8.7504558563232404</v>
      </c>
      <c r="D46">
        <f>D$9 * (156.794799804687 -D$8)</f>
        <v>156.79479980468699</v>
      </c>
      <c r="E46">
        <f>E$9 * (64.1270599365234 -E$8)</f>
        <v>64.127059936523395</v>
      </c>
    </row>
    <row r="47" spans="1:5" x14ac:dyDescent="0.3">
      <c r="A47">
        <f>A$9 * (9.00047779083252 -A$8)</f>
        <v>9.0004777908325195</v>
      </c>
      <c r="B47">
        <f>B$9 * (9.00047779083252 -B$8)</f>
        <v>9.0004777908325195</v>
      </c>
      <c r="D47">
        <f>D$9 * (156.794692993164 -D$8)</f>
        <v>156.79469299316401</v>
      </c>
      <c r="E47">
        <f>E$9 * (63.4410285949707 -E$8)</f>
        <v>63.441028594970703</v>
      </c>
    </row>
    <row r="48" spans="1:5" x14ac:dyDescent="0.3">
      <c r="A48">
        <f>A$9 * (9.25049972534179 -A$8)</f>
        <v>9.2504997253417898</v>
      </c>
      <c r="B48">
        <f>B$9 * (9.25049972534179 -B$8)</f>
        <v>9.2504997253417898</v>
      </c>
      <c r="D48">
        <f>D$9 * (156.794494628906 -D$8)</f>
        <v>156.79449462890599</v>
      </c>
      <c r="E48">
        <f>E$9 * (63.083080291748 -E$8)</f>
        <v>63.083080291747997</v>
      </c>
    </row>
    <row r="49" spans="1:5" x14ac:dyDescent="0.3">
      <c r="A49">
        <f>A$9 * (9.50052261352539 -A$8)</f>
        <v>9.5005226135253906</v>
      </c>
      <c r="B49">
        <f>B$9 * (9.50052261352539 -B$8)</f>
        <v>9.5005226135253906</v>
      </c>
      <c r="D49">
        <f>D$9 * (156.794296264648 -D$8)</f>
        <v>156.79429626464801</v>
      </c>
      <c r="E49">
        <f>E$9 * (63.7071685791015 -E$8)</f>
        <v>63.707168579101499</v>
      </c>
    </row>
    <row r="50" spans="1:5" x14ac:dyDescent="0.3">
      <c r="A50">
        <f>A$9 * (9.75054454803466 -A$8)</f>
        <v>9.7505445480346609</v>
      </c>
      <c r="B50">
        <f>B$9 * (9.75054454803466 -B$8)</f>
        <v>9.7505445480346609</v>
      </c>
      <c r="D50">
        <f>D$9 * (156.79409790039 -D$8)</f>
        <v>156.79409790039</v>
      </c>
      <c r="E50">
        <f>E$9 * (63.9379501342773 -E$8)</f>
        <v>63.937950134277301</v>
      </c>
    </row>
    <row r="51" spans="1:5" x14ac:dyDescent="0.3">
      <c r="A51">
        <f>A$9 * (10.0005664825439 -A$8)</f>
        <v>10.000566482543899</v>
      </c>
      <c r="B51">
        <f>B$9 * (10.0005664825439 -B$8)</f>
        <v>10.000566482543899</v>
      </c>
      <c r="D51">
        <f>D$9 * (156.794006347656 -D$8)</f>
        <v>156.79400634765599</v>
      </c>
      <c r="E51">
        <f>E$9 * (63.412670135498 -E$8)</f>
        <v>63.412670135497997</v>
      </c>
    </row>
    <row r="52" spans="1:5" x14ac:dyDescent="0.3">
      <c r="A52">
        <f>A$9 * (10.2505884170532 -A$8)</f>
        <v>10.2505884170532</v>
      </c>
      <c r="B52">
        <f>B$9 * (10.2505884170532 -B$8)</f>
        <v>10.2505884170532</v>
      </c>
      <c r="D52">
        <f>D$9 * (156.794006347656 -D$8)</f>
        <v>156.79400634765599</v>
      </c>
      <c r="E52">
        <f>E$9 * (63.2014083862304 -E$8)</f>
        <v>63.201408386230398</v>
      </c>
    </row>
    <row r="53" spans="1:5" x14ac:dyDescent="0.3">
      <c r="A53">
        <f>A$9 * (10.5006084442138 -A$8)</f>
        <v>10.5006084442138</v>
      </c>
      <c r="B53">
        <f>B$9 * (10.5006084442138 -B$8)</f>
        <v>10.5006084442138</v>
      </c>
      <c r="D53">
        <f>D$9 * (156.79409790039 -D$8)</f>
        <v>156.79409790039</v>
      </c>
      <c r="E53">
        <f>E$9 * (63.6896209716796 -E$8)</f>
        <v>63.689620971679602</v>
      </c>
    </row>
    <row r="54" spans="1:5" x14ac:dyDescent="0.3">
      <c r="A54">
        <f>A$9 * (10.7506303787231 -A$8)</f>
        <v>10.7506303787231</v>
      </c>
      <c r="B54">
        <f>B$9 * (10.7506303787231 -B$8)</f>
        <v>10.7506303787231</v>
      </c>
      <c r="D54">
        <f>D$9 * (156.794204711914 -D$8)</f>
        <v>156.79420471191401</v>
      </c>
      <c r="E54">
        <f>E$9 * (63.8163681030273 -E$8)</f>
        <v>63.816368103027301</v>
      </c>
    </row>
    <row r="55" spans="1:5" x14ac:dyDescent="0.3">
      <c r="A55">
        <f>A$9 * (11.0006523132324 -A$8)</f>
        <v>11.000652313232401</v>
      </c>
      <c r="B55">
        <f>B$9 * (11.0006523132324 -B$8)</f>
        <v>11.000652313232401</v>
      </c>
      <c r="D55">
        <f>D$9 * (156.794403076171 -D$8)</f>
        <v>156.79440307617099</v>
      </c>
      <c r="E55">
        <f>E$9 * (63.41402053833 -E$8)</f>
        <v>63.41402053833</v>
      </c>
    </row>
    <row r="56" spans="1:5" x14ac:dyDescent="0.3">
      <c r="A56">
        <f>A$9 * (11.2500162124633 -A$8)</f>
        <v>11.250016212463301</v>
      </c>
      <c r="B56">
        <f>B$9 * (11.2500162124633 -B$8)</f>
        <v>11.250016212463301</v>
      </c>
      <c r="D56">
        <f>D$9 * (156.794403076171 -D$8)</f>
        <v>156.79440307617099</v>
      </c>
      <c r="E56">
        <f>E$9 * (63.3031692504882 -E$8)</f>
        <v>63.303169250488203</v>
      </c>
    </row>
    <row r="57" spans="1:5" x14ac:dyDescent="0.3">
      <c r="A57">
        <f>A$9 * (11.5000391006469 -A$8)</f>
        <v>11.5000391006469</v>
      </c>
      <c r="B57">
        <f>B$9 * (11.5000391006469 -B$8)</f>
        <v>11.5000391006469</v>
      </c>
      <c r="D57">
        <f>D$9 * (156.794601440429 -D$8)</f>
        <v>156.79460144042901</v>
      </c>
      <c r="E57">
        <f>E$9 * (63.6658592224121 -E$8)</f>
        <v>63.665859222412102</v>
      </c>
    </row>
    <row r="58" spans="1:5" x14ac:dyDescent="0.3">
      <c r="A58">
        <f>A$9 * (11.7500610351562 -A$8)</f>
        <v>11.7500610351562</v>
      </c>
      <c r="B58">
        <f>B$9 * (11.7500610351562 -B$8)</f>
        <v>11.7500610351562</v>
      </c>
      <c r="D58">
        <f>D$9 * (156.794692993164 -D$8)</f>
        <v>156.79469299316401</v>
      </c>
      <c r="E58">
        <f>E$9 * (63.7345008850097 -E$8)</f>
        <v>63.734500885009702</v>
      </c>
    </row>
    <row r="59" spans="1:5" x14ac:dyDescent="0.3">
      <c r="A59">
        <f>A$9 * (12.0000829696655 -A$8)</f>
        <v>12.000082969665501</v>
      </c>
      <c r="B59">
        <f>B$9 * (12.0000829696655 -B$8)</f>
        <v>12.000082969665501</v>
      </c>
      <c r="D59">
        <f>D$9 * (156.794799804687 -D$8)</f>
        <v>156.79479980468699</v>
      </c>
      <c r="E59">
        <f>E$9 * (63.4298706054687 -E$8)</f>
        <v>63.4298706054687</v>
      </c>
    </row>
    <row r="60" spans="1:5" x14ac:dyDescent="0.3">
      <c r="A60">
        <f>A$9 * (12.2501058578491 -A$8)</f>
        <v>12.2501058578491</v>
      </c>
      <c r="B60">
        <f>B$9 * (12.2501058578491 -B$8)</f>
        <v>12.2501058578491</v>
      </c>
      <c r="D60">
        <f>D$9 * (156.79490661621 -D$8)</f>
        <v>156.79490661621</v>
      </c>
      <c r="E60">
        <f>E$9 * (63.3702011108398 -E$8)</f>
        <v>63.370201110839801</v>
      </c>
    </row>
    <row r="61" spans="1:5" x14ac:dyDescent="0.3">
      <c r="A61">
        <f>A$9 * (12.5001249313354 -A$8)</f>
        <v>12.500124931335399</v>
      </c>
      <c r="B61">
        <f>B$9 * (12.5001249313354 -B$8)</f>
        <v>12.500124931335399</v>
      </c>
      <c r="D61">
        <f>D$9 * (156.794799804687 -D$8)</f>
        <v>156.79479980468699</v>
      </c>
      <c r="E61">
        <f>E$9 * (63.6462707519531 -E$8)</f>
        <v>63.646270751953097</v>
      </c>
    </row>
    <row r="62" spans="1:5" x14ac:dyDescent="0.3">
      <c r="A62">
        <f>A$9 * (12.7501468658447 -A$8)</f>
        <v>12.7501468658447</v>
      </c>
      <c r="B62">
        <f>B$9 * (12.7501468658447 -B$8)</f>
        <v>12.7501468658447</v>
      </c>
      <c r="D62">
        <f>D$9 * (156.794692993164 -D$8)</f>
        <v>156.79469299316401</v>
      </c>
      <c r="E62">
        <f>E$9 * (63.6687889099121 -E$8)</f>
        <v>63.668788909912102</v>
      </c>
    </row>
    <row r="63" spans="1:5" x14ac:dyDescent="0.3">
      <c r="A63">
        <f>A$9 * (13.0001697540283 -A$8)</f>
        <v>13.000169754028301</v>
      </c>
      <c r="B63">
        <f>B$9 * (13.0001697540283 -B$8)</f>
        <v>13.000169754028301</v>
      </c>
      <c r="D63">
        <f>D$9 * (156.794494628906 -D$8)</f>
        <v>156.79449462890599</v>
      </c>
      <c r="E63">
        <f>E$9 * (63.4446601867675 -E$8)</f>
        <v>63.4446601867675</v>
      </c>
    </row>
    <row r="64" spans="1:5" x14ac:dyDescent="0.3">
      <c r="A64">
        <f>A$9 * (13.2501916885376 -A$8)</f>
        <v>13.250191688537599</v>
      </c>
      <c r="B64">
        <f>B$9 * (13.2501916885376 -B$8)</f>
        <v>13.250191688537599</v>
      </c>
      <c r="D64">
        <f>D$9 * (156.794296264648 -D$8)</f>
        <v>156.79429626464801</v>
      </c>
      <c r="E64">
        <f>E$9 * (63.4278907775878 -E$8)</f>
        <v>63.427890777587798</v>
      </c>
    </row>
    <row r="65" spans="1:5" x14ac:dyDescent="0.3">
      <c r="A65">
        <f>A$9 * (13.5002136230468 -A$8)</f>
        <v>13.5002136230468</v>
      </c>
      <c r="B65">
        <f>B$9 * (13.5002136230468 -B$8)</f>
        <v>13.5002136230468</v>
      </c>
      <c r="D65">
        <f>D$9 * (156.79409790039 -D$8)</f>
        <v>156.79409790039</v>
      </c>
      <c r="E65">
        <f>E$9 * (63.6358299255371 -E$8)</f>
        <v>63.635829925537102</v>
      </c>
    </row>
    <row r="66" spans="1:5" x14ac:dyDescent="0.3">
      <c r="A66">
        <f>A$9 * (13.7502365112304 -A$8)</f>
        <v>13.750236511230399</v>
      </c>
      <c r="B66">
        <f>B$9 * (13.7502365112304 -B$8)</f>
        <v>13.750236511230399</v>
      </c>
      <c r="D66">
        <f>D$9 * (156.794006347656 -D$8)</f>
        <v>156.79400634765599</v>
      </c>
      <c r="E66">
        <f>E$9 * (63.6300392150878 -E$8)</f>
        <v>63.630039215087798</v>
      </c>
    </row>
    <row r="67" spans="1:5" x14ac:dyDescent="0.3">
      <c r="A67">
        <f>A$9 * (14.0002584457397 -A$8)</f>
        <v>14.0002584457397</v>
      </c>
      <c r="B67">
        <f>B$9 * (14.0002584457397 -B$8)</f>
        <v>14.0002584457397</v>
      </c>
      <c r="D67">
        <f>D$9 * (156.794006347656 -D$8)</f>
        <v>156.79400634765599</v>
      </c>
      <c r="E67">
        <f>E$9 * (63.4621696472168 -E$8)</f>
        <v>63.462169647216797</v>
      </c>
    </row>
    <row r="68" spans="1:5" x14ac:dyDescent="0.3">
      <c r="A68">
        <f>A$9 * (14.250280380249 -A$8)</f>
        <v>14.250280380249</v>
      </c>
      <c r="B68">
        <f>B$9 * (14.250280380249 -B$8)</f>
        <v>14.250280380249</v>
      </c>
      <c r="D68">
        <f>D$9 * (156.79409790039 -D$8)</f>
        <v>156.79409790039</v>
      </c>
      <c r="E68">
        <f>E$9 * (63.4664192199707 -E$8)</f>
        <v>63.466419219970703</v>
      </c>
    </row>
    <row r="69" spans="1:5" x14ac:dyDescent="0.3">
      <c r="A69">
        <f>A$9 * (14.5003023147583 -A$8)</f>
        <v>14.500302314758301</v>
      </c>
      <c r="B69">
        <f>B$9 * (14.5003023147583 -B$8)</f>
        <v>14.500302314758301</v>
      </c>
      <c r="D69">
        <f>D$9 * (156.794204711914 -D$8)</f>
        <v>156.79420471191401</v>
      </c>
      <c r="E69">
        <f>E$9 * (63.6223983764648 -E$8)</f>
        <v>63.622398376464801</v>
      </c>
    </row>
    <row r="70" spans="1:5" x14ac:dyDescent="0.3">
      <c r="A70">
        <f>A$9 * (14.7503252029418 -A$8)</f>
        <v>14.7503252029418</v>
      </c>
      <c r="B70">
        <f>B$9 * (14.7503252029418 -B$8)</f>
        <v>14.7503252029418</v>
      </c>
      <c r="D70">
        <f>D$9 * (156.794403076171 -D$8)</f>
        <v>156.79440307617099</v>
      </c>
      <c r="E70">
        <f>E$9 * (63.6136283874511 -E$8)</f>
        <v>63.613628387451101</v>
      </c>
    </row>
    <row r="71" spans="1:5" x14ac:dyDescent="0.3">
      <c r="A71">
        <f>A$9 * (15.0003471374511 -A$8)</f>
        <v>15.000347137451101</v>
      </c>
      <c r="B71">
        <f>B$9 * (15.0003471374511 -B$8)</f>
        <v>15.000347137451101</v>
      </c>
      <c r="D71">
        <f>D$9 * (156.794601440429 -D$8)</f>
        <v>156.79460144042901</v>
      </c>
      <c r="E71">
        <f>E$9 * (63.4906501770019 -E$8)</f>
        <v>63.490650177001903</v>
      </c>
    </row>
    <row r="72" spans="1:5" x14ac:dyDescent="0.3">
      <c r="A72">
        <f>A$9 * (15.2503690719604 -A$8)</f>
        <v>15.250369071960399</v>
      </c>
      <c r="B72">
        <f>B$9 * (15.2503690719604 -B$8)</f>
        <v>15.250369071960399</v>
      </c>
      <c r="D72">
        <f>D$9 * (156.794799804687 -D$8)</f>
        <v>156.79479980468699</v>
      </c>
      <c r="E72">
        <f>E$9 * (63.5041007995605 -E$8)</f>
        <v>63.504100799560497</v>
      </c>
    </row>
    <row r="73" spans="1:5" x14ac:dyDescent="0.3">
      <c r="A73">
        <f>A$9 * (15.500391960144 -A$8)</f>
        <v>15.500391960144</v>
      </c>
      <c r="B73">
        <f>B$9 * (15.500391960144 -B$8)</f>
        <v>15.500391960144</v>
      </c>
      <c r="D73">
        <f>D$9 * (156.79490661621 -D$8)</f>
        <v>156.79490661621</v>
      </c>
      <c r="E73">
        <f>E$9 * (63.6128807067871 -E$8)</f>
        <v>63.612880706787102</v>
      </c>
    </row>
    <row r="74" spans="1:5" x14ac:dyDescent="0.3">
      <c r="A74">
        <f>A$9 * (15.7504138946533 -A$8)</f>
        <v>15.750413894653301</v>
      </c>
      <c r="B74">
        <f>B$9 * (15.7504138946533 -B$8)</f>
        <v>15.750413894653301</v>
      </c>
      <c r="D74">
        <f>D$9 * (156.79490661621 -D$8)</f>
        <v>156.79490661621</v>
      </c>
      <c r="E74">
        <f>E$9 * (63.5923614501953 -E$8)</f>
        <v>63.592361450195298</v>
      </c>
    </row>
    <row r="75" spans="1:5" x14ac:dyDescent="0.3">
      <c r="A75">
        <f>A$9 * (16.0004367828369 -A$8)</f>
        <v>16.0004367828369</v>
      </c>
      <c r="B75">
        <f>B$9 * (16.0004367828369 -B$8)</f>
        <v>16.0004367828369</v>
      </c>
      <c r="D75">
        <f>D$9 * (156.794799804687 -D$8)</f>
        <v>156.79479980468699</v>
      </c>
      <c r="E75">
        <f>E$9 * (63.508430480957 -E$8)</f>
        <v>63.508430480957003</v>
      </c>
    </row>
    <row r="76" spans="1:5" x14ac:dyDescent="0.3">
      <c r="A76">
        <f>A$9 * (16.2504558563232 -A$8)</f>
        <v>16.2504558563232</v>
      </c>
      <c r="B76">
        <f>B$9 * (16.2504558563232 -B$8)</f>
        <v>16.2504558563232</v>
      </c>
      <c r="D76">
        <f>D$9 * (156.794692993164 -D$8)</f>
        <v>156.79469299316401</v>
      </c>
      <c r="E76">
        <f>E$9 * (63.528709411621 -E$8)</f>
        <v>63.528709411621001</v>
      </c>
    </row>
    <row r="77" spans="1:5" x14ac:dyDescent="0.3">
      <c r="A77">
        <f>A$9 * (16.5004768371582 -A$8)</f>
        <v>16.5004768371582</v>
      </c>
      <c r="B77">
        <f>B$9 * (16.5004768371582 -B$8)</f>
        <v>16.5004768371582</v>
      </c>
      <c r="D77">
        <f>D$9 * (156.794494628906 -D$8)</f>
        <v>156.79449462890599</v>
      </c>
      <c r="E77">
        <f>E$9 * (63.6017303466796 -E$8)</f>
        <v>63.601730346679602</v>
      </c>
    </row>
    <row r="78" spans="1:5" x14ac:dyDescent="0.3">
      <c r="A78">
        <f>A$9 * (16.7504997253418 -A$8)</f>
        <v>16.7504997253418</v>
      </c>
      <c r="B78">
        <f>B$9 * (16.7504997253418 -B$8)</f>
        <v>16.7504997253418</v>
      </c>
      <c r="D78">
        <f>D$9 * (156.794296264648 -D$8)</f>
        <v>156.79429626464801</v>
      </c>
      <c r="E78">
        <f>E$9 * (63.5769882202148 -E$8)</f>
        <v>63.576988220214801</v>
      </c>
    </row>
    <row r="79" spans="1:5" x14ac:dyDescent="0.3">
      <c r="A79">
        <f>A$9 * (17.0005226135253 -A$8)</f>
        <v>17.000522613525298</v>
      </c>
      <c r="B79">
        <f>B$9 * (17.0005226135253 -B$8)</f>
        <v>17.000522613525298</v>
      </c>
      <c r="D79">
        <f>D$9 * (156.79409790039 -D$8)</f>
        <v>156.79409790039</v>
      </c>
      <c r="E79">
        <f>E$9 * (63.5107688903808 -E$8)</f>
        <v>63.510768890380803</v>
      </c>
    </row>
    <row r="80" spans="1:5" x14ac:dyDescent="0.3">
      <c r="A80">
        <f>A$9 * (17.2505435943603 -A$8)</f>
        <v>17.250543594360298</v>
      </c>
      <c r="B80">
        <f>B$9 * (17.2505435943603 -B$8)</f>
        <v>17.250543594360298</v>
      </c>
      <c r="D80">
        <f>D$9 * (156.794006347656 -D$8)</f>
        <v>156.79400634765599</v>
      </c>
      <c r="E80">
        <f>E$9 * (63.5349998474121 -E$8)</f>
        <v>63.534999847412102</v>
      </c>
    </row>
    <row r="81" spans="1:5" x14ac:dyDescent="0.3">
      <c r="A81">
        <f>A$9 * (17.5005664825439 -A$8)</f>
        <v>17.500566482543899</v>
      </c>
      <c r="B81">
        <f>B$9 * (17.5005664825439 -B$8)</f>
        <v>17.500566482543899</v>
      </c>
      <c r="D81">
        <f>D$9 * (156.794006347656 -D$8)</f>
        <v>156.79400634765599</v>
      </c>
      <c r="E81">
        <f>E$9 * (63.6005592346191 -E$8)</f>
        <v>63.600559234619098</v>
      </c>
    </row>
    <row r="82" spans="1:5" x14ac:dyDescent="0.3">
      <c r="A82">
        <f>A$9 * (17.7505893707275 -A$8)</f>
        <v>17.7505893707275</v>
      </c>
      <c r="B82">
        <f>B$9 * (17.7505893707275 -B$8)</f>
        <v>17.7505893707275</v>
      </c>
      <c r="D82">
        <f>D$9 * (156.79409790039 -D$8)</f>
        <v>156.79409790039</v>
      </c>
      <c r="E82">
        <f>E$9 * (63.569278717041 -E$8)</f>
        <v>63.569278717041001</v>
      </c>
    </row>
    <row r="83" spans="1:5" x14ac:dyDescent="0.3">
      <c r="A83">
        <f>A$9 * (18.0006103515625 -A$8)</f>
        <v>18.0006103515625</v>
      </c>
      <c r="B83">
        <f>B$9 * (18.0006103515625 -B$8)</f>
        <v>18.0006103515625</v>
      </c>
      <c r="D83">
        <f>D$9 * (156.794204711914 -D$8)</f>
        <v>156.79420471191401</v>
      </c>
      <c r="E83">
        <f>E$9 * (63.5305099487304 -E$8)</f>
        <v>63.530509948730398</v>
      </c>
    </row>
    <row r="84" spans="1:5" x14ac:dyDescent="0.3">
      <c r="A84">
        <f>A$9 * (18.250633239746 -A$8)</f>
        <v>18.250633239746001</v>
      </c>
      <c r="B84">
        <f>B$9 * (18.250633239746 -B$8)</f>
        <v>18.250633239746001</v>
      </c>
      <c r="D84">
        <f>D$9 * (156.794403076171 -D$8)</f>
        <v>156.79440307617099</v>
      </c>
      <c r="E84">
        <f>E$9 * (63.5564804077148 -E$8)</f>
        <v>63.556480407714801</v>
      </c>
    </row>
    <row r="85" spans="1:5" x14ac:dyDescent="0.3">
      <c r="A85">
        <f>A$9 * (18.5006561279296 -A$8)</f>
        <v>18.500656127929599</v>
      </c>
      <c r="B85">
        <f>B$9 * (18.5006561279296 -B$8)</f>
        <v>18.500656127929599</v>
      </c>
      <c r="D85">
        <f>D$9 * (156.794601440429 -D$8)</f>
        <v>156.79460144042901</v>
      </c>
      <c r="E85">
        <f>E$9 * (63.5943717956543 -E$8)</f>
        <v>63.594371795654297</v>
      </c>
    </row>
    <row r="86" spans="1:5" x14ac:dyDescent="0.3">
      <c r="A86">
        <f>A$9 * (18.7500171661377 -A$8)</f>
        <v>18.750017166137699</v>
      </c>
      <c r="B86">
        <f>B$9 * (18.7500171661377 -B$8)</f>
        <v>18.750017166137699</v>
      </c>
      <c r="D86">
        <f>D$9 * (156.794601440429 -D$8)</f>
        <v>156.79460144042901</v>
      </c>
      <c r="E86">
        <f>E$9 * (63.5729103088378 -E$8)</f>
        <v>63.572910308837798</v>
      </c>
    </row>
    <row r="87" spans="1:5" x14ac:dyDescent="0.3">
      <c r="A87">
        <f>A$9 * (19.0000381469726 -A$8)</f>
        <v>19.000038146972599</v>
      </c>
      <c r="B87">
        <f>B$9 * (19.0000381469726 -B$8)</f>
        <v>19.000038146972599</v>
      </c>
      <c r="D87">
        <f>D$9 * (156.794799804687 -D$8)</f>
        <v>156.79479980468699</v>
      </c>
      <c r="E87">
        <f>E$9 * (63.5438385009765 -E$8)</f>
        <v>63.543838500976499</v>
      </c>
    </row>
    <row r="88" spans="1:5" x14ac:dyDescent="0.3">
      <c r="A88">
        <f>A$9 * (19.2500610351562 -A$8)</f>
        <v>19.2500610351562</v>
      </c>
      <c r="B88">
        <f>B$9 * (19.2500610351562 -B$8)</f>
        <v>19.2500610351562</v>
      </c>
      <c r="D88">
        <f>D$9 * (156.79490661621 -D$8)</f>
        <v>156.79490661621</v>
      </c>
      <c r="E88">
        <f>E$9 * (63.5583686828613 -E$8)</f>
        <v>63.5583686828613</v>
      </c>
    </row>
    <row r="89" spans="1:5" x14ac:dyDescent="0.3">
      <c r="A89">
        <f>A$9 * (19.5000839233398 -A$8)</f>
        <v>19.500083923339801</v>
      </c>
      <c r="B89">
        <f>B$9 * (19.5000839233398 -B$8)</f>
        <v>19.500083923339801</v>
      </c>
      <c r="D89">
        <f>D$9 * (156.79490661621 -D$8)</f>
        <v>156.79490661621</v>
      </c>
      <c r="E89">
        <f>E$9 * (63.5853805541992 -E$8)</f>
        <v>63.585380554199197</v>
      </c>
    </row>
    <row r="90" spans="1:5" x14ac:dyDescent="0.3">
      <c r="A90">
        <f>A$9 * (19.7501049041748 -A$8)</f>
        <v>19.750104904174801</v>
      </c>
      <c r="B90">
        <f>B$9 * (19.7501049041748 -B$8)</f>
        <v>19.750104904174801</v>
      </c>
      <c r="D90">
        <f>D$9 * (156.794799804687 -D$8)</f>
        <v>156.79479980468699</v>
      </c>
      <c r="E90">
        <f>E$9 * (63.5758514404296 -E$8)</f>
        <v>63.575851440429602</v>
      </c>
    </row>
    <row r="91" spans="1:5" x14ac:dyDescent="0.3">
      <c r="A91">
        <f>A$9 * (20.0001277923584 -A$8)</f>
        <v>20.000127792358398</v>
      </c>
      <c r="B91">
        <f>B$9 * (20.0001277923584 -B$8)</f>
        <v>20.000127792358398</v>
      </c>
      <c r="D91">
        <f>D$9 * (156.794692993164 -D$8)</f>
        <v>156.79469299316401</v>
      </c>
      <c r="E91">
        <f>E$9 * (63.5500106811523 -E$8)</f>
        <v>63.550010681152301</v>
      </c>
    </row>
    <row r="92" spans="1:5" x14ac:dyDescent="0.3">
      <c r="A92">
        <f>A$9 * (20.2501506805419 -A$8)</f>
        <v>20.2501506805419</v>
      </c>
      <c r="B92">
        <f>B$9 * (20.2501506805419 -B$8)</f>
        <v>20.2501506805419</v>
      </c>
      <c r="D92">
        <f>D$9 * (156.794494628906 -D$8)</f>
        <v>156.79449462890599</v>
      </c>
      <c r="E92">
        <f>E$9 * (63.563190460205 -E$8)</f>
        <v>63.563190460205</v>
      </c>
    </row>
    <row r="93" spans="1:5" x14ac:dyDescent="0.3">
      <c r="A93">
        <f>A$9 * (20.5001716613769 -A$8)</f>
        <v>20.5001716613769</v>
      </c>
      <c r="B93">
        <f>B$9 * (20.5001716613769 -B$8)</f>
        <v>20.5001716613769</v>
      </c>
      <c r="D93">
        <f>D$9 * (156.794296264648 -D$8)</f>
        <v>156.79429626464801</v>
      </c>
      <c r="E93">
        <f>E$9 * (63.5909690856933 -E$8)</f>
        <v>63.590969085693303</v>
      </c>
    </row>
    <row r="94" spans="1:5" x14ac:dyDescent="0.3">
      <c r="A94">
        <f>A$9 * (20.7501945495605 -A$8)</f>
        <v>20.750194549560501</v>
      </c>
      <c r="B94">
        <f>B$9 * (20.7501945495605 -B$8)</f>
        <v>20.750194549560501</v>
      </c>
      <c r="D94">
        <f>D$9 * (156.79409790039 -D$8)</f>
        <v>156.79409790039</v>
      </c>
      <c r="E94">
        <f>E$9 * (63.5844001770019 -E$8)</f>
        <v>63.584400177001903</v>
      </c>
    </row>
    <row r="95" spans="1:5" x14ac:dyDescent="0.3">
      <c r="A95">
        <f>A$9 * (21.0002174377441 -A$8)</f>
        <v>21.000217437744102</v>
      </c>
      <c r="B95">
        <f>B$9 * (21.0002174377441 -B$8)</f>
        <v>21.000217437744102</v>
      </c>
      <c r="D95">
        <f>D$9 * (156.794006347656 -D$8)</f>
        <v>156.79400634765599</v>
      </c>
      <c r="E95">
        <f>E$9 * (63.5567207336425 -E$8)</f>
        <v>63.5567207336425</v>
      </c>
    </row>
    <row r="96" spans="1:5" x14ac:dyDescent="0.3">
      <c r="A96">
        <f>A$9 * (21.2502384185791 -A$8)</f>
        <v>21.250238418579102</v>
      </c>
      <c r="B96">
        <f>B$9 * (21.2502384185791 -B$8)</f>
        <v>21.250238418579102</v>
      </c>
      <c r="D96">
        <f>D$9 * (156.794006347656 -D$8)</f>
        <v>156.79400634765599</v>
      </c>
      <c r="E96">
        <f>E$9 * (63.5667381286621 -E$8)</f>
        <v>63.566738128662102</v>
      </c>
    </row>
    <row r="97" spans="1:5" x14ac:dyDescent="0.3">
      <c r="A97">
        <f>A$9 * (21.5002613067627 -A$8)</f>
        <v>21.500261306762699</v>
      </c>
      <c r="B97">
        <f>B$9 * (21.5002613067627 -B$8)</f>
        <v>21.500261306762699</v>
      </c>
      <c r="D97">
        <f>D$9 * (156.79409790039 -D$8)</f>
        <v>156.79409790039</v>
      </c>
      <c r="E97">
        <f>E$9 * (63.586441040039 -E$8)</f>
        <v>63.586441040038999</v>
      </c>
    </row>
    <row r="98" spans="1:5" x14ac:dyDescent="0.3">
      <c r="A98">
        <f>A$9 * (21.7502841949462 -A$8)</f>
        <v>21.7502841949462</v>
      </c>
      <c r="B98">
        <f>B$9 * (21.7502841949462 -B$8)</f>
        <v>21.7502841949462</v>
      </c>
      <c r="D98">
        <f>D$9 * (156.794204711914 -D$8)</f>
        <v>156.79420471191401</v>
      </c>
      <c r="E98">
        <f>E$9 * (63.581199645996 -E$8)</f>
        <v>63.581199645996001</v>
      </c>
    </row>
    <row r="99" spans="1:5" x14ac:dyDescent="0.3">
      <c r="A99">
        <f>A$9 * (22.0003032684326 -A$8)</f>
        <v>22.000303268432599</v>
      </c>
      <c r="B99">
        <f>B$9 * (22.0003032684326 -B$8)</f>
        <v>22.000303268432599</v>
      </c>
      <c r="D99">
        <f>D$9 * (156.794403076171 -D$8)</f>
        <v>156.79440307617099</v>
      </c>
      <c r="E99">
        <f>E$9 * (63.5606803894043 -E$8)</f>
        <v>63.560680389404297</v>
      </c>
    </row>
    <row r="100" spans="1:5" x14ac:dyDescent="0.3">
      <c r="A100">
        <f>A$9 * (22.2503242492675 -A$8)</f>
        <v>22.2503242492675</v>
      </c>
      <c r="B100">
        <f>B$9 * (22.2503242492675 -B$8)</f>
        <v>22.2503242492675</v>
      </c>
      <c r="D100">
        <f>D$9 * (156.794601440429 -D$8)</f>
        <v>156.79460144042901</v>
      </c>
      <c r="E100">
        <f>E$9 * (63.572280883789 -E$8)</f>
        <v>63.572280883788999</v>
      </c>
    </row>
    <row r="101" spans="1:5" x14ac:dyDescent="0.3">
      <c r="A101">
        <f>A$9 * (22.5003471374511 -A$8)</f>
        <v>22.500347137451101</v>
      </c>
      <c r="B101">
        <f>B$9 * (22.5003471374511 -B$8)</f>
        <v>22.500347137451101</v>
      </c>
      <c r="D101">
        <f>D$9 * (156.794799804687 -D$8)</f>
        <v>156.79479980468699</v>
      </c>
      <c r="E101">
        <f>E$9 * (63.5853881835937 -E$8)</f>
        <v>63.5853881835937</v>
      </c>
    </row>
    <row r="102" spans="1:5" x14ac:dyDescent="0.3">
      <c r="A102">
        <f>A$9 * (22.7503700256347 -A$8)</f>
        <v>22.750370025634702</v>
      </c>
      <c r="B102">
        <f>B$9 * (22.7503700256347 -B$8)</f>
        <v>22.750370025634702</v>
      </c>
      <c r="D102">
        <f>D$9 * (156.79490661621 -D$8)</f>
        <v>156.79490661621</v>
      </c>
      <c r="E102">
        <f>E$9 * (63.5824012756347 -E$8)</f>
        <v>63.582401275634702</v>
      </c>
    </row>
    <row r="103" spans="1:5" x14ac:dyDescent="0.3">
      <c r="A103">
        <f>A$9 * (23.0003910064697 -A$8)</f>
        <v>23.000391006469702</v>
      </c>
      <c r="B103">
        <f>B$9 * (23.0003910064697 -B$8)</f>
        <v>23.000391006469702</v>
      </c>
      <c r="D103">
        <f>D$9 * (156.79490661621 -D$8)</f>
        <v>156.79490661621</v>
      </c>
      <c r="E103">
        <f>E$9 * (63.5720405578613 -E$8)</f>
        <v>63.5720405578613</v>
      </c>
    </row>
    <row r="104" spans="1:5" x14ac:dyDescent="0.3">
      <c r="A104">
        <f>A$9 * (23.2504138946533 -A$8)</f>
        <v>23.250413894653299</v>
      </c>
      <c r="B104">
        <f>B$9 * (23.2504138946533 -B$8)</f>
        <v>23.250413894653299</v>
      </c>
      <c r="D104">
        <f>D$9 * (156.794799804687 -D$8)</f>
        <v>156.79479980468699</v>
      </c>
      <c r="E104">
        <f>E$9 * (63.5747909545898 -E$8)</f>
        <v>63.574790954589801</v>
      </c>
    </row>
    <row r="105" spans="1:5" x14ac:dyDescent="0.3">
      <c r="A105">
        <f>A$9 * (23.5004367828369 -A$8)</f>
        <v>23.5004367828369</v>
      </c>
      <c r="B105">
        <f>B$9 * (23.5004367828369 -B$8)</f>
        <v>23.5004367828369</v>
      </c>
      <c r="D105">
        <f>D$9 * (156.794692993164 -D$8)</f>
        <v>156.79469299316401</v>
      </c>
      <c r="E105">
        <f>E$9 * (63.5896301269531 -E$8)</f>
        <v>63.589630126953097</v>
      </c>
    </row>
    <row r="106" spans="1:5" x14ac:dyDescent="0.3">
      <c r="A106">
        <f>A$9 * (23.7504577636718 -A$8)</f>
        <v>23.7504577636718</v>
      </c>
      <c r="B106">
        <f>B$9 * (23.7504577636718 -B$8)</f>
        <v>23.7504577636718</v>
      </c>
      <c r="D106">
        <f>D$9 * (156.794494628906 -D$8)</f>
        <v>156.79449462890599</v>
      </c>
      <c r="E106">
        <f>E$9 * (63.5857200622558 -E$8)</f>
        <v>63.585720062255803</v>
      </c>
    </row>
    <row r="107" spans="1:5" x14ac:dyDescent="0.3">
      <c r="A107">
        <f>A$9 * (24.0004806518554 -A$8)</f>
        <v>24.000480651855401</v>
      </c>
      <c r="B107">
        <f>B$9 * (24.0004806518554 -B$8)</f>
        <v>24.000480651855401</v>
      </c>
      <c r="D107">
        <f>D$9 * (156.794296264648 -D$8)</f>
        <v>156.79429626464801</v>
      </c>
      <c r="E107">
        <f>E$9 * (63.5778999328613 -E$8)</f>
        <v>63.5778999328613</v>
      </c>
    </row>
    <row r="108" spans="1:5" x14ac:dyDescent="0.3">
      <c r="A108">
        <f>A$9 * (24.250503540039 -A$8)</f>
        <v>24.250503540038999</v>
      </c>
      <c r="B108">
        <f>B$9 * (24.250503540039 -B$8)</f>
        <v>24.250503540038999</v>
      </c>
      <c r="D108">
        <f>D$9 * (156.79409790039 -D$8)</f>
        <v>156.79409790039</v>
      </c>
      <c r="E108">
        <f>E$9 * (63.5773010253906 -E$8)</f>
        <v>63.577301025390597</v>
      </c>
    </row>
    <row r="109" spans="1:5" x14ac:dyDescent="0.3">
      <c r="A109">
        <f>A$9 * (24.500524520874 -A$8)</f>
        <v>24.500524520873999</v>
      </c>
      <c r="B109">
        <f>B$9 * (24.500524520874 -B$8)</f>
        <v>24.500524520873999</v>
      </c>
      <c r="D109">
        <f>D$9 * (156.794006347656 -D$8)</f>
        <v>156.79400634765599</v>
      </c>
      <c r="E109">
        <f>E$9 * (63.5850410461425 -E$8)</f>
        <v>63.5850410461425</v>
      </c>
    </row>
    <row r="110" spans="1:5" x14ac:dyDescent="0.3">
      <c r="A110">
        <f>A$9 * (24.7505474090576 -A$8)</f>
        <v>24.750547409057599</v>
      </c>
      <c r="B110">
        <f>B$9 * (24.7505474090576 -B$8)</f>
        <v>24.750547409057599</v>
      </c>
      <c r="D110">
        <f>D$9 * (156.794006347656 -D$8)</f>
        <v>156.79400634765599</v>
      </c>
      <c r="E110">
        <f>E$9 * (63.5798797607421 -E$8)</f>
        <v>63.579879760742102</v>
      </c>
    </row>
    <row r="111" spans="1:5" x14ac:dyDescent="0.3">
      <c r="A111">
        <f>A$9 * (25.0005702972412 -A$8)</f>
        <v>25.0005702972412</v>
      </c>
      <c r="B111">
        <f>B$9 * (25.0005702972412 -B$8)</f>
        <v>25.0005702972412</v>
      </c>
      <c r="D111">
        <f>D$9 * (156.79409790039 -D$8)</f>
        <v>156.79409790039</v>
      </c>
      <c r="E111">
        <f>E$9 * (63.5765914916992 -E$8)</f>
        <v>63.576591491699197</v>
      </c>
    </row>
    <row r="112" spans="1:5" x14ac:dyDescent="0.3">
      <c r="A112">
        <f>A$9 * (25.2505912780761 -A$8)</f>
        <v>25.250591278076101</v>
      </c>
      <c r="B112">
        <f>B$9 * (25.2505912780761 -B$8)</f>
        <v>25.250591278076101</v>
      </c>
      <c r="D112">
        <f>D$9 * (156.794204711914 -D$8)</f>
        <v>156.79420471191401</v>
      </c>
      <c r="E112">
        <f>E$9 * (63.5793304443359 -E$8)</f>
        <v>63.579330444335902</v>
      </c>
    </row>
    <row r="113" spans="1:5" x14ac:dyDescent="0.3">
      <c r="A113">
        <f>A$9 * (25.5006141662597 -A$8)</f>
        <v>25.500614166259702</v>
      </c>
      <c r="B113">
        <f>B$9 * (25.5006141662597 -B$8)</f>
        <v>25.500614166259702</v>
      </c>
      <c r="D113">
        <f>D$9 * (156.794403076171 -D$8)</f>
        <v>156.79440307617099</v>
      </c>
      <c r="E113">
        <f>E$9 * (63.5834312438964 -E$8)</f>
        <v>63.583431243896399</v>
      </c>
    </row>
    <row r="114" spans="1:5" x14ac:dyDescent="0.3">
      <c r="A114">
        <f>A$9 * (25.7506370544433 -A$8)</f>
        <v>25.750637054443299</v>
      </c>
      <c r="B114">
        <f>B$9 * (25.7506370544433 -B$8)</f>
        <v>25.750637054443299</v>
      </c>
      <c r="D114">
        <f>D$9 * (156.794601440429 -D$8)</f>
        <v>156.79460144042901</v>
      </c>
      <c r="E114">
        <f>E$9 * (63.5834083557128 -E$8)</f>
        <v>63.583408355712798</v>
      </c>
    </row>
    <row r="115" spans="1:5" x14ac:dyDescent="0.3">
      <c r="A115">
        <f>A$9 * (26.0006561279296 -A$8)</f>
        <v>26.000656127929599</v>
      </c>
      <c r="B115">
        <f>B$9 * (26.0006561279296 -B$8)</f>
        <v>26.000656127929599</v>
      </c>
      <c r="D115">
        <f>D$9 * (156.794799804687 -D$8)</f>
        <v>156.79479980468699</v>
      </c>
      <c r="E115">
        <f>E$9 * (63.5810813903808 -E$8)</f>
        <v>63.581081390380803</v>
      </c>
    </row>
    <row r="116" spans="1:5" x14ac:dyDescent="0.3">
      <c r="A116">
        <f>A$9 * (26.2500190734863 -A$8)</f>
        <v>26.2500190734863</v>
      </c>
      <c r="B116">
        <f>B$9 * (26.2500190734863 -B$8)</f>
        <v>26.2500190734863</v>
      </c>
      <c r="D116">
        <f>D$9 * (156.794799804687 -D$8)</f>
        <v>156.79479980468699</v>
      </c>
      <c r="E116">
        <f>E$9 * (63.5813293457031 -E$8)</f>
        <v>63.581329345703097</v>
      </c>
    </row>
    <row r="117" spans="1:5" x14ac:dyDescent="0.3">
      <c r="A117">
        <f>A$9 * (26.5000419616699 -A$8)</f>
        <v>26.500041961669901</v>
      </c>
      <c r="B117">
        <f>B$9 * (26.5000419616699 -B$8)</f>
        <v>26.500041961669901</v>
      </c>
      <c r="D117">
        <f>D$9 * (156.79490661621 -D$8)</f>
        <v>156.79490661621</v>
      </c>
      <c r="E117">
        <f>E$9 * (63.5847511291503 -E$8)</f>
        <v>63.584751129150298</v>
      </c>
    </row>
    <row r="118" spans="1:5" x14ac:dyDescent="0.3">
      <c r="A118">
        <f>A$9 * (26.7500629425048 -A$8)</f>
        <v>26.750062942504801</v>
      </c>
      <c r="B118">
        <f>B$9 * (26.7500629425048 -B$8)</f>
        <v>26.750062942504801</v>
      </c>
      <c r="D118">
        <f>D$9 * (156.79490661621 -D$8)</f>
        <v>156.79490661621</v>
      </c>
      <c r="E118">
        <f>E$9 * (63.5863609313964 -E$8)</f>
        <v>63.586360931396399</v>
      </c>
    </row>
    <row r="119" spans="1:5" x14ac:dyDescent="0.3">
      <c r="A119">
        <f>A$9 * (27.0000858306884 -A$8)</f>
        <v>27.000085830688398</v>
      </c>
      <c r="B119">
        <f>B$9 * (27.0000858306884 -B$8)</f>
        <v>27.000085830688398</v>
      </c>
      <c r="D119">
        <f>D$9 * (156.794799804687 -D$8)</f>
        <v>156.79479980468699</v>
      </c>
      <c r="E119">
        <f>E$9 * (63.5836601257324 -E$8)</f>
        <v>63.583660125732401</v>
      </c>
    </row>
    <row r="120" spans="1:5" x14ac:dyDescent="0.3">
      <c r="A120">
        <f>A$9 * (27.250108718872 -A$8)</f>
        <v>27.250108718871999</v>
      </c>
      <c r="B120">
        <f>B$9 * (27.250108718872 -B$8)</f>
        <v>27.250108718871999</v>
      </c>
      <c r="D120">
        <f>D$9 * (156.794692993164 -D$8)</f>
        <v>156.79469299316401</v>
      </c>
      <c r="E120">
        <f>E$9 * (63.5853614807128 -E$8)</f>
        <v>63.585361480712798</v>
      </c>
    </row>
    <row r="121" spans="1:5" x14ac:dyDescent="0.3">
      <c r="A121">
        <f>A$9 * (27.500129699707 -A$8)</f>
        <v>27.500129699706999</v>
      </c>
      <c r="B121">
        <f>B$9 * (27.500129699707 -B$8)</f>
        <v>27.500129699706999</v>
      </c>
      <c r="D121">
        <f>D$9 * (156.794494628906 -D$8)</f>
        <v>156.79449462890599</v>
      </c>
      <c r="E121">
        <f>E$9 * (63.5849113464355 -E$8)</f>
        <v>63.584911346435497</v>
      </c>
    </row>
    <row r="122" spans="1:5" x14ac:dyDescent="0.3">
      <c r="A122">
        <f>A$9 * (27.7501525878906 -A$8)</f>
        <v>27.7501525878906</v>
      </c>
      <c r="B122">
        <f>B$9 * (27.7501525878906 -B$8)</f>
        <v>27.7501525878906</v>
      </c>
      <c r="D122">
        <f>D$9 * (156.794296264648 -D$8)</f>
        <v>156.79429626464801</v>
      </c>
      <c r="E122">
        <f>E$9 * (63.5875511169433 -E$8)</f>
        <v>63.587551116943303</v>
      </c>
    </row>
    <row r="123" spans="1:5" x14ac:dyDescent="0.3">
      <c r="A123">
        <f>A$9 * (28.000165939331 -A$8)</f>
        <v>28.000165939331001</v>
      </c>
      <c r="B123">
        <f>B$9 * (28.000165939331 -B$8)</f>
        <v>28.000165939331001</v>
      </c>
      <c r="D123">
        <f>D$9 * (156.79409790039 -D$8)</f>
        <v>156.79409790039</v>
      </c>
      <c r="E123">
        <f>E$9 * (63.5855484008789 -E$8)</f>
        <v>63.585548400878899</v>
      </c>
    </row>
    <row r="124" spans="1:5" x14ac:dyDescent="0.3">
      <c r="A124">
        <f>A$9 * (28.2501945495605 -A$8)</f>
        <v>28.250194549560501</v>
      </c>
      <c r="B124">
        <f>B$9 * (28.2501945495605 -B$8)</f>
        <v>28.250194549560501</v>
      </c>
      <c r="D124">
        <f>D$9 * (156.794006347656 -D$8)</f>
        <v>156.79400634765599</v>
      </c>
      <c r="E124">
        <f>E$9 * (63.5894203186035 -E$8)</f>
        <v>63.589420318603501</v>
      </c>
    </row>
    <row r="125" spans="1:5" x14ac:dyDescent="0.3">
      <c r="A125">
        <f>A$9 * (28.50022315979 -A$8)</f>
        <v>28.50022315979</v>
      </c>
      <c r="B125">
        <f>B$9 * (28.50022315979 -B$8)</f>
        <v>28.50022315979</v>
      </c>
      <c r="D125">
        <f>D$9 * (156.794006347656 -D$8)</f>
        <v>156.79400634765599</v>
      </c>
      <c r="E125">
        <f>E$9 * (63.5921592712402 -E$8)</f>
        <v>63.592159271240199</v>
      </c>
    </row>
    <row r="126" spans="1:5" x14ac:dyDescent="0.3">
      <c r="A126">
        <f>A$9 * (28.7502498626709 -A$8)</f>
        <v>28.750249862670898</v>
      </c>
      <c r="B126">
        <f>B$9 * (28.7502498626709 -B$8)</f>
        <v>28.750249862670898</v>
      </c>
      <c r="D126">
        <f>D$9 * (156.79409790039 -D$8)</f>
        <v>156.79409790039</v>
      </c>
      <c r="E126">
        <f>E$9 * (63.5908584594726 -E$8)</f>
        <v>63.590858459472599</v>
      </c>
    </row>
    <row r="127" spans="1:5" x14ac:dyDescent="0.3">
      <c r="A127">
        <f>A$9 * (29.0002498626709 -A$8)</f>
        <v>29.000249862670898</v>
      </c>
      <c r="B127">
        <f>B$9 * (29.0002498626709 -B$8)</f>
        <v>29.000249862670898</v>
      </c>
      <c r="D127">
        <f>D$9 * (156.794204711914 -D$8)</f>
        <v>156.79420471191401</v>
      </c>
      <c r="E127">
        <f>E$9 * (63.5893898010253 -E$8)</f>
        <v>63.589389801025298</v>
      </c>
    </row>
    <row r="128" spans="1:5" x14ac:dyDescent="0.3">
      <c r="A128">
        <f>A$9 * (29.2502784729003 -A$8)</f>
        <v>29.250278472900298</v>
      </c>
      <c r="B128">
        <f>B$9 * (29.2502784729003 -B$8)</f>
        <v>29.250278472900298</v>
      </c>
      <c r="D128">
        <f>D$9 * (156.794403076171 -D$8)</f>
        <v>156.79440307617099</v>
      </c>
      <c r="E128">
        <f>E$9 * (63.5893211364746 -E$8)</f>
        <v>63.589321136474602</v>
      </c>
    </row>
    <row r="129" spans="1:5" x14ac:dyDescent="0.3">
      <c r="A129">
        <f>A$9 * (29.5003051757812 -A$8)</f>
        <v>29.5003051757812</v>
      </c>
      <c r="B129">
        <f>B$9 * (29.5003051757812 -B$8)</f>
        <v>29.5003051757812</v>
      </c>
      <c r="D129">
        <f>D$9 * (156.794601440429 -D$8)</f>
        <v>156.79460144042901</v>
      </c>
      <c r="E129">
        <f>E$9 * (63.5879592895507 -E$8)</f>
        <v>63.587959289550703</v>
      </c>
    </row>
    <row r="130" spans="1:5" x14ac:dyDescent="0.3">
      <c r="A130">
        <f>A$9 * (29.7503337860107 -A$8)</f>
        <v>29.7503337860107</v>
      </c>
      <c r="B130">
        <f>B$9 * (29.7503337860107 -B$8)</f>
        <v>29.7503337860107</v>
      </c>
      <c r="D130">
        <f>D$9 * (156.794799804687 -D$8)</f>
        <v>156.79479980468699</v>
      </c>
      <c r="E130">
        <f>E$9 * (63.5877799987793 -E$8)</f>
        <v>63.587779998779297</v>
      </c>
    </row>
    <row r="131" spans="1:5" x14ac:dyDescent="0.3">
      <c r="A131">
        <f>A$9 * (30.0003604888916 -A$8)</f>
        <v>30.000360488891602</v>
      </c>
      <c r="B131">
        <f>B$9 * (30.0003604888916 -B$8)</f>
        <v>30.000360488891602</v>
      </c>
      <c r="D131">
        <f>D$9 * (156.79490661621 -D$8)</f>
        <v>156.79490661621</v>
      </c>
      <c r="E131">
        <f>E$9 * (63.5890007019043 -E$8)</f>
        <v>63.589000701904297</v>
      </c>
    </row>
    <row r="132" spans="1:5" x14ac:dyDescent="0.3">
      <c r="A132">
        <f>A$9 * (30.2503604888916 -A$8)</f>
        <v>30.250360488891602</v>
      </c>
      <c r="B132">
        <f>B$9 * (30.2503604888916 -B$8)</f>
        <v>30.250360488891602</v>
      </c>
      <c r="D132">
        <f>D$9 * (156.79490661621 -D$8)</f>
        <v>156.79490661621</v>
      </c>
      <c r="E132">
        <f>E$9 * (63.5920791625976 -E$8)</f>
        <v>63.592079162597599</v>
      </c>
    </row>
    <row r="133" spans="1:5" x14ac:dyDescent="0.3">
      <c r="A133">
        <f>A$9 * (30.500389099121 -A$8)</f>
        <v>30.500389099121001</v>
      </c>
      <c r="B133">
        <f>B$9 * (30.500389099121 -B$8)</f>
        <v>30.500389099121001</v>
      </c>
      <c r="D133">
        <f>D$9 * (156.794799804687 -D$8)</f>
        <v>156.79479980468699</v>
      </c>
      <c r="E133">
        <f>E$9 * (63.5889511108398 -E$8)</f>
        <v>63.588951110839801</v>
      </c>
    </row>
    <row r="134" spans="1:5" x14ac:dyDescent="0.3">
      <c r="A134">
        <f>A$9 * (30.7504158020019 -A$8)</f>
        <v>30.7504158020019</v>
      </c>
      <c r="B134">
        <f>B$9 * (30.7504158020019 -B$8)</f>
        <v>30.7504158020019</v>
      </c>
      <c r="D134">
        <f>D$9 * (156.794692993164 -D$8)</f>
        <v>156.79469299316401</v>
      </c>
      <c r="E134">
        <f>E$9 * (63.5915412902832 -E$8)</f>
        <v>63.591541290283203</v>
      </c>
    </row>
    <row r="135" spans="1:5" x14ac:dyDescent="0.3">
      <c r="A135">
        <f>A$9 * (31.0004444122314 -A$8)</f>
        <v>31.000444412231399</v>
      </c>
      <c r="B135">
        <f>B$9 * (31.0004444122314 -B$8)</f>
        <v>31.000444412231399</v>
      </c>
      <c r="D135">
        <f>D$9 * (156.794494628906 -D$8)</f>
        <v>156.79449462890599</v>
      </c>
      <c r="E135">
        <f>E$9 * (63.5914001464843 -E$8)</f>
        <v>63.591400146484297</v>
      </c>
    </row>
    <row r="136" spans="1:5" x14ac:dyDescent="0.3">
      <c r="A136">
        <f>A$9 * (31.2504730224609 -A$8)</f>
        <v>31.250473022460898</v>
      </c>
      <c r="B136">
        <f>B$9 * (31.2504730224609 -B$8)</f>
        <v>31.250473022460898</v>
      </c>
      <c r="D136">
        <f>D$9 * (156.794296264648 -D$8)</f>
        <v>156.79429626464801</v>
      </c>
      <c r="E136">
        <f>E$9 * (63.5897483825683 -E$8)</f>
        <v>63.589748382568303</v>
      </c>
    </row>
    <row r="137" spans="1:5" x14ac:dyDescent="0.3">
      <c r="A137">
        <f>A$9 * (31.5004730224609 -A$8)</f>
        <v>31.500473022460898</v>
      </c>
      <c r="B137">
        <f>B$9 * (31.5004730224609 -B$8)</f>
        <v>31.500473022460898</v>
      </c>
      <c r="D137">
        <f>D$9 * (156.79409790039 -D$8)</f>
        <v>156.79409790039</v>
      </c>
      <c r="E137">
        <f>E$9 * (63.5920104980468 -E$8)</f>
        <v>63.592010498046797</v>
      </c>
    </row>
    <row r="138" spans="1:5" x14ac:dyDescent="0.3">
      <c r="A138">
        <f>A$9 * (31.7504997253418 -A$8)</f>
        <v>31.7504997253418</v>
      </c>
      <c r="B138">
        <f>B$9 * (31.7504997253418 -B$8)</f>
        <v>31.7504997253418</v>
      </c>
      <c r="D138">
        <f>D$9 * (156.794006347656 -D$8)</f>
        <v>156.79400634765599</v>
      </c>
      <c r="E138">
        <f>E$9 * (63.5918617248535 -E$8)</f>
        <v>63.591861724853501</v>
      </c>
    </row>
    <row r="139" spans="1:5" x14ac:dyDescent="0.3">
      <c r="A139">
        <f>A$9 * (32.0005264282226 -A$8)</f>
        <v>32.000526428222599</v>
      </c>
      <c r="B139">
        <f>B$9 * (32.0005264282226 -B$8)</f>
        <v>32.000526428222599</v>
      </c>
      <c r="D139">
        <f>D$9 * (156.794006347656 -D$8)</f>
        <v>156.79400634765599</v>
      </c>
      <c r="E139">
        <f>E$9 * (63.5895309448242 -E$8)</f>
        <v>63.589530944824197</v>
      </c>
    </row>
    <row r="140" spans="1:5" x14ac:dyDescent="0.3">
      <c r="A140">
        <f>A$9 * (32.2505569458007 -A$8)</f>
        <v>32.250556945800703</v>
      </c>
      <c r="B140">
        <f>B$9 * (32.2505569458007 -B$8)</f>
        <v>32.250556945800703</v>
      </c>
      <c r="D140">
        <f>D$9 * (156.79409790039 -D$8)</f>
        <v>156.79409790039</v>
      </c>
      <c r="E140">
        <f>E$9 * (63.594181060791 -E$8)</f>
        <v>63.594181060791001</v>
      </c>
    </row>
    <row r="141" spans="1:5" x14ac:dyDescent="0.3">
      <c r="A141">
        <f>A$9 * (32.5005836486816 -A$8)</f>
        <v>32.500583648681598</v>
      </c>
      <c r="B141">
        <f>B$9 * (32.5005836486816 -B$8)</f>
        <v>32.500583648681598</v>
      </c>
      <c r="D141">
        <f>D$9 * (156.794204711914 -D$8)</f>
        <v>156.79420471191401</v>
      </c>
      <c r="E141">
        <f>E$9 * (63.5949592590332 -E$8)</f>
        <v>63.594959259033203</v>
      </c>
    </row>
    <row r="142" spans="1:5" x14ac:dyDescent="0.3">
      <c r="A142">
        <f>A$9 * (32.7505836486816 -A$8)</f>
        <v>32.750583648681598</v>
      </c>
      <c r="B142">
        <f>B$9 * (32.7505836486816 -B$8)</f>
        <v>32.750583648681598</v>
      </c>
      <c r="D142">
        <f>D$9 * (156.794403076171 -D$8)</f>
        <v>156.79440307617099</v>
      </c>
      <c r="E142">
        <f>E$9 * (63.5902709960937 -E$8)</f>
        <v>63.5902709960937</v>
      </c>
    </row>
    <row r="143" spans="1:5" x14ac:dyDescent="0.3">
      <c r="A143">
        <f>A$9 * (33.0006103515625 -A$8)</f>
        <v>33.0006103515625</v>
      </c>
      <c r="B143">
        <f>B$9 * (33.0006103515625 -B$8)</f>
        <v>33.0006103515625</v>
      </c>
      <c r="D143">
        <f>D$9 * (156.794601440429 -D$8)</f>
        <v>156.79460144042901</v>
      </c>
      <c r="E143">
        <f>E$9 * (63.5919609069824 -E$8)</f>
        <v>63.591960906982401</v>
      </c>
    </row>
    <row r="144" spans="1:5" x14ac:dyDescent="0.3">
      <c r="A144">
        <f>A$9 * (33.2506370544433 -A$8)</f>
        <v>33.250637054443303</v>
      </c>
      <c r="B144">
        <f>B$9 * (33.2506370544433 -B$8)</f>
        <v>33.250637054443303</v>
      </c>
      <c r="D144">
        <f>D$9 * (156.794799804687 -D$8)</f>
        <v>156.79479980468699</v>
      </c>
      <c r="E144">
        <f>E$9 * (63.5908393859863 -E$8)</f>
        <v>63.5908393859863</v>
      </c>
    </row>
    <row r="145" spans="1:5" x14ac:dyDescent="0.3">
      <c r="A145">
        <f>A$9 * (33.5006675720214 -A$8)</f>
        <v>33.500667572021399</v>
      </c>
      <c r="B145">
        <f>B$9 * (33.5006675720214 -B$8)</f>
        <v>33.500667572021399</v>
      </c>
      <c r="D145">
        <f>D$9 * (156.79490661621 -D$8)</f>
        <v>156.79490661621</v>
      </c>
      <c r="E145">
        <f>E$9 * (63.5946311950683 -E$8)</f>
        <v>63.594631195068303</v>
      </c>
    </row>
    <row r="146" spans="1:5" x14ac:dyDescent="0.3">
      <c r="A146">
        <f>A$9 * (33.7500267028808 -A$8)</f>
        <v>33.750026702880803</v>
      </c>
      <c r="B146">
        <f>B$9 * (33.7500267028808 -B$8)</f>
        <v>33.750026702880803</v>
      </c>
      <c r="D146">
        <f>D$9 * (156.79490661621 -D$8)</f>
        <v>156.79490661621</v>
      </c>
      <c r="E146">
        <f>E$9 * (63.5935401916503 -E$8)</f>
        <v>63.593540191650298</v>
      </c>
    </row>
    <row r="147" spans="1:5" x14ac:dyDescent="0.3">
      <c r="A147">
        <f>A$9 * (34.0000572204589 -A$8)</f>
        <v>34.000057220458899</v>
      </c>
      <c r="B147">
        <f>B$9 * (34.0000572204589 -B$8)</f>
        <v>34.000057220458899</v>
      </c>
      <c r="D147">
        <f>D$9 * (156.79490661621 -D$8)</f>
        <v>156.79490661621</v>
      </c>
      <c r="E147">
        <f>E$9 * (63.59130859375 -E$8)</f>
        <v>63.59130859375</v>
      </c>
    </row>
    <row r="148" spans="1:5" x14ac:dyDescent="0.3">
      <c r="A148">
        <f>A$9 * (34.2500572204589 -A$8)</f>
        <v>34.250057220458899</v>
      </c>
      <c r="B148">
        <f>B$9 * (34.2500572204589 -B$8)</f>
        <v>34.250057220458899</v>
      </c>
      <c r="D148">
        <f>D$9 * (156.794799804687 -D$8)</f>
        <v>156.79479980468699</v>
      </c>
      <c r="E148">
        <f>E$9 * (63.5919303894043 -E$8)</f>
        <v>63.591930389404297</v>
      </c>
    </row>
    <row r="149" spans="1:5" x14ac:dyDescent="0.3">
      <c r="A149">
        <f>A$9 * (34.5000839233398 -A$8)</f>
        <v>34.500083923339801</v>
      </c>
      <c r="B149">
        <f>B$9 * (34.5000839233398 -B$8)</f>
        <v>34.500083923339801</v>
      </c>
      <c r="D149">
        <f>D$9 * (156.794692993164 -D$8)</f>
        <v>156.79469299316401</v>
      </c>
      <c r="E149">
        <f>E$9 * (63.5948181152343 -E$8)</f>
        <v>63.594818115234297</v>
      </c>
    </row>
    <row r="150" spans="1:5" x14ac:dyDescent="0.3">
      <c r="A150">
        <f>A$9 * (34.7501106262207 -A$8)</f>
        <v>34.750110626220703</v>
      </c>
      <c r="B150">
        <f>B$9 * (34.7501106262207 -B$8)</f>
        <v>34.750110626220703</v>
      </c>
      <c r="D150">
        <f>D$9 * (156.794494628906 -D$8)</f>
        <v>156.79449462890599</v>
      </c>
      <c r="E150">
        <f>E$9 * (63.5927391052246 -E$8)</f>
        <v>63.592739105224602</v>
      </c>
    </row>
    <row r="151" spans="1:5" x14ac:dyDescent="0.3">
      <c r="A151">
        <f>A$9 * (35.0001373291015 -A$8)</f>
        <v>35.000137329101499</v>
      </c>
      <c r="B151">
        <f>B$9 * (35.0001373291015 -B$8)</f>
        <v>35.000137329101499</v>
      </c>
      <c r="D151">
        <f>D$9 * (156.794296264648 -D$8)</f>
        <v>156.79429626464801</v>
      </c>
      <c r="E151">
        <f>E$9 * (63.5923995971679 -E$8)</f>
        <v>63.592399597167898</v>
      </c>
    </row>
    <row r="152" spans="1:5" x14ac:dyDescent="0.3">
      <c r="A152">
        <f>A$9 * (35.2501678466796 -A$8)</f>
        <v>35.250167846679602</v>
      </c>
      <c r="B152">
        <f>B$9 * (35.2501678466796 -B$8)</f>
        <v>35.250167846679602</v>
      </c>
      <c r="D152">
        <f>D$9 * (156.79409790039 -D$8)</f>
        <v>156.79409790039</v>
      </c>
      <c r="E152">
        <f>E$9 * (63.5959091186523 -E$8)</f>
        <v>63.595909118652301</v>
      </c>
    </row>
    <row r="153" spans="1:5" x14ac:dyDescent="0.3">
      <c r="A153">
        <f>A$9 * (35.5001678466796 -A$8)</f>
        <v>35.500167846679602</v>
      </c>
      <c r="B153">
        <f>B$9 * (35.5001678466796 -B$8)</f>
        <v>35.500167846679602</v>
      </c>
      <c r="D153">
        <f>D$9 * (156.794006347656 -D$8)</f>
        <v>156.79400634765599</v>
      </c>
      <c r="E153">
        <f>E$9 * (63.5942115783691 -E$8)</f>
        <v>63.594211578369098</v>
      </c>
    </row>
    <row r="154" spans="1:5" x14ac:dyDescent="0.3">
      <c r="A154">
        <f>A$9 * (35.7501945495605 -A$8)</f>
        <v>35.750194549560497</v>
      </c>
      <c r="B154">
        <f>B$9 * (35.7501945495605 -B$8)</f>
        <v>35.750194549560497</v>
      </c>
      <c r="D154">
        <f>D$9 * (156.794006347656 -D$8)</f>
        <v>156.79400634765599</v>
      </c>
      <c r="E154">
        <f>E$9 * (63.597671508789 -E$8)</f>
        <v>63.597671508788999</v>
      </c>
    </row>
    <row r="155" spans="1:5" x14ac:dyDescent="0.3">
      <c r="A155">
        <f>A$9 * (36.0002212524414 -A$8)</f>
        <v>36.000221252441399</v>
      </c>
      <c r="B155">
        <f>B$9 * (36.0002212524414 -B$8)</f>
        <v>36.000221252441399</v>
      </c>
      <c r="D155">
        <f>D$9 * (156.79409790039 -D$8)</f>
        <v>156.79409790039</v>
      </c>
      <c r="E155">
        <f>E$9 * (63.5972518920898 -E$8)</f>
        <v>63.597251892089801</v>
      </c>
    </row>
    <row r="156" spans="1:5" x14ac:dyDescent="0.3">
      <c r="A156">
        <f>A$9 * (36.2502517700195 -A$8)</f>
        <v>36.250251770019503</v>
      </c>
      <c r="B156">
        <f>B$9 * (36.2502517700195 -B$8)</f>
        <v>36.250251770019503</v>
      </c>
      <c r="D156">
        <f>D$9 * (156.794204711914 -D$8)</f>
        <v>156.79420471191401</v>
      </c>
      <c r="E156">
        <f>E$9 * (63.5971908569335 -E$8)</f>
        <v>63.597190856933501</v>
      </c>
    </row>
    <row r="157" spans="1:5" x14ac:dyDescent="0.3">
      <c r="A157">
        <f>A$9 * (36.5002517700195 -A$8)</f>
        <v>36.500251770019503</v>
      </c>
      <c r="B157">
        <f>B$9 * (36.5002517700195 -B$8)</f>
        <v>36.500251770019503</v>
      </c>
      <c r="D157">
        <f>D$9 * (156.794403076171 -D$8)</f>
        <v>156.79440307617099</v>
      </c>
      <c r="E157">
        <f>E$9 * (63.5969696044921 -E$8)</f>
        <v>63.596969604492102</v>
      </c>
    </row>
    <row r="158" spans="1:5" x14ac:dyDescent="0.3">
      <c r="A158">
        <f>A$9 * (36.7502784729003 -A$8)</f>
        <v>36.750278472900298</v>
      </c>
      <c r="B158">
        <f>B$9 * (36.7502784729003 -B$8)</f>
        <v>36.750278472900298</v>
      </c>
      <c r="D158">
        <f>D$9 * (156.794601440429 -D$8)</f>
        <v>156.79460144042901</v>
      </c>
      <c r="E158">
        <f>E$9 * (63.597541809082 -E$8)</f>
        <v>63.597541809082003</v>
      </c>
    </row>
    <row r="159" spans="1:5" x14ac:dyDescent="0.3">
      <c r="A159">
        <f>A$9 * (37.0003051757812 -A$8)</f>
        <v>37.0003051757812</v>
      </c>
      <c r="B159">
        <f>B$9 * (37.0003051757812 -B$8)</f>
        <v>37.0003051757812</v>
      </c>
      <c r="D159">
        <f>D$9 * (156.794799804687 -D$8)</f>
        <v>156.79479980468699</v>
      </c>
      <c r="E159">
        <f>E$9 * (63.5980796813964 -E$8)</f>
        <v>63.598079681396399</v>
      </c>
    </row>
    <row r="160" spans="1:5" x14ac:dyDescent="0.3">
      <c r="A160">
        <f>A$9 * (37.2503318786621 -A$8)</f>
        <v>37.250331878662102</v>
      </c>
      <c r="B160">
        <f>B$9 * (37.2503318786621 -B$8)</f>
        <v>37.250331878662102</v>
      </c>
      <c r="D160">
        <f>D$9 * (156.79490661621 -D$8)</f>
        <v>156.79490661621</v>
      </c>
      <c r="E160">
        <f>E$9 * (63.5982513427734 -E$8)</f>
        <v>63.598251342773402</v>
      </c>
    </row>
    <row r="161" spans="1:5" x14ac:dyDescent="0.3">
      <c r="A161">
        <f>A$9 * (37.5003623962402 -A$8)</f>
        <v>37.500362396240199</v>
      </c>
      <c r="B161">
        <f>B$9 * (37.5003623962402 -B$8)</f>
        <v>37.500362396240199</v>
      </c>
      <c r="D161">
        <f>D$9 * (156.79490661621 -D$8)</f>
        <v>156.79490661621</v>
      </c>
      <c r="E161">
        <f>E$9 * (63.5980415344238 -E$8)</f>
        <v>63.5980415344238</v>
      </c>
    </row>
    <row r="162" spans="1:5" x14ac:dyDescent="0.3">
      <c r="A162">
        <f>A$9 * (37.7503623962402 -A$8)</f>
        <v>37.750362396240199</v>
      </c>
      <c r="B162">
        <f>B$9 * (37.7503623962402 -B$8)</f>
        <v>37.750362396240199</v>
      </c>
      <c r="D162">
        <f>D$9 * (156.794799804687 -D$8)</f>
        <v>156.79479980468699</v>
      </c>
      <c r="E162">
        <f>E$9 * (63.5993003845214 -E$8)</f>
        <v>63.599300384521399</v>
      </c>
    </row>
    <row r="163" spans="1:5" x14ac:dyDescent="0.3">
      <c r="A163">
        <f>A$9 * (38.000389099121 -A$8)</f>
        <v>38.000389099121001</v>
      </c>
      <c r="B163">
        <f>B$9 * (38.000389099121 -B$8)</f>
        <v>38.000389099121001</v>
      </c>
      <c r="D163">
        <f>D$9 * (156.794692993164 -D$8)</f>
        <v>156.79469299316401</v>
      </c>
      <c r="E163">
        <f>E$9 * (63.5995407104492 -E$8)</f>
        <v>63.599540710449197</v>
      </c>
    </row>
    <row r="164" spans="1:5" x14ac:dyDescent="0.3">
      <c r="A164">
        <f>A$9 * (38.2504158020019 -A$8)</f>
        <v>38.250415802001903</v>
      </c>
      <c r="B164">
        <f>B$9 * (38.2504158020019 -B$8)</f>
        <v>38.250415802001903</v>
      </c>
      <c r="D164">
        <f>D$9 * (156.794494628906 -D$8)</f>
        <v>156.79449462890599</v>
      </c>
      <c r="E164">
        <f>E$9 * (63.5987205505371 -E$8)</f>
        <v>63.598720550537102</v>
      </c>
    </row>
    <row r="165" spans="1:5" x14ac:dyDescent="0.3">
      <c r="A165">
        <f>A$9 * (38.50044631958 -A$8)</f>
        <v>38.50044631958</v>
      </c>
      <c r="B165">
        <f>B$9 * (38.50044631958 -B$8)</f>
        <v>38.50044631958</v>
      </c>
      <c r="D165">
        <f>D$9 * (156.794296264648 -D$8)</f>
        <v>156.79429626464801</v>
      </c>
      <c r="E165">
        <f>E$9 * (63.5990409851074 -E$8)</f>
        <v>63.599040985107401</v>
      </c>
    </row>
    <row r="166" spans="1:5" x14ac:dyDescent="0.3">
      <c r="A166">
        <f>A$9 * (38.7504730224609 -A$8)</f>
        <v>38.750473022460902</v>
      </c>
      <c r="B166">
        <f>B$9 * (38.7504730224609 -B$8)</f>
        <v>38.750473022460902</v>
      </c>
      <c r="D166">
        <f>D$9 * (156.79409790039 -D$8)</f>
        <v>156.79409790039</v>
      </c>
      <c r="E166">
        <f>E$9 * (63.5968513488769 -E$8)</f>
        <v>63.596851348876903</v>
      </c>
    </row>
    <row r="167" spans="1:5" x14ac:dyDescent="0.3">
      <c r="A167">
        <f>A$9 * (39.0004730224609 -A$8)</f>
        <v>39.000473022460902</v>
      </c>
      <c r="B167">
        <f>B$9 * (39.0004730224609 -B$8)</f>
        <v>39.000473022460902</v>
      </c>
      <c r="D167">
        <f>D$9 * (156.794006347656 -D$8)</f>
        <v>156.79400634765599</v>
      </c>
      <c r="E167">
        <f>E$9 * (63.5971298217773 -E$8)</f>
        <v>63.597129821777301</v>
      </c>
    </row>
    <row r="168" spans="1:5" x14ac:dyDescent="0.3">
      <c r="A168">
        <f>A$9 * (39.2504997253418 -A$8)</f>
        <v>39.250499725341797</v>
      </c>
      <c r="B168">
        <f>B$9 * (39.2504997253418 -B$8)</f>
        <v>39.250499725341797</v>
      </c>
      <c r="D168">
        <f>D$9 * (156.794006347656 -D$8)</f>
        <v>156.79400634765599</v>
      </c>
      <c r="E168">
        <f>E$9 * (63.5973396301269 -E$8)</f>
        <v>63.597339630126903</v>
      </c>
    </row>
    <row r="169" spans="1:5" x14ac:dyDescent="0.3">
      <c r="A169">
        <f>A$9 * (39.5005264282226 -A$8)</f>
        <v>39.500526428222599</v>
      </c>
      <c r="B169">
        <f>B$9 * (39.5005264282226 -B$8)</f>
        <v>39.500526428222599</v>
      </c>
      <c r="D169">
        <f>D$9 * (156.79409790039 -D$8)</f>
        <v>156.79409790039</v>
      </c>
      <c r="E169">
        <f>E$9 * (63.5973396301269 -E$8)</f>
        <v>63.597339630126903</v>
      </c>
    </row>
    <row r="170" spans="1:5" x14ac:dyDescent="0.3">
      <c r="A170">
        <f>A$9 * (39.7505569458007 -A$8)</f>
        <v>39.750556945800703</v>
      </c>
      <c r="B170">
        <f>B$9 * (39.7505569458007 -B$8)</f>
        <v>39.750556945800703</v>
      </c>
      <c r="D170">
        <f>D$9 * (156.794204711914 -D$8)</f>
        <v>156.79420471191401</v>
      </c>
      <c r="E170">
        <f>E$9 * (63.5979385375976 -E$8)</f>
        <v>63.597938537597599</v>
      </c>
    </row>
    <row r="171" spans="1:5" x14ac:dyDescent="0.3">
      <c r="A171">
        <f>A$9 * (40.0005836486816 -A$8)</f>
        <v>40.000583648681598</v>
      </c>
      <c r="B171">
        <f>B$9 * (40.0005836486816 -B$8)</f>
        <v>40.000583648681598</v>
      </c>
      <c r="D171">
        <f>D$9 * (156.794403076171 -D$8)</f>
        <v>156.79440307617099</v>
      </c>
      <c r="E171">
        <f>E$9 * (63.5982208251953 -E$8)</f>
        <v>63.598220825195298</v>
      </c>
    </row>
    <row r="172" spans="1:5" x14ac:dyDescent="0.3">
      <c r="A172">
        <f>A$9 * (40.2505836486816 -A$8)</f>
        <v>40.250583648681598</v>
      </c>
      <c r="B172">
        <f>B$9 * (40.2505836486816 -B$8)</f>
        <v>40.250583648681598</v>
      </c>
      <c r="D172">
        <f>D$9 * (156.794601440429 -D$8)</f>
        <v>156.79460144042901</v>
      </c>
      <c r="E172">
        <f>E$9 * (63.5970306396484 -E$8)</f>
        <v>63.597030639648402</v>
      </c>
    </row>
    <row r="173" spans="1:5" x14ac:dyDescent="0.3">
      <c r="A173">
        <f>A$9 * (40.5006103515625 -A$8)</f>
        <v>40.5006103515625</v>
      </c>
      <c r="B173">
        <f>B$9 * (40.5006103515625 -B$8)</f>
        <v>40.5006103515625</v>
      </c>
      <c r="D173">
        <f>D$9 * (156.794799804687 -D$8)</f>
        <v>156.79479980468699</v>
      </c>
      <c r="E173">
        <f>E$9 * (63.5990715026855 -E$8)</f>
        <v>63.599071502685497</v>
      </c>
    </row>
    <row r="174" spans="1:5" x14ac:dyDescent="0.3">
      <c r="A174">
        <f>A$9 * (40.7506370544433 -A$8)</f>
        <v>40.750637054443303</v>
      </c>
      <c r="B174">
        <f>B$9 * (40.7506370544433 -B$8)</f>
        <v>40.750637054443303</v>
      </c>
      <c r="D174">
        <f>D$9 * (156.79490661621 -D$8)</f>
        <v>156.79490661621</v>
      </c>
      <c r="E174">
        <f>E$9 * (63.5979118347168 -E$8)</f>
        <v>63.597911834716797</v>
      </c>
    </row>
    <row r="175" spans="1:5" x14ac:dyDescent="0.3">
      <c r="A175">
        <f>A$9 * (41 -A$8)</f>
        <v>41</v>
      </c>
      <c r="B175">
        <f>B$9 * (41 -B$8)</f>
        <v>41</v>
      </c>
      <c r="D175">
        <f>D$9 * (156.79490661621 -D$8)</f>
        <v>156.79490661621</v>
      </c>
      <c r="E175">
        <f>E$9 * (63.6006317138671 -E$8)</f>
        <v>63.600631713867102</v>
      </c>
    </row>
    <row r="176" spans="1:5" x14ac:dyDescent="0.3">
      <c r="A176">
        <f>A$9 * (41.2500267028808 -A$8)</f>
        <v>41.250026702880803</v>
      </c>
      <c r="B176">
        <f>B$9 * (41.2500267028808 -B$8)</f>
        <v>41.250026702880803</v>
      </c>
      <c r="D176">
        <f>D$9 * (156.79490661621 -D$8)</f>
        <v>156.79490661621</v>
      </c>
      <c r="E176">
        <f>E$9 * (63.5989685058593 -E$8)</f>
        <v>63.598968505859297</v>
      </c>
    </row>
    <row r="177" spans="1:5" x14ac:dyDescent="0.3">
      <c r="A177">
        <f>A$9 * (41.5000572204589 -A$8)</f>
        <v>41.500057220458899</v>
      </c>
      <c r="B177">
        <f>B$9 * (41.5000572204589 -B$8)</f>
        <v>41.500057220458899</v>
      </c>
      <c r="D177">
        <f>D$9 * (156.794799804687 -D$8)</f>
        <v>156.79479980468699</v>
      </c>
      <c r="E177">
        <f>E$9 * (63.5989685058593 -E$8)</f>
        <v>63.598968505859297</v>
      </c>
    </row>
    <row r="178" spans="1:5" x14ac:dyDescent="0.3">
      <c r="A178">
        <f>A$9 * (41.7500572204589 -A$8)</f>
        <v>41.750057220458899</v>
      </c>
      <c r="B178">
        <f>B$9 * (41.7500572204589 -B$8)</f>
        <v>41.750057220458899</v>
      </c>
      <c r="D178">
        <f>D$9 * (156.794692993164 -D$8)</f>
        <v>156.79469299316401</v>
      </c>
      <c r="E178">
        <f>E$9 * (63.5988311767578 -E$8)</f>
        <v>63.598831176757798</v>
      </c>
    </row>
    <row r="179" spans="1:5" x14ac:dyDescent="0.3">
      <c r="A179">
        <f>A$9 * (42.0000839233398 -A$8)</f>
        <v>42.000083923339801</v>
      </c>
      <c r="B179">
        <f>B$9 * (42.0000839233398 -B$8)</f>
        <v>42.000083923339801</v>
      </c>
      <c r="D179">
        <f>D$9 * (156.794494628906 -D$8)</f>
        <v>156.79449462890599</v>
      </c>
      <c r="E179">
        <f>E$9 * (63.5986213684082 -E$8)</f>
        <v>63.598621368408203</v>
      </c>
    </row>
    <row r="180" spans="1:5" x14ac:dyDescent="0.3">
      <c r="A180">
        <f>A$9 * (42.2501106262207 -A$8)</f>
        <v>42.250110626220703</v>
      </c>
      <c r="B180">
        <f>B$9 * (42.2501106262207 -B$8)</f>
        <v>42.250110626220703</v>
      </c>
      <c r="D180">
        <f>D$9 * (156.794296264648 -D$8)</f>
        <v>156.79429626464801</v>
      </c>
      <c r="E180">
        <f>E$9 * (63.5986595153808 -E$8)</f>
        <v>63.598659515380803</v>
      </c>
    </row>
    <row r="181" spans="1:5" x14ac:dyDescent="0.3">
      <c r="A181">
        <f>A$9 * (42.5001373291015 -A$8)</f>
        <v>42.500137329101499</v>
      </c>
      <c r="B181">
        <f>B$9 * (42.5001373291015 -B$8)</f>
        <v>42.500137329101499</v>
      </c>
      <c r="D181">
        <f>D$9 * (156.79409790039 -D$8)</f>
        <v>156.79409790039</v>
      </c>
      <c r="E181">
        <f>E$9 * (63.5986785888671 -E$8)</f>
        <v>63.598678588867102</v>
      </c>
    </row>
    <row r="182" spans="1:5" x14ac:dyDescent="0.3">
      <c r="A182">
        <f>A$9 * (42.7501678466796 -A$8)</f>
        <v>42.750167846679602</v>
      </c>
      <c r="B182">
        <f>B$9 * (42.7501678466796 -B$8)</f>
        <v>42.750167846679602</v>
      </c>
      <c r="D182">
        <f>D$9 * (156.794006347656 -D$8)</f>
        <v>156.79400634765599</v>
      </c>
      <c r="E182">
        <f>E$9 * (63.5990104675293 -E$8)</f>
        <v>63.599010467529297</v>
      </c>
    </row>
    <row r="183" spans="1:5" x14ac:dyDescent="0.3">
      <c r="A183">
        <f>A$9 * (43.0001678466796 -A$8)</f>
        <v>43.000167846679602</v>
      </c>
      <c r="B183">
        <f>B$9 * (43.0001678466796 -B$8)</f>
        <v>43.000167846679602</v>
      </c>
      <c r="D183">
        <f>D$9 * (156.794006347656 -D$8)</f>
        <v>156.79400634765599</v>
      </c>
      <c r="E183">
        <f>E$9 * (63.5994682312011 -E$8)</f>
        <v>63.599468231201101</v>
      </c>
    </row>
    <row r="184" spans="1:5" x14ac:dyDescent="0.3">
      <c r="A184">
        <f>A$9 * (43.2501945495605 -A$8)</f>
        <v>43.250194549560497</v>
      </c>
      <c r="B184">
        <f>B$9 * (43.2501945495605 -B$8)</f>
        <v>43.250194549560497</v>
      </c>
      <c r="D184">
        <f>D$9 * (156.79409790039 -D$8)</f>
        <v>156.79409790039</v>
      </c>
      <c r="E184">
        <f>E$9 * (63.6008186340332 -E$8)</f>
        <v>63.600818634033203</v>
      </c>
    </row>
    <row r="185" spans="1:5" x14ac:dyDescent="0.3">
      <c r="A185">
        <f>A$9 * (43.5002212524414 -A$8)</f>
        <v>43.500221252441399</v>
      </c>
      <c r="B185">
        <f>B$9 * (43.5002212524414 -B$8)</f>
        <v>43.500221252441399</v>
      </c>
      <c r="D185">
        <f>D$9 * (156.794204711914 -D$8)</f>
        <v>156.79420471191401</v>
      </c>
      <c r="E185">
        <f>E$9 * (63.6009407043457 -E$8)</f>
        <v>63.600940704345703</v>
      </c>
    </row>
    <row r="186" spans="1:5" x14ac:dyDescent="0.3">
      <c r="A186">
        <f>A$9 * (43.7502517700195 -A$8)</f>
        <v>43.750251770019503</v>
      </c>
      <c r="B186">
        <f>B$9 * (43.7502517700195 -B$8)</f>
        <v>43.750251770019503</v>
      </c>
      <c r="D186">
        <f>D$9 * (156.794403076171 -D$8)</f>
        <v>156.79440307617099</v>
      </c>
      <c r="E186">
        <f>E$9 * (63.6007118225097 -E$8)</f>
        <v>63.600711822509702</v>
      </c>
    </row>
    <row r="187" spans="1:5" x14ac:dyDescent="0.3">
      <c r="A187">
        <f>A$9 * (44.0002784729003 -A$8)</f>
        <v>44.000278472900298</v>
      </c>
      <c r="B187">
        <f>B$9 * (44.0002784729003 -B$8)</f>
        <v>44.000278472900298</v>
      </c>
      <c r="D187">
        <f>D$9 * (156.794601440429 -D$8)</f>
        <v>156.79460144042901</v>
      </c>
      <c r="E187">
        <f>E$9 * (63.6005897521972 -E$8)</f>
        <v>63.600589752197202</v>
      </c>
    </row>
    <row r="188" spans="1:5" x14ac:dyDescent="0.3">
      <c r="A188">
        <f>A$9 * (44.2502784729003 -A$8)</f>
        <v>44.250278472900298</v>
      </c>
      <c r="B188">
        <f>B$9 * (44.2502784729003 -B$8)</f>
        <v>44.250278472900298</v>
      </c>
      <c r="D188">
        <f>D$9 * (156.794799804687 -D$8)</f>
        <v>156.79479980468699</v>
      </c>
      <c r="E188">
        <f>E$9 * (63.600788116455 -E$8)</f>
        <v>63.600788116455</v>
      </c>
    </row>
    <row r="189" spans="1:5" x14ac:dyDescent="0.3">
      <c r="A189">
        <f>A$9 * (44.5003051757812 -A$8)</f>
        <v>44.5003051757812</v>
      </c>
      <c r="B189">
        <f>B$9 * (44.5003051757812 -B$8)</f>
        <v>44.5003051757812</v>
      </c>
      <c r="D189">
        <f>D$9 * (156.79490661621 -D$8)</f>
        <v>156.79490661621</v>
      </c>
      <c r="E189">
        <f>E$9 * (63.6021194458007 -E$8)</f>
        <v>63.602119445800703</v>
      </c>
    </row>
    <row r="190" spans="1:5" x14ac:dyDescent="0.3">
      <c r="A190">
        <f>A$9 * (44.7503318786621 -A$8)</f>
        <v>44.750331878662102</v>
      </c>
      <c r="B190">
        <f>B$9 * (44.7503318786621 -B$8)</f>
        <v>44.750331878662102</v>
      </c>
      <c r="D190">
        <f>D$9 * (156.79490661621 -D$8)</f>
        <v>156.79490661621</v>
      </c>
      <c r="E190">
        <f>E$9 * (63.5999717712402 -E$8)</f>
        <v>63.599971771240199</v>
      </c>
    </row>
    <row r="191" spans="1:5" x14ac:dyDescent="0.3">
      <c r="A191">
        <f>A$9 * (45.0003623962402 -A$8)</f>
        <v>45.000362396240199</v>
      </c>
      <c r="B191">
        <f>B$9 * (45.0003623962402 -B$8)</f>
        <v>45.000362396240199</v>
      </c>
      <c r="D191">
        <f>D$9 * (156.794799804687 -D$8)</f>
        <v>156.79479980468699</v>
      </c>
      <c r="E191">
        <f>E$9 * (63.6016998291015 -E$8)</f>
        <v>63.601699829101499</v>
      </c>
    </row>
    <row r="192" spans="1:5" x14ac:dyDescent="0.3">
      <c r="A192">
        <f>A$9 * (45.250389099121 -A$8)</f>
        <v>45.250389099121001</v>
      </c>
      <c r="B192">
        <f>B$9 * (45.250389099121 -B$8)</f>
        <v>45.250389099121001</v>
      </c>
      <c r="D192">
        <f>D$9 * (156.794692993164 -D$8)</f>
        <v>156.79469299316401</v>
      </c>
      <c r="E192">
        <f>E$9 * (63.6003799438476 -E$8)</f>
        <v>63.600379943847599</v>
      </c>
    </row>
    <row r="193" spans="1:5" x14ac:dyDescent="0.3">
      <c r="A193">
        <f>A$9 * (45.500389099121 -A$8)</f>
        <v>45.500389099121001</v>
      </c>
      <c r="B193">
        <f>B$9 * (45.500389099121 -B$8)</f>
        <v>45.500389099121001</v>
      </c>
      <c r="D193">
        <f>D$9 * (156.794494628906 -D$8)</f>
        <v>156.79449462890599</v>
      </c>
      <c r="E193">
        <f>E$9 * (63.5999603271484 -E$8)</f>
        <v>63.599960327148402</v>
      </c>
    </row>
    <row r="194" spans="1:5" x14ac:dyDescent="0.3">
      <c r="A194">
        <f>A$9 * (45.7504158020019 -A$8)</f>
        <v>45.750415802001903</v>
      </c>
      <c r="B194">
        <f>B$9 * (45.7504158020019 -B$8)</f>
        <v>45.750415802001903</v>
      </c>
      <c r="D194">
        <f>D$9 * (156.794296264648 -D$8)</f>
        <v>156.79429626464801</v>
      </c>
      <c r="E194">
        <f>E$9 * (63.6009788513183 -E$8)</f>
        <v>63.600978851318303</v>
      </c>
    </row>
    <row r="195" spans="1:5" x14ac:dyDescent="0.3">
      <c r="A195">
        <f>A$9 * (46.00044631958 -A$8)</f>
        <v>46.00044631958</v>
      </c>
      <c r="B195">
        <f>B$9 * (46.00044631958 -B$8)</f>
        <v>46.00044631958</v>
      </c>
      <c r="D195">
        <f>D$9 * (156.79409790039 -D$8)</f>
        <v>156.79409790039</v>
      </c>
      <c r="E195">
        <f>E$9 * (63.6026306152343 -E$8)</f>
        <v>63.602630615234297</v>
      </c>
    </row>
    <row r="196" spans="1:5" x14ac:dyDescent="0.3">
      <c r="A196">
        <f>A$9 * (46.2504730224609 -A$8)</f>
        <v>46.250473022460902</v>
      </c>
      <c r="B196">
        <f>B$9 * (46.2504730224609 -B$8)</f>
        <v>46.250473022460902</v>
      </c>
      <c r="D196">
        <f>D$9 * (156.794006347656 -D$8)</f>
        <v>156.79400634765599</v>
      </c>
      <c r="E196">
        <f>E$9 * (63.6033515930175 -E$8)</f>
        <v>63.6033515930175</v>
      </c>
    </row>
    <row r="197" spans="1:5" x14ac:dyDescent="0.3">
      <c r="A197">
        <f>A$9 * (46.5004730224609 -A$8)</f>
        <v>46.500473022460902</v>
      </c>
      <c r="B197">
        <f>B$9 * (46.5004730224609 -B$8)</f>
        <v>46.500473022460902</v>
      </c>
      <c r="D197">
        <f>D$9 * (156.794006347656 -D$8)</f>
        <v>156.79400634765599</v>
      </c>
      <c r="E197">
        <f>E$9 * (63.6009902954101 -E$8)</f>
        <v>63.600990295410099</v>
      </c>
    </row>
    <row r="198" spans="1:5" x14ac:dyDescent="0.3">
      <c r="A198">
        <f>A$9 * (46.7504997253418 -A$8)</f>
        <v>46.750499725341797</v>
      </c>
      <c r="B198">
        <f>B$9 * (46.7504997253418 -B$8)</f>
        <v>46.750499725341797</v>
      </c>
      <c r="D198">
        <f>D$9 * (156.79409790039 -D$8)</f>
        <v>156.79409790039</v>
      </c>
      <c r="E198">
        <f>E$9 * (63.6042289733886 -E$8)</f>
        <v>63.604228973388601</v>
      </c>
    </row>
    <row r="199" spans="1:5" x14ac:dyDescent="0.3">
      <c r="A199">
        <f>A$9 * (47.0005264282226 -A$8)</f>
        <v>47.000526428222599</v>
      </c>
      <c r="B199">
        <f>B$9 * (47.0005264282226 -B$8)</f>
        <v>47.000526428222599</v>
      </c>
      <c r="D199">
        <f>D$9 * (156.794204711914 -D$8)</f>
        <v>156.79420471191401</v>
      </c>
      <c r="E199">
        <f>E$9 * (63.6021194458007 -E$8)</f>
        <v>63.602119445800703</v>
      </c>
    </row>
    <row r="200" spans="1:5" x14ac:dyDescent="0.3">
      <c r="A200">
        <f>A$9 * (47.2505569458007 -A$8)</f>
        <v>47.250556945800703</v>
      </c>
      <c r="B200">
        <f>B$9 * (47.2505569458007 -B$8)</f>
        <v>47.250556945800703</v>
      </c>
      <c r="D200">
        <f>D$9 * (156.794403076171 -D$8)</f>
        <v>156.79440307617099</v>
      </c>
      <c r="E200">
        <f>E$9 * (63.6015014648437 -E$8)</f>
        <v>63.6015014648437</v>
      </c>
    </row>
    <row r="201" spans="1:5" x14ac:dyDescent="0.3">
      <c r="A201">
        <f>A$9 * (47.5005836486816 -A$8)</f>
        <v>47.500583648681598</v>
      </c>
      <c r="B201">
        <f>B$9 * (47.5005836486816 -B$8)</f>
        <v>47.500583648681598</v>
      </c>
      <c r="D201">
        <f>D$9 * (156.794601440429 -D$8)</f>
        <v>156.79460144042901</v>
      </c>
      <c r="E201">
        <f>E$9 * (63.6040916442871 -E$8)</f>
        <v>63.604091644287102</v>
      </c>
    </row>
    <row r="202" spans="1:5" x14ac:dyDescent="0.3">
      <c r="A202">
        <f>A$9 * (47.7505836486816 -A$8)</f>
        <v>47.750583648681598</v>
      </c>
      <c r="B202">
        <f>B$9 * (47.7505836486816 -B$8)</f>
        <v>47.750583648681598</v>
      </c>
      <c r="D202">
        <f>D$9 * (156.794799804687 -D$8)</f>
        <v>156.79479980468699</v>
      </c>
      <c r="E202">
        <f>E$9 * (63.6029815673828 -E$8)</f>
        <v>63.602981567382798</v>
      </c>
    </row>
    <row r="203" spans="1:5" x14ac:dyDescent="0.3">
      <c r="A203">
        <f>A$9 * (48.0006103515625 -A$8)</f>
        <v>48.0006103515625</v>
      </c>
      <c r="B203">
        <f>B$9 * (48.0006103515625 -B$8)</f>
        <v>48.0006103515625</v>
      </c>
      <c r="D203">
        <f>D$9 * (156.79490661621 -D$8)</f>
        <v>156.79490661621</v>
      </c>
      <c r="E203">
        <f>E$9 * (63.60205078125 -E$8)</f>
        <v>63.60205078125</v>
      </c>
    </row>
    <row r="204" spans="1:5" x14ac:dyDescent="0.3">
      <c r="A204">
        <f>A$9 * (48.2506370544433 -A$8)</f>
        <v>48.250637054443303</v>
      </c>
      <c r="B204">
        <f>B$9 * (48.2506370544433 -B$8)</f>
        <v>48.250637054443303</v>
      </c>
      <c r="D204">
        <f>D$9 * (156.79490661621 -D$8)</f>
        <v>156.79490661621</v>
      </c>
      <c r="E204">
        <f>E$9 * (63.6021995544433 -E$8)</f>
        <v>63.602199554443303</v>
      </c>
    </row>
    <row r="205" spans="1:5" x14ac:dyDescent="0.3">
      <c r="A205">
        <f>A$9 * (48.5 -A$8)</f>
        <v>48.5</v>
      </c>
      <c r="B205">
        <f>B$9 * (48.5 -B$8)</f>
        <v>48.5</v>
      </c>
      <c r="D205">
        <f>D$9 * (156.79490661621 -D$8)</f>
        <v>156.79490661621</v>
      </c>
      <c r="E205">
        <f>E$9 * (63.6029205322265 -E$8)</f>
        <v>63.602920532226499</v>
      </c>
    </row>
    <row r="206" spans="1:5" x14ac:dyDescent="0.3">
      <c r="A206">
        <f>A$9 * (48.7500267028808 -A$8)</f>
        <v>48.750026702880803</v>
      </c>
      <c r="B206">
        <f>B$9 * (48.7500267028808 -B$8)</f>
        <v>48.750026702880803</v>
      </c>
      <c r="D206">
        <f>D$9 * (156.794799804687 -D$8)</f>
        <v>156.79479980468699</v>
      </c>
      <c r="E206">
        <f>E$9 * (63.6045188903808 -E$8)</f>
        <v>63.604518890380803</v>
      </c>
    </row>
    <row r="207" spans="1:5" x14ac:dyDescent="0.3">
      <c r="A207">
        <f>A$9 * (49.0000572204589 -A$8)</f>
        <v>49.000057220458899</v>
      </c>
      <c r="B207">
        <f>B$9 * (49.0000572204589 -B$8)</f>
        <v>49.000057220458899</v>
      </c>
      <c r="D207">
        <f>D$9 * (156.794692993164 -D$8)</f>
        <v>156.79469299316401</v>
      </c>
      <c r="E207">
        <f>E$9 * (63.6019287109375 -E$8)</f>
        <v>63.6019287109375</v>
      </c>
    </row>
    <row r="208" spans="1:5" x14ac:dyDescent="0.3">
      <c r="A208">
        <f>A$9 * (49.2500572204589 -A$8)</f>
        <v>49.250057220458899</v>
      </c>
      <c r="B208">
        <f>B$9 * (49.2500572204589 -B$8)</f>
        <v>49.250057220458899</v>
      </c>
      <c r="D208">
        <f>D$9 * (156.794494628906 -D$8)</f>
        <v>156.79449462890599</v>
      </c>
      <c r="E208">
        <f>E$9 * (63.6020202636718 -E$8)</f>
        <v>63.602020263671797</v>
      </c>
    </row>
    <row r="209" spans="1:5" x14ac:dyDescent="0.3">
      <c r="A209">
        <f>A$9 * (49.5000839233398 -A$8)</f>
        <v>49.500083923339801</v>
      </c>
      <c r="B209">
        <f>B$9 * (49.5000839233398 -B$8)</f>
        <v>49.500083923339801</v>
      </c>
      <c r="D209">
        <f>D$9 * (156.794296264648 -D$8)</f>
        <v>156.79429626464801</v>
      </c>
      <c r="E209">
        <f>E$9 * (63.6018409729003 -E$8)</f>
        <v>63.601840972900298</v>
      </c>
    </row>
    <row r="210" spans="1:5" x14ac:dyDescent="0.3">
      <c r="A210">
        <f>A$9 * (49.7501106262207 -A$8)</f>
        <v>49.750110626220703</v>
      </c>
      <c r="B210">
        <f>B$9 * (49.7501106262207 -B$8)</f>
        <v>49.750110626220703</v>
      </c>
      <c r="D210">
        <f>D$9 * (156.79409790039 -D$8)</f>
        <v>156.79409790039</v>
      </c>
      <c r="E210">
        <f>E$9 * (63.6017608642578 -E$8)</f>
        <v>63.601760864257798</v>
      </c>
    </row>
    <row r="211" spans="1:5" x14ac:dyDescent="0.3">
      <c r="A211">
        <f>A$9 * (50.0001373291015 -A$8)</f>
        <v>50.000137329101499</v>
      </c>
      <c r="B211">
        <f>B$9 * (50.0001373291015 -B$8)</f>
        <v>50.000137329101499</v>
      </c>
      <c r="D211">
        <f>D$9 * (156.794006347656 -D$8)</f>
        <v>156.79400634765599</v>
      </c>
      <c r="E211">
        <f>E$9 * (63.6024894714355 -E$8)</f>
        <v>63.602489471435497</v>
      </c>
    </row>
    <row r="212" spans="1:5" x14ac:dyDescent="0.3">
      <c r="A212">
        <f>A$9 * (50.2501678466796 -A$8)</f>
        <v>50.250167846679602</v>
      </c>
      <c r="B212">
        <f>B$9 * (50.2501678466796 -B$8)</f>
        <v>50.250167846679602</v>
      </c>
      <c r="D212">
        <f>D$9 * (156.794006347656 -D$8)</f>
        <v>156.79400634765599</v>
      </c>
      <c r="E212">
        <f>E$9 * (63.603099822998 -E$8)</f>
        <v>63.603099822997997</v>
      </c>
    </row>
    <row r="213" spans="1:5" x14ac:dyDescent="0.3">
      <c r="A213">
        <f>A$9 * (50.5001678466796 -A$8)</f>
        <v>50.500167846679602</v>
      </c>
      <c r="B213">
        <f>B$9 * (50.5001678466796 -B$8)</f>
        <v>50.500167846679602</v>
      </c>
      <c r="D213">
        <f>D$9 * (156.79409790039 -D$8)</f>
        <v>156.79409790039</v>
      </c>
      <c r="E213">
        <f>E$9 * (63.6017990112304 -E$8)</f>
        <v>63.601799011230398</v>
      </c>
    </row>
    <row r="214" spans="1:5" x14ac:dyDescent="0.3">
      <c r="A214">
        <f>A$9 * (50.7501945495605 -A$8)</f>
        <v>50.750194549560497</v>
      </c>
      <c r="B214">
        <f>B$9 * (50.7501945495605 -B$8)</f>
        <v>50.750194549560497</v>
      </c>
      <c r="D214">
        <f>D$9 * (156.794204711914 -D$8)</f>
        <v>156.79420471191401</v>
      </c>
      <c r="E214">
        <f>E$9 * (63.602970123291 -E$8)</f>
        <v>63.602970123291001</v>
      </c>
    </row>
    <row r="215" spans="1:5" x14ac:dyDescent="0.3">
      <c r="A215">
        <f>A$9 * (51.0002212524414 -A$8)</f>
        <v>51.000221252441399</v>
      </c>
      <c r="B215">
        <f>B$9 * (51.0002212524414 -B$8)</f>
        <v>51.000221252441399</v>
      </c>
      <c r="D215">
        <f>D$9 * (156.794403076171 -D$8)</f>
        <v>156.79440307617099</v>
      </c>
      <c r="E215">
        <f>E$9 * (63.6021194458007 -E$8)</f>
        <v>63.602119445800703</v>
      </c>
    </row>
    <row r="216" spans="1:5" x14ac:dyDescent="0.3">
      <c r="A216">
        <f>A$9 * (51.2502517700195 -A$8)</f>
        <v>51.250251770019503</v>
      </c>
      <c r="B216">
        <f>B$9 * (51.2502517700195 -B$8)</f>
        <v>51.250251770019503</v>
      </c>
      <c r="D216">
        <f>D$9 * (156.794601440429 -D$8)</f>
        <v>156.79460144042901</v>
      </c>
      <c r="E216">
        <f>E$9 * (63.6023216247558 -E$8)</f>
        <v>63.602321624755803</v>
      </c>
    </row>
    <row r="217" spans="1:5" x14ac:dyDescent="0.3">
      <c r="A217">
        <f>A$9 * (51.5002784729003 -A$8)</f>
        <v>51.500278472900298</v>
      </c>
      <c r="B217">
        <f>B$9 * (51.5002784729003 -B$8)</f>
        <v>51.500278472900298</v>
      </c>
      <c r="D217">
        <f>D$9 * (156.794799804687 -D$8)</f>
        <v>156.79479980468699</v>
      </c>
      <c r="E217">
        <f>E$9 * (63.6025390625 -E$8)</f>
        <v>63.6025390625</v>
      </c>
    </row>
    <row r="218" spans="1:5" x14ac:dyDescent="0.3">
      <c r="A218">
        <f>A$9 * (51.7502784729003 -A$8)</f>
        <v>51.750278472900298</v>
      </c>
      <c r="B218">
        <f>B$9 * (51.7502784729003 -B$8)</f>
        <v>51.750278472900298</v>
      </c>
      <c r="D218">
        <f>D$9 * (156.79490661621 -D$8)</f>
        <v>156.79490661621</v>
      </c>
      <c r="E218">
        <f>E$9 * (63.6043395996093 -E$8)</f>
        <v>63.604339599609297</v>
      </c>
    </row>
    <row r="219" spans="1:5" x14ac:dyDescent="0.3">
      <c r="A219">
        <f>A$9 * (52.0003051757812 -A$8)</f>
        <v>52.0003051757812</v>
      </c>
      <c r="B219">
        <f>B$9 * (52.0003051757812 -B$8)</f>
        <v>52.0003051757812</v>
      </c>
      <c r="D219">
        <f>D$9 * (156.79490661621 -D$8)</f>
        <v>156.79490661621</v>
      </c>
      <c r="E219">
        <f>E$9 * (63.6028213500976 -E$8)</f>
        <v>63.602821350097599</v>
      </c>
    </row>
    <row r="220" spans="1:5" x14ac:dyDescent="0.3">
      <c r="A220">
        <f>A$9 * (52.2503318786621 -A$8)</f>
        <v>52.250331878662102</v>
      </c>
      <c r="B220">
        <f>B$9 * (52.2503318786621 -B$8)</f>
        <v>52.250331878662102</v>
      </c>
      <c r="D220">
        <f>D$9 * (156.794799804687 -D$8)</f>
        <v>156.79479980468699</v>
      </c>
      <c r="E220">
        <f>E$9 * (63.6037216186523 -E$8)</f>
        <v>63.603721618652301</v>
      </c>
    </row>
    <row r="221" spans="1:5" x14ac:dyDescent="0.3">
      <c r="A221">
        <f>A$9 * (52.5003623962402 -A$8)</f>
        <v>52.500362396240199</v>
      </c>
      <c r="B221">
        <f>B$9 * (52.5003623962402 -B$8)</f>
        <v>52.500362396240199</v>
      </c>
      <c r="D221">
        <f>D$9 * (156.794692993164 -D$8)</f>
        <v>156.79469299316401</v>
      </c>
      <c r="E221">
        <f>E$9 * (63.6043090820312 -E$8)</f>
        <v>63.6043090820312</v>
      </c>
    </row>
    <row r="222" spans="1:5" x14ac:dyDescent="0.3">
      <c r="A222">
        <f>A$9 * (52.750389099121 -A$8)</f>
        <v>52.750389099121001</v>
      </c>
      <c r="B222">
        <f>B$9 * (52.750389099121 -B$8)</f>
        <v>52.750389099121001</v>
      </c>
      <c r="D222">
        <f>D$9 * (156.794494628906 -D$8)</f>
        <v>156.79449462890599</v>
      </c>
      <c r="E222">
        <f>E$9 * (63.6038589477539 -E$8)</f>
        <v>63.603858947753899</v>
      </c>
    </row>
    <row r="223" spans="1:5" x14ac:dyDescent="0.3">
      <c r="A223">
        <f>A$9 * (53.000389099121 -A$8)</f>
        <v>53.000389099121001</v>
      </c>
      <c r="B223">
        <f>B$9 * (53.000389099121 -B$8)</f>
        <v>53.000389099121001</v>
      </c>
      <c r="D223">
        <f>D$9 * (156.794296264648 -D$8)</f>
        <v>156.79429626464801</v>
      </c>
      <c r="E223">
        <f>E$9 * (63.6039810180664 -E$8)</f>
        <v>63.603981018066399</v>
      </c>
    </row>
    <row r="224" spans="1:5" x14ac:dyDescent="0.3">
      <c r="A224">
        <f>A$9 * (53.2504158020019 -A$8)</f>
        <v>53.250415802001903</v>
      </c>
      <c r="B224">
        <f>B$9 * (53.2504158020019 -B$8)</f>
        <v>53.250415802001903</v>
      </c>
      <c r="D224">
        <f>D$9 * (156.79409790039 -D$8)</f>
        <v>156.79409790039</v>
      </c>
      <c r="E224">
        <f>E$9 * (63.6040382385253 -E$8)</f>
        <v>63.604038238525298</v>
      </c>
    </row>
    <row r="225" spans="1:5" x14ac:dyDescent="0.3">
      <c r="A225">
        <f>A$9 * (53.50044631958 -A$8)</f>
        <v>53.50044631958</v>
      </c>
      <c r="B225">
        <f>B$9 * (53.50044631958 -B$8)</f>
        <v>53.50044631958</v>
      </c>
      <c r="D225">
        <f>D$9 * (156.794006347656 -D$8)</f>
        <v>156.79400634765599</v>
      </c>
      <c r="E225">
        <f>E$9 * (63.6048507690429 -E$8)</f>
        <v>63.604850769042898</v>
      </c>
    </row>
    <row r="226" spans="1:5" x14ac:dyDescent="0.3">
      <c r="A226">
        <f>A$9 * (53.7504730224609 -A$8)</f>
        <v>53.750473022460902</v>
      </c>
      <c r="B226">
        <f>B$9 * (53.7504730224609 -B$8)</f>
        <v>53.750473022460902</v>
      </c>
      <c r="D226">
        <f>D$9 * (156.794006347656 -D$8)</f>
        <v>156.79400634765599</v>
      </c>
      <c r="E226">
        <f>E$9 * (63.604148864746 -E$8)</f>
        <v>63.604148864746001</v>
      </c>
    </row>
    <row r="227" spans="1:5" x14ac:dyDescent="0.3">
      <c r="A227">
        <f>A$9 * (54.0004997253418 -A$8)</f>
        <v>54.000499725341797</v>
      </c>
      <c r="B227">
        <f>B$9 * (54.0004997253418 -B$8)</f>
        <v>54.000499725341797</v>
      </c>
      <c r="D227">
        <f>D$9 * (156.79409790039 -D$8)</f>
        <v>156.79409790039</v>
      </c>
      <c r="E227">
        <f>E$9 * (63.6040611267089 -E$8)</f>
        <v>63.604061126708899</v>
      </c>
    </row>
    <row r="228" spans="1:5" x14ac:dyDescent="0.3">
      <c r="A228">
        <f>A$9 * (54.2504997253418 -A$8)</f>
        <v>54.250499725341797</v>
      </c>
      <c r="B228">
        <f>B$9 * (54.2504997253418 -B$8)</f>
        <v>54.250499725341797</v>
      </c>
      <c r="D228">
        <f>D$9 * (156.794204711914 -D$8)</f>
        <v>156.79420471191401</v>
      </c>
      <c r="E228">
        <f>E$9 * (63.6035194396972 -E$8)</f>
        <v>63.603519439697202</v>
      </c>
    </row>
    <row r="229" spans="1:5" x14ac:dyDescent="0.3">
      <c r="A229">
        <f>A$9 * (54.5005264282226 -A$8)</f>
        <v>54.500526428222599</v>
      </c>
      <c r="B229">
        <f>B$9 * (54.5005264282226 -B$8)</f>
        <v>54.500526428222599</v>
      </c>
      <c r="D229">
        <f>D$9 * (156.794403076171 -D$8)</f>
        <v>156.79440307617099</v>
      </c>
      <c r="E229">
        <f>E$9 * (63.6039314270019 -E$8)</f>
        <v>63.603931427001903</v>
      </c>
    </row>
    <row r="230" spans="1:5" x14ac:dyDescent="0.3">
      <c r="A230">
        <f>A$9 * (54.7505569458007 -A$8)</f>
        <v>54.750556945800703</v>
      </c>
      <c r="B230">
        <f>B$9 * (54.7505569458007 -B$8)</f>
        <v>54.750556945800703</v>
      </c>
      <c r="D230">
        <f>D$9 * (156.794601440429 -D$8)</f>
        <v>156.79460144042901</v>
      </c>
      <c r="E230">
        <f>E$9 * (63.6038093566894 -E$8)</f>
        <v>63.603809356689403</v>
      </c>
    </row>
    <row r="231" spans="1:5" x14ac:dyDescent="0.3">
      <c r="A231">
        <f>A$9 * (55.0005836486816 -A$8)</f>
        <v>55.000583648681598</v>
      </c>
      <c r="B231">
        <f>B$9 * (55.0005836486816 -B$8)</f>
        <v>55.000583648681598</v>
      </c>
      <c r="D231">
        <f>D$9 * (156.794799804687 -D$8)</f>
        <v>156.79479980468699</v>
      </c>
      <c r="E231">
        <f>E$9 * (63.6036415100097 -E$8)</f>
        <v>63.603641510009702</v>
      </c>
    </row>
    <row r="232" spans="1:5" x14ac:dyDescent="0.3">
      <c r="A232">
        <f>A$9 * (55.2505836486816 -A$8)</f>
        <v>55.250583648681598</v>
      </c>
      <c r="B232">
        <f>B$9 * (55.2505836486816 -B$8)</f>
        <v>55.250583648681598</v>
      </c>
      <c r="D232">
        <f>D$9 * (156.79490661621 -D$8)</f>
        <v>156.79490661621</v>
      </c>
      <c r="E232">
        <f>E$9 * (63.6035118103027 -E$8)</f>
        <v>63.603511810302699</v>
      </c>
    </row>
    <row r="233" spans="1:5" x14ac:dyDescent="0.3">
      <c r="A233">
        <f>A$9 * (55.5006103515625 -A$8)</f>
        <v>55.5006103515625</v>
      </c>
      <c r="B233">
        <f>B$9 * (55.5006103515625 -B$8)</f>
        <v>55.5006103515625</v>
      </c>
      <c r="D233">
        <f>D$9 * (156.79490661621 -D$8)</f>
        <v>156.79490661621</v>
      </c>
      <c r="E233">
        <f>E$9 * (63.6034393310546 -E$8)</f>
        <v>63.603439331054602</v>
      </c>
    </row>
    <row r="234" spans="1:5" x14ac:dyDescent="0.3">
      <c r="A234">
        <f>A$9 * (55.7506370544433 -A$8)</f>
        <v>55.750637054443303</v>
      </c>
      <c r="B234">
        <f>B$9 * (55.7506370544433 -B$8)</f>
        <v>55.750637054443303</v>
      </c>
      <c r="D234">
        <f>D$9 * (156.794799804687 -D$8)</f>
        <v>156.79479980468699</v>
      </c>
      <c r="E234">
        <f>E$9 * (63.6040000915527 -E$8)</f>
        <v>63.604000091552699</v>
      </c>
    </row>
    <row r="235" spans="1:5" x14ac:dyDescent="0.3">
      <c r="A235">
        <f>A$9 * (56 -A$8)</f>
        <v>56</v>
      </c>
      <c r="B235">
        <f>B$9 * (56 -B$8)</f>
        <v>56</v>
      </c>
      <c r="D235">
        <f>D$9 * (156.794799804687 -D$8)</f>
        <v>156.79479980468699</v>
      </c>
      <c r="E235">
        <f>E$9 * (63.6042518615722 -E$8)</f>
        <v>63.604251861572202</v>
      </c>
    </row>
    <row r="236" spans="1:5" x14ac:dyDescent="0.3">
      <c r="A236">
        <f>A$9 * (56.2500267028808 -A$8)</f>
        <v>56.250026702880803</v>
      </c>
      <c r="B236">
        <f>B$9 * (56.2500267028808 -B$8)</f>
        <v>56.250026702880803</v>
      </c>
      <c r="D236">
        <f>D$9 * (156.794692993164 -D$8)</f>
        <v>156.79469299316401</v>
      </c>
      <c r="E236">
        <f>E$9 * (63.6041297912597 -E$8)</f>
        <v>63.604129791259702</v>
      </c>
    </row>
    <row r="237" spans="1:5" x14ac:dyDescent="0.3">
      <c r="A237">
        <f>A$9 * (56.5000572204589 -A$8)</f>
        <v>56.500057220458899</v>
      </c>
      <c r="B237">
        <f>B$9 * (56.5000572204589 -B$8)</f>
        <v>56.500057220458899</v>
      </c>
      <c r="D237">
        <f>D$9 * (156.794494628906 -D$8)</f>
        <v>156.79449462890599</v>
      </c>
      <c r="E237">
        <f>E$9 * (63.6044387817382 -E$8)</f>
        <v>63.604438781738203</v>
      </c>
    </row>
    <row r="238" spans="1:5" x14ac:dyDescent="0.3">
      <c r="A238">
        <f>A$9 * (56.7500839233398 -A$8)</f>
        <v>56.750083923339801</v>
      </c>
      <c r="B238">
        <f>B$9 * (56.7500839233398 -B$8)</f>
        <v>56.750083923339801</v>
      </c>
      <c r="D238">
        <f>D$9 * (156.794296264648 -D$8)</f>
        <v>156.79429626464801</v>
      </c>
      <c r="E238">
        <f>E$9 * (63.6046104431152 -E$8)</f>
        <v>63.604610443115199</v>
      </c>
    </row>
    <row r="239" spans="1:5" x14ac:dyDescent="0.3">
      <c r="A239">
        <f>A$9 * (57.0000839233398 -A$8)</f>
        <v>57.000083923339801</v>
      </c>
      <c r="B239">
        <f>B$9 * (57.0000839233398 -B$8)</f>
        <v>57.000083923339801</v>
      </c>
      <c r="D239">
        <f>D$9 * (156.79409790039 -D$8)</f>
        <v>156.79409790039</v>
      </c>
      <c r="E239">
        <f>E$9 * (63.6047286987304 -E$8)</f>
        <v>63.604728698730398</v>
      </c>
    </row>
    <row r="240" spans="1:5" x14ac:dyDescent="0.3">
      <c r="A240">
        <f>A$9 * (57.2501106262207 -A$8)</f>
        <v>57.250110626220703</v>
      </c>
      <c r="B240">
        <f>B$9 * (57.2501106262207 -B$8)</f>
        <v>57.250110626220703</v>
      </c>
      <c r="D240">
        <f>D$9 * (156.794006347656 -D$8)</f>
        <v>156.79400634765599</v>
      </c>
      <c r="E240">
        <f>E$9 * (63.6046409606933 -E$8)</f>
        <v>63.604640960693303</v>
      </c>
    </row>
    <row r="241" spans="1:5" x14ac:dyDescent="0.3">
      <c r="A241">
        <f>A$9 * (57.5001373291015 -A$8)</f>
        <v>57.500137329101499</v>
      </c>
      <c r="B241">
        <f>B$9 * (57.5001373291015 -B$8)</f>
        <v>57.500137329101499</v>
      </c>
      <c r="D241">
        <f>D$9 * (156.794006347656 -D$8)</f>
        <v>156.79400634765599</v>
      </c>
      <c r="E241">
        <f>E$9 * (63.6049499511718 -E$8)</f>
        <v>63.604949951171797</v>
      </c>
    </row>
    <row r="242" spans="1:5" x14ac:dyDescent="0.3">
      <c r="A242">
        <f>A$9 * (57.7501678466796 -A$8)</f>
        <v>57.750167846679602</v>
      </c>
      <c r="B242">
        <f>B$9 * (57.7501678466796 -B$8)</f>
        <v>57.750167846679602</v>
      </c>
      <c r="D242">
        <f>D$9 * (156.79409790039 -D$8)</f>
        <v>156.79409790039</v>
      </c>
      <c r="E242">
        <f>E$9 * (63.6050300598144 -E$8)</f>
        <v>63.605030059814403</v>
      </c>
    </row>
    <row r="243" spans="1:5" x14ac:dyDescent="0.3">
      <c r="A243">
        <f>A$9 * (58.0001678466796 -A$8)</f>
        <v>58.000167846679602</v>
      </c>
      <c r="B243">
        <f>B$9 * (58.0001678466796 -B$8)</f>
        <v>58.000167846679602</v>
      </c>
      <c r="D243">
        <f>D$9 * (156.794204711914 -D$8)</f>
        <v>156.79420471191401</v>
      </c>
      <c r="E243">
        <f>E$9 * (63.6051406860351 -E$8)</f>
        <v>63.605140686035099</v>
      </c>
    </row>
    <row r="244" spans="1:5" x14ac:dyDescent="0.3">
      <c r="A244">
        <f>A$9 * (58.2501945495605 -A$8)</f>
        <v>58.250194549560497</v>
      </c>
      <c r="B244">
        <f>B$9 * (58.2501945495605 -B$8)</f>
        <v>58.250194549560497</v>
      </c>
      <c r="D244">
        <f>D$9 * (156.794403076171 -D$8)</f>
        <v>156.79440307617099</v>
      </c>
      <c r="E244">
        <f>E$9 * (63.6063919067382 -E$8)</f>
        <v>63.606391906738203</v>
      </c>
    </row>
    <row r="245" spans="1:5" x14ac:dyDescent="0.3">
      <c r="A245">
        <f>A$9 * (58.5002212524414 -A$8)</f>
        <v>58.500221252441399</v>
      </c>
      <c r="B245">
        <f>B$9 * (58.5002212524414 -B$8)</f>
        <v>58.500221252441399</v>
      </c>
      <c r="D245">
        <f>D$9 * (156.794601440429 -D$8)</f>
        <v>156.79460144042901</v>
      </c>
      <c r="E245">
        <f>E$9 * (63.605239868164 -E$8)</f>
        <v>63.605239868163999</v>
      </c>
    </row>
    <row r="246" spans="1:5" x14ac:dyDescent="0.3">
      <c r="A246">
        <f>A$9 * (58.7502517700195 -A$8)</f>
        <v>58.750251770019503</v>
      </c>
      <c r="B246">
        <f>B$9 * (58.7502517700195 -B$8)</f>
        <v>58.750251770019503</v>
      </c>
      <c r="D246">
        <f>D$9 * (156.794799804687 -D$8)</f>
        <v>156.79479980468699</v>
      </c>
      <c r="E246">
        <f>E$9 * (63.6054382324218 -E$8)</f>
        <v>63.605438232421797</v>
      </c>
    </row>
    <row r="247" spans="1:5" x14ac:dyDescent="0.3">
      <c r="A247">
        <f>A$9 * (59.0002784729003 -A$8)</f>
        <v>59.000278472900298</v>
      </c>
      <c r="B247">
        <f>B$9 * (59.0002784729003 -B$8)</f>
        <v>59.000278472900298</v>
      </c>
      <c r="D247">
        <f>D$9 * (156.79490661621 -D$8)</f>
        <v>156.79490661621</v>
      </c>
      <c r="E247">
        <f>E$9 * (63.6055488586425 -E$8)</f>
        <v>63.6055488586425</v>
      </c>
    </row>
    <row r="248" spans="1:5" x14ac:dyDescent="0.3">
      <c r="A248">
        <f>A$9 * (59.2502784729003 -A$8)</f>
        <v>59.250278472900298</v>
      </c>
      <c r="B248">
        <f>B$9 * (59.2502784729003 -B$8)</f>
        <v>59.250278472900298</v>
      </c>
      <c r="D248">
        <f>D$9 * (156.79490661621 -D$8)</f>
        <v>156.79490661621</v>
      </c>
      <c r="E248">
        <f>E$9 * (63.6052284240722 -E$8)</f>
        <v>63.605228424072202</v>
      </c>
    </row>
    <row r="249" spans="1:5" x14ac:dyDescent="0.3">
      <c r="A249">
        <f>A$9 * (59.5003051757812 -A$8)</f>
        <v>59.5003051757812</v>
      </c>
      <c r="B249">
        <f>B$9 * (59.5003051757812 -B$8)</f>
        <v>59.5003051757812</v>
      </c>
      <c r="D249">
        <f>D$9 * (156.794799804687 -D$8)</f>
        <v>156.79479980468699</v>
      </c>
      <c r="E249">
        <f>E$9 * (63.605239868164 -E$8)</f>
        <v>63.605239868163999</v>
      </c>
    </row>
    <row r="250" spans="1:5" x14ac:dyDescent="0.3">
      <c r="A250">
        <f>A$9 * (59.7503318786621 -A$8)</f>
        <v>59.750331878662102</v>
      </c>
      <c r="B250">
        <f>B$9 * (59.7503318786621 -B$8)</f>
        <v>59.750331878662102</v>
      </c>
      <c r="D250">
        <f>D$9 * (156.794692993164 -D$8)</f>
        <v>156.79469299316401</v>
      </c>
      <c r="E250">
        <f>E$9 * (63.6054992675781 -E$8)</f>
        <v>63.605499267578097</v>
      </c>
    </row>
    <row r="251" spans="1:5" x14ac:dyDescent="0.3">
      <c r="A251">
        <f>A$9 * (60.0003623962402 -A$8)</f>
        <v>60.000362396240199</v>
      </c>
      <c r="B251">
        <f>B$9 * (60.0003623962402 -B$8)</f>
        <v>60.000362396240199</v>
      </c>
      <c r="D251">
        <f>D$9 * (156.794494628906 -D$8)</f>
        <v>156.79449462890599</v>
      </c>
      <c r="E251">
        <f>E$9 * (63.6048011779785 -E$8)</f>
        <v>63.604801177978501</v>
      </c>
    </row>
    <row r="252" spans="1:5" x14ac:dyDescent="0.3">
      <c r="A252">
        <f>A$9 * (60.250389099121 -A$8)</f>
        <v>60.250389099121001</v>
      </c>
      <c r="B252">
        <f>B$9 * (60.250389099121 -B$8)</f>
        <v>60.250389099121001</v>
      </c>
      <c r="D252">
        <f>D$9 * (156.794296264648 -D$8)</f>
        <v>156.79429626464801</v>
      </c>
      <c r="E252">
        <f>E$9 * (63.6045188903808 -E$8)</f>
        <v>63.604518890380803</v>
      </c>
    </row>
    <row r="253" spans="1:5" x14ac:dyDescent="0.3">
      <c r="A253">
        <f>A$9 * (60.500389099121 -A$8)</f>
        <v>60.500389099121001</v>
      </c>
      <c r="B253">
        <f>B$9 * (60.500389099121 -B$8)</f>
        <v>60.500389099121001</v>
      </c>
      <c r="D253">
        <f>D$9 * (156.79409790039 -D$8)</f>
        <v>156.79409790039</v>
      </c>
      <c r="E253">
        <f>E$9 * (63.603759765625 -E$8)</f>
        <v>63.603759765625</v>
      </c>
    </row>
    <row r="254" spans="1:5" x14ac:dyDescent="0.3">
      <c r="A254">
        <f>A$9 * (60.7504158020019 -A$8)</f>
        <v>60.750415802001903</v>
      </c>
      <c r="B254">
        <f>B$9 * (60.7504158020019 -B$8)</f>
        <v>60.750415802001903</v>
      </c>
      <c r="D254">
        <f>D$9 * (156.794006347656 -D$8)</f>
        <v>156.79400634765599</v>
      </c>
      <c r="E254">
        <f>E$9 * (63.6039695739746 -E$8)</f>
        <v>63.603969573974602</v>
      </c>
    </row>
    <row r="255" spans="1:5" x14ac:dyDescent="0.3">
      <c r="A255">
        <f>A$9 * (61.00044631958 -A$8)</f>
        <v>61.00044631958</v>
      </c>
      <c r="B255">
        <f>B$9 * (61.00044631958 -B$8)</f>
        <v>61.00044631958</v>
      </c>
      <c r="D255">
        <f>D$9 * (156.794006347656 -D$8)</f>
        <v>156.79400634765599</v>
      </c>
      <c r="E255">
        <f>E$9 * (63.6047286987304 -E$8)</f>
        <v>63.604728698730398</v>
      </c>
    </row>
    <row r="256" spans="1:5" x14ac:dyDescent="0.3">
      <c r="A256">
        <f>A$9 * (61.2504730224609 -A$8)</f>
        <v>61.250473022460902</v>
      </c>
      <c r="B256">
        <f>B$9 * (61.2504730224609 -B$8)</f>
        <v>61.250473022460902</v>
      </c>
      <c r="D256">
        <f>D$9 * (156.79409790039 -D$8)</f>
        <v>156.79409790039</v>
      </c>
      <c r="E256">
        <f>E$9 * (63.6049194335937 -E$8)</f>
        <v>63.6049194335937</v>
      </c>
    </row>
    <row r="257" spans="1:5" x14ac:dyDescent="0.3">
      <c r="A257">
        <f>A$9 * (61.5004997253418 -A$8)</f>
        <v>61.500499725341797</v>
      </c>
      <c r="B257">
        <f>B$9 * (61.5004997253418 -B$8)</f>
        <v>61.500499725341797</v>
      </c>
      <c r="D257">
        <f>D$9 * (156.794204711914 -D$8)</f>
        <v>156.79420471191401</v>
      </c>
      <c r="E257">
        <f>E$9 * (63.6050987243652 -E$8)</f>
        <v>63.605098724365199</v>
      </c>
    </row>
    <row r="258" spans="1:5" x14ac:dyDescent="0.3">
      <c r="A258">
        <f>A$9 * (61.7504997253418 -A$8)</f>
        <v>61.750499725341797</v>
      </c>
      <c r="B258">
        <f>B$9 * (61.7504997253418 -B$8)</f>
        <v>61.750499725341797</v>
      </c>
      <c r="D258">
        <f>D$9 * (156.794403076171 -D$8)</f>
        <v>156.79440307617099</v>
      </c>
      <c r="E258">
        <f>E$9 * (63.6056404113769 -E$8)</f>
        <v>63.605640411376903</v>
      </c>
    </row>
    <row r="259" spans="1:5" x14ac:dyDescent="0.3">
      <c r="A259">
        <f>A$9 * (62.0005264282226 -A$8)</f>
        <v>62.000526428222599</v>
      </c>
      <c r="B259">
        <f>B$9 * (62.0005264282226 -B$8)</f>
        <v>62.000526428222599</v>
      </c>
      <c r="D259">
        <f>D$9 * (156.794601440429 -D$8)</f>
        <v>156.79460144042901</v>
      </c>
      <c r="E259">
        <f>E$9 * (63.6065406799316 -E$8)</f>
        <v>63.606540679931598</v>
      </c>
    </row>
    <row r="260" spans="1:5" x14ac:dyDescent="0.3">
      <c r="A260">
        <f>A$9 * (62.2505569458007 -A$8)</f>
        <v>62.250556945800703</v>
      </c>
      <c r="B260">
        <f>B$9 * (62.2505569458007 -B$8)</f>
        <v>62.250556945800703</v>
      </c>
      <c r="D260">
        <f>D$9 * (156.794799804687 -D$8)</f>
        <v>156.79479980468699</v>
      </c>
      <c r="E260">
        <f>E$9 * (63.6065711975097 -E$8)</f>
        <v>63.606571197509702</v>
      </c>
    </row>
    <row r="261" spans="1:5" x14ac:dyDescent="0.3">
      <c r="A261">
        <f>A$9 * (62.5005836486816 -A$8)</f>
        <v>62.500583648681598</v>
      </c>
      <c r="B261">
        <f>B$9 * (62.5005836486816 -B$8)</f>
        <v>62.500583648681598</v>
      </c>
      <c r="D261">
        <f>D$9 * (156.79490661621 -D$8)</f>
        <v>156.79490661621</v>
      </c>
      <c r="E261">
        <f>E$9 * (63.6064910888671 -E$8)</f>
        <v>63.606491088867102</v>
      </c>
    </row>
    <row r="262" spans="1:5" x14ac:dyDescent="0.3">
      <c r="A262">
        <f>A$9 * (62.7506103515625 -A$8)</f>
        <v>62.7506103515625</v>
      </c>
      <c r="B262">
        <f>B$9 * (62.7506103515625 -B$8)</f>
        <v>62.7506103515625</v>
      </c>
      <c r="D262">
        <f>D$9 * (156.79490661621 -D$8)</f>
        <v>156.79490661621</v>
      </c>
      <c r="E262">
        <f>E$9 * (63.6059913635253 -E$8)</f>
        <v>63.605991363525298</v>
      </c>
    </row>
    <row r="263" spans="1:5" x14ac:dyDescent="0.3">
      <c r="A263">
        <f>A$9 * (63.0006103515625 -A$8)</f>
        <v>63.0006103515625</v>
      </c>
      <c r="B263">
        <f>B$9 * (63.0006103515625 -B$8)</f>
        <v>63.0006103515625</v>
      </c>
      <c r="D263">
        <f>D$9 * (156.794799804687 -D$8)</f>
        <v>156.79479980468699</v>
      </c>
      <c r="E263">
        <f>E$9 * (63.6059417724609 -E$8)</f>
        <v>63.605941772460902</v>
      </c>
    </row>
    <row r="264" spans="1:5" x14ac:dyDescent="0.3">
      <c r="A264">
        <f>A$9 * (63.2506370544433 -A$8)</f>
        <v>63.250637054443303</v>
      </c>
      <c r="B264">
        <f>B$9 * (63.2506370544433 -B$8)</f>
        <v>63.250637054443303</v>
      </c>
      <c r="D264">
        <f>D$9 * (156.794692993164 -D$8)</f>
        <v>156.79469299316401</v>
      </c>
      <c r="E264">
        <f>E$9 * (63.6063003540039 -E$8)</f>
        <v>63.606300354003899</v>
      </c>
    </row>
    <row r="265" spans="1:5" x14ac:dyDescent="0.3">
      <c r="A265">
        <f>A$9 * (63.5 -A$8)</f>
        <v>63.5</v>
      </c>
      <c r="B265">
        <f>B$9 * (63.5 -B$8)</f>
        <v>63.5</v>
      </c>
      <c r="D265">
        <f>D$9 * (156.794692993164 -D$8)</f>
        <v>156.79469299316401</v>
      </c>
      <c r="E265">
        <f>E$9 * (63.6059494018554 -E$8)</f>
        <v>63.605949401855398</v>
      </c>
    </row>
    <row r="266" spans="1:5" x14ac:dyDescent="0.3">
      <c r="A266">
        <f>A$9 * (63.7500267028808 -A$8)</f>
        <v>63.750026702880803</v>
      </c>
      <c r="B266">
        <f>B$9 * (63.7500267028808 -B$8)</f>
        <v>63.750026702880803</v>
      </c>
      <c r="D266">
        <f>D$9 * (156.794494628906 -D$8)</f>
        <v>156.79449462890599</v>
      </c>
      <c r="E266">
        <f>E$9 * (63.6067314147949 -E$8)</f>
        <v>63.606731414794901</v>
      </c>
    </row>
    <row r="267" spans="1:5" x14ac:dyDescent="0.3">
      <c r="A267">
        <f>A$9 * (64.0000534057617 -A$8)</f>
        <v>64.000053405761705</v>
      </c>
      <c r="B267">
        <f>B$9 * (64.0000534057617 -B$8)</f>
        <v>64.000053405761705</v>
      </c>
      <c r="D267">
        <f>D$9 * (156.794296264648 -D$8)</f>
        <v>156.79429626464801</v>
      </c>
      <c r="E267">
        <f>E$9 * (63.6070594787597 -E$8)</f>
        <v>63.607059478759702</v>
      </c>
    </row>
    <row r="268" spans="1:5" x14ac:dyDescent="0.3">
      <c r="A268">
        <f>A$9 * (64.2500839233398 -A$8)</f>
        <v>64.250083923339801</v>
      </c>
      <c r="B268">
        <f>B$9 * (64.2500839233398 -B$8)</f>
        <v>64.250083923339801</v>
      </c>
      <c r="D268">
        <f>D$9 * (156.79409790039 -D$8)</f>
        <v>156.79409790039</v>
      </c>
      <c r="E268">
        <f>E$9 * (63.60689163208 -E$8)</f>
        <v>63.60689163208</v>
      </c>
    </row>
    <row r="269" spans="1:5" x14ac:dyDescent="0.3">
      <c r="A269">
        <f>A$9 * (64.5000839233398 -A$8)</f>
        <v>64.500083923339801</v>
      </c>
      <c r="B269">
        <f>B$9 * (64.5000839233398 -B$8)</f>
        <v>64.500083923339801</v>
      </c>
      <c r="D269">
        <f>D$9 * (156.794006347656 -D$8)</f>
        <v>156.79400634765599</v>
      </c>
      <c r="E269">
        <f>E$9 * (63.6073303222656 -E$8)</f>
        <v>63.607330322265597</v>
      </c>
    </row>
    <row r="270" spans="1:5" x14ac:dyDescent="0.3">
      <c r="A270">
        <f>A$9 * (64.7501144409179 -A$8)</f>
        <v>64.750114440917898</v>
      </c>
      <c r="B270">
        <f>B$9 * (64.7501144409179 -B$8)</f>
        <v>64.750114440917898</v>
      </c>
      <c r="D270">
        <f>D$9 * (156.794006347656 -D$8)</f>
        <v>156.79400634765599</v>
      </c>
      <c r="E270">
        <f>E$9 * (63.6066284179687 -E$8)</f>
        <v>63.6066284179687</v>
      </c>
    </row>
    <row r="271" spans="1:5" x14ac:dyDescent="0.3">
      <c r="A271">
        <f>A$9 * (65.0001373291015 -A$8)</f>
        <v>65.000137329101506</v>
      </c>
      <c r="B271">
        <f>B$9 * (65.0001373291015 -B$8)</f>
        <v>65.000137329101506</v>
      </c>
      <c r="D271">
        <f>D$9 * (156.79409790039 -D$8)</f>
        <v>156.79409790039</v>
      </c>
      <c r="E271">
        <f>E$9 * (63.6061897277832 -E$8)</f>
        <v>63.606189727783203</v>
      </c>
    </row>
    <row r="272" spans="1:5" x14ac:dyDescent="0.3">
      <c r="A272">
        <f>A$9 * (65.2501678466796 -A$8)</f>
        <v>65.250167846679602</v>
      </c>
      <c r="B272">
        <f>B$9 * (65.2501678466796 -B$8)</f>
        <v>65.250167846679602</v>
      </c>
      <c r="D272">
        <f>D$9 * (156.794204711914 -D$8)</f>
        <v>156.79420471191401</v>
      </c>
      <c r="E272">
        <f>E$9 * (63.6073608398437 -E$8)</f>
        <v>63.6073608398437</v>
      </c>
    </row>
    <row r="273" spans="1:5" x14ac:dyDescent="0.3">
      <c r="A273">
        <f>A$9 * (65.5001907348632 -A$8)</f>
        <v>65.500190734863196</v>
      </c>
      <c r="B273">
        <f>B$9 * (65.5001907348632 -B$8)</f>
        <v>65.500190734863196</v>
      </c>
      <c r="D273">
        <f>D$9 * (156.794403076171 -D$8)</f>
        <v>156.79440307617099</v>
      </c>
      <c r="E273">
        <f>E$9 * (63.6063804626464 -E$8)</f>
        <v>63.606380462646399</v>
      </c>
    </row>
    <row r="274" spans="1:5" x14ac:dyDescent="0.3">
      <c r="A274">
        <f>A$9 * (65.7501907348632 -A$8)</f>
        <v>65.750190734863196</v>
      </c>
      <c r="B274">
        <f>B$9 * (65.7501907348632 -B$8)</f>
        <v>65.750190734863196</v>
      </c>
      <c r="D274">
        <f>D$9 * (156.794601440429 -D$8)</f>
        <v>156.79460144042901</v>
      </c>
      <c r="E274">
        <f>E$9 * (63.6056900024414 -E$8)</f>
        <v>63.605690002441399</v>
      </c>
    </row>
    <row r="275" spans="1:5" x14ac:dyDescent="0.3">
      <c r="A275">
        <f>A$9 * (66.0002212524414 -A$8)</f>
        <v>66.000221252441406</v>
      </c>
      <c r="B275">
        <f>B$9 * (66.0002212524414 -B$8)</f>
        <v>66.000221252441406</v>
      </c>
      <c r="D275">
        <f>D$9 * (156.794799804687 -D$8)</f>
        <v>156.79479980468699</v>
      </c>
      <c r="E275">
        <f>E$9 * (63.605541229248 -E$8)</f>
        <v>63.605541229247997</v>
      </c>
    </row>
    <row r="276" spans="1:5" x14ac:dyDescent="0.3">
      <c r="A276">
        <f>A$9 * (66.2502517700195 -A$8)</f>
        <v>66.250251770019503</v>
      </c>
      <c r="B276">
        <f>B$9 * (66.2502517700195 -B$8)</f>
        <v>66.250251770019503</v>
      </c>
      <c r="D276">
        <f>D$9 * (156.79490661621 -D$8)</f>
        <v>156.79490661621</v>
      </c>
      <c r="E276">
        <f>E$9 * (63.6062889099121 -E$8)</f>
        <v>63.606288909912102</v>
      </c>
    </row>
    <row r="277" spans="1:5" x14ac:dyDescent="0.3">
      <c r="A277">
        <f>A$9 * (66.5002746582031 -A$8)</f>
        <v>66.500274658203097</v>
      </c>
      <c r="B277">
        <f>B$9 * (66.5002746582031 -B$8)</f>
        <v>66.500274658203097</v>
      </c>
      <c r="D277">
        <f>D$9 * (156.79490661621 -D$8)</f>
        <v>156.79490661621</v>
      </c>
      <c r="E277">
        <f>E$9 * (63.6071281433105 -E$8)</f>
        <v>63.607128143310497</v>
      </c>
    </row>
    <row r="278" spans="1:5" x14ac:dyDescent="0.3">
      <c r="A278">
        <f>A$9 * (66.7503051757812 -A$8)</f>
        <v>66.750305175781193</v>
      </c>
      <c r="B278">
        <f>B$9 * (66.7503051757812 -B$8)</f>
        <v>66.750305175781193</v>
      </c>
      <c r="D278">
        <f>D$9 * (156.794799804687 -D$8)</f>
        <v>156.79479980468699</v>
      </c>
      <c r="E278">
        <f>E$9 * (63.6058807373046 -E$8)</f>
        <v>63.605880737304602</v>
      </c>
    </row>
    <row r="279" spans="1:5" x14ac:dyDescent="0.3">
      <c r="A279">
        <f>A$9 * (67.0003051757812 -A$8)</f>
        <v>67.000305175781193</v>
      </c>
      <c r="B279">
        <f>B$9 * (67.0003051757812 -B$8)</f>
        <v>67.000305175781193</v>
      </c>
      <c r="D279">
        <f>D$9 * (156.794692993164 -D$8)</f>
        <v>156.79469299316401</v>
      </c>
      <c r="E279">
        <f>E$9 * (63.6056289672851 -E$8)</f>
        <v>63.605628967285099</v>
      </c>
    </row>
    <row r="280" spans="1:5" x14ac:dyDescent="0.3">
      <c r="A280">
        <f>A$9 * (67.2503356933593 -A$8)</f>
        <v>67.250335693359304</v>
      </c>
      <c r="B280">
        <f>B$9 * (67.2503356933593 -B$8)</f>
        <v>67.250335693359304</v>
      </c>
      <c r="D280">
        <f>D$9 * (156.794494628906 -D$8)</f>
        <v>156.79449462890599</v>
      </c>
      <c r="E280">
        <f>E$9 * (63.6062316894531 -E$8)</f>
        <v>63.606231689453097</v>
      </c>
    </row>
    <row r="281" spans="1:5" x14ac:dyDescent="0.3">
      <c r="A281">
        <f>A$9 * (67.5003585815429 -A$8)</f>
        <v>67.500358581542898</v>
      </c>
      <c r="B281">
        <f>B$9 * (67.5003585815429 -B$8)</f>
        <v>67.500358581542898</v>
      </c>
      <c r="D281">
        <f>D$9 * (156.794296264648 -D$8)</f>
        <v>156.79429626464801</v>
      </c>
      <c r="E281">
        <f>E$9 * (63.6059684753418 -E$8)</f>
        <v>63.605968475341797</v>
      </c>
    </row>
    <row r="282" spans="1:5" x14ac:dyDescent="0.3">
      <c r="A282">
        <f>A$9 * (67.750389099121 -A$8)</f>
        <v>67.750389099120994</v>
      </c>
      <c r="B282">
        <f>B$9 * (67.750389099121 -B$8)</f>
        <v>67.750389099120994</v>
      </c>
      <c r="D282">
        <f>D$9 * (156.79409790039 -D$8)</f>
        <v>156.79409790039</v>
      </c>
      <c r="E282">
        <f>E$9 * (63.6063613891601 -E$8)</f>
        <v>63.606361389160099</v>
      </c>
    </row>
    <row r="283" spans="1:5" x14ac:dyDescent="0.3">
      <c r="A283">
        <f>A$9 * (68.000389099121 -A$8)</f>
        <v>68.000389099120994</v>
      </c>
      <c r="B283">
        <f>B$9 * (68.000389099121 -B$8)</f>
        <v>68.000389099120994</v>
      </c>
      <c r="D283">
        <f>D$9 * (156.794006347656 -D$8)</f>
        <v>156.79400634765599</v>
      </c>
      <c r="E283">
        <f>E$9 * (63.6079788208007 -E$8)</f>
        <v>63.607978820800703</v>
      </c>
    </row>
    <row r="284" spans="1:5" x14ac:dyDescent="0.3">
      <c r="A284">
        <f>A$9 * (68.2504196166992 -A$8)</f>
        <v>68.250419616699205</v>
      </c>
      <c r="B284">
        <f>B$9 * (68.2504196166992 -B$8)</f>
        <v>68.250419616699205</v>
      </c>
      <c r="D284">
        <f>D$9 * (156.794006347656 -D$8)</f>
        <v>156.79400634765599</v>
      </c>
      <c r="E284">
        <f>E$9 * (63.6080703735351 -E$8)</f>
        <v>63.608070373535099</v>
      </c>
    </row>
    <row r="285" spans="1:5" x14ac:dyDescent="0.3">
      <c r="A285">
        <f>A$9 * (68.5004425048828 -A$8)</f>
        <v>68.500442504882798</v>
      </c>
      <c r="B285">
        <f>B$9 * (68.5004425048828 -B$8)</f>
        <v>68.500442504882798</v>
      </c>
      <c r="D285">
        <f>D$9 * (156.79409790039 -D$8)</f>
        <v>156.79409790039</v>
      </c>
      <c r="E285">
        <f>E$9 * (63.607078552246 -E$8)</f>
        <v>63.607078552246001</v>
      </c>
    </row>
    <row r="286" spans="1:5" x14ac:dyDescent="0.3">
      <c r="A286">
        <f>A$9 * (68.7504730224609 -A$8)</f>
        <v>68.750473022460895</v>
      </c>
      <c r="B286">
        <f>B$9 * (68.7504730224609 -B$8)</f>
        <v>68.750473022460895</v>
      </c>
      <c r="D286">
        <f>D$9 * (156.794204711914 -D$8)</f>
        <v>156.79420471191401</v>
      </c>
      <c r="E286">
        <f>E$9 * (63.6072387695312 -E$8)</f>
        <v>63.6072387695312</v>
      </c>
    </row>
    <row r="287" spans="1:5" x14ac:dyDescent="0.3">
      <c r="A287">
        <f>A$9 * (69.000503540039 -A$8)</f>
        <v>69.000503540039006</v>
      </c>
      <c r="B287">
        <f>B$9 * (69.000503540039 -B$8)</f>
        <v>69.000503540039006</v>
      </c>
      <c r="D287">
        <f>D$9 * (156.794403076171 -D$8)</f>
        <v>156.79440307617099</v>
      </c>
      <c r="E287">
        <f>E$9 * (63.6079788208007 -E$8)</f>
        <v>63.607978820800703</v>
      </c>
    </row>
    <row r="288" spans="1:5" x14ac:dyDescent="0.3">
      <c r="A288">
        <f>A$9 * (69.250503540039 -A$8)</f>
        <v>69.250503540039006</v>
      </c>
      <c r="B288">
        <f>B$9 * (69.250503540039 -B$8)</f>
        <v>69.250503540039006</v>
      </c>
      <c r="D288">
        <f>D$9 * (156.794601440429 -D$8)</f>
        <v>156.79460144042901</v>
      </c>
      <c r="E288">
        <f>E$9 * (63.6075286865234 -E$8)</f>
        <v>63.607528686523402</v>
      </c>
    </row>
    <row r="289" spans="1:5" x14ac:dyDescent="0.3">
      <c r="A289">
        <f>A$9 * (69.5005264282226 -A$8)</f>
        <v>69.500526428222599</v>
      </c>
      <c r="B289">
        <f>B$9 * (69.5005264282226 -B$8)</f>
        <v>69.500526428222599</v>
      </c>
      <c r="D289">
        <f>D$9 * (156.794799804687 -D$8)</f>
        <v>156.79479980468699</v>
      </c>
      <c r="E289">
        <f>E$9 * (63.6062698364257 -E$8)</f>
        <v>63.606269836425703</v>
      </c>
    </row>
    <row r="290" spans="1:5" x14ac:dyDescent="0.3">
      <c r="A290">
        <f>A$9 * (69.7505569458007 -A$8)</f>
        <v>69.750556945800696</v>
      </c>
      <c r="B290">
        <f>B$9 * (69.7505569458007 -B$8)</f>
        <v>69.750556945800696</v>
      </c>
      <c r="D290">
        <f>D$9 * (156.79490661621 -D$8)</f>
        <v>156.79490661621</v>
      </c>
      <c r="E290">
        <f>E$9 * (63.607078552246 -E$8)</f>
        <v>63.607078552246001</v>
      </c>
    </row>
    <row r="291" spans="1:5" x14ac:dyDescent="0.3">
      <c r="A291">
        <f>A$9 * (70.0005798339843 -A$8)</f>
        <v>70.000579833984304</v>
      </c>
      <c r="B291">
        <f>B$9 * (70.0005798339843 -B$8)</f>
        <v>70.000579833984304</v>
      </c>
      <c r="D291">
        <f>D$9 * (156.79490661621 -D$8)</f>
        <v>156.79490661621</v>
      </c>
      <c r="E291">
        <f>E$9 * (63.607681274414 -E$8)</f>
        <v>63.607681274413999</v>
      </c>
    </row>
    <row r="292" spans="1:5" x14ac:dyDescent="0.3">
      <c r="A292">
        <f>A$9 * (70.2506103515625 -A$8)</f>
        <v>70.2506103515625</v>
      </c>
      <c r="B292">
        <f>B$9 * (70.2506103515625 -B$8)</f>
        <v>70.2506103515625</v>
      </c>
      <c r="D292">
        <f>D$9 * (156.794799804687 -D$8)</f>
        <v>156.79479980468699</v>
      </c>
      <c r="E292">
        <f>E$9 * (63.6070518493652 -E$8)</f>
        <v>63.607051849365199</v>
      </c>
    </row>
    <row r="293" spans="1:5" x14ac:dyDescent="0.3">
      <c r="A293">
        <f>A$9 * (70.5006103515625 -A$8)</f>
        <v>70.5006103515625</v>
      </c>
      <c r="B293">
        <f>B$9 * (70.5006103515625 -B$8)</f>
        <v>70.5006103515625</v>
      </c>
      <c r="D293">
        <f>D$9 * (156.794692993164 -D$8)</f>
        <v>156.79469299316401</v>
      </c>
      <c r="E293">
        <f>E$9 * (63.6059494018554 -E$8)</f>
        <v>63.605949401855398</v>
      </c>
    </row>
    <row r="294" spans="1:5" x14ac:dyDescent="0.3">
      <c r="A294">
        <f>A$9 * (70.7506408691406 -A$8)</f>
        <v>70.750640869140597</v>
      </c>
      <c r="B294">
        <f>B$9 * (70.7506408691406 -B$8)</f>
        <v>70.750640869140597</v>
      </c>
      <c r="D294">
        <f>D$9 * (156.794494628906 -D$8)</f>
        <v>156.79449462890599</v>
      </c>
      <c r="E294">
        <f>E$9 * (63.6073913574218 -E$8)</f>
        <v>63.607391357421797</v>
      </c>
    </row>
    <row r="295" spans="1:5" x14ac:dyDescent="0.3">
      <c r="A295">
        <f>A$9 * (71 -A$8)</f>
        <v>71</v>
      </c>
      <c r="B295">
        <f>B$9 * (71 -B$8)</f>
        <v>71</v>
      </c>
      <c r="D295">
        <f>D$9 * (156.794494628906 -D$8)</f>
        <v>156.79449462890599</v>
      </c>
      <c r="E295">
        <f>E$9 * (63.6075706481933 -E$8)</f>
        <v>63.607570648193303</v>
      </c>
    </row>
    <row r="296" spans="1:5" x14ac:dyDescent="0.3">
      <c r="A296">
        <f>A$9 * (71.2500305175781 -A$8)</f>
        <v>71.250030517578097</v>
      </c>
      <c r="B296">
        <f>B$9 * (71.2500305175781 -B$8)</f>
        <v>71.250030517578097</v>
      </c>
      <c r="D296">
        <f>D$9 * (156.794296264648 -D$8)</f>
        <v>156.79429626464801</v>
      </c>
      <c r="E296">
        <f>E$9 * (63.6069793701171 -E$8)</f>
        <v>63.606979370117102</v>
      </c>
    </row>
    <row r="297" spans="1:5" x14ac:dyDescent="0.3">
      <c r="A297">
        <f>A$9 * (71.5000534057617 -A$8)</f>
        <v>71.500053405761705</v>
      </c>
      <c r="B297">
        <f>B$9 * (71.5000534057617 -B$8)</f>
        <v>71.500053405761705</v>
      </c>
      <c r="D297">
        <f>D$9 * (156.79409790039 -D$8)</f>
        <v>156.79409790039</v>
      </c>
      <c r="E297">
        <f>E$9 * (63.606460571289 -E$8)</f>
        <v>63.606460571288999</v>
      </c>
    </row>
    <row r="298" spans="1:5" x14ac:dyDescent="0.3">
      <c r="A298">
        <f>A$9 * (71.7500839233398 -A$8)</f>
        <v>71.750083923339801</v>
      </c>
      <c r="B298">
        <f>B$9 * (71.7500839233398 -B$8)</f>
        <v>71.750083923339801</v>
      </c>
      <c r="D298">
        <f>D$9 * (156.794006347656 -D$8)</f>
        <v>156.79400634765599</v>
      </c>
      <c r="E298">
        <f>E$9 * (63.6077308654785 -E$8)</f>
        <v>63.607730865478501</v>
      </c>
    </row>
    <row r="299" spans="1:5" x14ac:dyDescent="0.3">
      <c r="A299">
        <f>A$9 * (72.0000839233398 -A$8)</f>
        <v>72.000083923339801</v>
      </c>
      <c r="B299">
        <f>B$9 * (72.0000839233398 -B$8)</f>
        <v>72.000083923339801</v>
      </c>
      <c r="D299">
        <f>D$9 * (156.794006347656 -D$8)</f>
        <v>156.79400634765599</v>
      </c>
      <c r="E299">
        <f>E$9 * (63.6073493957519 -E$8)</f>
        <v>63.607349395751903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9"/>
  <sheetViews>
    <sheetView workbookViewId="0">
      <selection activeCell="E10" sqref="E10"/>
    </sheetView>
  </sheetViews>
  <sheetFormatPr defaultRowHeight="14.4" x14ac:dyDescent="0.3"/>
  <sheetData>
    <row r="1" spans="1:7" x14ac:dyDescent="0.3">
      <c r="A1" s="2" t="s">
        <v>4</v>
      </c>
      <c r="B1" s="2" t="s">
        <v>4</v>
      </c>
      <c r="C1" s="1"/>
      <c r="D1" s="2" t="s">
        <v>5</v>
      </c>
      <c r="E1" s="2" t="s">
        <v>5</v>
      </c>
    </row>
    <row r="2" spans="1:7" x14ac:dyDescent="0.3">
      <c r="A2" s="1" t="s">
        <v>6</v>
      </c>
      <c r="B2" s="1" t="s">
        <v>7</v>
      </c>
      <c r="C2" s="1"/>
      <c r="D2" s="1" t="str">
        <f>Legends!B2</f>
        <v>Pressure upstream choke</v>
      </c>
      <c r="E2" s="1" t="str">
        <f>Legends!B3</f>
        <v>Pressure downstream choke</v>
      </c>
      <c r="G2" s="3" t="s">
        <v>15</v>
      </c>
    </row>
    <row r="3" spans="1:7" x14ac:dyDescent="0.3">
      <c r="A3">
        <f>MIN($A$11:$A$299)</f>
        <v>0</v>
      </c>
      <c r="B3">
        <f>MIN($B$11:$B$299)</f>
        <v>0</v>
      </c>
      <c r="C3" s="1" t="s">
        <v>9</v>
      </c>
      <c r="D3">
        <f>MIN($D$11:$D$299)</f>
        <v>156.28329467773401</v>
      </c>
      <c r="E3">
        <f>MIN($E$11:$E$299)</f>
        <v>34.045520782470703</v>
      </c>
    </row>
    <row r="4" spans="1:7" x14ac:dyDescent="0.3">
      <c r="A4">
        <f>MEDIAN($A$11:$A$299)</f>
        <v>36.000194549560497</v>
      </c>
      <c r="B4">
        <f>MEDIAN($B$11:$B$299)</f>
        <v>36.000194549560497</v>
      </c>
      <c r="C4" s="1" t="s">
        <v>10</v>
      </c>
      <c r="D4">
        <f>MEDIAN($D$11:$D$299)</f>
        <v>156.75840759277301</v>
      </c>
      <c r="E4">
        <f>MEDIAN($E$11:$E$299)</f>
        <v>66.431632995605398</v>
      </c>
    </row>
    <row r="5" spans="1:7" x14ac:dyDescent="0.3">
      <c r="A5">
        <f>MAX($A$11:$A$299)</f>
        <v>72.000167846679602</v>
      </c>
      <c r="B5">
        <f>MAX($B$11:$B$299)</f>
        <v>72.000167846679602</v>
      </c>
      <c r="C5" s="1" t="s">
        <v>11</v>
      </c>
      <c r="D5">
        <f>MAX($D$11:$D$299)</f>
        <v>157.033203125</v>
      </c>
      <c r="E5">
        <f>MAX($E$11:$E$299)</f>
        <v>95.978729248046804</v>
      </c>
    </row>
    <row r="6" spans="1:7" x14ac:dyDescent="0.3">
      <c r="A6">
        <f>$A5-$A3</f>
        <v>72.000167846679602</v>
      </c>
      <c r="B6">
        <f>$B5-$B3</f>
        <v>72.000167846679602</v>
      </c>
      <c r="C6" s="1" t="s">
        <v>12</v>
      </c>
      <c r="D6">
        <f>$D5-$D3</f>
        <v>0.74990844726599448</v>
      </c>
      <c r="E6">
        <f>$E5-$E3</f>
        <v>61.933208465576101</v>
      </c>
    </row>
    <row r="7" spans="1:7" x14ac:dyDescent="0.3">
      <c r="A7" s="2" t="s">
        <v>4</v>
      </c>
      <c r="B7" s="2" t="s">
        <v>4</v>
      </c>
      <c r="C7" s="1"/>
      <c r="D7" s="2" t="s">
        <v>5</v>
      </c>
      <c r="E7" s="2" t="s">
        <v>5</v>
      </c>
    </row>
    <row r="8" spans="1:7" x14ac:dyDescent="0.3">
      <c r="A8">
        <v>0</v>
      </c>
      <c r="B8">
        <v>0</v>
      </c>
      <c r="C8" s="1" t="s">
        <v>13</v>
      </c>
      <c r="D8">
        <v>0</v>
      </c>
      <c r="E8">
        <v>0</v>
      </c>
    </row>
    <row r="9" spans="1:7" x14ac:dyDescent="0.3">
      <c r="A9">
        <v>1</v>
      </c>
      <c r="B9">
        <v>1</v>
      </c>
      <c r="C9" s="1" t="s">
        <v>14</v>
      </c>
      <c r="D9">
        <v>1</v>
      </c>
      <c r="E9">
        <v>1</v>
      </c>
    </row>
    <row r="10" spans="1:7" x14ac:dyDescent="0.3">
      <c r="A10" s="1" t="s">
        <v>6</v>
      </c>
      <c r="B10" s="1" t="s">
        <v>7</v>
      </c>
      <c r="C10" s="1"/>
      <c r="D10" s="1" t="str">
        <f>Legends!B2</f>
        <v>Pressure upstream choke</v>
      </c>
      <c r="E10" s="1" t="str">
        <f>Legends!B3</f>
        <v>Pressure downstream choke</v>
      </c>
    </row>
    <row r="11" spans="1:7" x14ac:dyDescent="0.3">
      <c r="A11">
        <f>A$9 * (0 -A$8)</f>
        <v>0</v>
      </c>
      <c r="B11">
        <f>B$9 * (0 -B$8)</f>
        <v>0</v>
      </c>
      <c r="D11">
        <f>D$9 * (156.740097045898 -D$8)</f>
        <v>156.74009704589801</v>
      </c>
      <c r="E11">
        <f>E$9 * (49.8292388916015 -E$8)</f>
        <v>49.829238891601499</v>
      </c>
    </row>
    <row r="12" spans="1:7" x14ac:dyDescent="0.3">
      <c r="A12">
        <f>A$9 * (0.250369876623153 -A$8)</f>
        <v>0.25036987662315302</v>
      </c>
      <c r="B12">
        <f>B$9 * (0.250369876623153 -B$8)</f>
        <v>0.25036987662315302</v>
      </c>
      <c r="D12">
        <f>D$9 * (156.720596313476 -D$8)</f>
        <v>156.72059631347599</v>
      </c>
      <c r="E12">
        <f>E$9 * (39.7745704650878 -E$8)</f>
        <v>39.774570465087798</v>
      </c>
    </row>
    <row r="13" spans="1:7" x14ac:dyDescent="0.3">
      <c r="A13">
        <f>A$9 * (0.50034749507904 -A$8)</f>
        <v>0.50034749507903997</v>
      </c>
      <c r="B13">
        <f>B$9 * (0.50034749507904 -B$8)</f>
        <v>0.50034749507903997</v>
      </c>
      <c r="D13">
        <f>D$9 * (156.797897338867 -D$8)</f>
        <v>156.79789733886699</v>
      </c>
      <c r="E13">
        <f>E$9 * (36.9728889465332 -E$8)</f>
        <v>36.972888946533203</v>
      </c>
    </row>
    <row r="14" spans="1:7" x14ac:dyDescent="0.3">
      <c r="A14">
        <f>A$9 * (0.750366389751434 -A$8)</f>
        <v>0.75036638975143399</v>
      </c>
      <c r="B14">
        <f>B$9 * (0.750366389751434 -B$8)</f>
        <v>0.75036638975143399</v>
      </c>
      <c r="D14">
        <f>D$9 * (156.79490661621 -D$8)</f>
        <v>156.79490661621</v>
      </c>
      <c r="E14">
        <f>E$9 * (36.6915702819824 -E$8)</f>
        <v>36.691570281982401</v>
      </c>
    </row>
    <row r="15" spans="1:7" x14ac:dyDescent="0.3">
      <c r="A15">
        <f>A$9 * (1.00027227401733 -A$8)</f>
        <v>1.00027227401733</v>
      </c>
      <c r="B15">
        <f>B$9 * (1.00027227401733 -B$8)</f>
        <v>1.00027227401733</v>
      </c>
      <c r="D15">
        <f>D$9 * (156.793701171875 -D$8)</f>
        <v>156.793701171875</v>
      </c>
      <c r="E15">
        <f>E$9 * (44.4730911254882 -E$8)</f>
        <v>44.473091125488203</v>
      </c>
    </row>
    <row r="16" spans="1:7" x14ac:dyDescent="0.3">
      <c r="A16">
        <f>A$9 * (1.25033855438232 -A$8)</f>
        <v>1.25033855438232</v>
      </c>
      <c r="B16">
        <f>B$9 * (1.25033855438232 -B$8)</f>
        <v>1.25033855438232</v>
      </c>
      <c r="D16">
        <f>D$9 * (156.793792724609 -D$8)</f>
        <v>156.79379272460901</v>
      </c>
      <c r="E16">
        <f>E$9 * (53.8846206665039 -E$8)</f>
        <v>53.884620666503899</v>
      </c>
    </row>
    <row r="17" spans="1:5" x14ac:dyDescent="0.3">
      <c r="A17">
        <f>A$9 * (1.50031077861785 -A$8)</f>
        <v>1.50031077861785</v>
      </c>
      <c r="B17">
        <f>B$9 * (1.50031077861785 -B$8)</f>
        <v>1.50031077861785</v>
      </c>
      <c r="D17">
        <f>D$9 * (156.793502807617 -D$8)</f>
        <v>156.79350280761699</v>
      </c>
      <c r="E17">
        <f>E$9 * (63.2030296325683 -E$8)</f>
        <v>63.203029632568303</v>
      </c>
    </row>
    <row r="18" spans="1:5" x14ac:dyDescent="0.3">
      <c r="A18">
        <f>A$9 * (1.75039339065551 -A$8)</f>
        <v>1.75039339065551</v>
      </c>
      <c r="B18">
        <f>B$9 * (1.75039339065551 -B$8)</f>
        <v>1.75039339065551</v>
      </c>
      <c r="D18">
        <f>D$9 * (156.767105102539 -D$8)</f>
        <v>156.76710510253901</v>
      </c>
      <c r="E18">
        <f>E$9 * (72.660057067871 -E$8)</f>
        <v>72.660057067870994</v>
      </c>
    </row>
    <row r="19" spans="1:5" x14ac:dyDescent="0.3">
      <c r="A19">
        <f>A$9 * (2.00029850006103 -A$8)</f>
        <v>2.0002985000610298</v>
      </c>
      <c r="B19">
        <f>B$9 * (2.00029850006103 -B$8)</f>
        <v>2.0002985000610298</v>
      </c>
      <c r="D19">
        <f>D$9 * (157.033203125 -D$8)</f>
        <v>157.033203125</v>
      </c>
      <c r="E19">
        <f>E$9 * (81.8025207519531 -E$8)</f>
        <v>81.802520751953097</v>
      </c>
    </row>
    <row r="20" spans="1:5" x14ac:dyDescent="0.3">
      <c r="A20">
        <f>A$9 * (2.25022602081298 -A$8)</f>
        <v>2.2502260208129798</v>
      </c>
      <c r="B20">
        <f>B$9 * (2.25022602081298 -B$8)</f>
        <v>2.2502260208129798</v>
      </c>
      <c r="D20">
        <f>D$9 * (156.943496704101 -D$8)</f>
        <v>156.94349670410099</v>
      </c>
      <c r="E20">
        <f>E$9 * (91.3377990722656 -E$8)</f>
        <v>91.337799072265597</v>
      </c>
    </row>
    <row r="21" spans="1:5" x14ac:dyDescent="0.3">
      <c r="A21">
        <f>A$9 * (2.50031995773315 -A$8)</f>
        <v>2.5003199577331499</v>
      </c>
      <c r="B21">
        <f>B$9 * (2.50031995773315 -B$8)</f>
        <v>2.5003199577331499</v>
      </c>
      <c r="D21">
        <f>D$9 * (156.318695068359 -D$8)</f>
        <v>156.31869506835901</v>
      </c>
      <c r="E21">
        <f>E$9 * (84.2213287353515 -E$8)</f>
        <v>84.221328735351506</v>
      </c>
    </row>
    <row r="22" spans="1:5" x14ac:dyDescent="0.3">
      <c r="A22">
        <f>A$9 * (2.75026774406433 -A$8)</f>
        <v>2.7502677440643302</v>
      </c>
      <c r="B22">
        <f>B$9 * (2.75026774406433 -B$8)</f>
        <v>2.7502677440643302</v>
      </c>
      <c r="D22">
        <f>D$9 * (156.678497314453 -D$8)</f>
        <v>156.67849731445301</v>
      </c>
      <c r="E22">
        <f>E$9 * (60.6998481750488 -E$8)</f>
        <v>60.6998481750488</v>
      </c>
    </row>
    <row r="23" spans="1:5" x14ac:dyDescent="0.3">
      <c r="A23">
        <f>A$9 * (3.00019168853759 -A$8)</f>
        <v>3.0001916885375901</v>
      </c>
      <c r="B23">
        <f>B$9 * (3.00019168853759 -B$8)</f>
        <v>3.0001916885375901</v>
      </c>
      <c r="D23">
        <f>D$9 * (156.682907104492 -D$8)</f>
        <v>156.68290710449199</v>
      </c>
      <c r="E23">
        <f>E$9 * (43.4461708068847 -E$8)</f>
        <v>43.446170806884702</v>
      </c>
    </row>
    <row r="24" spans="1:5" x14ac:dyDescent="0.3">
      <c r="A24">
        <f>A$9 * (3.25028324127197 -A$8)</f>
        <v>3.25028324127197</v>
      </c>
      <c r="B24">
        <f>B$9 * (3.25028324127197 -B$8)</f>
        <v>3.25028324127197</v>
      </c>
      <c r="D24">
        <f>D$9 * (156.662506103515 -D$8)</f>
        <v>156.662506103515</v>
      </c>
      <c r="E24">
        <f>E$9 * (34.7001609802246 -E$8)</f>
        <v>34.700160980224602</v>
      </c>
    </row>
    <row r="25" spans="1:5" x14ac:dyDescent="0.3">
      <c r="A25">
        <f>A$9 * (3.5001471042633 -A$8)</f>
        <v>3.5001471042632999</v>
      </c>
      <c r="B25">
        <f>B$9 * (3.5001471042633 -B$8)</f>
        <v>3.5001471042632999</v>
      </c>
      <c r="D25">
        <f>D$9 * (156.66160583496 -D$8)</f>
        <v>156.66160583496</v>
      </c>
      <c r="E25">
        <f>E$9 * (39.3535003662109 -E$8)</f>
        <v>39.353500366210902</v>
      </c>
    </row>
    <row r="26" spans="1:5" x14ac:dyDescent="0.3">
      <c r="A26">
        <f>A$9 * (3.75028896331787 -A$8)</f>
        <v>3.7502889633178702</v>
      </c>
      <c r="B26">
        <f>B$9 * (3.75028896331787 -B$8)</f>
        <v>3.7502889633178702</v>
      </c>
      <c r="D26">
        <f>D$9 * (156.661193847656 -D$8)</f>
        <v>156.66119384765599</v>
      </c>
      <c r="E26">
        <f>E$9 * (48.3858604431152 -E$8)</f>
        <v>48.385860443115199</v>
      </c>
    </row>
    <row r="27" spans="1:5" x14ac:dyDescent="0.3">
      <c r="A27">
        <f>A$9 * (4.00031375885009 -A$8)</f>
        <v>4.0003137588500897</v>
      </c>
      <c r="B27">
        <f>B$9 * (4.00031375885009 -B$8)</f>
        <v>4.0003137588500897</v>
      </c>
      <c r="D27">
        <f>D$9 * (156.663101196289 -D$8)</f>
        <v>156.66310119628901</v>
      </c>
      <c r="E27">
        <f>E$9 * (57.0205497741699 -E$8)</f>
        <v>57.020549774169901</v>
      </c>
    </row>
    <row r="28" spans="1:5" x14ac:dyDescent="0.3">
      <c r="A28">
        <f>A$9 * (4.25004148483276 -A$8)</f>
        <v>4.2500414848327601</v>
      </c>
      <c r="B28">
        <f>B$9 * (4.25004148483276 -B$8)</f>
        <v>4.2500414848327601</v>
      </c>
      <c r="D28">
        <f>D$9 * (156.662506103515 -D$8)</f>
        <v>156.662506103515</v>
      </c>
      <c r="E28">
        <f>E$9 * (65.6055526733398 -E$8)</f>
        <v>65.605552673339801</v>
      </c>
    </row>
    <row r="29" spans="1:5" x14ac:dyDescent="0.3">
      <c r="A29">
        <f>A$9 * (4.50066089630127 -A$8)</f>
        <v>4.5006608963012704</v>
      </c>
      <c r="B29">
        <f>B$9 * (4.50066089630127 -B$8)</f>
        <v>4.5006608963012704</v>
      </c>
      <c r="D29">
        <f>D$9 * (156.707000732421 -D$8)</f>
        <v>156.70700073242099</v>
      </c>
      <c r="E29">
        <f>E$9 * (73.1279602050781 -E$8)</f>
        <v>73.127960205078097</v>
      </c>
    </row>
    <row r="30" spans="1:5" x14ac:dyDescent="0.3">
      <c r="A30">
        <f>A$9 * (4.75024700164794 -A$8)</f>
        <v>4.7502470016479403</v>
      </c>
      <c r="B30">
        <f>B$9 * (4.75024700164794 -B$8)</f>
        <v>4.7502470016479403</v>
      </c>
      <c r="D30">
        <f>D$9 * (156.668502807617 -D$8)</f>
        <v>156.66850280761699</v>
      </c>
      <c r="E30">
        <f>E$9 * (54.5939407348632 -E$8)</f>
        <v>54.593940734863203</v>
      </c>
    </row>
    <row r="31" spans="1:5" x14ac:dyDescent="0.3">
      <c r="A31">
        <f>A$9 * (5.00027799606323 -A$8)</f>
        <v>5.0002779960632298</v>
      </c>
      <c r="B31">
        <f>B$9 * (5.00027799606323 -B$8)</f>
        <v>5.0002779960632298</v>
      </c>
      <c r="D31">
        <f>D$9 * (156.662002563476 -D$8)</f>
        <v>156.66200256347599</v>
      </c>
      <c r="E31">
        <f>E$9 * (59.9819908142089 -E$8)</f>
        <v>59.981990814208899</v>
      </c>
    </row>
    <row r="32" spans="1:5" x14ac:dyDescent="0.3">
      <c r="A32">
        <f>A$9 * (5.25023603439331 -A$8)</f>
        <v>5.2502360343933097</v>
      </c>
      <c r="B32">
        <f>B$9 * (5.25023603439331 -B$8)</f>
        <v>5.2502360343933097</v>
      </c>
      <c r="D32">
        <f>D$9 * (156.662200927734 -D$8)</f>
        <v>156.66220092773401</v>
      </c>
      <c r="E32">
        <f>E$9 * (69.4759826660156 -E$8)</f>
        <v>69.475982666015597</v>
      </c>
    </row>
    <row r="33" spans="1:5" x14ac:dyDescent="0.3">
      <c r="A33">
        <f>A$9 * (5.50051689147949 -A$8)</f>
        <v>5.5005168914794904</v>
      </c>
      <c r="B33">
        <f>B$9 * (5.50051689147949 -B$8)</f>
        <v>5.5005168914794904</v>
      </c>
      <c r="D33">
        <f>D$9 * (156.837203979492 -D$8)</f>
        <v>156.83720397949199</v>
      </c>
      <c r="E33">
        <f>E$9 * (79.1821365356445 -E$8)</f>
        <v>79.182136535644503</v>
      </c>
    </row>
    <row r="34" spans="1:5" x14ac:dyDescent="0.3">
      <c r="A34">
        <f>A$9 * (5.75008630752563 -A$8)</f>
        <v>5.7500863075256303</v>
      </c>
      <c r="B34">
        <f>B$9 * (5.75008630752563 -B$8)</f>
        <v>5.7500863075256303</v>
      </c>
      <c r="D34">
        <f>D$9 * (156.753997802734 -D$8)</f>
        <v>156.75399780273401</v>
      </c>
      <c r="E34">
        <f>E$9 * (88.816421508789 -E$8)</f>
        <v>88.816421508789006</v>
      </c>
    </row>
    <row r="35" spans="1:5" x14ac:dyDescent="0.3">
      <c r="A35">
        <f>A$9 * (6.00038909912109 -A$8)</f>
        <v>6.0003890991210902</v>
      </c>
      <c r="B35">
        <f>B$9 * (6.00038909912109 -B$8)</f>
        <v>6.0003890991210902</v>
      </c>
      <c r="D35">
        <f>D$9 * (156.543792724609 -D$8)</f>
        <v>156.54379272460901</v>
      </c>
      <c r="E35">
        <f>E$9 * (92.8428192138671 -E$8)</f>
        <v>92.842819213867102</v>
      </c>
    </row>
    <row r="36" spans="1:5" x14ac:dyDescent="0.3">
      <c r="A36">
        <f>A$9 * (6.25046920776367 -A$8)</f>
        <v>6.2504692077636701</v>
      </c>
      <c r="B36">
        <f>B$9 * (6.25046920776367 -B$8)</f>
        <v>6.2504692077636701</v>
      </c>
      <c r="D36">
        <f>D$9 * (156.626403808593 -D$8)</f>
        <v>156.62640380859301</v>
      </c>
      <c r="E36">
        <f>E$9 * (61.8475685119628 -E$8)</f>
        <v>61.847568511962798</v>
      </c>
    </row>
    <row r="37" spans="1:5" x14ac:dyDescent="0.3">
      <c r="A37">
        <f>A$9 * (6.50005292892456 -A$8)</f>
        <v>6.5000529289245597</v>
      </c>
      <c r="B37">
        <f>B$9 * (6.50005292892456 -B$8)</f>
        <v>6.5000529289245597</v>
      </c>
      <c r="D37">
        <f>D$9 * (156.690002441406 -D$8)</f>
        <v>156.69000244140599</v>
      </c>
      <c r="E37">
        <f>E$9 * (69.6109008789062 -E$8)</f>
        <v>69.610900878906193</v>
      </c>
    </row>
    <row r="38" spans="1:5" x14ac:dyDescent="0.3">
      <c r="A38">
        <f>A$9 * (6.75055265426635 -A$8)</f>
        <v>6.7505526542663503</v>
      </c>
      <c r="B38">
        <f>B$9 * (6.75055265426635 -B$8)</f>
        <v>6.7505526542663503</v>
      </c>
      <c r="D38">
        <f>D$9 * (156.824401855468 -D$8)</f>
        <v>156.82440185546801</v>
      </c>
      <c r="E38">
        <f>E$9 * (78.7387619018554 -E$8)</f>
        <v>78.738761901855398</v>
      </c>
    </row>
    <row r="39" spans="1:5" x14ac:dyDescent="0.3">
      <c r="A39">
        <f>A$9 * (7.00069999694824 -A$8)</f>
        <v>7.0006999969482404</v>
      </c>
      <c r="B39">
        <f>B$9 * (7.00069999694824 -B$8)</f>
        <v>7.0006999969482404</v>
      </c>
      <c r="D39">
        <f>D$9 * (156.74560546875 -D$8)</f>
        <v>156.74560546875</v>
      </c>
      <c r="E39">
        <f>E$9 * (88.0147018432617 -E$8)</f>
        <v>88.014701843261705</v>
      </c>
    </row>
    <row r="40" spans="1:5" x14ac:dyDescent="0.3">
      <c r="A40">
        <f>A$9 * (7.25026130676269 -A$8)</f>
        <v>7.25026130676269</v>
      </c>
      <c r="B40">
        <f>B$9 * (7.25026130676269 -B$8)</f>
        <v>7.25026130676269</v>
      </c>
      <c r="D40">
        <f>D$9 * (156.437606811523 -D$8)</f>
        <v>156.43760681152301</v>
      </c>
      <c r="E40">
        <f>E$9 * (92.4313278198242 -E$8)</f>
        <v>92.431327819824205</v>
      </c>
    </row>
    <row r="41" spans="1:5" x14ac:dyDescent="0.3">
      <c r="A41">
        <f>A$9 * (7.50045824050903 -A$8)</f>
        <v>7.5004582405090297</v>
      </c>
      <c r="B41">
        <f>B$9 * (7.50045824050903 -B$8)</f>
        <v>7.5004582405090297</v>
      </c>
      <c r="D41">
        <f>D$9 * (156.69920349121 -D$8)</f>
        <v>156.69920349121</v>
      </c>
      <c r="E41">
        <f>E$9 * (59.4187889099121 -E$8)</f>
        <v>59.418788909912102</v>
      </c>
    </row>
    <row r="42" spans="1:5" x14ac:dyDescent="0.3">
      <c r="A42">
        <f>A$9 * (7.75013065338134 -A$8)</f>
        <v>7.7501306533813397</v>
      </c>
      <c r="B42">
        <f>B$9 * (7.75013065338134 -B$8)</f>
        <v>7.7501306533813397</v>
      </c>
      <c r="D42">
        <f>D$9 * (156.780502319335 -D$8)</f>
        <v>156.780502319335</v>
      </c>
      <c r="E42">
        <f>E$9 * (52.2795486450195 -E$8)</f>
        <v>52.279548645019503</v>
      </c>
    </row>
    <row r="43" spans="1:5" x14ac:dyDescent="0.3">
      <c r="A43">
        <f>A$9 * (8.00038623809814 -A$8)</f>
        <v>8.0003862380981392</v>
      </c>
      <c r="B43">
        <f>B$9 * (8.00038623809814 -B$8)</f>
        <v>8.0003862380981392</v>
      </c>
      <c r="D43">
        <f>D$9 * (156.762802124023 -D$8)</f>
        <v>156.76280212402301</v>
      </c>
      <c r="E43">
        <f>E$9 * (36.6728401184082 -E$8)</f>
        <v>36.672840118408203</v>
      </c>
    </row>
    <row r="44" spans="1:5" x14ac:dyDescent="0.3">
      <c r="A44">
        <f>A$9 * (8.25031375885009 -A$8)</f>
        <v>8.2503137588500906</v>
      </c>
      <c r="B44">
        <f>B$9 * (8.25031375885009 -B$8)</f>
        <v>8.2503137588500906</v>
      </c>
      <c r="D44">
        <f>D$9 * (156.760498046875 -D$8)</f>
        <v>156.760498046875</v>
      </c>
      <c r="E44">
        <f>E$9 * (37.5291709899902 -E$8)</f>
        <v>37.529170989990199</v>
      </c>
    </row>
    <row r="45" spans="1:5" x14ac:dyDescent="0.3">
      <c r="A45">
        <f>A$9 * (8.50036430358886 -A$8)</f>
        <v>8.5003643035888601</v>
      </c>
      <c r="B45">
        <f>B$9 * (8.50036430358886 -B$8)</f>
        <v>8.5003643035888601</v>
      </c>
      <c r="D45">
        <f>D$9 * (156.757507324218 -D$8)</f>
        <v>156.75750732421801</v>
      </c>
      <c r="E45">
        <f>E$9 * (46.1982994079589 -E$8)</f>
        <v>46.198299407958899</v>
      </c>
    </row>
    <row r="46" spans="1:5" x14ac:dyDescent="0.3">
      <c r="A46">
        <f>A$9 * (8.75040531158447 -A$8)</f>
        <v>8.7504053115844709</v>
      </c>
      <c r="B46">
        <f>B$9 * (8.75040531158447 -B$8)</f>
        <v>8.7504053115844709</v>
      </c>
      <c r="D46">
        <f>D$9 * (156.75779724121 -D$8)</f>
        <v>156.75779724121</v>
      </c>
      <c r="E46">
        <f>E$9 * (54.9480895996093 -E$8)</f>
        <v>54.948089599609297</v>
      </c>
    </row>
    <row r="47" spans="1:5" x14ac:dyDescent="0.3">
      <c r="A47">
        <f>A$9 * (9.00014209747314 -A$8)</f>
        <v>9.0001420974731392</v>
      </c>
      <c r="B47">
        <f>B$9 * (9.00014209747314 -B$8)</f>
        <v>9.0001420974731392</v>
      </c>
      <c r="D47">
        <f>D$9 * (156.755004882812 -D$8)</f>
        <v>156.75500488281199</v>
      </c>
      <c r="E47">
        <f>E$9 * (63.5527191162109 -E$8)</f>
        <v>63.552719116210902</v>
      </c>
    </row>
    <row r="48" spans="1:5" x14ac:dyDescent="0.3">
      <c r="A48">
        <f>A$9 * (9.25016117095947 -A$8)</f>
        <v>9.2501611709594709</v>
      </c>
      <c r="B48">
        <f>B$9 * (9.25016117095947 -B$8)</f>
        <v>9.2501611709594709</v>
      </c>
      <c r="D48">
        <f>D$9 * (156.681594848632 -D$8)</f>
        <v>156.68159484863199</v>
      </c>
      <c r="E48">
        <f>E$9 * (72.0014877319335 -E$8)</f>
        <v>72.001487731933494</v>
      </c>
    </row>
    <row r="49" spans="1:5" x14ac:dyDescent="0.3">
      <c r="A49">
        <f>A$9 * (9.50001621246337 -A$8)</f>
        <v>9.50001621246337</v>
      </c>
      <c r="B49">
        <f>B$9 * (9.50001621246337 -B$8)</f>
        <v>9.50001621246337</v>
      </c>
      <c r="D49">
        <f>D$9 * (156.687301635742 -D$8)</f>
        <v>156.68730163574199</v>
      </c>
      <c r="E49">
        <f>E$9 * (75.033462524414 -E$8)</f>
        <v>75.033462524414006</v>
      </c>
    </row>
    <row r="50" spans="1:5" x14ac:dyDescent="0.3">
      <c r="A50">
        <f>A$9 * (9.75037193298339 -A$8)</f>
        <v>9.7503719329833896</v>
      </c>
      <c r="B50">
        <f>B$9 * (9.75037193298339 -B$8)</f>
        <v>9.7503719329833896</v>
      </c>
      <c r="D50">
        <f>D$9 * (156.752197265625 -D$8)</f>
        <v>156.752197265625</v>
      </c>
      <c r="E50">
        <f>E$9 * (54.8807716369628 -E$8)</f>
        <v>54.880771636962798</v>
      </c>
    </row>
    <row r="51" spans="1:5" x14ac:dyDescent="0.3">
      <c r="A51">
        <f>A$9 * (10.0001392364502 -A$8)</f>
        <v>10.000139236450201</v>
      </c>
      <c r="B51">
        <f>B$9 * (10.0001392364502 -B$8)</f>
        <v>10.000139236450201</v>
      </c>
      <c r="D51">
        <f>D$9 * (156.760604858398 -D$8)</f>
        <v>156.76060485839801</v>
      </c>
      <c r="E51">
        <f>E$9 * (63.6697883605957 -E$8)</f>
        <v>63.669788360595703</v>
      </c>
    </row>
    <row r="52" spans="1:5" x14ac:dyDescent="0.3">
      <c r="A52">
        <f>A$9 * (10.2504224777221 -A$8)</f>
        <v>10.2504224777221</v>
      </c>
      <c r="B52">
        <f>B$9 * (10.2504224777221 -B$8)</f>
        <v>10.2504224777221</v>
      </c>
      <c r="D52">
        <f>D$9 * (156.724502563476 -D$8)</f>
        <v>156.72450256347599</v>
      </c>
      <c r="E52">
        <f>E$9 * (73.0033264160156 -E$8)</f>
        <v>73.003326416015597</v>
      </c>
    </row>
    <row r="53" spans="1:5" x14ac:dyDescent="0.3">
      <c r="A53">
        <f>A$9 * (10.5000858306884 -A$8)</f>
        <v>10.5000858306884</v>
      </c>
      <c r="B53">
        <f>B$9 * (10.5000858306884 -B$8)</f>
        <v>10.5000858306884</v>
      </c>
      <c r="D53">
        <f>D$9 * (156.832397460937 -D$8)</f>
        <v>156.83239746093699</v>
      </c>
      <c r="E53">
        <f>E$9 * (82.7625122070312 -E$8)</f>
        <v>82.762512207031193</v>
      </c>
    </row>
    <row r="54" spans="1:5" x14ac:dyDescent="0.3">
      <c r="A54">
        <f>A$9 * (10.7500495910644 -A$8)</f>
        <v>10.7500495910644</v>
      </c>
      <c r="B54">
        <f>B$9 * (10.7500495910644 -B$8)</f>
        <v>10.7500495910644</v>
      </c>
      <c r="D54">
        <f>D$9 * (156.910507202148 -D$8)</f>
        <v>156.91050720214801</v>
      </c>
      <c r="E54">
        <f>E$9 * (91.9787063598632 -E$8)</f>
        <v>91.978706359863196</v>
      </c>
    </row>
    <row r="55" spans="1:5" x14ac:dyDescent="0.3">
      <c r="A55">
        <f>A$9 * (11.0002698898315 -A$8)</f>
        <v>11.0002698898315</v>
      </c>
      <c r="B55">
        <f>B$9 * (11.0002698898315 -B$8)</f>
        <v>11.0002698898315</v>
      </c>
      <c r="D55">
        <f>D$9 * (156.283294677734 -D$8)</f>
        <v>156.28329467773401</v>
      </c>
      <c r="E55">
        <f>E$9 * (82.4580612182617 -E$8)</f>
        <v>82.458061218261705</v>
      </c>
    </row>
    <row r="56" spans="1:5" x14ac:dyDescent="0.3">
      <c r="A56">
        <f>A$9 * (11.250389099121 -A$8)</f>
        <v>11.250389099121</v>
      </c>
      <c r="B56">
        <f>B$9 * (11.250389099121 -B$8)</f>
        <v>11.250389099121</v>
      </c>
      <c r="D56">
        <f>D$9 * (156.733093261718 -D$8)</f>
        <v>156.73309326171801</v>
      </c>
      <c r="E56">
        <f>E$9 * (64.0644378662109 -E$8)</f>
        <v>64.064437866210895</v>
      </c>
    </row>
    <row r="57" spans="1:5" x14ac:dyDescent="0.3">
      <c r="A57">
        <f>A$9 * (11.5005664825439 -A$8)</f>
        <v>11.500566482543899</v>
      </c>
      <c r="B57">
        <f>B$9 * (11.5005664825439 -B$8)</f>
        <v>11.500566482543899</v>
      </c>
      <c r="D57">
        <f>D$9 * (156.773193359375 -D$8)</f>
        <v>156.773193359375</v>
      </c>
      <c r="E57">
        <f>E$9 * (73.2333679199218 -E$8)</f>
        <v>73.233367919921804</v>
      </c>
    </row>
    <row r="58" spans="1:5" x14ac:dyDescent="0.3">
      <c r="A58">
        <f>A$9 * (11.7500057220459 -A$8)</f>
        <v>11.7500057220459</v>
      </c>
      <c r="B58">
        <f>B$9 * (11.7500057220459 -B$8)</f>
        <v>11.7500057220459</v>
      </c>
      <c r="D58">
        <f>D$9 * (156.816101074218 -D$8)</f>
        <v>156.81610107421801</v>
      </c>
      <c r="E58">
        <f>E$9 * (82.5489273071289 -E$8)</f>
        <v>82.548927307128906</v>
      </c>
    </row>
    <row r="59" spans="1:5" x14ac:dyDescent="0.3">
      <c r="A59">
        <f>A$9 * (12.0005273818969 -A$8)</f>
        <v>12.0005273818969</v>
      </c>
      <c r="B59">
        <f>B$9 * (12.0005273818969 -B$8)</f>
        <v>12.0005273818969</v>
      </c>
      <c r="D59">
        <f>D$9 * (156.92300415039 -D$8)</f>
        <v>156.92300415039</v>
      </c>
      <c r="E59">
        <f>E$9 * (91.9795379638671 -E$8)</f>
        <v>91.979537963867102</v>
      </c>
    </row>
    <row r="60" spans="1:5" x14ac:dyDescent="0.3">
      <c r="A60">
        <f>A$9 * (12.2503080368042 -A$8)</f>
        <v>12.250308036804199</v>
      </c>
      <c r="B60">
        <f>B$9 * (12.2503080368042 -B$8)</f>
        <v>12.250308036804199</v>
      </c>
      <c r="D60">
        <f>D$9 * (156.417205810546 -D$8)</f>
        <v>156.41720581054599</v>
      </c>
      <c r="E60">
        <f>E$9 * (74.5466613769531 -E$8)</f>
        <v>74.546661376953097</v>
      </c>
    </row>
    <row r="61" spans="1:5" x14ac:dyDescent="0.3">
      <c r="A61">
        <f>A$9 * (12.5001697540283 -A$8)</f>
        <v>12.500169754028301</v>
      </c>
      <c r="B61">
        <f>B$9 * (12.5001697540283 -B$8)</f>
        <v>12.500169754028301</v>
      </c>
      <c r="D61">
        <f>D$9 * (156.749298095703 -D$8)</f>
        <v>156.74929809570301</v>
      </c>
      <c r="E61">
        <f>E$9 * (57.903221130371 -E$8)</f>
        <v>57.903221130371001</v>
      </c>
    </row>
    <row r="62" spans="1:5" x14ac:dyDescent="0.3">
      <c r="A62">
        <f>A$9 * (12.7501029968261 -A$8)</f>
        <v>12.750102996826101</v>
      </c>
      <c r="B62">
        <f>B$9 * (12.7501029968261 -B$8)</f>
        <v>12.750102996826101</v>
      </c>
      <c r="D62">
        <f>D$9 * (156.766799926757 -D$8)</f>
        <v>156.76679992675699</v>
      </c>
      <c r="E62">
        <f>E$9 * (40.4312705993652 -E$8)</f>
        <v>40.431270599365199</v>
      </c>
    </row>
    <row r="63" spans="1:5" x14ac:dyDescent="0.3">
      <c r="A63">
        <f>A$9 * (13.0001249313354 -A$8)</f>
        <v>13.000124931335399</v>
      </c>
      <c r="B63">
        <f>B$9 * (13.0001249313354 -B$8)</f>
        <v>13.000124931335399</v>
      </c>
      <c r="D63">
        <f>D$9 * (156.76089477539 -D$8)</f>
        <v>156.76089477539</v>
      </c>
      <c r="E63">
        <f>E$9 * (34.3743286132812 -E$8)</f>
        <v>34.3743286132812</v>
      </c>
    </row>
    <row r="64" spans="1:5" x14ac:dyDescent="0.3">
      <c r="A64">
        <f>A$9 * (13.2501611709594 -A$8)</f>
        <v>13.2501611709594</v>
      </c>
      <c r="B64">
        <f>B$9 * (13.2501611709594 -B$8)</f>
        <v>13.2501611709594</v>
      </c>
      <c r="D64">
        <f>D$9 * (156.757705688476 -D$8)</f>
        <v>156.75770568847599</v>
      </c>
      <c r="E64">
        <f>E$9 * (41.568130493164 -E$8)</f>
        <v>41.568130493163999</v>
      </c>
    </row>
    <row r="65" spans="1:5" x14ac:dyDescent="0.3">
      <c r="A65">
        <f>A$9 * (13.5004529953002 -A$8)</f>
        <v>13.500452995300201</v>
      </c>
      <c r="B65">
        <f>B$9 * (13.5004529953002 -B$8)</f>
        <v>13.500452995300201</v>
      </c>
      <c r="D65">
        <f>D$9 * (156.755493164062 -D$8)</f>
        <v>156.75549316406199</v>
      </c>
      <c r="E65">
        <f>E$9 * (50.4411010742187 -E$8)</f>
        <v>50.4411010742187</v>
      </c>
    </row>
    <row r="66" spans="1:5" x14ac:dyDescent="0.3">
      <c r="A66">
        <f>A$9 * (13.7502555847168 -A$8)</f>
        <v>13.7502555847168</v>
      </c>
      <c r="B66">
        <f>B$9 * (13.7502555847168 -B$8)</f>
        <v>13.7502555847168</v>
      </c>
      <c r="D66">
        <f>D$9 * (156.758102416992 -D$8)</f>
        <v>156.75810241699199</v>
      </c>
      <c r="E66">
        <f>E$9 * (58.9622001647949 -E$8)</f>
        <v>58.962200164794901</v>
      </c>
    </row>
    <row r="67" spans="1:5" x14ac:dyDescent="0.3">
      <c r="A67">
        <f>A$9 * (14.0000057220459 -A$8)</f>
        <v>14.0000057220459</v>
      </c>
      <c r="B67">
        <f>B$9 * (14.0000057220459 -B$8)</f>
        <v>14.0000057220459</v>
      </c>
      <c r="D67">
        <f>D$9 * (156.758605957031 -D$8)</f>
        <v>156.75860595703099</v>
      </c>
      <c r="E67">
        <f>E$9 * (67.3943710327148 -E$8)</f>
        <v>67.394371032714801</v>
      </c>
    </row>
    <row r="68" spans="1:5" x14ac:dyDescent="0.3">
      <c r="A68">
        <f>A$9 * (14.2500476837158 -A$8)</f>
        <v>14.250047683715801</v>
      </c>
      <c r="B68">
        <f>B$9 * (14.2500476837158 -B$8)</f>
        <v>14.250047683715801</v>
      </c>
      <c r="D68">
        <f>D$9 * (156.837997436523 -D$8)</f>
        <v>156.83799743652301</v>
      </c>
      <c r="E68">
        <f>E$9 * (75.2642822265625 -E$8)</f>
        <v>75.2642822265625</v>
      </c>
    </row>
    <row r="69" spans="1:5" x14ac:dyDescent="0.3">
      <c r="A69">
        <f>A$9 * (14.5001668930053 -A$8)</f>
        <v>14.5001668930053</v>
      </c>
      <c r="B69">
        <f>B$9 * (14.5001668930053 -B$8)</f>
        <v>14.5001668930053</v>
      </c>
      <c r="D69">
        <f>D$9 * (156.755996704101 -D$8)</f>
        <v>156.75599670410099</v>
      </c>
      <c r="E69">
        <f>E$9 * (61.8979110717773 -E$8)</f>
        <v>61.897911071777301</v>
      </c>
    </row>
    <row r="70" spans="1:5" x14ac:dyDescent="0.3">
      <c r="A70">
        <f>A$9 * (14.7503108978271 -A$8)</f>
        <v>14.7503108978271</v>
      </c>
      <c r="B70">
        <f>B$9 * (14.7503108978271 -B$8)</f>
        <v>14.7503108978271</v>
      </c>
      <c r="D70">
        <f>D$9 * (156.758102416992 -D$8)</f>
        <v>156.75810241699199</v>
      </c>
      <c r="E70">
        <f>E$9 * (58.7845115661621 -E$8)</f>
        <v>58.784511566162102</v>
      </c>
    </row>
    <row r="71" spans="1:5" x14ac:dyDescent="0.3">
      <c r="A71">
        <f>A$9 * (15.0002365112304 -A$8)</f>
        <v>15.000236511230399</v>
      </c>
      <c r="B71">
        <f>B$9 * (15.0002365112304 -B$8)</f>
        <v>15.000236511230399</v>
      </c>
      <c r="D71">
        <f>D$9 * (156.759201049804 -D$8)</f>
        <v>156.75920104980401</v>
      </c>
      <c r="E71">
        <f>E$9 * (67.916893005371 -E$8)</f>
        <v>67.916893005370994</v>
      </c>
    </row>
    <row r="72" spans="1:5" x14ac:dyDescent="0.3">
      <c r="A72">
        <f>A$9 * (15.2507247924804 -A$8)</f>
        <v>15.250724792480399</v>
      </c>
      <c r="B72">
        <f>B$9 * (15.2507247924804 -B$8)</f>
        <v>15.250724792480399</v>
      </c>
      <c r="D72">
        <f>D$9 * (156.891998291015 -D$8)</f>
        <v>156.891998291015</v>
      </c>
      <c r="E72">
        <f>E$9 * (77.3188018798828 -E$8)</f>
        <v>77.318801879882798</v>
      </c>
    </row>
    <row r="73" spans="1:5" x14ac:dyDescent="0.3">
      <c r="A73">
        <f>A$9 * (15.5000858306884 -A$8)</f>
        <v>15.5000858306884</v>
      </c>
      <c r="B73">
        <f>B$9 * (15.5000858306884 -B$8)</f>
        <v>15.5000858306884</v>
      </c>
      <c r="D73">
        <f>D$9 * (156.786300659179 -D$8)</f>
        <v>156.78630065917901</v>
      </c>
      <c r="E73">
        <f>E$9 * (86.7796936035156 -E$8)</f>
        <v>86.779693603515597</v>
      </c>
    </row>
    <row r="74" spans="1:5" x14ac:dyDescent="0.3">
      <c r="A74">
        <f>A$9 * (15.7507801055908 -A$8)</f>
        <v>15.750780105590801</v>
      </c>
      <c r="B74">
        <f>B$9 * (15.7507801055908 -B$8)</f>
        <v>15.750780105590801</v>
      </c>
      <c r="D74">
        <f>D$9 * (156.946395874023 -D$8)</f>
        <v>156.94639587402301</v>
      </c>
      <c r="E74">
        <f>E$9 * (95.9787292480468 -E$8)</f>
        <v>95.978729248046804</v>
      </c>
    </row>
    <row r="75" spans="1:5" x14ac:dyDescent="0.3">
      <c r="A75">
        <f>A$9 * (16.0000858306884 -A$8)</f>
        <v>16.000085830688398</v>
      </c>
      <c r="B75">
        <f>B$9 * (16.0000858306884 -B$8)</f>
        <v>16.000085830688398</v>
      </c>
      <c r="D75">
        <f>D$9 * (156.610305786132 -D$8)</f>
        <v>156.61030578613199</v>
      </c>
      <c r="E75">
        <f>E$9 * (66.5899200439453 -E$8)</f>
        <v>66.589920043945298</v>
      </c>
    </row>
    <row r="76" spans="1:5" x14ac:dyDescent="0.3">
      <c r="A76">
        <f>A$9 * (16.2500228881835 -A$8)</f>
        <v>16.250022888183501</v>
      </c>
      <c r="B76">
        <f>B$9 * (16.2500228881835 -B$8)</f>
        <v>16.250022888183501</v>
      </c>
      <c r="D76">
        <f>D$9 * (156.776306152343 -D$8)</f>
        <v>156.77630615234301</v>
      </c>
      <c r="E76">
        <f>E$9 * (68.3865127563476 -E$8)</f>
        <v>68.386512756347599</v>
      </c>
    </row>
    <row r="77" spans="1:5" x14ac:dyDescent="0.3">
      <c r="A77">
        <f>A$9 * (16.5002975463867 -A$8)</f>
        <v>16.500297546386701</v>
      </c>
      <c r="B77">
        <f>B$9 * (16.5002975463867 -B$8)</f>
        <v>16.500297546386701</v>
      </c>
      <c r="D77">
        <f>D$9 * (156.810104370117 -D$8)</f>
        <v>156.81010437011699</v>
      </c>
      <c r="E77">
        <f>E$9 * (77.5248718261718 -E$8)</f>
        <v>77.524871826171804</v>
      </c>
    </row>
    <row r="78" spans="1:5" x14ac:dyDescent="0.3">
      <c r="A78">
        <f>A$9 * (16.7504501342773 -A$8)</f>
        <v>16.750450134277301</v>
      </c>
      <c r="B78">
        <f>B$9 * (16.7504501342773 -B$8)</f>
        <v>16.750450134277301</v>
      </c>
      <c r="D78">
        <f>D$9 * (156.778106689453 -D$8)</f>
        <v>156.77810668945301</v>
      </c>
      <c r="E78">
        <f>E$9 * (86.6485900878906 -E$8)</f>
        <v>86.648590087890597</v>
      </c>
    </row>
    <row r="79" spans="1:5" x14ac:dyDescent="0.3">
      <c r="A79">
        <f>A$9 * (17.0007610321044 -A$8)</f>
        <v>17.0007610321044</v>
      </c>
      <c r="B79">
        <f>B$9 * (17.0007610321044 -B$8)</f>
        <v>17.0007610321044</v>
      </c>
      <c r="D79">
        <f>D$9 * (156.765304565429 -D$8)</f>
        <v>156.76530456542901</v>
      </c>
      <c r="E79">
        <f>E$9 * (93.1976318359375 -E$8)</f>
        <v>93.1976318359375</v>
      </c>
    </row>
    <row r="80" spans="1:5" x14ac:dyDescent="0.3">
      <c r="A80">
        <f>A$9 * (17.250202178955 -A$8)</f>
        <v>17.250202178955</v>
      </c>
      <c r="B80">
        <f>B$9 * (17.250202178955 -B$8)</f>
        <v>17.250202178955</v>
      </c>
      <c r="D80">
        <f>D$9 * (156.707199096679 -D$8)</f>
        <v>156.70719909667901</v>
      </c>
      <c r="E80">
        <f>E$9 * (60.3382415771484 -E$8)</f>
        <v>60.338241577148402</v>
      </c>
    </row>
    <row r="81" spans="1:5" x14ac:dyDescent="0.3">
      <c r="A81">
        <f>A$9 * (17.500144958496 -A$8)</f>
        <v>17.500144958496001</v>
      </c>
      <c r="B81">
        <f>B$9 * (17.500144958496 -B$8)</f>
        <v>17.500144958496001</v>
      </c>
      <c r="D81">
        <f>D$9 * (156.783004760742 -D$8)</f>
        <v>156.78300476074199</v>
      </c>
      <c r="E81">
        <f>E$9 * (49.3870887756347 -E$8)</f>
        <v>49.387088775634702</v>
      </c>
    </row>
    <row r="82" spans="1:5" x14ac:dyDescent="0.3">
      <c r="A82">
        <f>A$9 * (17.7501258850097 -A$8)</f>
        <v>17.750125885009702</v>
      </c>
      <c r="B82">
        <f>B$9 * (17.7501258850097 -B$8)</f>
        <v>17.750125885009702</v>
      </c>
      <c r="D82">
        <f>D$9 * (156.759201049804 -D$8)</f>
        <v>156.75920104980401</v>
      </c>
      <c r="E82">
        <f>E$9 * (35.8873291015625 -E$8)</f>
        <v>35.8873291015625</v>
      </c>
    </row>
    <row r="83" spans="1:5" x14ac:dyDescent="0.3">
      <c r="A83">
        <f>A$9 * (18.0000171661377 -A$8)</f>
        <v>18.000017166137699</v>
      </c>
      <c r="B83">
        <f>B$9 * (18.0000171661377 -B$8)</f>
        <v>18.000017166137699</v>
      </c>
      <c r="D83">
        <f>D$9 * (156.759292602539 -D$8)</f>
        <v>156.75929260253901</v>
      </c>
      <c r="E83">
        <f>E$9 * (36.7798118591308 -E$8)</f>
        <v>36.779811859130803</v>
      </c>
    </row>
    <row r="84" spans="1:5" x14ac:dyDescent="0.3">
      <c r="A84">
        <f>A$9 * (18.2500629425048 -A$8)</f>
        <v>18.250062942504801</v>
      </c>
      <c r="B84">
        <f>B$9 * (18.2500629425048 -B$8)</f>
        <v>18.250062942504801</v>
      </c>
      <c r="D84">
        <f>D$9 * (156.75650024414 -D$8)</f>
        <v>156.75650024414</v>
      </c>
      <c r="E84">
        <f>E$9 * (45.2466087341308 -E$8)</f>
        <v>45.246608734130803</v>
      </c>
    </row>
    <row r="85" spans="1:5" x14ac:dyDescent="0.3">
      <c r="A85">
        <f>A$9 * (18.5005435943603 -A$8)</f>
        <v>18.500543594360298</v>
      </c>
      <c r="B85">
        <f>B$9 * (18.5005435943603 -B$8)</f>
        <v>18.500543594360298</v>
      </c>
      <c r="D85">
        <f>D$9 * (156.757598876953 -D$8)</f>
        <v>156.75759887695301</v>
      </c>
      <c r="E85">
        <f>E$9 * (54.2210388183593 -E$8)</f>
        <v>54.221038818359297</v>
      </c>
    </row>
    <row r="86" spans="1:5" x14ac:dyDescent="0.3">
      <c r="A86">
        <f>A$9 * (18.7505912780761 -A$8)</f>
        <v>18.750591278076101</v>
      </c>
      <c r="B86">
        <f>B$9 * (18.7505912780761 -B$8)</f>
        <v>18.750591278076101</v>
      </c>
      <c r="D86">
        <f>D$9 * (156.758193969726 -D$8)</f>
        <v>156.75819396972599</v>
      </c>
      <c r="E86">
        <f>E$9 * (62.6291618347168 -E$8)</f>
        <v>62.629161834716797</v>
      </c>
    </row>
    <row r="87" spans="1:5" x14ac:dyDescent="0.3">
      <c r="A87">
        <f>A$9 * (19.0007057189941 -A$8)</f>
        <v>19.000705718994102</v>
      </c>
      <c r="B87">
        <f>B$9 * (19.0007057189941 -B$8)</f>
        <v>19.000705718994102</v>
      </c>
      <c r="D87">
        <f>D$9 * (156.761001586914 -D$8)</f>
        <v>156.76100158691401</v>
      </c>
      <c r="E87">
        <f>E$9 * (70.7980117797851 -E$8)</f>
        <v>70.798011779785099</v>
      </c>
    </row>
    <row r="88" spans="1:5" x14ac:dyDescent="0.3">
      <c r="A88">
        <f>A$9 * (19.2506256103515 -A$8)</f>
        <v>19.250625610351499</v>
      </c>
      <c r="B88">
        <f>B$9 * (19.2506256103515 -B$8)</f>
        <v>19.250625610351499</v>
      </c>
      <c r="D88">
        <f>D$9 * (156.772705078125 -D$8)</f>
        <v>156.772705078125</v>
      </c>
      <c r="E88">
        <f>E$9 * (77.5937118530273 -E$8)</f>
        <v>77.593711853027301</v>
      </c>
    </row>
    <row r="89" spans="1:5" x14ac:dyDescent="0.3">
      <c r="A89">
        <f>A$9 * (19.5002250671386 -A$8)</f>
        <v>19.500225067138601</v>
      </c>
      <c r="B89">
        <f>B$9 * (19.5002250671386 -B$8)</f>
        <v>19.500225067138601</v>
      </c>
      <c r="D89">
        <f>D$9 * (156.75520324707 -D$8)</f>
        <v>156.75520324707</v>
      </c>
      <c r="E89">
        <f>E$9 * (55.4458999633789 -E$8)</f>
        <v>55.445899963378899</v>
      </c>
    </row>
    <row r="90" spans="1:5" x14ac:dyDescent="0.3">
      <c r="A90">
        <f>A$9 * (19.7506504058837 -A$8)</f>
        <v>19.7506504058837</v>
      </c>
      <c r="B90">
        <f>B$9 * (19.7506504058837 -B$8)</f>
        <v>19.7506504058837</v>
      </c>
      <c r="D90">
        <f>D$9 * (156.759796142578 -D$8)</f>
        <v>156.75979614257801</v>
      </c>
      <c r="E90">
        <f>E$9 * (62.2615089416503 -E$8)</f>
        <v>62.261508941650298</v>
      </c>
    </row>
    <row r="91" spans="1:5" x14ac:dyDescent="0.3">
      <c r="A91">
        <f>A$9 * (20.0004577636718 -A$8)</f>
        <v>20.0004577636718</v>
      </c>
      <c r="B91">
        <f>B$9 * (20.0004577636718 -B$8)</f>
        <v>20.0004577636718</v>
      </c>
      <c r="D91">
        <f>D$9 * (156.685897827148 -D$8)</f>
        <v>156.68589782714801</v>
      </c>
      <c r="E91">
        <f>E$9 * (71.4863586425781 -E$8)</f>
        <v>71.486358642578097</v>
      </c>
    </row>
    <row r="92" spans="1:5" x14ac:dyDescent="0.3">
      <c r="A92">
        <f>A$9 * (20.2502841949462 -A$8)</f>
        <v>20.2502841949462</v>
      </c>
      <c r="B92">
        <f>B$9 * (20.2502841949462 -B$8)</f>
        <v>20.2502841949462</v>
      </c>
      <c r="D92">
        <f>D$9 * (156.784393310546 -D$8)</f>
        <v>156.78439331054599</v>
      </c>
      <c r="E92">
        <f>E$9 * (81.0284805297851 -E$8)</f>
        <v>81.028480529785099</v>
      </c>
    </row>
    <row r="93" spans="1:5" x14ac:dyDescent="0.3">
      <c r="A93">
        <f>A$9 * (20.5000190734863 -A$8)</f>
        <v>20.5000190734863</v>
      </c>
      <c r="B93">
        <f>B$9 * (20.5000190734863 -B$8)</f>
        <v>20.5000190734863</v>
      </c>
      <c r="D93">
        <f>D$9 * (156.882598876953 -D$8)</f>
        <v>156.88259887695301</v>
      </c>
      <c r="E93">
        <f>E$9 * (90.0196914672851 -E$8)</f>
        <v>90.019691467285099</v>
      </c>
    </row>
    <row r="94" spans="1:5" x14ac:dyDescent="0.3">
      <c r="A94">
        <f>A$9 * (20.7501049041748 -A$8)</f>
        <v>20.750104904174801</v>
      </c>
      <c r="B94">
        <f>B$9 * (20.7501049041748 -B$8)</f>
        <v>20.750104904174801</v>
      </c>
      <c r="D94">
        <f>D$9 * (156.488006591796 -D$8)</f>
        <v>156.48800659179599</v>
      </c>
      <c r="E94">
        <f>E$9 * (90.3025131225585 -E$8)</f>
        <v>90.302513122558494</v>
      </c>
    </row>
    <row r="95" spans="1:5" x14ac:dyDescent="0.3">
      <c r="A95">
        <f>A$9 * (21.000597000122 -A$8)</f>
        <v>21.000597000121999</v>
      </c>
      <c r="B95">
        <f>B$9 * (21.000597000122 -B$8)</f>
        <v>21.000597000121999</v>
      </c>
      <c r="D95">
        <f>D$9 * (156.71890258789 -D$8)</f>
        <v>156.71890258789</v>
      </c>
      <c r="E95">
        <f>E$9 * (62.9078407287597 -E$8)</f>
        <v>62.907840728759702</v>
      </c>
    </row>
    <row r="96" spans="1:5" x14ac:dyDescent="0.3">
      <c r="A96">
        <f>A$9 * (21.2500495910644 -A$8)</f>
        <v>21.2500495910644</v>
      </c>
      <c r="B96">
        <f>B$9 * (21.2500495910644 -B$8)</f>
        <v>21.2500495910644</v>
      </c>
      <c r="D96">
        <f>D$9 * (156.753799438476 -D$8)</f>
        <v>156.75379943847599</v>
      </c>
      <c r="E96">
        <f>E$9 * (71.7142028808593 -E$8)</f>
        <v>71.714202880859304</v>
      </c>
    </row>
    <row r="97" spans="1:5" x14ac:dyDescent="0.3">
      <c r="A97">
        <f>A$9 * (21.5006771087646 -A$8)</f>
        <v>21.500677108764599</v>
      </c>
      <c r="B97">
        <f>B$9 * (21.5006771087646 -B$8)</f>
        <v>21.500677108764599</v>
      </c>
      <c r="D97">
        <f>D$9 * (156.970092773437 -D$8)</f>
        <v>156.97009277343699</v>
      </c>
      <c r="E97">
        <f>E$9 * (80.9532470703125 -E$8)</f>
        <v>80.9532470703125</v>
      </c>
    </row>
    <row r="98" spans="1:5" x14ac:dyDescent="0.3">
      <c r="A98">
        <f>A$9 * (21.7505798339843 -A$8)</f>
        <v>21.7505798339843</v>
      </c>
      <c r="B98">
        <f>B$9 * (21.7505798339843 -B$8)</f>
        <v>21.7505798339843</v>
      </c>
      <c r="D98">
        <f>D$9 * (156.902099609375 -D$8)</f>
        <v>156.902099609375</v>
      </c>
      <c r="E98">
        <f>E$9 * (90.2382507324218 -E$8)</f>
        <v>90.238250732421804</v>
      </c>
    </row>
    <row r="99" spans="1:5" x14ac:dyDescent="0.3">
      <c r="A99">
        <f>A$9 * (22.0003643035888 -A$8)</f>
        <v>22.0003643035888</v>
      </c>
      <c r="B99">
        <f>B$9 * (22.0003643035888 -B$8)</f>
        <v>22.0003643035888</v>
      </c>
      <c r="D99">
        <f>D$9 * (156.471893310546 -D$8)</f>
        <v>156.47189331054599</v>
      </c>
      <c r="E99">
        <f>E$9 * (75.9051513671875 -E$8)</f>
        <v>75.9051513671875</v>
      </c>
    </row>
    <row r="100" spans="1:5" x14ac:dyDescent="0.3">
      <c r="A100">
        <f>A$9 * (22.2504425048828 -A$8)</f>
        <v>22.250442504882798</v>
      </c>
      <c r="B100">
        <f>B$9 * (22.2504425048828 -B$8)</f>
        <v>22.250442504882798</v>
      </c>
      <c r="D100">
        <f>D$9 * (156.744796752929 -D$8)</f>
        <v>156.74479675292901</v>
      </c>
      <c r="E100">
        <f>E$9 * (56.8643913269043 -E$8)</f>
        <v>56.864391326904297</v>
      </c>
    </row>
    <row r="101" spans="1:5" x14ac:dyDescent="0.3">
      <c r="A101">
        <f>A$9 * (22.5002746582031 -A$8)</f>
        <v>22.5002746582031</v>
      </c>
      <c r="B101">
        <f>B$9 * (22.5002746582031 -B$8)</f>
        <v>22.5002746582031</v>
      </c>
      <c r="D101">
        <f>D$9 * (156.768493652343 -D$8)</f>
        <v>156.76849365234301</v>
      </c>
      <c r="E101">
        <f>E$9 * (40.2318382263183 -E$8)</f>
        <v>40.231838226318303</v>
      </c>
    </row>
    <row r="102" spans="1:5" x14ac:dyDescent="0.3">
      <c r="A102">
        <f>A$9 * (22.7501583099365 -A$8)</f>
        <v>22.750158309936499</v>
      </c>
      <c r="B102">
        <f>B$9 * (22.7501583099365 -B$8)</f>
        <v>22.750158309936499</v>
      </c>
      <c r="D102">
        <f>D$9 * (156.759292602539 -D$8)</f>
        <v>156.75929260253901</v>
      </c>
      <c r="E102">
        <f>E$9 * (34.0455207824707 -E$8)</f>
        <v>34.045520782470703</v>
      </c>
    </row>
    <row r="103" spans="1:5" x14ac:dyDescent="0.3">
      <c r="A103">
        <f>A$9 * (23.000186920166 -A$8)</f>
        <v>23.000186920166001</v>
      </c>
      <c r="B103">
        <f>B$9 * (23.000186920166 -B$8)</f>
        <v>23.000186920166001</v>
      </c>
      <c r="D103">
        <f>D$9 * (156.75830078125 -D$8)</f>
        <v>156.75830078125</v>
      </c>
      <c r="E103">
        <f>E$9 * (40.7169303894043 -E$8)</f>
        <v>40.716930389404297</v>
      </c>
    </row>
    <row r="104" spans="1:5" x14ac:dyDescent="0.3">
      <c r="A104">
        <f>A$9 * (23.2501144409179 -A$8)</f>
        <v>23.250114440917901</v>
      </c>
      <c r="B104">
        <f>B$9 * (23.2501144409179 -B$8)</f>
        <v>23.250114440917901</v>
      </c>
      <c r="D104">
        <f>D$9 * (156.758499145507 -D$8)</f>
        <v>156.75849914550699</v>
      </c>
      <c r="E104">
        <f>E$9 * (49.5816688537597 -E$8)</f>
        <v>49.581668853759702</v>
      </c>
    </row>
    <row r="105" spans="1:5" x14ac:dyDescent="0.3">
      <c r="A105">
        <f>A$9 * (23.5003852844238 -A$8)</f>
        <v>23.5003852844238</v>
      </c>
      <c r="B105">
        <f>B$9 * (23.5003852844238 -B$8)</f>
        <v>23.5003852844238</v>
      </c>
      <c r="D105">
        <f>D$9 * (156.759201049804 -D$8)</f>
        <v>156.75920104980401</v>
      </c>
      <c r="E105">
        <f>E$9 * (58.0231895446777 -E$8)</f>
        <v>58.023189544677699</v>
      </c>
    </row>
    <row r="106" spans="1:5" x14ac:dyDescent="0.3">
      <c r="A106">
        <f>A$9 * (23.7501773834228 -A$8)</f>
        <v>23.750177383422798</v>
      </c>
      <c r="B106">
        <f>B$9 * (23.7501773834228 -B$8)</f>
        <v>23.750177383422798</v>
      </c>
      <c r="D106">
        <f>D$9 * (156.757995605468 -D$8)</f>
        <v>156.75799560546801</v>
      </c>
      <c r="E106">
        <f>E$9 * (66.4316329956054 -E$8)</f>
        <v>66.431632995605398</v>
      </c>
    </row>
    <row r="107" spans="1:5" x14ac:dyDescent="0.3">
      <c r="A107">
        <f>A$9 * (24.0006389617919 -A$8)</f>
        <v>24.0006389617919</v>
      </c>
      <c r="B107">
        <f>B$9 * (24.0006389617919 -B$8)</f>
        <v>24.0006389617919</v>
      </c>
      <c r="D107">
        <f>D$9 * (156.777603149414 -D$8)</f>
        <v>156.77760314941401</v>
      </c>
      <c r="E107">
        <f>E$9 * (74.289306640625 -E$8)</f>
        <v>74.289306640625</v>
      </c>
    </row>
    <row r="108" spans="1:5" x14ac:dyDescent="0.3">
      <c r="A108">
        <f>A$9 * (24.2506370544433 -A$8)</f>
        <v>24.250637054443299</v>
      </c>
      <c r="B108">
        <f>B$9 * (24.2506370544433 -B$8)</f>
        <v>24.250637054443299</v>
      </c>
      <c r="D108">
        <f>D$9 * (156.754699707031 -D$8)</f>
        <v>156.75469970703099</v>
      </c>
      <c r="E108">
        <f>E$9 * (64.2800903320312 -E$8)</f>
        <v>64.280090332031193</v>
      </c>
    </row>
    <row r="109" spans="1:5" x14ac:dyDescent="0.3">
      <c r="A109">
        <f>A$9 * (24.5004806518554 -A$8)</f>
        <v>24.500480651855401</v>
      </c>
      <c r="B109">
        <f>B$9 * (24.5004806518554 -B$8)</f>
        <v>24.500480651855401</v>
      </c>
      <c r="D109">
        <f>D$9 * (156.758804321289 -D$8)</f>
        <v>156.75880432128901</v>
      </c>
      <c r="E109">
        <f>E$9 * (58.0338592529296 -E$8)</f>
        <v>58.033859252929602</v>
      </c>
    </row>
    <row r="110" spans="1:5" x14ac:dyDescent="0.3">
      <c r="A110">
        <f>A$9 * (24.7500858306884 -A$8)</f>
        <v>24.750085830688398</v>
      </c>
      <c r="B110">
        <f>B$9 * (24.7500858306884 -B$8)</f>
        <v>24.750085830688398</v>
      </c>
      <c r="D110">
        <f>D$9 * (156.753799438476 -D$8)</f>
        <v>156.75379943847599</v>
      </c>
      <c r="E110">
        <f>E$9 * (67.1577072143554 -E$8)</f>
        <v>67.157707214355398</v>
      </c>
    </row>
    <row r="111" spans="1:5" x14ac:dyDescent="0.3">
      <c r="A111">
        <f>A$9 * (25.0004425048828 -A$8)</f>
        <v>25.000442504882798</v>
      </c>
      <c r="B111">
        <f>B$9 * (25.0004425048828 -B$8)</f>
        <v>25.000442504882798</v>
      </c>
      <c r="D111">
        <f>D$9 * (156.871200561523 -D$8)</f>
        <v>156.87120056152301</v>
      </c>
      <c r="E111">
        <f>E$9 * (76.3578720092773 -E$8)</f>
        <v>76.357872009277301</v>
      </c>
    </row>
    <row r="112" spans="1:5" x14ac:dyDescent="0.3">
      <c r="A112">
        <f>A$9 * (25.2506084442138 -A$8)</f>
        <v>25.2506084442138</v>
      </c>
      <c r="B112">
        <f>B$9 * (25.2506084442138 -B$8)</f>
        <v>25.2506084442138</v>
      </c>
      <c r="D112">
        <f>D$9 * (156.715393066406 -D$8)</f>
        <v>156.71539306640599</v>
      </c>
      <c r="E112">
        <f>E$9 * (85.755126953125 -E$8)</f>
        <v>85.755126953125</v>
      </c>
    </row>
    <row r="113" spans="1:5" x14ac:dyDescent="0.3">
      <c r="A113">
        <f>A$9 * (25.5000686645507 -A$8)</f>
        <v>25.5000686645507</v>
      </c>
      <c r="B113">
        <f>B$9 * (25.5000686645507 -B$8)</f>
        <v>25.5000686645507</v>
      </c>
      <c r="D113">
        <f>D$9 * (156.936294555664 -D$8)</f>
        <v>156.93629455566401</v>
      </c>
      <c r="E113">
        <f>E$9 * (94.87158203125 -E$8)</f>
        <v>94.87158203125</v>
      </c>
    </row>
    <row r="114" spans="1:5" x14ac:dyDescent="0.3">
      <c r="A114">
        <f>A$9 * (25.7504520416259 -A$8)</f>
        <v>25.750452041625898</v>
      </c>
      <c r="B114">
        <f>B$9 * (25.7504520416259 -B$8)</f>
        <v>25.750452041625898</v>
      </c>
      <c r="D114">
        <f>D$9 * (156.409805297851 -D$8)</f>
        <v>156.40980529785099</v>
      </c>
      <c r="E114">
        <f>E$9 * (71.048728942871 -E$8)</f>
        <v>71.048728942870994</v>
      </c>
    </row>
    <row r="115" spans="1:5" x14ac:dyDescent="0.3">
      <c r="A115">
        <f>A$9 * (26.0002918243408 -A$8)</f>
        <v>26.000291824340799</v>
      </c>
      <c r="B115">
        <f>B$9 * (26.0002918243408 -B$8)</f>
        <v>26.000291824340799</v>
      </c>
      <c r="D115">
        <f>D$9 * (156.763595581054 -D$8)</f>
        <v>156.76359558105401</v>
      </c>
      <c r="E115">
        <f>E$9 * (67.4904327392578 -E$8)</f>
        <v>67.490432739257798</v>
      </c>
    </row>
    <row r="116" spans="1:5" x14ac:dyDescent="0.3">
      <c r="A116">
        <f>A$9 * (26.250202178955 -A$8)</f>
        <v>26.250202178955</v>
      </c>
      <c r="B116">
        <f>B$9 * (26.250202178955 -B$8)</f>
        <v>26.250202178955</v>
      </c>
      <c r="D116">
        <f>D$9 * (156.809005737304 -D$8)</f>
        <v>156.80900573730401</v>
      </c>
      <c r="E116">
        <f>E$9 * (76.5010604858398 -E$8)</f>
        <v>76.501060485839801</v>
      </c>
    </row>
    <row r="117" spans="1:5" x14ac:dyDescent="0.3">
      <c r="A117">
        <f>A$9 * (26.5007190704345 -A$8)</f>
        <v>26.500719070434499</v>
      </c>
      <c r="B117">
        <f>B$9 * (26.5007190704345 -B$8)</f>
        <v>26.500719070434499</v>
      </c>
      <c r="D117">
        <f>D$9 * (156.711807250976 -D$8)</f>
        <v>156.71180725097599</v>
      </c>
      <c r="E117">
        <f>E$9 * (85.6036376953125 -E$8)</f>
        <v>85.6036376953125</v>
      </c>
    </row>
    <row r="118" spans="1:5" x14ac:dyDescent="0.3">
      <c r="A118">
        <f>A$9 * (26.7503509521484 -A$8)</f>
        <v>26.750350952148398</v>
      </c>
      <c r="B118">
        <f>B$9 * (26.7503509521484 -B$8)</f>
        <v>26.750350952148398</v>
      </c>
      <c r="D118">
        <f>D$9 * (156.880599975585 -D$8)</f>
        <v>156.880599975585</v>
      </c>
      <c r="E118">
        <f>E$9 * (93.9424133300781 -E$8)</f>
        <v>93.942413330078097</v>
      </c>
    </row>
    <row r="119" spans="1:5" x14ac:dyDescent="0.3">
      <c r="A119">
        <f>A$9 * (27.0004386901855 -A$8)</f>
        <v>27.000438690185501</v>
      </c>
      <c r="B119">
        <f>B$9 * (27.0004386901855 -B$8)</f>
        <v>27.000438690185501</v>
      </c>
      <c r="D119">
        <f>D$9 * (156.68179321289 -D$8)</f>
        <v>156.68179321289</v>
      </c>
      <c r="E119">
        <f>E$9 * (62.8708114624023 -E$8)</f>
        <v>62.870811462402301</v>
      </c>
    </row>
    <row r="120" spans="1:5" x14ac:dyDescent="0.3">
      <c r="A120">
        <f>A$9 * (27.2502479553222 -A$8)</f>
        <v>27.250247955322202</v>
      </c>
      <c r="B120">
        <f>B$9 * (27.2502479553222 -B$8)</f>
        <v>27.250247955322202</v>
      </c>
      <c r="D120">
        <f>D$9 * (156.781005859375 -D$8)</f>
        <v>156.781005859375</v>
      </c>
      <c r="E120">
        <f>E$9 * (51.5554008483886 -E$8)</f>
        <v>51.555400848388601</v>
      </c>
    </row>
    <row r="121" spans="1:5" x14ac:dyDescent="0.3">
      <c r="A121">
        <f>A$9 * (27.5003223419189 -A$8)</f>
        <v>27.500322341918899</v>
      </c>
      <c r="B121">
        <f>B$9 * (27.5003223419189 -B$8)</f>
        <v>27.500322341918899</v>
      </c>
      <c r="D121">
        <f>D$9 * (156.761596679687 -D$8)</f>
        <v>156.76159667968699</v>
      </c>
      <c r="E121">
        <f>E$9 * (36.8197784423828 -E$8)</f>
        <v>36.819778442382798</v>
      </c>
    </row>
    <row r="122" spans="1:5" x14ac:dyDescent="0.3">
      <c r="A122">
        <f>A$9 * (27.7501811981201 -A$8)</f>
        <v>27.750181198120099</v>
      </c>
      <c r="B122">
        <f>B$9 * (27.7501811981201 -B$8)</f>
        <v>27.750181198120099</v>
      </c>
      <c r="D122">
        <f>D$9 * (156.757095336914 -D$8)</f>
        <v>156.75709533691401</v>
      </c>
      <c r="E122">
        <f>E$9 * (36.0817604064941 -E$8)</f>
        <v>36.081760406494098</v>
      </c>
    </row>
    <row r="123" spans="1:5" x14ac:dyDescent="0.3">
      <c r="A123">
        <f>A$9 * (28.0000286102294 -A$8)</f>
        <v>28.0000286102294</v>
      </c>
      <c r="B123">
        <f>B$9 * (28.0000286102294 -B$8)</f>
        <v>28.0000286102294</v>
      </c>
      <c r="D123">
        <f>D$9 * (156.759094238281 -D$8)</f>
        <v>156.75909423828099</v>
      </c>
      <c r="E123">
        <f>E$9 * (44.2203712463378 -E$8)</f>
        <v>44.220371246337798</v>
      </c>
    </row>
    <row r="124" spans="1:5" x14ac:dyDescent="0.3">
      <c r="A124">
        <f>A$9 * (28.2500286102294 -A$8)</f>
        <v>28.2500286102294</v>
      </c>
      <c r="B124">
        <f>B$9 * (28.2500286102294 -B$8)</f>
        <v>28.2500286102294</v>
      </c>
      <c r="D124">
        <f>D$9 * (156.755905151367 -D$8)</f>
        <v>156.75590515136699</v>
      </c>
      <c r="E124">
        <f>E$9 * (52.9528503417968 -E$8)</f>
        <v>52.952850341796797</v>
      </c>
    </row>
    <row r="125" spans="1:5" x14ac:dyDescent="0.3">
      <c r="A125">
        <f>A$9 * (28.5002784729003 -A$8)</f>
        <v>28.500278472900298</v>
      </c>
      <c r="B125">
        <f>B$9 * (28.5002784729003 -B$8)</f>
        <v>28.500278472900298</v>
      </c>
      <c r="D125">
        <f>D$9 * (156.757400512695 -D$8)</f>
        <v>156.757400512695</v>
      </c>
      <c r="E125">
        <f>E$9 * (61.3724899291992 -E$8)</f>
        <v>61.372489929199197</v>
      </c>
    </row>
    <row r="126" spans="1:5" x14ac:dyDescent="0.3">
      <c r="A126">
        <f>A$9 * (28.7501106262207 -A$8)</f>
        <v>28.7501106262207</v>
      </c>
      <c r="B126">
        <f>B$9 * (28.7501106262207 -B$8)</f>
        <v>28.7501106262207</v>
      </c>
      <c r="D126">
        <f>D$9 * (156.760604858398 -D$8)</f>
        <v>156.76060485839801</v>
      </c>
      <c r="E126">
        <f>E$9 * (69.5001678466796 -E$8)</f>
        <v>69.500167846679602</v>
      </c>
    </row>
    <row r="127" spans="1:5" x14ac:dyDescent="0.3">
      <c r="A127">
        <f>A$9 * (29.0006103515625 -A$8)</f>
        <v>29.0006103515625</v>
      </c>
      <c r="B127">
        <f>B$9 * (29.0006103515625 -B$8)</f>
        <v>29.0006103515625</v>
      </c>
      <c r="D127">
        <f>D$9 * (156.856903076171 -D$8)</f>
        <v>156.85690307617099</v>
      </c>
      <c r="E127">
        <f>E$9 * (76.4626083374023 -E$8)</f>
        <v>76.462608337402301</v>
      </c>
    </row>
    <row r="128" spans="1:5" x14ac:dyDescent="0.3">
      <c r="A128">
        <f>A$9 * (29.2502498626709 -A$8)</f>
        <v>29.250249862670898</v>
      </c>
      <c r="B128">
        <f>B$9 * (29.2502498626709 -B$8)</f>
        <v>29.250249862670898</v>
      </c>
      <c r="D128">
        <f>D$9 * (156.756301879882 -D$8)</f>
        <v>156.75630187988199</v>
      </c>
      <c r="E128">
        <f>E$9 * (55.5113792419433 -E$8)</f>
        <v>55.511379241943303</v>
      </c>
    </row>
    <row r="129" spans="1:5" x14ac:dyDescent="0.3">
      <c r="A129">
        <f>A$9 * (29.5004730224609 -A$8)</f>
        <v>29.500473022460898</v>
      </c>
      <c r="B129">
        <f>B$9 * (29.5004730224609 -B$8)</f>
        <v>29.500473022460898</v>
      </c>
      <c r="D129">
        <f>D$9 * (156.75959777832 -D$8)</f>
        <v>156.75959777832</v>
      </c>
      <c r="E129">
        <f>E$9 * (61.9545402526855 -E$8)</f>
        <v>61.954540252685497</v>
      </c>
    </row>
    <row r="130" spans="1:5" x14ac:dyDescent="0.3">
      <c r="A130">
        <f>A$9 * (29.7501106262207 -A$8)</f>
        <v>29.7501106262207</v>
      </c>
      <c r="B130">
        <f>B$9 * (29.7501106262207 -B$8)</f>
        <v>29.7501106262207</v>
      </c>
      <c r="D130">
        <f>D$9 * (156.733901977539 -D$8)</f>
        <v>156.73390197753901</v>
      </c>
      <c r="E130">
        <f>E$9 * (71.1173477172851 -E$8)</f>
        <v>71.117347717285099</v>
      </c>
    </row>
    <row r="131" spans="1:5" x14ac:dyDescent="0.3">
      <c r="A131">
        <f>A$9 * (30.0002498626709 -A$8)</f>
        <v>30.000249862670898</v>
      </c>
      <c r="B131">
        <f>B$9 * (30.0002498626709 -B$8)</f>
        <v>30.000249862670898</v>
      </c>
      <c r="D131">
        <f>D$9 * (156.951400756835 -D$8)</f>
        <v>156.951400756835</v>
      </c>
      <c r="E131">
        <f>E$9 * (80.4617614746093 -E$8)</f>
        <v>80.461761474609304</v>
      </c>
    </row>
    <row r="132" spans="1:5" x14ac:dyDescent="0.3">
      <c r="A132">
        <f>A$9 * (30.25 -A$8)</f>
        <v>30.25</v>
      </c>
      <c r="B132">
        <f>B$9 * (30.25 -B$8)</f>
        <v>30.25</v>
      </c>
      <c r="D132">
        <f>D$9 * (156.876800537109 -D$8)</f>
        <v>156.87680053710901</v>
      </c>
      <c r="E132">
        <f>E$9 * (89.5288772583007 -E$8)</f>
        <v>89.528877258300696</v>
      </c>
    </row>
    <row r="133" spans="1:5" x14ac:dyDescent="0.3">
      <c r="A133">
        <f>A$9 * (30.500165939331 -A$8)</f>
        <v>30.500165939331001</v>
      </c>
      <c r="B133">
        <f>B$9 * (30.500165939331 -B$8)</f>
        <v>30.500165939331001</v>
      </c>
      <c r="D133">
        <f>D$9 * (156.583206176757 -D$8)</f>
        <v>156.58320617675699</v>
      </c>
      <c r="E133">
        <f>E$9 * (92.1379699707031 -E$8)</f>
        <v>92.137969970703097</v>
      </c>
    </row>
    <row r="134" spans="1:5" x14ac:dyDescent="0.3">
      <c r="A134">
        <f>A$9 * (30.7505836486816 -A$8)</f>
        <v>30.750583648681602</v>
      </c>
      <c r="B134">
        <f>B$9 * (30.7505836486816 -B$8)</f>
        <v>30.750583648681602</v>
      </c>
      <c r="D134">
        <f>D$9 * (156.715606689453 -D$8)</f>
        <v>156.71560668945301</v>
      </c>
      <c r="E134">
        <f>E$9 * (62.9086799621582 -E$8)</f>
        <v>62.908679962158203</v>
      </c>
    </row>
    <row r="135" spans="1:5" x14ac:dyDescent="0.3">
      <c r="A135">
        <f>A$9 * (31.0000839233398 -A$8)</f>
        <v>31.000083923339801</v>
      </c>
      <c r="B135">
        <f>B$9 * (31.0000839233398 -B$8)</f>
        <v>31.000083923339801</v>
      </c>
      <c r="D135">
        <f>D$9 * (156.719299316406 -D$8)</f>
        <v>156.71929931640599</v>
      </c>
      <c r="E135">
        <f>E$9 * (71.3473510742187 -E$8)</f>
        <v>71.347351074218693</v>
      </c>
    </row>
    <row r="136" spans="1:5" x14ac:dyDescent="0.3">
      <c r="A136">
        <f>A$9 * (31.2502784729003 -A$8)</f>
        <v>31.250278472900298</v>
      </c>
      <c r="B136">
        <f>B$9 * (31.2502784729003 -B$8)</f>
        <v>31.250278472900298</v>
      </c>
      <c r="D136">
        <f>D$9 * (156.948104858398 -D$8)</f>
        <v>156.94810485839801</v>
      </c>
      <c r="E136">
        <f>E$9 * (80.4513702392578 -E$8)</f>
        <v>80.451370239257798</v>
      </c>
    </row>
    <row r="137" spans="1:5" x14ac:dyDescent="0.3">
      <c r="A137">
        <f>A$9 * (31.5003337860107 -A$8)</f>
        <v>31.5003337860107</v>
      </c>
      <c r="B137">
        <f>B$9 * (31.5003337860107 -B$8)</f>
        <v>31.5003337860107</v>
      </c>
      <c r="D137">
        <f>D$9 * (156.889099121093 -D$8)</f>
        <v>156.88909912109301</v>
      </c>
      <c r="E137">
        <f>E$9 * (89.6302337646484 -E$8)</f>
        <v>89.630233764648395</v>
      </c>
    </row>
    <row r="138" spans="1:5" x14ac:dyDescent="0.3">
      <c r="A138">
        <f>A$9 * (31.7501945495605 -A$8)</f>
        <v>31.750194549560501</v>
      </c>
      <c r="B138">
        <f>B$9 * (31.7501945495605 -B$8)</f>
        <v>31.750194549560501</v>
      </c>
      <c r="D138">
        <f>D$9 * (156.397903442382 -D$8)</f>
        <v>156.39790344238199</v>
      </c>
      <c r="E138">
        <f>E$9 * (85.654296875 -E$8)</f>
        <v>85.654296875</v>
      </c>
    </row>
    <row r="139" spans="1:5" x14ac:dyDescent="0.3">
      <c r="A139">
        <f>A$9 * (32.00044631958 -A$8)</f>
        <v>32.00044631958</v>
      </c>
      <c r="B139">
        <f>B$9 * (32.00044631958 -B$8)</f>
        <v>32.00044631958</v>
      </c>
      <c r="D139">
        <f>D$9 * (156.729705810546 -D$8)</f>
        <v>156.72970581054599</v>
      </c>
      <c r="E139">
        <f>E$9 * (59.4553489685058 -E$8)</f>
        <v>59.455348968505803</v>
      </c>
    </row>
    <row r="140" spans="1:5" x14ac:dyDescent="0.3">
      <c r="A140">
        <f>A$9 * (32.250389099121 -A$8)</f>
        <v>32.250389099121001</v>
      </c>
      <c r="B140">
        <f>B$9 * (32.250389099121 -B$8)</f>
        <v>32.250389099121001</v>
      </c>
      <c r="D140">
        <f>D$9 * (156.775695800781 -D$8)</f>
        <v>156.77569580078099</v>
      </c>
      <c r="E140">
        <f>E$9 * (44.6498413085937 -E$8)</f>
        <v>44.6498413085937</v>
      </c>
    </row>
    <row r="141" spans="1:5" x14ac:dyDescent="0.3">
      <c r="A141">
        <f>A$9 * (32.5 -A$8)</f>
        <v>32.5</v>
      </c>
      <c r="B141">
        <f>B$9 * (32.5 -B$8)</f>
        <v>32.5</v>
      </c>
      <c r="D141">
        <f>D$9 * (156.758499145507 -D$8)</f>
        <v>156.75849914550699</v>
      </c>
      <c r="E141">
        <f>E$9 * (34.6270790100097 -E$8)</f>
        <v>34.627079010009702</v>
      </c>
    </row>
    <row r="142" spans="1:5" x14ac:dyDescent="0.3">
      <c r="A142">
        <f>A$9 * (32.7503318786621 -A$8)</f>
        <v>32.750331878662102</v>
      </c>
      <c r="B142">
        <f>B$9 * (32.7503318786621 -B$8)</f>
        <v>32.750331878662102</v>
      </c>
      <c r="D142">
        <f>D$9 * (156.75830078125 -D$8)</f>
        <v>156.75830078125</v>
      </c>
      <c r="E142">
        <f>E$9 * (38.9495582580566 -E$8)</f>
        <v>38.949558258056598</v>
      </c>
    </row>
    <row r="143" spans="1:5" x14ac:dyDescent="0.3">
      <c r="A143">
        <f>A$9 * (33.0002517700195 -A$8)</f>
        <v>33.000251770019503</v>
      </c>
      <c r="B143">
        <f>B$9 * (33.0002517700195 -B$8)</f>
        <v>33.000251770019503</v>
      </c>
      <c r="D143">
        <f>D$9 * (156.760101318359 -D$8)</f>
        <v>156.76010131835901</v>
      </c>
      <c r="E143">
        <f>E$9 * (47.4905586242675 -E$8)</f>
        <v>47.4905586242675</v>
      </c>
    </row>
    <row r="144" spans="1:5" x14ac:dyDescent="0.3">
      <c r="A144">
        <f>A$9 * (33.2504158020019 -A$8)</f>
        <v>33.250415802001903</v>
      </c>
      <c r="B144">
        <f>B$9 * (33.2504158020019 -B$8)</f>
        <v>33.250415802001903</v>
      </c>
      <c r="D144">
        <f>D$9 * (156.757995605468 -D$8)</f>
        <v>156.75799560546801</v>
      </c>
      <c r="E144">
        <f>E$9 * (56.0680618286132 -E$8)</f>
        <v>56.068061828613203</v>
      </c>
    </row>
    <row r="145" spans="1:5" x14ac:dyDescent="0.3">
      <c r="A145">
        <f>A$9 * (33.5002784729003 -A$8)</f>
        <v>33.500278472900298</v>
      </c>
      <c r="B145">
        <f>B$9 * (33.5002784729003 -B$8)</f>
        <v>33.500278472900298</v>
      </c>
      <c r="D145">
        <f>D$9 * (156.759094238281 -D$8)</f>
        <v>156.75909423828099</v>
      </c>
      <c r="E145">
        <f>E$9 * (64.1677780151367 -E$8)</f>
        <v>64.167778015136705</v>
      </c>
    </row>
    <row r="146" spans="1:5" x14ac:dyDescent="0.3">
      <c r="A146">
        <f>A$9 * (33.7506942749023 -A$8)</f>
        <v>33.750694274902301</v>
      </c>
      <c r="B146">
        <f>B$9 * (33.7506942749023 -B$8)</f>
        <v>33.750694274902301</v>
      </c>
      <c r="D146">
        <f>D$9 * (156.716598510742 -D$8)</f>
        <v>156.71659851074199</v>
      </c>
      <c r="E146">
        <f>E$9 * (72.0607604980468 -E$8)</f>
        <v>72.060760498046804</v>
      </c>
    </row>
    <row r="147" spans="1:5" x14ac:dyDescent="0.3">
      <c r="A147">
        <f>A$9 * (34.0001106262207 -A$8)</f>
        <v>34.000110626220703</v>
      </c>
      <c r="B147">
        <f>B$9 * (34.0001106262207 -B$8)</f>
        <v>34.000110626220703</v>
      </c>
      <c r="D147">
        <f>D$9 * (156.73159790039 -D$8)</f>
        <v>156.73159790039</v>
      </c>
      <c r="E147">
        <f>E$9 * (69.2014236450195 -E$8)</f>
        <v>69.201423645019503</v>
      </c>
    </row>
    <row r="148" spans="1:5" x14ac:dyDescent="0.3">
      <c r="A148">
        <f>A$9 * (34.2505836486816 -A$8)</f>
        <v>34.250583648681598</v>
      </c>
      <c r="B148">
        <f>B$9 * (34.2505836486816 -B$8)</f>
        <v>34.250583648681598</v>
      </c>
      <c r="D148">
        <f>D$9 * (156.753295898437 -D$8)</f>
        <v>156.75329589843699</v>
      </c>
      <c r="E148">
        <f>E$9 * (56.5186882019043 -E$8)</f>
        <v>56.518688201904297</v>
      </c>
    </row>
    <row r="149" spans="1:5" x14ac:dyDescent="0.3">
      <c r="A149">
        <f>A$9 * (34.5001678466796 -A$8)</f>
        <v>34.500167846679602</v>
      </c>
      <c r="B149">
        <f>B$9 * (34.5001678466796 -B$8)</f>
        <v>34.500167846679602</v>
      </c>
      <c r="D149">
        <f>D$9 * (156.758804321289 -D$8)</f>
        <v>156.75880432128901</v>
      </c>
      <c r="E149">
        <f>E$9 * (65.6321487426757 -E$8)</f>
        <v>65.632148742675696</v>
      </c>
    </row>
    <row r="150" spans="1:5" x14ac:dyDescent="0.3">
      <c r="A150">
        <f>A$9 * (34.7502517700195 -A$8)</f>
        <v>34.750251770019503</v>
      </c>
      <c r="B150">
        <f>B$9 * (34.7502517700195 -B$8)</f>
        <v>34.750251770019503</v>
      </c>
      <c r="D150">
        <f>D$9 * (156.780395507812 -D$8)</f>
        <v>156.78039550781199</v>
      </c>
      <c r="E150">
        <f>E$9 * (74.6818923950195 -E$8)</f>
        <v>74.681892395019503</v>
      </c>
    </row>
    <row r="151" spans="1:5" x14ac:dyDescent="0.3">
      <c r="A151">
        <f>A$9 * (35.0006370544433 -A$8)</f>
        <v>35.000637054443303</v>
      </c>
      <c r="B151">
        <f>B$9 * (35.0006370544433 -B$8)</f>
        <v>35.000637054443303</v>
      </c>
      <c r="D151">
        <f>D$9 * (156.819305419921 -D$8)</f>
        <v>156.81930541992099</v>
      </c>
      <c r="E151">
        <f>E$9 * (84.1417922973632 -E$8)</f>
        <v>84.141792297363196</v>
      </c>
    </row>
    <row r="152" spans="1:5" x14ac:dyDescent="0.3">
      <c r="A152">
        <f>A$9 * (35.2509155273437 -A$8)</f>
        <v>35.2509155273437</v>
      </c>
      <c r="B152">
        <f>B$9 * (35.2509155273437 -B$8)</f>
        <v>35.2509155273437</v>
      </c>
      <c r="D152">
        <f>D$9 * (156.922302246093 -D$8)</f>
        <v>156.92230224609301</v>
      </c>
      <c r="E152">
        <f>E$9 * (93.2857513427734 -E$8)</f>
        <v>93.285751342773395</v>
      </c>
    </row>
    <row r="153" spans="1:5" x14ac:dyDescent="0.3">
      <c r="A153">
        <f>A$9 * (35.5001373291015 -A$8)</f>
        <v>35.500137329101499</v>
      </c>
      <c r="B153">
        <f>B$9 * (35.5001373291015 -B$8)</f>
        <v>35.500137329101499</v>
      </c>
      <c r="D153">
        <f>D$9 * (156.380706787109 -D$8)</f>
        <v>156.38070678710901</v>
      </c>
      <c r="E153">
        <f>E$9 * (76.8720779418945 -E$8)</f>
        <v>76.872077941894503</v>
      </c>
    </row>
    <row r="154" spans="1:5" x14ac:dyDescent="0.3">
      <c r="A154">
        <f>A$9 * (35.7501945495605 -A$8)</f>
        <v>35.750194549560497</v>
      </c>
      <c r="B154">
        <f>B$9 * (35.7501945495605 -B$8)</f>
        <v>35.750194549560497</v>
      </c>
      <c r="D154">
        <f>D$9 * (156.74819946289 -D$8)</f>
        <v>156.74819946289</v>
      </c>
      <c r="E154">
        <f>E$9 * (66.0641479492187 -E$8)</f>
        <v>66.064147949218693</v>
      </c>
    </row>
    <row r="155" spans="1:5" x14ac:dyDescent="0.3">
      <c r="A155">
        <f>A$9 * (36.0001945495605 -A$8)</f>
        <v>36.000194549560497</v>
      </c>
      <c r="B155">
        <f>B$9 * (36.0001945495605 -B$8)</f>
        <v>36.000194549560497</v>
      </c>
      <c r="D155">
        <f>D$9 * (156.797302246093 -D$8)</f>
        <v>156.79730224609301</v>
      </c>
      <c r="E155">
        <f>E$9 * (75.2680282592773 -E$8)</f>
        <v>75.268028259277301</v>
      </c>
    </row>
    <row r="156" spans="1:5" x14ac:dyDescent="0.3">
      <c r="A156">
        <f>A$9 * (36.2502784729003 -A$8)</f>
        <v>36.250278472900298</v>
      </c>
      <c r="B156">
        <f>B$9 * (36.2502784729003 -B$8)</f>
        <v>36.250278472900298</v>
      </c>
      <c r="D156">
        <f>D$9 * (156.769897460937 -D$8)</f>
        <v>156.76989746093699</v>
      </c>
      <c r="E156">
        <f>E$9 * (84.365852355957 -E$8)</f>
        <v>84.365852355957003</v>
      </c>
    </row>
    <row r="157" spans="1:5" x14ac:dyDescent="0.3">
      <c r="A157">
        <f>A$9 * (36.5007781982421 -A$8)</f>
        <v>36.500778198242102</v>
      </c>
      <c r="B157">
        <f>B$9 * (36.5007781982421 -B$8)</f>
        <v>36.500778198242102</v>
      </c>
      <c r="D157">
        <f>D$9 * (156.928100585937 -D$8)</f>
        <v>156.92810058593699</v>
      </c>
      <c r="E157">
        <f>E$9 * (93.5831222534179 -E$8)</f>
        <v>93.583122253417898</v>
      </c>
    </row>
    <row r="158" spans="1:5" x14ac:dyDescent="0.3">
      <c r="A158">
        <f>A$9 * (36.7500572204589 -A$8)</f>
        <v>36.750057220458899</v>
      </c>
      <c r="B158">
        <f>B$9 * (36.7500572204589 -B$8)</f>
        <v>36.750057220458899</v>
      </c>
      <c r="D158">
        <f>D$9 * (156.511795043945 -D$8)</f>
        <v>156.511795043945</v>
      </c>
      <c r="E158">
        <f>E$9 * (69.4972915649414 -E$8)</f>
        <v>69.497291564941406</v>
      </c>
    </row>
    <row r="159" spans="1:5" x14ac:dyDescent="0.3">
      <c r="A159">
        <f>A$9 * (37.0004158020019 -A$8)</f>
        <v>37.000415802001903</v>
      </c>
      <c r="B159">
        <f>B$9 * (37.0004158020019 -B$8)</f>
        <v>37.000415802001903</v>
      </c>
      <c r="D159">
        <f>D$9 * (156.761093139648 -D$8)</f>
        <v>156.76109313964801</v>
      </c>
      <c r="E159">
        <f>E$9 * (55.7985000610351 -E$8)</f>
        <v>55.798500061035099</v>
      </c>
    </row>
    <row r="160" spans="1:5" x14ac:dyDescent="0.3">
      <c r="A160">
        <f>A$9 * (37.2503318786621 -A$8)</f>
        <v>37.250331878662102</v>
      </c>
      <c r="B160">
        <f>B$9 * (37.2503318786621 -B$8)</f>
        <v>37.250331878662102</v>
      </c>
      <c r="D160">
        <f>D$9 * (156.763107299804 -D$8)</f>
        <v>156.76310729980401</v>
      </c>
      <c r="E160">
        <f>E$9 * (38.912010192871 -E$8)</f>
        <v>38.912010192871001</v>
      </c>
    </row>
    <row r="161" spans="1:5" x14ac:dyDescent="0.3">
      <c r="A161">
        <f>A$9 * (37.5000839233398 -A$8)</f>
        <v>37.500083923339801</v>
      </c>
      <c r="B161">
        <f>B$9 * (37.5000839233398 -B$8)</f>
        <v>37.500083923339801</v>
      </c>
      <c r="D161">
        <f>D$9 * (156.757507324218 -D$8)</f>
        <v>156.75750732421801</v>
      </c>
      <c r="E161">
        <f>E$9 * (35.0136795043945 -E$8)</f>
        <v>35.013679504394503</v>
      </c>
    </row>
    <row r="162" spans="1:5" x14ac:dyDescent="0.3">
      <c r="A162">
        <f>A$9 * (37.7503623962402 -A$8)</f>
        <v>37.750362396240199</v>
      </c>
      <c r="B162">
        <f>B$9 * (37.7503623962402 -B$8)</f>
        <v>37.750362396240199</v>
      </c>
      <c r="D162">
        <f>D$9 * (156.757293701171 -D$8)</f>
        <v>156.75729370117099</v>
      </c>
      <c r="E162">
        <f>E$9 * (42.4448699951171 -E$8)</f>
        <v>42.444869995117102</v>
      </c>
    </row>
    <row r="163" spans="1:5" x14ac:dyDescent="0.3">
      <c r="A163">
        <f>A$9 * (38.0004158020019 -A$8)</f>
        <v>38.000415802001903</v>
      </c>
      <c r="B163">
        <f>B$9 * (38.0004158020019 -B$8)</f>
        <v>38.000415802001903</v>
      </c>
      <c r="D163">
        <f>D$9 * (156.760696411132 -D$8)</f>
        <v>156.76069641113199</v>
      </c>
      <c r="E163">
        <f>E$9 * (51.0809288024902 -E$8)</f>
        <v>51.080928802490199</v>
      </c>
    </row>
    <row r="164" spans="1:5" x14ac:dyDescent="0.3">
      <c r="A164">
        <f>A$9 * (38.25044631958 -A$8)</f>
        <v>38.25044631958</v>
      </c>
      <c r="B164">
        <f>B$9 * (38.25044631958 -B$8)</f>
        <v>38.25044631958</v>
      </c>
      <c r="D164">
        <f>D$9 * (156.757202148437 -D$8)</f>
        <v>156.75720214843699</v>
      </c>
      <c r="E164">
        <f>E$9 * (59.2978782653808 -E$8)</f>
        <v>59.297878265380803</v>
      </c>
    </row>
    <row r="165" spans="1:5" x14ac:dyDescent="0.3">
      <c r="A165">
        <f>A$9 * (38.5004158020019 -A$8)</f>
        <v>38.500415802001903</v>
      </c>
      <c r="B165">
        <f>B$9 * (38.5004158020019 -B$8)</f>
        <v>38.500415802001903</v>
      </c>
      <c r="D165">
        <f>D$9 * (156.758804321289 -D$8)</f>
        <v>156.75880432128901</v>
      </c>
      <c r="E165">
        <f>E$9 * (67.3789291381835 -E$8)</f>
        <v>67.378929138183494</v>
      </c>
    </row>
    <row r="166" spans="1:5" x14ac:dyDescent="0.3">
      <c r="A166">
        <f>A$9 * (38.7505264282226 -A$8)</f>
        <v>38.750526428222599</v>
      </c>
      <c r="B166">
        <f>B$9 * (38.7505264282226 -B$8)</f>
        <v>38.750526428222599</v>
      </c>
      <c r="D166">
        <f>D$9 * (156.807403564453 -D$8)</f>
        <v>156.80740356445301</v>
      </c>
      <c r="E166">
        <f>E$9 * (74.4182586669921 -E$8)</f>
        <v>74.418258666992102</v>
      </c>
    </row>
    <row r="167" spans="1:5" x14ac:dyDescent="0.3">
      <c r="A167">
        <f>A$9 * (39.00044631958 -A$8)</f>
        <v>39.00044631958</v>
      </c>
      <c r="B167">
        <f>B$9 * (39.00044631958 -B$8)</f>
        <v>39.00044631958</v>
      </c>
      <c r="D167">
        <f>D$9 * (156.761001586914 -D$8)</f>
        <v>156.76100158691401</v>
      </c>
      <c r="E167">
        <f>E$9 * (54.5480804443359 -E$8)</f>
        <v>54.548080444335902</v>
      </c>
    </row>
    <row r="168" spans="1:5" x14ac:dyDescent="0.3">
      <c r="A168">
        <f>A$9 * (39.2501945495605 -A$8)</f>
        <v>39.250194549560497</v>
      </c>
      <c r="B168">
        <f>B$9 * (39.2501945495605 -B$8)</f>
        <v>39.250194549560497</v>
      </c>
      <c r="D168">
        <f>D$9 * (156.75779724121 -D$8)</f>
        <v>156.75779724121</v>
      </c>
      <c r="E168">
        <f>E$9 * (61.7861404418945 -E$8)</f>
        <v>61.786140441894503</v>
      </c>
    </row>
    <row r="169" spans="1:5" x14ac:dyDescent="0.3">
      <c r="A169">
        <f>A$9 * (39.5000839233398 -A$8)</f>
        <v>39.500083923339801</v>
      </c>
      <c r="B169">
        <f>B$9 * (39.5000839233398 -B$8)</f>
        <v>39.500083923339801</v>
      </c>
      <c r="D169">
        <f>D$9 * (156.757003784179 -D$8)</f>
        <v>156.75700378417901</v>
      </c>
      <c r="E169">
        <f>E$9 * (70.8318710327148 -E$8)</f>
        <v>70.831871032714801</v>
      </c>
    </row>
    <row r="170" spans="1:5" x14ac:dyDescent="0.3">
      <c r="A170">
        <f>A$9 * (39.750804901123 -A$8)</f>
        <v>39.750804901122997</v>
      </c>
      <c r="B170">
        <f>B$9 * (39.750804901123 -B$8)</f>
        <v>39.750804901122997</v>
      </c>
      <c r="D170">
        <f>D$9 * (156.944107055664 -D$8)</f>
        <v>156.94410705566401</v>
      </c>
      <c r="E170">
        <f>E$9 * (80.2682037353515 -E$8)</f>
        <v>80.268203735351506</v>
      </c>
    </row>
    <row r="171" spans="1:5" x14ac:dyDescent="0.3">
      <c r="A171">
        <f>A$9 * (40.0006370544433 -A$8)</f>
        <v>40.000637054443303</v>
      </c>
      <c r="B171">
        <f>B$9 * (40.0006370544433 -B$8)</f>
        <v>40.000637054443303</v>
      </c>
      <c r="D171">
        <f>D$9 * (156.872604370117 -D$8)</f>
        <v>156.87260437011699</v>
      </c>
      <c r="E171">
        <f>E$9 * (89.3562774658203 -E$8)</f>
        <v>89.356277465820298</v>
      </c>
    </row>
    <row r="172" spans="1:5" x14ac:dyDescent="0.3">
      <c r="A172">
        <f>A$9 * (40.2501106262207 -A$8)</f>
        <v>40.250110626220703</v>
      </c>
      <c r="B172">
        <f>B$9 * (40.2501106262207 -B$8)</f>
        <v>40.250110626220703</v>
      </c>
      <c r="D172">
        <f>D$9 * (156.522201538085 -D$8)</f>
        <v>156.522201538085</v>
      </c>
      <c r="E172">
        <f>E$9 * (90.2075805664062 -E$8)</f>
        <v>90.207580566406193</v>
      </c>
    </row>
    <row r="173" spans="1:5" x14ac:dyDescent="0.3">
      <c r="A173">
        <f>A$9 * (40.5003051757812 -A$8)</f>
        <v>40.5003051757812</v>
      </c>
      <c r="B173">
        <f>B$9 * (40.5003051757812 -B$8)</f>
        <v>40.5003051757812</v>
      </c>
      <c r="D173">
        <f>D$9 * (156.720794677734 -D$8)</f>
        <v>156.72079467773401</v>
      </c>
      <c r="E173">
        <f>E$9 * (62.9135398864746 -E$8)</f>
        <v>62.913539886474602</v>
      </c>
    </row>
    <row r="174" spans="1:5" x14ac:dyDescent="0.3">
      <c r="A174">
        <f>A$9 * (40.7504158020019 -A$8)</f>
        <v>40.750415802001903</v>
      </c>
      <c r="B174">
        <f>B$9 * (40.7504158020019 -B$8)</f>
        <v>40.750415802001903</v>
      </c>
      <c r="D174">
        <f>D$9 * (156.736099243164 -D$8)</f>
        <v>156.73609924316401</v>
      </c>
      <c r="E174">
        <f>E$9 * (71.6778106689453 -E$8)</f>
        <v>71.677810668945298</v>
      </c>
    </row>
    <row r="175" spans="1:5" x14ac:dyDescent="0.3">
      <c r="A175">
        <f>A$9 * (41.0007781982421 -A$8)</f>
        <v>41.000778198242102</v>
      </c>
      <c r="B175">
        <f>B$9 * (41.0007781982421 -B$8)</f>
        <v>41.000778198242102</v>
      </c>
      <c r="D175">
        <f>D$9 * (156.956298828125 -D$8)</f>
        <v>156.956298828125</v>
      </c>
      <c r="E175">
        <f>E$9 * (80.6733093261718 -E$8)</f>
        <v>80.673309326171804</v>
      </c>
    </row>
    <row r="176" spans="1:5" x14ac:dyDescent="0.3">
      <c r="A176">
        <f>A$9 * (41.2507209777832 -A$8)</f>
        <v>41.250720977783203</v>
      </c>
      <c r="B176">
        <f>B$9 * (41.2507209777832 -B$8)</f>
        <v>41.250720977783203</v>
      </c>
      <c r="D176">
        <f>D$9 * (156.888900756835 -D$8)</f>
        <v>156.888900756835</v>
      </c>
      <c r="E176">
        <f>E$9 * (89.826789855957 -E$8)</f>
        <v>89.826789855957003</v>
      </c>
    </row>
    <row r="177" spans="1:5" x14ac:dyDescent="0.3">
      <c r="A177">
        <f>A$9 * (41.5001373291015 -A$8)</f>
        <v>41.500137329101499</v>
      </c>
      <c r="B177">
        <f>B$9 * (41.5001373291015 -B$8)</f>
        <v>41.500137329101499</v>
      </c>
      <c r="D177">
        <f>D$9 * (156.364593505859 -D$8)</f>
        <v>156.36459350585901</v>
      </c>
      <c r="E177">
        <f>E$9 * (82.5913619995117 -E$8)</f>
        <v>82.591361999511705</v>
      </c>
    </row>
    <row r="178" spans="1:5" x14ac:dyDescent="0.3">
      <c r="A178">
        <f>A$9 * (41.7505264282226 -A$8)</f>
        <v>41.750526428222599</v>
      </c>
      <c r="B178">
        <f>B$9 * (41.7505264282226 -B$8)</f>
        <v>41.750526428222599</v>
      </c>
      <c r="D178">
        <f>D$9 * (156.73469543457 -D$8)</f>
        <v>156.73469543457</v>
      </c>
      <c r="E178">
        <f>E$9 * (59.2462692260742 -E$8)</f>
        <v>59.246269226074197</v>
      </c>
    </row>
    <row r="179" spans="1:5" x14ac:dyDescent="0.3">
      <c r="A179">
        <f>A$9 * (42.0003051757812 -A$8)</f>
        <v>42.0003051757812</v>
      </c>
      <c r="B179">
        <f>B$9 * (42.0003051757812 -B$8)</f>
        <v>42.0003051757812</v>
      </c>
      <c r="D179">
        <f>D$9 * (156.772903442382 -D$8)</f>
        <v>156.77290344238199</v>
      </c>
      <c r="E179">
        <f>E$9 * (43.5256195068359 -E$8)</f>
        <v>43.525619506835902</v>
      </c>
    </row>
    <row r="180" spans="1:5" x14ac:dyDescent="0.3">
      <c r="A180">
        <f>A$9 * (42.2501373291015 -A$8)</f>
        <v>42.250137329101499</v>
      </c>
      <c r="B180">
        <f>B$9 * (42.2501373291015 -B$8)</f>
        <v>42.250137329101499</v>
      </c>
      <c r="D180">
        <f>D$9 * (156.761306762695 -D$8)</f>
        <v>156.761306762695</v>
      </c>
      <c r="E180">
        <f>E$9 * (34.4687309265136 -E$8)</f>
        <v>34.468730926513601</v>
      </c>
    </row>
    <row r="181" spans="1:5" x14ac:dyDescent="0.3">
      <c r="A181">
        <f>A$9 * (42.5003051757812 -A$8)</f>
        <v>42.5003051757812</v>
      </c>
      <c r="B181">
        <f>B$9 * (42.5003051757812 -B$8)</f>
        <v>42.5003051757812</v>
      </c>
      <c r="D181">
        <f>D$9 * (156.757995605468 -D$8)</f>
        <v>156.75799560546801</v>
      </c>
      <c r="E181">
        <f>E$9 * (39.40571975708 -E$8)</f>
        <v>39.40571975708</v>
      </c>
    </row>
    <row r="182" spans="1:5" x14ac:dyDescent="0.3">
      <c r="A182">
        <f>A$9 * (42.7504730224609 -A$8)</f>
        <v>42.750473022460902</v>
      </c>
      <c r="B182">
        <f>B$9 * (42.7504730224609 -B$8)</f>
        <v>42.750473022460902</v>
      </c>
      <c r="D182">
        <f>D$9 * (156.759796142578 -D$8)</f>
        <v>156.75979614257801</v>
      </c>
      <c r="E182">
        <f>E$9 * (48.0907897949218 -E$8)</f>
        <v>48.090789794921797</v>
      </c>
    </row>
    <row r="183" spans="1:5" x14ac:dyDescent="0.3">
      <c r="A183">
        <f>A$9 * (43.0003051757812 -A$8)</f>
        <v>43.0003051757812</v>
      </c>
      <c r="B183">
        <f>B$9 * (43.0003051757812 -B$8)</f>
        <v>43.0003051757812</v>
      </c>
      <c r="D183">
        <f>D$9 * (156.758407592773 -D$8)</f>
        <v>156.75840759277301</v>
      </c>
      <c r="E183">
        <f>E$9 * (56.5747604370117 -E$8)</f>
        <v>56.574760437011697</v>
      </c>
    </row>
    <row r="184" spans="1:5" x14ac:dyDescent="0.3">
      <c r="A184">
        <f>A$9 * (43.2506370544433 -A$8)</f>
        <v>43.250637054443303</v>
      </c>
      <c r="B184">
        <f>B$9 * (43.2506370544433 -B$8)</f>
        <v>43.250637054443303</v>
      </c>
      <c r="D184">
        <f>D$9 * (156.755401611328 -D$8)</f>
        <v>156.75540161132801</v>
      </c>
      <c r="E184">
        <f>E$9 * (64.600242614746 -E$8)</f>
        <v>64.600242614745994</v>
      </c>
    </row>
    <row r="185" spans="1:5" x14ac:dyDescent="0.3">
      <c r="A185">
        <f>A$9 * (43.5006103515625 -A$8)</f>
        <v>43.5006103515625</v>
      </c>
      <c r="B185">
        <f>B$9 * (43.5006103515625 -B$8)</f>
        <v>43.5006103515625</v>
      </c>
      <c r="D185">
        <f>D$9 * (156.735000610351 -D$8)</f>
        <v>156.73500061035099</v>
      </c>
      <c r="E185">
        <f>E$9 * (72.3722534179687 -E$8)</f>
        <v>72.372253417968693</v>
      </c>
    </row>
    <row r="186" spans="1:5" x14ac:dyDescent="0.3">
      <c r="A186">
        <f>A$9 * (43.7503623962402 -A$8)</f>
        <v>43.750362396240199</v>
      </c>
      <c r="B186">
        <f>B$9 * (43.7503623962402 -B$8)</f>
        <v>43.750362396240199</v>
      </c>
      <c r="D186">
        <f>D$9 * (156.749694824218 -D$8)</f>
        <v>156.74969482421801</v>
      </c>
      <c r="E186">
        <f>E$9 * (63.863109588623 -E$8)</f>
        <v>63.863109588622997</v>
      </c>
    </row>
    <row r="187" spans="1:5" x14ac:dyDescent="0.3">
      <c r="A187">
        <f>A$9 * (44.0005264282226 -A$8)</f>
        <v>44.000526428222599</v>
      </c>
      <c r="B187">
        <f>B$9 * (44.0005264282226 -B$8)</f>
        <v>44.000526428222599</v>
      </c>
      <c r="D187">
        <f>D$9 * (156.756896972656 -D$8)</f>
        <v>156.75689697265599</v>
      </c>
      <c r="E187">
        <f>E$9 * (57.9104614257812 -E$8)</f>
        <v>57.9104614257812</v>
      </c>
    </row>
    <row r="188" spans="1:5" x14ac:dyDescent="0.3">
      <c r="A188">
        <f>A$9 * (44.2502784729003 -A$8)</f>
        <v>44.250278472900298</v>
      </c>
      <c r="B188">
        <f>B$9 * (44.2502784729003 -B$8)</f>
        <v>44.250278472900298</v>
      </c>
      <c r="D188">
        <f>D$9 * (156.761398315429 -D$8)</f>
        <v>156.76139831542901</v>
      </c>
      <c r="E188">
        <f>E$9 * (66.9173278808593 -E$8)</f>
        <v>66.917327880859304</v>
      </c>
    </row>
    <row r="189" spans="1:5" x14ac:dyDescent="0.3">
      <c r="A189">
        <f>A$9 * (44.5004730224609 -A$8)</f>
        <v>44.500473022460902</v>
      </c>
      <c r="B189">
        <f>B$9 * (44.5004730224609 -B$8)</f>
        <v>44.500473022460902</v>
      </c>
      <c r="D189">
        <f>D$9 * (156.864105224609 -D$8)</f>
        <v>156.86410522460901</v>
      </c>
      <c r="E189">
        <f>E$9 * (76.1764373779296 -E$8)</f>
        <v>76.176437377929602</v>
      </c>
    </row>
    <row r="190" spans="1:5" x14ac:dyDescent="0.3">
      <c r="A190">
        <f>A$9 * (44.7505264282226 -A$8)</f>
        <v>44.750526428222599</v>
      </c>
      <c r="B190">
        <f>B$9 * (44.7505264282226 -B$8)</f>
        <v>44.750526428222599</v>
      </c>
      <c r="D190">
        <f>D$9 * (156.706100463867 -D$8)</f>
        <v>156.70610046386699</v>
      </c>
      <c r="E190">
        <f>E$9 * (85.5706405639648 -E$8)</f>
        <v>85.570640563964801</v>
      </c>
    </row>
    <row r="191" spans="1:5" x14ac:dyDescent="0.3">
      <c r="A191">
        <f>A$9 * (45.0005569458007 -A$8)</f>
        <v>45.000556945800703</v>
      </c>
      <c r="B191">
        <f>B$9 * (45.0005569458007 -B$8)</f>
        <v>45.000556945800703</v>
      </c>
      <c r="D191">
        <f>D$9 * (156.92820739746 -D$8)</f>
        <v>156.92820739746</v>
      </c>
      <c r="E191">
        <f>E$9 * (94.7424697875976 -E$8)</f>
        <v>94.742469787597599</v>
      </c>
    </row>
    <row r="192" spans="1:5" x14ac:dyDescent="0.3">
      <c r="A192">
        <f>A$9 * (45.2501678466796 -A$8)</f>
        <v>45.250167846679602</v>
      </c>
      <c r="B192">
        <f>B$9 * (45.2501678466796 -B$8)</f>
        <v>45.250167846679602</v>
      </c>
      <c r="D192">
        <f>D$9 * (156.478607177734 -D$8)</f>
        <v>156.47860717773401</v>
      </c>
      <c r="E192">
        <f>E$9 * (70.4001007080078 -E$8)</f>
        <v>70.400100708007798</v>
      </c>
    </row>
    <row r="193" spans="1:5" x14ac:dyDescent="0.3">
      <c r="A193">
        <f>A$9 * (45.5006103515625 -A$8)</f>
        <v>45.5006103515625</v>
      </c>
      <c r="B193">
        <f>B$9 * (45.5006103515625 -B$8)</f>
        <v>45.5006103515625</v>
      </c>
      <c r="D193">
        <f>D$9 * (156.764694213867 -D$8)</f>
        <v>156.76469421386699</v>
      </c>
      <c r="E193">
        <f>E$9 * (67.9395217895507 -E$8)</f>
        <v>67.939521789550696</v>
      </c>
    </row>
    <row r="194" spans="1:5" x14ac:dyDescent="0.3">
      <c r="A194">
        <f>A$9 * (45.7506675720214 -A$8)</f>
        <v>45.750667572021399</v>
      </c>
      <c r="B194">
        <f>B$9 * (45.7506675720214 -B$8)</f>
        <v>45.750667572021399</v>
      </c>
      <c r="D194">
        <f>D$9 * (156.811004638671 -D$8)</f>
        <v>156.81100463867099</v>
      </c>
      <c r="E194">
        <f>E$9 * (76.9076385498046 -E$8)</f>
        <v>76.907638549804602</v>
      </c>
    </row>
    <row r="195" spans="1:5" x14ac:dyDescent="0.3">
      <c r="A195">
        <f>A$9 * (46.0006942749023 -A$8)</f>
        <v>46.000694274902301</v>
      </c>
      <c r="B195">
        <f>B$9 * (46.0006942749023 -B$8)</f>
        <v>46.000694274902301</v>
      </c>
      <c r="D195">
        <f>D$9 * (156.723907470703 -D$8)</f>
        <v>156.72390747070301</v>
      </c>
      <c r="E195">
        <f>E$9 * (85.8420181274414 -E$8)</f>
        <v>85.842018127441406</v>
      </c>
    </row>
    <row r="196" spans="1:5" x14ac:dyDescent="0.3">
      <c r="A196">
        <f>A$9 * (46.2507209777832 -A$8)</f>
        <v>46.250720977783203</v>
      </c>
      <c r="B196">
        <f>B$9 * (46.2507209777832 -B$8)</f>
        <v>46.250720977783203</v>
      </c>
      <c r="D196">
        <f>D$9 * (156.854904174804 -D$8)</f>
        <v>156.85490417480401</v>
      </c>
      <c r="E196">
        <f>E$9 * (93.7960891723632 -E$8)</f>
        <v>93.796089172363196</v>
      </c>
    </row>
    <row r="197" spans="1:5" x14ac:dyDescent="0.3">
      <c r="A197">
        <f>A$9 * (46.5005264282226 -A$8)</f>
        <v>46.500526428222599</v>
      </c>
      <c r="B197">
        <f>B$9 * (46.5005264282226 -B$8)</f>
        <v>46.500526428222599</v>
      </c>
      <c r="D197">
        <f>D$9 * (156.684494018554 -D$8)</f>
        <v>156.68449401855401</v>
      </c>
      <c r="E197">
        <f>E$9 * (62.9543800354003 -E$8)</f>
        <v>62.954380035400298</v>
      </c>
    </row>
    <row r="198" spans="1:5" x14ac:dyDescent="0.3">
      <c r="A198">
        <f>A$9 * (46.7503623962402 -A$8)</f>
        <v>46.750362396240199</v>
      </c>
      <c r="B198">
        <f>B$9 * (46.7503623962402 -B$8)</f>
        <v>46.750362396240199</v>
      </c>
      <c r="D198">
        <f>D$9 * (156.776306152343 -D$8)</f>
        <v>156.77630615234301</v>
      </c>
      <c r="E198">
        <f>E$9 * (51.7945899963378 -E$8)</f>
        <v>51.794589996337798</v>
      </c>
    </row>
    <row r="199" spans="1:5" x14ac:dyDescent="0.3">
      <c r="A199">
        <f>A$9 * (47.0003051757812 -A$8)</f>
        <v>47.0003051757812</v>
      </c>
      <c r="B199">
        <f>B$9 * (47.0003051757812 -B$8)</f>
        <v>47.0003051757812</v>
      </c>
      <c r="D199">
        <f>D$9 * (156.75830078125 -D$8)</f>
        <v>156.75830078125</v>
      </c>
      <c r="E199">
        <f>E$9 * (36.9877586364746 -E$8)</f>
        <v>36.987758636474602</v>
      </c>
    </row>
    <row r="200" spans="1:5" x14ac:dyDescent="0.3">
      <c r="A200">
        <f>A$9 * (47.2502784729003 -A$8)</f>
        <v>47.250278472900298</v>
      </c>
      <c r="B200">
        <f>B$9 * (47.2502784729003 -B$8)</f>
        <v>47.250278472900298</v>
      </c>
      <c r="D200">
        <f>D$9 * (156.757293701171 -D$8)</f>
        <v>156.75729370117099</v>
      </c>
      <c r="E200">
        <f>E$9 * (36.1585083007812 -E$8)</f>
        <v>36.1585083007812</v>
      </c>
    </row>
    <row r="201" spans="1:5" x14ac:dyDescent="0.3">
      <c r="A201">
        <f>A$9 * (47.5000572204589 -A$8)</f>
        <v>47.500057220458899</v>
      </c>
      <c r="B201">
        <f>B$9 * (47.5000572204589 -B$8)</f>
        <v>47.500057220458899</v>
      </c>
      <c r="D201">
        <f>D$9 * (156.761199951171 -D$8)</f>
        <v>156.76119995117099</v>
      </c>
      <c r="E201">
        <f>E$9 * (44.03076171875 -E$8)</f>
        <v>44.03076171875</v>
      </c>
    </row>
    <row r="202" spans="1:5" x14ac:dyDescent="0.3">
      <c r="A202">
        <f>A$9 * (47.7503623962402 -A$8)</f>
        <v>47.750362396240199</v>
      </c>
      <c r="B202">
        <f>B$9 * (47.7503623962402 -B$8)</f>
        <v>47.750362396240199</v>
      </c>
      <c r="D202">
        <f>D$9 * (156.758697509765 -D$8)</f>
        <v>156.758697509765</v>
      </c>
      <c r="E202">
        <f>E$9 * (52.6968383789062 -E$8)</f>
        <v>52.6968383789062</v>
      </c>
    </row>
    <row r="203" spans="1:5" x14ac:dyDescent="0.3">
      <c r="A203">
        <f>A$9 * (48.0001678466796 -A$8)</f>
        <v>48.000167846679602</v>
      </c>
      <c r="B203">
        <f>B$9 * (48.0001678466796 -B$8)</f>
        <v>48.000167846679602</v>
      </c>
      <c r="D203">
        <f>D$9 * (156.757598876953 -D$8)</f>
        <v>156.75759887695301</v>
      </c>
      <c r="E203">
        <f>E$9 * (60.8382492065429 -E$8)</f>
        <v>60.838249206542898</v>
      </c>
    </row>
    <row r="204" spans="1:5" x14ac:dyDescent="0.3">
      <c r="A204">
        <f>A$9 * (48.2501373291015 -A$8)</f>
        <v>48.250137329101499</v>
      </c>
      <c r="B204">
        <f>B$9 * (48.2501373291015 -B$8)</f>
        <v>48.250137329101499</v>
      </c>
      <c r="D204">
        <f>D$9 * (156.757293701171 -D$8)</f>
        <v>156.75729370117099</v>
      </c>
      <c r="E204">
        <f>E$9 * (68.8470993041992 -E$8)</f>
        <v>68.847099304199205</v>
      </c>
    </row>
    <row r="205" spans="1:5" x14ac:dyDescent="0.3">
      <c r="A205">
        <f>A$9 * (48.5002784729003 -A$8)</f>
        <v>48.500278472900298</v>
      </c>
      <c r="B205">
        <f>B$9 * (48.5002784729003 -B$8)</f>
        <v>48.500278472900298</v>
      </c>
      <c r="D205">
        <f>D$9 * (156.815399169921 -D$8)</f>
        <v>156.81539916992099</v>
      </c>
      <c r="E205">
        <f>E$9 * (74.9292984008789 -E$8)</f>
        <v>74.929298400878906</v>
      </c>
    </row>
    <row r="206" spans="1:5" x14ac:dyDescent="0.3">
      <c r="A206">
        <f>A$9 * (48.750389099121 -A$8)</f>
        <v>48.750389099121001</v>
      </c>
      <c r="B206">
        <f>B$9 * (48.750389099121 -B$8)</f>
        <v>48.750389099121001</v>
      </c>
      <c r="D206">
        <f>D$9 * (156.761093139648 -D$8)</f>
        <v>156.76109313964801</v>
      </c>
      <c r="E206">
        <f>E$9 * (54.4642295837402 -E$8)</f>
        <v>54.464229583740199</v>
      </c>
    </row>
    <row r="207" spans="1:5" x14ac:dyDescent="0.3">
      <c r="A207">
        <f>A$9 * (49.0001945495605 -A$8)</f>
        <v>49.000194549560497</v>
      </c>
      <c r="B207">
        <f>B$9 * (49.0001945495605 -B$8)</f>
        <v>49.000194549560497</v>
      </c>
      <c r="D207">
        <f>D$9 * (156.755294799804 -D$8)</f>
        <v>156.75529479980401</v>
      </c>
      <c r="E207">
        <f>E$9 * (62.8844413757324 -E$8)</f>
        <v>62.884441375732401</v>
      </c>
    </row>
    <row r="208" spans="1:5" x14ac:dyDescent="0.3">
      <c r="A208">
        <f>A$9 * (49.2506675720214 -A$8)</f>
        <v>49.250667572021399</v>
      </c>
      <c r="B208">
        <f>B$9 * (49.2506675720214 -B$8)</f>
        <v>49.250667572021399</v>
      </c>
      <c r="D208">
        <f>D$9 * (156.729293823242 -D$8)</f>
        <v>156.72929382324199</v>
      </c>
      <c r="E208">
        <f>E$9 * (71.9930191040039 -E$8)</f>
        <v>71.993019104003906</v>
      </c>
    </row>
    <row r="209" spans="1:5" x14ac:dyDescent="0.3">
      <c r="A209">
        <f>A$9 * (49.5002517700195 -A$8)</f>
        <v>49.500251770019503</v>
      </c>
      <c r="B209">
        <f>B$9 * (49.5002517700195 -B$8)</f>
        <v>49.500251770019503</v>
      </c>
      <c r="D209">
        <f>D$9 * (156.796997070312 -D$8)</f>
        <v>156.79699707031199</v>
      </c>
      <c r="E209">
        <f>E$9 * (81.4123229980468 -E$8)</f>
        <v>81.412322998046804</v>
      </c>
    </row>
    <row r="210" spans="1:5" x14ac:dyDescent="0.3">
      <c r="A210">
        <f>A$9 * (49.7506942749023 -A$8)</f>
        <v>49.750694274902301</v>
      </c>
      <c r="B210">
        <f>B$9 * (49.7506942749023 -B$8)</f>
        <v>49.750694274902301</v>
      </c>
      <c r="D210">
        <f>D$9 * (156.891906738281 -D$8)</f>
        <v>156.89190673828099</v>
      </c>
      <c r="E210">
        <f>E$9 * (90.4330902099609 -E$8)</f>
        <v>90.433090209960895</v>
      </c>
    </row>
    <row r="211" spans="1:5" x14ac:dyDescent="0.3">
      <c r="A211">
        <f>A$9 * (50.0000572204589 -A$8)</f>
        <v>50.000057220458899</v>
      </c>
      <c r="B211">
        <f>B$9 * (50.0000572204589 -B$8)</f>
        <v>50.000057220458899</v>
      </c>
      <c r="D211">
        <f>D$9 * (156.42219543457 -D$8)</f>
        <v>156.42219543457</v>
      </c>
      <c r="E211">
        <f>E$9 * (87.9348373413085 -E$8)</f>
        <v>87.934837341308494</v>
      </c>
    </row>
    <row r="212" spans="1:5" x14ac:dyDescent="0.3">
      <c r="A212">
        <f>A$9 * (50.2503051757812 -A$8)</f>
        <v>50.2503051757812</v>
      </c>
      <c r="B212">
        <f>B$9 * (50.2503051757812 -B$8)</f>
        <v>50.2503051757812</v>
      </c>
      <c r="D212">
        <f>D$9 * (156.725494384765 -D$8)</f>
        <v>156.725494384765</v>
      </c>
      <c r="E212">
        <f>E$9 * (63.7280883789062 -E$8)</f>
        <v>63.7280883789062</v>
      </c>
    </row>
    <row r="213" spans="1:5" x14ac:dyDescent="0.3">
      <c r="A213">
        <f>A$9 * (50.5000839233398 -A$8)</f>
        <v>50.500083923339801</v>
      </c>
      <c r="B213">
        <f>B$9 * (50.5000839233398 -B$8)</f>
        <v>50.500083923339801</v>
      </c>
      <c r="D213">
        <f>D$9 * (156.742294311523 -D$8)</f>
        <v>156.74229431152301</v>
      </c>
      <c r="E213">
        <f>E$9 * (72.7356491088867 -E$8)</f>
        <v>72.735649108886705</v>
      </c>
    </row>
    <row r="214" spans="1:5" x14ac:dyDescent="0.3">
      <c r="A214">
        <f>A$9 * (50.750804901123 -A$8)</f>
        <v>50.750804901122997</v>
      </c>
      <c r="B214">
        <f>B$9 * (50.750804901123 -B$8)</f>
        <v>50.750804901122997</v>
      </c>
      <c r="D214">
        <f>D$9 * (156.79930114746 -D$8)</f>
        <v>156.79930114746</v>
      </c>
      <c r="E214">
        <f>E$9 * (81.7137985229492 -E$8)</f>
        <v>81.713798522949205</v>
      </c>
    </row>
    <row r="215" spans="1:5" x14ac:dyDescent="0.3">
      <c r="A215">
        <f>A$9 * (51.000389099121 -A$8)</f>
        <v>51.000389099121001</v>
      </c>
      <c r="B215">
        <f>B$9 * (51.000389099121 -B$8)</f>
        <v>51.000389099121001</v>
      </c>
      <c r="D215">
        <f>D$9 * (156.902297973632 -D$8)</f>
        <v>156.90229797363199</v>
      </c>
      <c r="E215">
        <f>E$9 * (90.8596878051757 -E$8)</f>
        <v>90.859687805175696</v>
      </c>
    </row>
    <row r="216" spans="1:5" x14ac:dyDescent="0.3">
      <c r="A216">
        <f>A$9 * (51.2501106262207 -A$8)</f>
        <v>51.250110626220703</v>
      </c>
      <c r="B216">
        <f>B$9 * (51.2501106262207 -B$8)</f>
        <v>51.250110626220703</v>
      </c>
      <c r="D216">
        <f>D$9 * (156.464096069335 -D$8)</f>
        <v>156.464096069335</v>
      </c>
      <c r="E216">
        <f>E$9 * (80.2314300537109 -E$8)</f>
        <v>80.231430053710895</v>
      </c>
    </row>
    <row r="217" spans="1:5" x14ac:dyDescent="0.3">
      <c r="A217">
        <f>A$9 * (51.5004997253418 -A$8)</f>
        <v>51.500499725341797</v>
      </c>
      <c r="B217">
        <f>B$9 * (51.5004997253418 -B$8)</f>
        <v>51.500499725341797</v>
      </c>
      <c r="D217">
        <f>D$9 * (156.739501953125 -D$8)</f>
        <v>156.739501953125</v>
      </c>
      <c r="E217">
        <f>E$9 * (59.2303085327148 -E$8)</f>
        <v>59.230308532714801</v>
      </c>
    </row>
    <row r="218" spans="1:5" x14ac:dyDescent="0.3">
      <c r="A218">
        <f>A$9 * (51.7501945495605 -A$8)</f>
        <v>51.750194549560497</v>
      </c>
      <c r="B218">
        <f>B$9 * (51.7501945495605 -B$8)</f>
        <v>51.750194549560497</v>
      </c>
      <c r="D218">
        <f>D$9 * (156.767303466796 -D$8)</f>
        <v>156.76730346679599</v>
      </c>
      <c r="E218">
        <f>E$9 * (42.4924812316894 -E$8)</f>
        <v>42.492481231689403</v>
      </c>
    </row>
    <row r="219" spans="1:5" x14ac:dyDescent="0.3">
      <c r="A219">
        <f>A$9 * (52.0003051757812 -A$8)</f>
        <v>52.0003051757812</v>
      </c>
      <c r="B219">
        <f>B$9 * (52.0003051757812 -B$8)</f>
        <v>52.0003051757812</v>
      </c>
      <c r="D219">
        <f>D$9 * (156.759506225585 -D$8)</f>
        <v>156.759506225585</v>
      </c>
      <c r="E219">
        <f>E$9 * (34.4126281738281 -E$8)</f>
        <v>34.412628173828097</v>
      </c>
    </row>
    <row r="220" spans="1:5" x14ac:dyDescent="0.3">
      <c r="A220">
        <f>A$9 * (52.2503051757812 -A$8)</f>
        <v>52.2503051757812</v>
      </c>
      <c r="B220">
        <f>B$9 * (52.2503051757812 -B$8)</f>
        <v>52.2503051757812</v>
      </c>
      <c r="D220">
        <f>D$9 * (156.757904052734 -D$8)</f>
        <v>156.75790405273401</v>
      </c>
      <c r="E220">
        <f>E$9 * (39.8553810119628 -E$8)</f>
        <v>39.855381011962798</v>
      </c>
    </row>
    <row r="221" spans="1:5" x14ac:dyDescent="0.3">
      <c r="A221">
        <f>A$9 * (52.5002517700195 -A$8)</f>
        <v>52.500251770019503</v>
      </c>
      <c r="B221">
        <f>B$9 * (52.5002517700195 -B$8)</f>
        <v>52.500251770019503</v>
      </c>
      <c r="D221">
        <f>D$9 * (156.758193969726 -D$8)</f>
        <v>156.75819396972599</v>
      </c>
      <c r="E221">
        <f>E$9 * (48.4288482666015 -E$8)</f>
        <v>48.428848266601499</v>
      </c>
    </row>
    <row r="222" spans="1:5" x14ac:dyDescent="0.3">
      <c r="A222">
        <f>A$9 * (52.7503318786621 -A$8)</f>
        <v>52.750331878662102</v>
      </c>
      <c r="B222">
        <f>B$9 * (52.7503318786621 -B$8)</f>
        <v>52.750331878662102</v>
      </c>
      <c r="D222">
        <f>D$9 * (156.757003784179 -D$8)</f>
        <v>156.75700378417901</v>
      </c>
      <c r="E222">
        <f>E$9 * (56.9362411499023 -E$8)</f>
        <v>56.936241149902301</v>
      </c>
    </row>
    <row r="223" spans="1:5" x14ac:dyDescent="0.3">
      <c r="A223">
        <f>A$9 * (53.0005836486816 -A$8)</f>
        <v>53.000583648681598</v>
      </c>
      <c r="B223">
        <f>B$9 * (53.0005836486816 -B$8)</f>
        <v>53.000583648681598</v>
      </c>
      <c r="D223">
        <f>D$9 * (156.757293701171 -D$8)</f>
        <v>156.75729370117099</v>
      </c>
      <c r="E223">
        <f>E$9 * (64.9417114257812 -E$8)</f>
        <v>64.941711425781193</v>
      </c>
    </row>
    <row r="224" spans="1:5" x14ac:dyDescent="0.3">
      <c r="A224">
        <f>A$9 * (53.2501106262207 -A$8)</f>
        <v>53.250110626220703</v>
      </c>
      <c r="B224">
        <f>B$9 * (53.2501106262207 -B$8)</f>
        <v>53.250110626220703</v>
      </c>
      <c r="D224">
        <f>D$9 * (156.731994628906 -D$8)</f>
        <v>156.73199462890599</v>
      </c>
      <c r="E224">
        <f>E$9 * (72.6063690185546 -E$8)</f>
        <v>72.606369018554602</v>
      </c>
    </row>
    <row r="225" spans="1:5" x14ac:dyDescent="0.3">
      <c r="A225">
        <f>A$9 * (53.5002517700195 -A$8)</f>
        <v>53.500251770019503</v>
      </c>
      <c r="B225">
        <f>B$9 * (53.5002517700195 -B$8)</f>
        <v>53.500251770019503</v>
      </c>
      <c r="D225">
        <f>D$9 * (156.75259399414 -D$8)</f>
        <v>156.75259399414</v>
      </c>
      <c r="E225">
        <f>E$9 * (62.3317909240722 -E$8)</f>
        <v>62.331790924072202</v>
      </c>
    </row>
    <row r="226" spans="1:5" x14ac:dyDescent="0.3">
      <c r="A226">
        <f>A$9 * (53.7503623962402 -A$8)</f>
        <v>53.750362396240199</v>
      </c>
      <c r="B226">
        <f>B$9 * (53.7503623962402 -B$8)</f>
        <v>53.750362396240199</v>
      </c>
      <c r="D226">
        <f>D$9 * (156.757293701171 -D$8)</f>
        <v>156.75729370117099</v>
      </c>
      <c r="E226">
        <f>E$9 * (58.5699806213378 -E$8)</f>
        <v>58.569980621337798</v>
      </c>
    </row>
    <row r="227" spans="1:5" x14ac:dyDescent="0.3">
      <c r="A227">
        <f>A$9 * (54.0004730224609 -A$8)</f>
        <v>54.000473022460902</v>
      </c>
      <c r="B227">
        <f>B$9 * (54.0004730224609 -B$8)</f>
        <v>54.000473022460902</v>
      </c>
      <c r="D227">
        <f>D$9 * (156.760101318359 -D$8)</f>
        <v>156.76010131835901</v>
      </c>
      <c r="E227">
        <f>E$9 * (67.6901092529296 -E$8)</f>
        <v>67.690109252929602</v>
      </c>
    </row>
    <row r="228" spans="1:5" x14ac:dyDescent="0.3">
      <c r="A228">
        <f>A$9 * (54.2502784729003 -A$8)</f>
        <v>54.250278472900298</v>
      </c>
      <c r="B228">
        <f>B$9 * (54.2502784729003 -B$8)</f>
        <v>54.250278472900298</v>
      </c>
      <c r="D228">
        <f>D$9 * (156.804992675781 -D$8)</f>
        <v>156.80499267578099</v>
      </c>
      <c r="E228">
        <f>E$9 * (76.8676986694335 -E$8)</f>
        <v>76.867698669433494</v>
      </c>
    </row>
    <row r="229" spans="1:5" x14ac:dyDescent="0.3">
      <c r="A229">
        <f>A$9 * (54.5007781982421 -A$8)</f>
        <v>54.500778198242102</v>
      </c>
      <c r="B229">
        <f>B$9 * (54.5007781982421 -B$8)</f>
        <v>54.500778198242102</v>
      </c>
      <c r="D229">
        <f>D$9 * (156.742202758789 -D$8)</f>
        <v>156.74220275878901</v>
      </c>
      <c r="E229">
        <f>E$9 * (86.2156677246093 -E$8)</f>
        <v>86.215667724609304</v>
      </c>
    </row>
    <row r="230" spans="1:5" x14ac:dyDescent="0.3">
      <c r="A230">
        <f>A$9 * (54.7501373291015 -A$8)</f>
        <v>54.750137329101499</v>
      </c>
      <c r="B230">
        <f>B$9 * (54.7501373291015 -B$8)</f>
        <v>54.750137329101499</v>
      </c>
      <c r="D230">
        <f>D$9 * (156.936798095703 -D$8)</f>
        <v>156.93679809570301</v>
      </c>
      <c r="E230">
        <f>E$9 * (95.2783584594726 -E$8)</f>
        <v>95.278358459472599</v>
      </c>
    </row>
    <row r="231" spans="1:5" x14ac:dyDescent="0.3">
      <c r="A231">
        <f>A$9 * (55.0003623962402 -A$8)</f>
        <v>55.000362396240199</v>
      </c>
      <c r="B231">
        <f>B$9 * (55.0003623962402 -B$8)</f>
        <v>55.000362396240199</v>
      </c>
      <c r="D231">
        <f>D$9 * (156.585906982421 -D$8)</f>
        <v>156.58590698242099</v>
      </c>
      <c r="E231">
        <f>E$9 * (68.1968536376953 -E$8)</f>
        <v>68.196853637695298</v>
      </c>
    </row>
    <row r="232" spans="1:5" x14ac:dyDescent="0.3">
      <c r="A232">
        <f>A$9 * (55.2502517700195 -A$8)</f>
        <v>55.250251770019503</v>
      </c>
      <c r="B232">
        <f>B$9 * (55.2502517700195 -B$8)</f>
        <v>55.250251770019503</v>
      </c>
      <c r="D232">
        <f>D$9 * (156.77310180664 -D$8)</f>
        <v>156.77310180664</v>
      </c>
      <c r="E232">
        <f>E$9 * (68.3256225585937 -E$8)</f>
        <v>68.325622558593693</v>
      </c>
    </row>
    <row r="233" spans="1:5" x14ac:dyDescent="0.3">
      <c r="A233">
        <f>A$9 * (55.5000267028808 -A$8)</f>
        <v>55.500026702880803</v>
      </c>
      <c r="B233">
        <f>B$9 * (55.5000267028808 -B$8)</f>
        <v>55.500026702880803</v>
      </c>
      <c r="D233">
        <f>D$9 * (156.80419921875 -D$8)</f>
        <v>156.80419921875</v>
      </c>
      <c r="E233">
        <f>E$9 * (77.3982467651367 -E$8)</f>
        <v>77.398246765136705</v>
      </c>
    </row>
    <row r="234" spans="1:5" x14ac:dyDescent="0.3">
      <c r="A234">
        <f>A$9 * (55.7505836486816 -A$8)</f>
        <v>55.750583648681598</v>
      </c>
      <c r="B234">
        <f>B$9 * (55.7505836486816 -B$8)</f>
        <v>55.750583648681598</v>
      </c>
      <c r="D234">
        <f>D$9 * (156.757095336914 -D$8)</f>
        <v>156.75709533691401</v>
      </c>
      <c r="E234">
        <f>E$9 * (86.3498077392578 -E$8)</f>
        <v>86.349807739257798</v>
      </c>
    </row>
    <row r="235" spans="1:5" x14ac:dyDescent="0.3">
      <c r="A235">
        <f>A$9 * (56.0007209777832 -A$8)</f>
        <v>56.000720977783203</v>
      </c>
      <c r="B235">
        <f>B$9 * (56.0007209777832 -B$8)</f>
        <v>56.000720977783203</v>
      </c>
      <c r="D235">
        <f>D$9 * (156.798294067382 -D$8)</f>
        <v>156.79829406738199</v>
      </c>
      <c r="E235">
        <f>E$9 * (93.2791519165039 -E$8)</f>
        <v>93.279151916503906</v>
      </c>
    </row>
    <row r="236" spans="1:5" x14ac:dyDescent="0.3">
      <c r="A236">
        <f>A$9 * (56.2505264282226 -A$8)</f>
        <v>56.250526428222599</v>
      </c>
      <c r="B236">
        <f>B$9 * (56.2505264282226 -B$8)</f>
        <v>56.250526428222599</v>
      </c>
      <c r="D236">
        <f>D$9 * (156.70359802246 -D$8)</f>
        <v>156.70359802246</v>
      </c>
      <c r="E236">
        <f>E$9 * (61.6645202636718 -E$8)</f>
        <v>61.664520263671797</v>
      </c>
    </row>
    <row r="237" spans="1:5" x14ac:dyDescent="0.3">
      <c r="A237">
        <f>A$9 * (56.5003051757812 -A$8)</f>
        <v>56.5003051757812</v>
      </c>
      <c r="B237">
        <f>B$9 * (56.5003051757812 -B$8)</f>
        <v>56.5003051757812</v>
      </c>
      <c r="D237">
        <f>D$9 * (156.783096313476 -D$8)</f>
        <v>156.78309631347599</v>
      </c>
      <c r="E237">
        <f>E$9 * (50.9257698059082 -E$8)</f>
        <v>50.925769805908203</v>
      </c>
    </row>
    <row r="238" spans="1:5" x14ac:dyDescent="0.3">
      <c r="A238">
        <f>A$9 * (56.75 -A$8)</f>
        <v>56.75</v>
      </c>
      <c r="B238">
        <f>B$9 * (56.75 -B$8)</f>
        <v>56.75</v>
      </c>
      <c r="D238">
        <f>D$9 * (156.760696411132 -D$8)</f>
        <v>156.76069641113199</v>
      </c>
      <c r="E238">
        <f>E$9 * (36.581371307373 -E$8)</f>
        <v>36.581371307372997</v>
      </c>
    </row>
    <row r="239" spans="1:5" x14ac:dyDescent="0.3">
      <c r="A239">
        <f>A$9 * (57.0001106262207 -A$8)</f>
        <v>57.000110626220703</v>
      </c>
      <c r="B239">
        <f>B$9 * (57.0001106262207 -B$8)</f>
        <v>57.000110626220703</v>
      </c>
      <c r="D239">
        <f>D$9 * (156.758102416992 -D$8)</f>
        <v>156.75810241699199</v>
      </c>
      <c r="E239">
        <f>E$9 * (36.4308280944824 -E$8)</f>
        <v>36.430828094482401</v>
      </c>
    </row>
    <row r="240" spans="1:5" x14ac:dyDescent="0.3">
      <c r="A240">
        <f>A$9 * (57.2501106262207 -A$8)</f>
        <v>57.250110626220703</v>
      </c>
      <c r="B240">
        <f>B$9 * (57.2501106262207 -B$8)</f>
        <v>57.250110626220703</v>
      </c>
      <c r="D240">
        <f>D$9 * (156.760696411132 -D$8)</f>
        <v>156.76069641113199</v>
      </c>
      <c r="E240">
        <f>E$9 * (44.414451599121 -E$8)</f>
        <v>44.414451599121001</v>
      </c>
    </row>
    <row r="241" spans="1:5" x14ac:dyDescent="0.3">
      <c r="A241">
        <f>A$9 * (57.5002784729003 -A$8)</f>
        <v>57.500278472900298</v>
      </c>
      <c r="B241">
        <f>B$9 * (57.5002784729003 -B$8)</f>
        <v>57.500278472900298</v>
      </c>
      <c r="D241">
        <f>D$9 * (156.758102416992 -D$8)</f>
        <v>156.75810241699199</v>
      </c>
      <c r="E241">
        <f>E$9 * (52.9501991271972 -E$8)</f>
        <v>52.950199127197202</v>
      </c>
    </row>
    <row r="242" spans="1:5" x14ac:dyDescent="0.3">
      <c r="A242">
        <f>A$9 * (57.7506370544433 -A$8)</f>
        <v>57.750637054443303</v>
      </c>
      <c r="B242">
        <f>B$9 * (57.7506370544433 -B$8)</f>
        <v>57.750637054443303</v>
      </c>
      <c r="D242">
        <f>D$9 * (156.758102416992 -D$8)</f>
        <v>156.75810241699199</v>
      </c>
      <c r="E242">
        <f>E$9 * (61.2159004211425 -E$8)</f>
        <v>61.2159004211425</v>
      </c>
    </row>
    <row r="243" spans="1:5" x14ac:dyDescent="0.3">
      <c r="A243">
        <f>A$9 * (58.0004997253418 -A$8)</f>
        <v>58.000499725341797</v>
      </c>
      <c r="B243">
        <f>B$9 * (58.0004997253418 -B$8)</f>
        <v>58.000499725341797</v>
      </c>
      <c r="D243">
        <f>D$9 * (156.758804321289 -D$8)</f>
        <v>156.75880432128901</v>
      </c>
      <c r="E243">
        <f>E$9 * (69.1885299682617 -E$8)</f>
        <v>69.188529968261705</v>
      </c>
    </row>
    <row r="244" spans="1:5" x14ac:dyDescent="0.3">
      <c r="A244">
        <f>A$9 * (58.2503623962402 -A$8)</f>
        <v>58.250362396240199</v>
      </c>
      <c r="B244">
        <f>B$9 * (58.2503623962402 -B$8)</f>
        <v>58.250362396240199</v>
      </c>
      <c r="D244">
        <f>D$9 * (156.813293457031 -D$8)</f>
        <v>156.81329345703099</v>
      </c>
      <c r="E244">
        <f>E$9 * (75.0204010009765 -E$8)</f>
        <v>75.020401000976506</v>
      </c>
    </row>
    <row r="245" spans="1:5" x14ac:dyDescent="0.3">
      <c r="A245">
        <f>A$9 * (58.5 -A$8)</f>
        <v>58.5</v>
      </c>
      <c r="B245">
        <f>B$9 * (58.5 -B$8)</f>
        <v>58.5</v>
      </c>
      <c r="D245">
        <f>D$9 * (156.755401611328 -D$8)</f>
        <v>156.75540161132801</v>
      </c>
      <c r="E245">
        <f>E$9 * (54.645221710205 -E$8)</f>
        <v>54.645221710205</v>
      </c>
    </row>
    <row r="246" spans="1:5" x14ac:dyDescent="0.3">
      <c r="A246">
        <f>A$9 * (58.750389099121 -A$8)</f>
        <v>58.750389099121001</v>
      </c>
      <c r="B246">
        <f>B$9 * (58.750389099121 -B$8)</f>
        <v>58.750389099121001</v>
      </c>
      <c r="D246">
        <f>D$9 * (156.759902954101 -D$8)</f>
        <v>156.75990295410099</v>
      </c>
      <c r="E246">
        <f>E$9 * (63.1547317504882 -E$8)</f>
        <v>63.154731750488203</v>
      </c>
    </row>
    <row r="247" spans="1:5" x14ac:dyDescent="0.3">
      <c r="A247">
        <f>A$9 * (59.0001106262207 -A$8)</f>
        <v>59.000110626220703</v>
      </c>
      <c r="B247">
        <f>B$9 * (59.0001106262207 -B$8)</f>
        <v>59.000110626220703</v>
      </c>
      <c r="D247">
        <f>D$9 * (156.730697631835 -D$8)</f>
        <v>156.730697631835</v>
      </c>
      <c r="E247">
        <f>E$9 * (72.1012496948242 -E$8)</f>
        <v>72.101249694824205</v>
      </c>
    </row>
    <row r="248" spans="1:5" x14ac:dyDescent="0.3">
      <c r="A248">
        <f>A$9 * (59.2502517700195 -A$8)</f>
        <v>59.250251770019503</v>
      </c>
      <c r="B248">
        <f>B$9 * (59.2502517700195 -B$8)</f>
        <v>59.250251770019503</v>
      </c>
      <c r="D248">
        <f>D$9 * (157.000198364257 -D$8)</f>
        <v>157.00019836425699</v>
      </c>
      <c r="E248">
        <f>E$9 * (81.605369567871 -E$8)</f>
        <v>81.605369567870994</v>
      </c>
    </row>
    <row r="249" spans="1:5" x14ac:dyDescent="0.3">
      <c r="A249">
        <f>A$9 * (59.5001106262207 -A$8)</f>
        <v>59.500110626220703</v>
      </c>
      <c r="B249">
        <f>B$9 * (59.5001106262207 -B$8)</f>
        <v>59.500110626220703</v>
      </c>
      <c r="D249">
        <f>D$9 * (156.898696899414 -D$8)</f>
        <v>156.89869689941401</v>
      </c>
      <c r="E249">
        <f>E$9 * (90.6668472290039 -E$8)</f>
        <v>90.666847229003906</v>
      </c>
    </row>
    <row r="250" spans="1:5" x14ac:dyDescent="0.3">
      <c r="A250">
        <f>A$9 * (59.7501945495605 -A$8)</f>
        <v>59.750194549560497</v>
      </c>
      <c r="B250">
        <f>B$9 * (59.7501945495605 -B$8)</f>
        <v>59.750194549560497</v>
      </c>
      <c r="D250">
        <f>D$9 * (156.391693115234 -D$8)</f>
        <v>156.39169311523401</v>
      </c>
      <c r="E250">
        <f>E$9 * (86.5296936035156 -E$8)</f>
        <v>86.529693603515597</v>
      </c>
    </row>
    <row r="251" spans="1:5" x14ac:dyDescent="0.3">
      <c r="A251">
        <f>A$9 * (60.0003318786621 -A$8)</f>
        <v>60.000331878662102</v>
      </c>
      <c r="B251">
        <f>B$9 * (60.0003318786621 -B$8)</f>
        <v>60.000331878662102</v>
      </c>
      <c r="D251">
        <f>D$9 * (156.728302001953 -D$8)</f>
        <v>156.72830200195301</v>
      </c>
      <c r="E251">
        <f>E$9 * (63.9856796264648 -E$8)</f>
        <v>63.985679626464801</v>
      </c>
    </row>
    <row r="252" spans="1:5" x14ac:dyDescent="0.3">
      <c r="A252">
        <f>A$9 * (60.2500572204589 -A$8)</f>
        <v>60.250057220458899</v>
      </c>
      <c r="B252">
        <f>B$9 * (60.2500572204589 -B$8)</f>
        <v>60.250057220458899</v>
      </c>
      <c r="D252">
        <f>D$9 * (156.76480102539 -D$8)</f>
        <v>156.76480102539</v>
      </c>
      <c r="E252">
        <f>E$9 * (73.0467376708984 -E$8)</f>
        <v>73.046737670898395</v>
      </c>
    </row>
    <row r="253" spans="1:5" x14ac:dyDescent="0.3">
      <c r="A253">
        <f>A$9 * (60.5005836486816 -A$8)</f>
        <v>60.500583648681598</v>
      </c>
      <c r="B253">
        <f>B$9 * (60.5005836486816 -B$8)</f>
        <v>60.500583648681598</v>
      </c>
      <c r="D253">
        <f>D$9 * (156.80549621582 -D$8)</f>
        <v>156.80549621582</v>
      </c>
      <c r="E253">
        <f>E$9 * (82.0144729614257 -E$8)</f>
        <v>82.014472961425696</v>
      </c>
    </row>
    <row r="254" spans="1:5" x14ac:dyDescent="0.3">
      <c r="A254">
        <f>A$9 * (60.7504730224609 -A$8)</f>
        <v>60.750473022460902</v>
      </c>
      <c r="B254">
        <f>B$9 * (60.7504730224609 -B$8)</f>
        <v>60.750473022460902</v>
      </c>
      <c r="D254">
        <f>D$9 * (156.906906127929 -D$8)</f>
        <v>156.90690612792901</v>
      </c>
      <c r="E254">
        <f>E$9 * (91.1287765502929 -E$8)</f>
        <v>91.128776550292898</v>
      </c>
    </row>
    <row r="255" spans="1:5" x14ac:dyDescent="0.3">
      <c r="A255">
        <f>A$9 * (61.0004158020019 -A$8)</f>
        <v>61.000415802001903</v>
      </c>
      <c r="B255">
        <f>B$9 * (61.0004158020019 -B$8)</f>
        <v>61.000415802001903</v>
      </c>
      <c r="D255">
        <f>D$9 * (156.390502929687 -D$8)</f>
        <v>156.39050292968699</v>
      </c>
      <c r="E255">
        <f>E$9 * (78.678596496582 -E$8)</f>
        <v>78.678596496582003</v>
      </c>
    </row>
    <row r="256" spans="1:5" x14ac:dyDescent="0.3">
      <c r="A256">
        <f>A$9 * (61.2503318786621 -A$8)</f>
        <v>61.250331878662102</v>
      </c>
      <c r="B256">
        <f>B$9 * (61.2503318786621 -B$8)</f>
        <v>61.250331878662102</v>
      </c>
      <c r="D256">
        <f>D$9 * (156.742797851562 -D$8)</f>
        <v>156.74279785156199</v>
      </c>
      <c r="E256">
        <f>E$9 * (59.074779510498 -E$8)</f>
        <v>59.074779510497997</v>
      </c>
    </row>
    <row r="257" spans="1:5" x14ac:dyDescent="0.3">
      <c r="A257">
        <f>A$9 * (61.5003318786621 -A$8)</f>
        <v>61.500331878662102</v>
      </c>
      <c r="B257">
        <f>B$9 * (61.5003318786621 -B$8)</f>
        <v>61.500331878662102</v>
      </c>
      <c r="D257">
        <f>D$9 * (156.766693115234 -D$8)</f>
        <v>156.76669311523401</v>
      </c>
      <c r="E257">
        <f>E$9 * (42.0345611572265 -E$8)</f>
        <v>42.034561157226499</v>
      </c>
    </row>
    <row r="258" spans="1:5" x14ac:dyDescent="0.3">
      <c r="A258">
        <f>A$9 * (61.7501678466796 -A$8)</f>
        <v>61.750167846679602</v>
      </c>
      <c r="B258">
        <f>B$9 * (61.7501678466796 -B$8)</f>
        <v>61.750167846679602</v>
      </c>
      <c r="D258">
        <f>D$9 * (156.754699707031 -D$8)</f>
        <v>156.75469970703099</v>
      </c>
      <c r="E258">
        <f>E$9 * (34.4268989562988 -E$8)</f>
        <v>34.4268989562988</v>
      </c>
    </row>
    <row r="259" spans="1:5" x14ac:dyDescent="0.3">
      <c r="A259">
        <f>A$9 * (62 -A$8)</f>
        <v>62</v>
      </c>
      <c r="B259">
        <f>B$9 * (62 -B$8)</f>
        <v>62</v>
      </c>
      <c r="D259">
        <f>D$9 * (156.759506225585 -D$8)</f>
        <v>156.759506225585</v>
      </c>
      <c r="E259">
        <f>E$9 * (40.1417999267578 -E$8)</f>
        <v>40.141799926757798</v>
      </c>
    </row>
    <row r="260" spans="1:5" x14ac:dyDescent="0.3">
      <c r="A260">
        <f>A$9 * (62.2504158020019 -A$8)</f>
        <v>62.250415802001903</v>
      </c>
      <c r="B260">
        <f>B$9 * (62.2504158020019 -B$8)</f>
        <v>62.250415802001903</v>
      </c>
      <c r="D260">
        <f>D$9 * (156.759292602539 -D$8)</f>
        <v>156.75929260253901</v>
      </c>
      <c r="E260">
        <f>E$9 * (48.6764297485351 -E$8)</f>
        <v>48.676429748535099</v>
      </c>
    </row>
    <row r="261" spans="1:5" x14ac:dyDescent="0.3">
      <c r="A261">
        <f>A$9 * (62.5003623962402 -A$8)</f>
        <v>62.500362396240199</v>
      </c>
      <c r="B261">
        <f>B$9 * (62.5003623962402 -B$8)</f>
        <v>62.500362396240199</v>
      </c>
      <c r="D261">
        <f>D$9 * (156.757400512695 -D$8)</f>
        <v>156.757400512695</v>
      </c>
      <c r="E261">
        <f>E$9 * (56.9822006225585 -E$8)</f>
        <v>56.982200622558501</v>
      </c>
    </row>
    <row r="262" spans="1:5" x14ac:dyDescent="0.3">
      <c r="A262">
        <f>A$9 * (62.75044631958 -A$8)</f>
        <v>62.75044631958</v>
      </c>
      <c r="B262">
        <f>B$9 * (62.75044631958 -B$8)</f>
        <v>62.75044631958</v>
      </c>
      <c r="D262">
        <f>D$9 * (156.760803222656 -D$8)</f>
        <v>156.76080322265599</v>
      </c>
      <c r="E262">
        <f>E$9 * (65.1023788452148 -E$8)</f>
        <v>65.102378845214801</v>
      </c>
    </row>
    <row r="263" spans="1:5" x14ac:dyDescent="0.3">
      <c r="A263">
        <f>A$9 * (63.0001373291015 -A$8)</f>
        <v>63.000137329101499</v>
      </c>
      <c r="B263">
        <f>B$9 * (63.0001373291015 -B$8)</f>
        <v>63.000137329101499</v>
      </c>
      <c r="D263">
        <f>D$9 * (156.744796752929 -D$8)</f>
        <v>156.74479675292901</v>
      </c>
      <c r="E263">
        <f>E$9 * (72.7140502929687 -E$8)</f>
        <v>72.714050292968693</v>
      </c>
    </row>
    <row r="264" spans="1:5" x14ac:dyDescent="0.3">
      <c r="A264">
        <f>A$9 * (63.2504997253418 -A$8)</f>
        <v>63.250499725341797</v>
      </c>
      <c r="B264">
        <f>B$9 * (63.2504997253418 -B$8)</f>
        <v>63.250499725341797</v>
      </c>
      <c r="D264">
        <f>D$9 * (156.754196166992 -D$8)</f>
        <v>156.75419616699199</v>
      </c>
      <c r="E264">
        <f>E$9 * (61.6519813537597 -E$8)</f>
        <v>61.651981353759702</v>
      </c>
    </row>
    <row r="265" spans="1:5" x14ac:dyDescent="0.3">
      <c r="A265">
        <f>A$9 * (63.5005569458007 -A$8)</f>
        <v>63.500556945800703</v>
      </c>
      <c r="B265">
        <f>B$9 * (63.5005569458007 -B$8)</f>
        <v>63.500556945800703</v>
      </c>
      <c r="D265">
        <f>D$9 * (156.758499145507 -D$8)</f>
        <v>156.75849914550699</v>
      </c>
      <c r="E265">
        <f>E$9 * (58.9138793945312 -E$8)</f>
        <v>58.9138793945312</v>
      </c>
    </row>
    <row r="266" spans="1:5" x14ac:dyDescent="0.3">
      <c r="A266">
        <f>A$9 * (63.7503051757812 -A$8)</f>
        <v>63.7503051757812</v>
      </c>
      <c r="B266">
        <f>B$9 * (63.7503051757812 -B$8)</f>
        <v>63.7503051757812</v>
      </c>
      <c r="D266">
        <f>D$9 * (156.755493164062 -D$8)</f>
        <v>156.75549316406199</v>
      </c>
      <c r="E266">
        <f>E$9 * (68.0053024291992 -E$8)</f>
        <v>68.005302429199205</v>
      </c>
    </row>
    <row r="267" spans="1:5" x14ac:dyDescent="0.3">
      <c r="A267">
        <f>A$9 * (64.0001144409179 -A$8)</f>
        <v>64.000114440917898</v>
      </c>
      <c r="B267">
        <f>B$9 * (64.0001144409179 -B$8)</f>
        <v>64.000114440917898</v>
      </c>
      <c r="D267">
        <f>D$9 * (156.806900024414 -D$8)</f>
        <v>156.80690002441401</v>
      </c>
      <c r="E267">
        <f>E$9 * (77.2036666870117 -E$8)</f>
        <v>77.203666687011705</v>
      </c>
    </row>
    <row r="268" spans="1:5" x14ac:dyDescent="0.3">
      <c r="A268">
        <f>A$9 * (64.2501678466796 -A$8)</f>
        <v>64.250167846679602</v>
      </c>
      <c r="B268">
        <f>B$9 * (64.2501678466796 -B$8)</f>
        <v>64.250167846679602</v>
      </c>
      <c r="D268">
        <f>D$9 * (156.760192871093 -D$8)</f>
        <v>156.76019287109301</v>
      </c>
      <c r="E268">
        <f>E$9 * (86.45458984375 -E$8)</f>
        <v>86.45458984375</v>
      </c>
    </row>
    <row r="269" spans="1:5" x14ac:dyDescent="0.3">
      <c r="A269">
        <f>A$9 * (64.5004425048828 -A$8)</f>
        <v>64.500442504882798</v>
      </c>
      <c r="B269">
        <f>B$9 * (64.5004425048828 -B$8)</f>
        <v>64.500442504882798</v>
      </c>
      <c r="D269">
        <f>D$9 * (156.928298950195 -D$8)</f>
        <v>156.928298950195</v>
      </c>
      <c r="E269">
        <f>E$9 * (95.29736328125 -E$8)</f>
        <v>95.29736328125</v>
      </c>
    </row>
    <row r="270" spans="1:5" x14ac:dyDescent="0.3">
      <c r="A270">
        <f>A$9 * (64.7506103515625 -A$8)</f>
        <v>64.7506103515625</v>
      </c>
      <c r="B270">
        <f>B$9 * (64.7506103515625 -B$8)</f>
        <v>64.7506103515625</v>
      </c>
      <c r="D270">
        <f>D$9 * (156.617401123046 -D$8)</f>
        <v>156.61740112304599</v>
      </c>
      <c r="E270">
        <f>E$9 * (66.9550018310546 -E$8)</f>
        <v>66.955001831054602</v>
      </c>
    </row>
    <row r="271" spans="1:5" x14ac:dyDescent="0.3">
      <c r="A271">
        <f>A$9 * (65.0006408691406 -A$8)</f>
        <v>65.000640869140597</v>
      </c>
      <c r="B271">
        <f>B$9 * (65.0006408691406 -B$8)</f>
        <v>65.000640869140597</v>
      </c>
      <c r="D271">
        <f>D$9 * (156.775207519531 -D$8)</f>
        <v>156.77520751953099</v>
      </c>
      <c r="E271">
        <f>E$9 * (68.769416809082 -E$8)</f>
        <v>68.769416809082003</v>
      </c>
    </row>
    <row r="272" spans="1:5" x14ac:dyDescent="0.3">
      <c r="A272">
        <f>A$9 * (65.2501373291015 -A$8)</f>
        <v>65.250137329101506</v>
      </c>
      <c r="B272">
        <f>B$9 * (65.2501373291015 -B$8)</f>
        <v>65.250137329101506</v>
      </c>
      <c r="D272">
        <f>D$9 * (156.894104003906 -D$8)</f>
        <v>156.89410400390599</v>
      </c>
      <c r="E272">
        <f>E$9 * (77.781753540039 -E$8)</f>
        <v>77.781753540039006</v>
      </c>
    </row>
    <row r="273" spans="1:5" x14ac:dyDescent="0.3">
      <c r="A273">
        <f>A$9 * (65.5003051757812 -A$8)</f>
        <v>65.500305175781193</v>
      </c>
      <c r="B273">
        <f>B$9 * (65.5003051757812 -B$8)</f>
        <v>65.500305175781193</v>
      </c>
      <c r="D273">
        <f>D$9 * (156.781204223632 -D$8)</f>
        <v>156.78120422363199</v>
      </c>
      <c r="E273">
        <f>E$9 * (86.6949615478515 -E$8)</f>
        <v>86.694961547851506</v>
      </c>
    </row>
    <row r="274" spans="1:5" x14ac:dyDescent="0.3">
      <c r="A274">
        <f>A$9 * (65.750503540039 -A$8)</f>
        <v>65.750503540039006</v>
      </c>
      <c r="B274">
        <f>B$9 * (65.750503540039 -B$8)</f>
        <v>65.750503540039006</v>
      </c>
      <c r="D274">
        <f>D$9 * (156.785995483398 -D$8)</f>
        <v>156.78599548339801</v>
      </c>
      <c r="E274">
        <f>E$9 * (93.3798217773437 -E$8)</f>
        <v>93.379821777343693</v>
      </c>
    </row>
    <row r="275" spans="1:5" x14ac:dyDescent="0.3">
      <c r="A275">
        <f>A$9 * (66.000503540039 -A$8)</f>
        <v>66.000503540039006</v>
      </c>
      <c r="B275">
        <f>B$9 * (66.000503540039 -B$8)</f>
        <v>66.000503540039006</v>
      </c>
      <c r="D275">
        <f>D$9 * (156.701202392578 -D$8)</f>
        <v>156.70120239257801</v>
      </c>
      <c r="E275">
        <f>E$9 * (61.5475006103515 -E$8)</f>
        <v>61.547500610351499</v>
      </c>
    </row>
    <row r="276" spans="1:5" x14ac:dyDescent="0.3">
      <c r="A276">
        <f>A$9 * (66.2500305175781 -A$8)</f>
        <v>66.250030517578097</v>
      </c>
      <c r="B276">
        <f>B$9 * (66.2500305175781 -B$8)</f>
        <v>66.250030517578097</v>
      </c>
      <c r="D276">
        <f>D$9 * (156.781692504882 -D$8)</f>
        <v>156.78169250488199</v>
      </c>
      <c r="E276">
        <f>E$9 * (51.0770606994628 -E$8)</f>
        <v>51.077060699462798</v>
      </c>
    </row>
    <row r="277" spans="1:5" x14ac:dyDescent="0.3">
      <c r="A277">
        <f>A$9 * (66.5001373291015 -A$8)</f>
        <v>66.500137329101506</v>
      </c>
      <c r="B277">
        <f>B$9 * (66.5001373291015 -B$8)</f>
        <v>66.500137329101506</v>
      </c>
      <c r="D277">
        <f>D$9 * (156.76040649414 -D$8)</f>
        <v>156.76040649414</v>
      </c>
      <c r="E277">
        <f>E$9 * (36.645149230957 -E$8)</f>
        <v>36.645149230957003</v>
      </c>
    </row>
    <row r="278" spans="1:5" x14ac:dyDescent="0.3">
      <c r="A278">
        <f>A$9 * (66.7502746582031 -A$8)</f>
        <v>66.750274658203097</v>
      </c>
      <c r="B278">
        <f>B$9 * (66.7502746582031 -B$8)</f>
        <v>66.750274658203097</v>
      </c>
      <c r="D278">
        <f>D$9 * (156.758407592773 -D$8)</f>
        <v>156.75840759277301</v>
      </c>
      <c r="E278">
        <f>E$9 * (36.4678382873535 -E$8)</f>
        <v>36.467838287353501</v>
      </c>
    </row>
    <row r="279" spans="1:5" x14ac:dyDescent="0.3">
      <c r="A279">
        <f>A$9 * (67.0000839233398 -A$8)</f>
        <v>67.000083923339801</v>
      </c>
      <c r="B279">
        <f>B$9 * (67.0000839233398 -B$8)</f>
        <v>67.000083923339801</v>
      </c>
      <c r="D279">
        <f>D$9 * (156.759094238281 -D$8)</f>
        <v>156.75909423828099</v>
      </c>
      <c r="E279">
        <f>E$9 * (44.3325691223144 -E$8)</f>
        <v>44.332569122314403</v>
      </c>
    </row>
    <row r="280" spans="1:5" x14ac:dyDescent="0.3">
      <c r="A280">
        <f>A$9 * (67.2502212524414 -A$8)</f>
        <v>67.250221252441406</v>
      </c>
      <c r="B280">
        <f>B$9 * (67.2502212524414 -B$8)</f>
        <v>67.250221252441406</v>
      </c>
      <c r="D280">
        <f>D$9 * (156.756607055664 -D$8)</f>
        <v>156.75660705566401</v>
      </c>
      <c r="E280">
        <f>E$9 * (52.8146209716796 -E$8)</f>
        <v>52.814620971679602</v>
      </c>
    </row>
    <row r="281" spans="1:5" x14ac:dyDescent="0.3">
      <c r="A281">
        <f>A$9 * (67.5001678466796 -A$8)</f>
        <v>67.500167846679602</v>
      </c>
      <c r="B281">
        <f>B$9 * (67.5001678466796 -B$8)</f>
        <v>67.500167846679602</v>
      </c>
      <c r="D281">
        <f>D$9 * (156.758407592773 -D$8)</f>
        <v>156.75840759277301</v>
      </c>
      <c r="E281">
        <f>E$9 * (61.0833015441894 -E$8)</f>
        <v>61.083301544189403</v>
      </c>
    </row>
    <row r="282" spans="1:5" x14ac:dyDescent="0.3">
      <c r="A282">
        <f>A$9 * (67.750503540039 -A$8)</f>
        <v>67.750503540039006</v>
      </c>
      <c r="B282">
        <f>B$9 * (67.750503540039 -B$8)</f>
        <v>67.750503540039006</v>
      </c>
      <c r="D282">
        <f>D$9 * (156.75830078125 -D$8)</f>
        <v>156.75830078125</v>
      </c>
      <c r="E282">
        <f>E$9 * (68.9613723754882 -E$8)</f>
        <v>68.961372375488196</v>
      </c>
    </row>
    <row r="283" spans="1:5" x14ac:dyDescent="0.3">
      <c r="A283">
        <f>A$9 * (68.0001373291015 -A$8)</f>
        <v>68.000137329101506</v>
      </c>
      <c r="B283">
        <f>B$9 * (68.0001373291015 -B$8)</f>
        <v>68.000137329101506</v>
      </c>
      <c r="D283">
        <f>D$9 * (156.798599243164 -D$8)</f>
        <v>156.79859924316401</v>
      </c>
      <c r="E283">
        <f>E$9 * (71.8233184814453 -E$8)</f>
        <v>71.823318481445298</v>
      </c>
    </row>
    <row r="284" spans="1:5" x14ac:dyDescent="0.3">
      <c r="A284">
        <f>A$9 * (68.2500839233398 -A$8)</f>
        <v>68.250083923339801</v>
      </c>
      <c r="B284">
        <f>B$9 * (68.2500839233398 -B$8)</f>
        <v>68.250083923339801</v>
      </c>
      <c r="D284">
        <f>D$9 * (156.758102416992 -D$8)</f>
        <v>156.75810241699199</v>
      </c>
      <c r="E284">
        <f>E$9 * (54.7868995666503 -E$8)</f>
        <v>54.786899566650298</v>
      </c>
    </row>
    <row r="285" spans="1:5" x14ac:dyDescent="0.3">
      <c r="A285">
        <f>A$9 * (68.5005569458007 -A$8)</f>
        <v>68.500556945800696</v>
      </c>
      <c r="B285">
        <f>B$9 * (68.5005569458007 -B$8)</f>
        <v>68.500556945800696</v>
      </c>
      <c r="D285">
        <f>D$9 * (156.758407592773 -D$8)</f>
        <v>156.75840759277301</v>
      </c>
      <c r="E285">
        <f>E$9 * (63.8133316040039 -E$8)</f>
        <v>63.813331604003899</v>
      </c>
    </row>
    <row r="286" spans="1:5" x14ac:dyDescent="0.3">
      <c r="A286">
        <f>A$9 * (68.7505569458007 -A$8)</f>
        <v>68.750556945800696</v>
      </c>
      <c r="B286">
        <f>B$9 * (68.7505569458007 -B$8)</f>
        <v>68.750556945800696</v>
      </c>
      <c r="D286">
        <f>D$9 * (156.742904663085 -D$8)</f>
        <v>156.742904663085</v>
      </c>
      <c r="E286">
        <f>E$9 * (72.9091110229492 -E$8)</f>
        <v>72.909111022949205</v>
      </c>
    </row>
    <row r="287" spans="1:5" x14ac:dyDescent="0.3">
      <c r="A287">
        <f>A$9 * (69.0003585815429 -A$8)</f>
        <v>69.000358581542898</v>
      </c>
      <c r="B287">
        <f>B$9 * (69.0003585815429 -B$8)</f>
        <v>69.000358581542898</v>
      </c>
      <c r="D287">
        <f>D$9 * (156.814300537109 -D$8)</f>
        <v>156.81430053710901</v>
      </c>
      <c r="E287">
        <f>E$9 * (82.3965377807617 -E$8)</f>
        <v>82.396537780761705</v>
      </c>
    </row>
    <row r="288" spans="1:5" x14ac:dyDescent="0.3">
      <c r="A288">
        <f>A$9 * (69.2506942749023 -A$8)</f>
        <v>69.250694274902301</v>
      </c>
      <c r="B288">
        <f>B$9 * (69.2506942749023 -B$8)</f>
        <v>69.250694274902301</v>
      </c>
      <c r="D288">
        <f>D$9 * (156.906692504882 -D$8)</f>
        <v>156.90669250488199</v>
      </c>
      <c r="E288">
        <f>E$9 * (91.486343383789 -E$8)</f>
        <v>91.486343383789006</v>
      </c>
    </row>
    <row r="289" spans="1:5" x14ac:dyDescent="0.3">
      <c r="A289">
        <f>A$9 * (69.5001373291015 -A$8)</f>
        <v>69.500137329101506</v>
      </c>
      <c r="B289">
        <f>B$9 * (69.5001373291015 -B$8)</f>
        <v>69.500137329101506</v>
      </c>
      <c r="D289">
        <f>D$9 * (156.340606689453 -D$8)</f>
        <v>156.34060668945301</v>
      </c>
      <c r="E289">
        <f>E$9 * (82.6159133911132 -E$8)</f>
        <v>82.615913391113196</v>
      </c>
    </row>
    <row r="290" spans="1:5" x14ac:dyDescent="0.3">
      <c r="A290">
        <f>A$9 * (69.7506103515625 -A$8)</f>
        <v>69.7506103515625</v>
      </c>
      <c r="B290">
        <f>B$9 * (69.7506103515625 -B$8)</f>
        <v>69.7506103515625</v>
      </c>
      <c r="D290">
        <f>D$9 * (156.737594604492 -D$8)</f>
        <v>156.73759460449199</v>
      </c>
      <c r="E290">
        <f>E$9 * (64.9615936279296 -E$8)</f>
        <v>64.961593627929602</v>
      </c>
    </row>
    <row r="291" spans="1:5" x14ac:dyDescent="0.3">
      <c r="A291">
        <f>A$9 * (70.0002517700195 -A$8)</f>
        <v>70.000251770019503</v>
      </c>
      <c r="B291">
        <f>B$9 * (70.0002517700195 -B$8)</f>
        <v>70.000251770019503</v>
      </c>
      <c r="D291">
        <f>D$9 * (156.838104248046 -D$8)</f>
        <v>156.83810424804599</v>
      </c>
      <c r="E291">
        <f>E$9 * (73.9176177978515 -E$8)</f>
        <v>73.917617797851506</v>
      </c>
    </row>
    <row r="292" spans="1:5" x14ac:dyDescent="0.3">
      <c r="A292">
        <f>A$9 * (70.2506408691406 -A$8)</f>
        <v>70.250640869140597</v>
      </c>
      <c r="B292">
        <f>B$9 * (70.2506408691406 -B$8)</f>
        <v>70.250640869140597</v>
      </c>
      <c r="D292">
        <f>D$9 * (156.822692871093 -D$8)</f>
        <v>156.82269287109301</v>
      </c>
      <c r="E292">
        <f>E$9 * (82.9685821533203 -E$8)</f>
        <v>82.968582153320298</v>
      </c>
    </row>
    <row r="293" spans="1:5" x14ac:dyDescent="0.3">
      <c r="A293">
        <f>A$9 * (70.5004730224609 -A$8)</f>
        <v>70.500473022460895</v>
      </c>
      <c r="B293">
        <f>B$9 * (70.5004730224609 -B$8)</f>
        <v>70.500473022460895</v>
      </c>
      <c r="D293">
        <f>D$9 * (156.916107177734 -D$8)</f>
        <v>156.91610717773401</v>
      </c>
      <c r="E293">
        <f>E$9 * (92.070556640625 -E$8)</f>
        <v>92.070556640625</v>
      </c>
    </row>
    <row r="294" spans="1:5" x14ac:dyDescent="0.3">
      <c r="A294">
        <f>A$9 * (70.7500534057617 -A$8)</f>
        <v>70.750053405761705</v>
      </c>
      <c r="B294">
        <f>B$9 * (70.7500534057617 -B$8)</f>
        <v>70.750053405761705</v>
      </c>
      <c r="D294">
        <f>D$9 * (156.441299438476 -D$8)</f>
        <v>156.44129943847599</v>
      </c>
      <c r="E294">
        <f>E$9 * (75.277099609375 -E$8)</f>
        <v>75.277099609375</v>
      </c>
    </row>
    <row r="295" spans="1:5" x14ac:dyDescent="0.3">
      <c r="A295">
        <f>A$9 * (71.000503540039 -A$8)</f>
        <v>71.000503540039006</v>
      </c>
      <c r="B295">
        <f>B$9 * (71.000503540039 -B$8)</f>
        <v>71.000503540039006</v>
      </c>
      <c r="D295">
        <f>D$9 * (156.750900268554 -D$8)</f>
        <v>156.75090026855401</v>
      </c>
      <c r="E295">
        <f>E$9 * (58.430061340332 -E$8)</f>
        <v>58.430061340332003</v>
      </c>
    </row>
    <row r="296" spans="1:5" x14ac:dyDescent="0.3">
      <c r="A296">
        <f>A$9 * (71.250389099121 -A$8)</f>
        <v>71.250389099120994</v>
      </c>
      <c r="B296">
        <f>B$9 * (71.250389099121 -B$8)</f>
        <v>71.250389099120994</v>
      </c>
      <c r="D296">
        <f>D$9 * (156.766693115234 -D$8)</f>
        <v>156.76669311523401</v>
      </c>
      <c r="E296">
        <f>E$9 * (40.957950592041 -E$8)</f>
        <v>40.957950592041001</v>
      </c>
    </row>
    <row r="297" spans="1:5" x14ac:dyDescent="0.3">
      <c r="A297">
        <f>A$9 * (71.5002746582031 -A$8)</f>
        <v>71.500274658203097</v>
      </c>
      <c r="B297">
        <f>B$9 * (71.5002746582031 -B$8)</f>
        <v>71.500274658203097</v>
      </c>
      <c r="D297">
        <f>D$9 * (156.759506225585 -D$8)</f>
        <v>156.759506225585</v>
      </c>
      <c r="E297">
        <f>E$9 * (34.56148147583 -E$8)</f>
        <v>34.56148147583</v>
      </c>
    </row>
    <row r="298" spans="1:5" x14ac:dyDescent="0.3">
      <c r="A298">
        <f>A$9 * (71.7503585815429 -A$8)</f>
        <v>71.750358581542898</v>
      </c>
      <c r="B298">
        <f>B$9 * (71.7503585815429 -B$8)</f>
        <v>71.750358581542898</v>
      </c>
      <c r="D298">
        <f>D$9 * (156.755096435546 -D$8)</f>
        <v>156.75509643554599</v>
      </c>
      <c r="E298">
        <f>E$9 * (40.7261810302734 -E$8)</f>
        <v>40.726181030273402</v>
      </c>
    </row>
    <row r="299" spans="1:5" x14ac:dyDescent="0.3">
      <c r="A299">
        <f>A$9 * (72.0001678466796 -A$8)</f>
        <v>72.000167846679602</v>
      </c>
      <c r="B299">
        <f>B$9 * (72.0001678466796 -B$8)</f>
        <v>72.000167846679602</v>
      </c>
      <c r="D299">
        <f>D$9 * (156.758193969726 -D$8)</f>
        <v>156.75819396972599</v>
      </c>
      <c r="E299">
        <f>E$9 * (49.2369804382324 -E$8)</f>
        <v>49.236980438232401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SIM1</vt:lpstr>
      <vt:lpstr>SIM2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MULTIVAR</dc:title>
  <dc:subject>Data export</dc:subject>
  <dc:creator>e-fast(TM)</dc:creator>
  <cp:keywords>/FAST/Development/TM/Agency/Yinka_Bankole/06_EBAN__01_2026_EPHQ/02_FEED/02_TD/</cp:keywords>
  <dc:description>Several variables for each of the selected simulations</dc:description>
  <cp:lastModifiedBy>Bankole Yinka</cp:lastModifiedBy>
  <dcterms:created xsi:type="dcterms:W3CDTF">2026-08-15T14:53:17Z</dcterms:created>
  <dcterms:modified xsi:type="dcterms:W3CDTF">2026-08-15T14:56:00Z</dcterms:modified>
  <cp:category>e-fast(TM)</cp:category>
</cp:coreProperties>
</file>