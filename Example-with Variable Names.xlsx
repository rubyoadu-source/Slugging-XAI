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nka\Downloads\"/>
    </mc:Choice>
  </mc:AlternateContent>
  <xr:revisionPtr revIDLastSave="0" documentId="13_ncr:1_{1CC541EA-F39F-4EDA-A1E3-5F40D33327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gends" sheetId="1" r:id="rId1"/>
    <sheet name="10MMSCFD" sheetId="2" r:id="rId2"/>
    <sheet name="SIM2" sheetId="3" r:id="rId3"/>
    <sheet name="SIM3" sheetId="4" r:id="rId4"/>
    <sheet name="SIM4" sheetId="5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E55" i="3"/>
  <c r="F55" i="3"/>
  <c r="G55" i="3"/>
  <c r="E56" i="3"/>
  <c r="F56" i="3"/>
  <c r="G56" i="3"/>
  <c r="E57" i="3"/>
  <c r="F57" i="3"/>
  <c r="G57" i="3"/>
  <c r="E58" i="3"/>
  <c r="F58" i="3"/>
  <c r="G58" i="3"/>
  <c r="E59" i="3"/>
  <c r="F59" i="3"/>
  <c r="G59" i="3"/>
  <c r="E60" i="3"/>
  <c r="F60" i="3"/>
  <c r="G60" i="3"/>
  <c r="E61" i="3"/>
  <c r="F61" i="3"/>
  <c r="G61" i="3"/>
  <c r="E62" i="3"/>
  <c r="F62" i="3"/>
  <c r="G62" i="3"/>
  <c r="E63" i="3"/>
  <c r="F63" i="3"/>
  <c r="G63" i="3"/>
  <c r="E64" i="3"/>
  <c r="F64" i="3"/>
  <c r="G64" i="3"/>
  <c r="E65" i="3"/>
  <c r="F65" i="3"/>
  <c r="G65" i="3"/>
  <c r="E66" i="3"/>
  <c r="F66" i="3"/>
  <c r="G66" i="3"/>
  <c r="E67" i="3"/>
  <c r="F67" i="3"/>
  <c r="G67" i="3"/>
  <c r="E68" i="3"/>
  <c r="F68" i="3"/>
  <c r="G68" i="3"/>
  <c r="E69" i="3"/>
  <c r="F69" i="3"/>
  <c r="G69" i="3"/>
  <c r="E70" i="3"/>
  <c r="F70" i="3"/>
  <c r="G70" i="3"/>
  <c r="E71" i="3"/>
  <c r="F71" i="3"/>
  <c r="G71" i="3"/>
  <c r="E72" i="3"/>
  <c r="F72" i="3"/>
  <c r="G72" i="3"/>
  <c r="E73" i="3"/>
  <c r="F73" i="3"/>
  <c r="G73" i="3"/>
  <c r="E74" i="3"/>
  <c r="F74" i="3"/>
  <c r="G74" i="3"/>
  <c r="E75" i="3"/>
  <c r="F75" i="3"/>
  <c r="G75" i="3"/>
  <c r="E76" i="3"/>
  <c r="F76" i="3"/>
  <c r="G76" i="3"/>
  <c r="E77" i="3"/>
  <c r="F77" i="3"/>
  <c r="G77" i="3"/>
  <c r="E78" i="3"/>
  <c r="F78" i="3"/>
  <c r="G78" i="3"/>
  <c r="E79" i="3"/>
  <c r="F79" i="3"/>
  <c r="G79" i="3"/>
  <c r="E80" i="3"/>
  <c r="F80" i="3"/>
  <c r="G80" i="3"/>
  <c r="E81" i="3"/>
  <c r="F81" i="3"/>
  <c r="G81" i="3"/>
  <c r="E82" i="3"/>
  <c r="F82" i="3"/>
  <c r="G82" i="3"/>
  <c r="E83" i="3"/>
  <c r="F83" i="3"/>
  <c r="G83" i="3"/>
  <c r="E84" i="3"/>
  <c r="F84" i="3"/>
  <c r="G84" i="3"/>
  <c r="E85" i="3"/>
  <c r="F85" i="3"/>
  <c r="G85" i="3"/>
  <c r="E86" i="3"/>
  <c r="F86" i="3"/>
  <c r="G86" i="3"/>
  <c r="E87" i="3"/>
  <c r="F87" i="3"/>
  <c r="G87" i="3"/>
  <c r="E88" i="3"/>
  <c r="F88" i="3"/>
  <c r="G88" i="3"/>
  <c r="E89" i="3"/>
  <c r="F89" i="3"/>
  <c r="G89" i="3"/>
  <c r="E90" i="3"/>
  <c r="F90" i="3"/>
  <c r="G90" i="3"/>
  <c r="E91" i="3"/>
  <c r="F91" i="3"/>
  <c r="G91" i="3"/>
  <c r="E92" i="3"/>
  <c r="F92" i="3"/>
  <c r="G92" i="3"/>
  <c r="E93" i="3"/>
  <c r="F93" i="3"/>
  <c r="G93" i="3"/>
  <c r="E94" i="3"/>
  <c r="F94" i="3"/>
  <c r="G94" i="3"/>
  <c r="E95" i="3"/>
  <c r="F95" i="3"/>
  <c r="G95" i="3"/>
  <c r="E96" i="3"/>
  <c r="F96" i="3"/>
  <c r="G96" i="3"/>
  <c r="E97" i="3"/>
  <c r="F97" i="3"/>
  <c r="G97" i="3"/>
  <c r="E98" i="3"/>
  <c r="F98" i="3"/>
  <c r="G98" i="3"/>
  <c r="E99" i="3"/>
  <c r="F99" i="3"/>
  <c r="G99" i="3"/>
  <c r="E100" i="3"/>
  <c r="F100" i="3"/>
  <c r="G100" i="3"/>
  <c r="E101" i="3"/>
  <c r="F101" i="3"/>
  <c r="G101" i="3"/>
  <c r="E102" i="3"/>
  <c r="F102" i="3"/>
  <c r="G102" i="3"/>
  <c r="E103" i="3"/>
  <c r="F103" i="3"/>
  <c r="G103" i="3"/>
  <c r="E104" i="3"/>
  <c r="F104" i="3"/>
  <c r="G104" i="3"/>
  <c r="E105" i="3"/>
  <c r="F105" i="3"/>
  <c r="G105" i="3"/>
  <c r="E106" i="3"/>
  <c r="F106" i="3"/>
  <c r="G106" i="3"/>
  <c r="E107" i="3"/>
  <c r="F107" i="3"/>
  <c r="G107" i="3"/>
  <c r="E108" i="3"/>
  <c r="F108" i="3"/>
  <c r="G108" i="3"/>
  <c r="E109" i="3"/>
  <c r="F109" i="3"/>
  <c r="G109" i="3"/>
  <c r="E110" i="3"/>
  <c r="F110" i="3"/>
  <c r="G110" i="3"/>
  <c r="E111" i="3"/>
  <c r="F111" i="3"/>
  <c r="G111" i="3"/>
  <c r="E112" i="3"/>
  <c r="F112" i="3"/>
  <c r="G112" i="3"/>
  <c r="E113" i="3"/>
  <c r="F113" i="3"/>
  <c r="G113" i="3"/>
  <c r="E114" i="3"/>
  <c r="F114" i="3"/>
  <c r="G114" i="3"/>
  <c r="E115" i="3"/>
  <c r="F115" i="3"/>
  <c r="G115" i="3"/>
  <c r="E116" i="3"/>
  <c r="F116" i="3"/>
  <c r="G116" i="3"/>
  <c r="E117" i="3"/>
  <c r="F117" i="3"/>
  <c r="G117" i="3"/>
  <c r="E118" i="3"/>
  <c r="F118" i="3"/>
  <c r="G118" i="3"/>
  <c r="E119" i="3"/>
  <c r="F119" i="3"/>
  <c r="G119" i="3"/>
  <c r="E120" i="3"/>
  <c r="F120" i="3"/>
  <c r="G120" i="3"/>
  <c r="E121" i="3"/>
  <c r="F121" i="3"/>
  <c r="G121" i="3"/>
  <c r="E122" i="3"/>
  <c r="F122" i="3"/>
  <c r="G122" i="3"/>
  <c r="E123" i="3"/>
  <c r="F123" i="3"/>
  <c r="G123" i="3"/>
  <c r="E124" i="3"/>
  <c r="F124" i="3"/>
  <c r="G124" i="3"/>
  <c r="E125" i="3"/>
  <c r="F125" i="3"/>
  <c r="G125" i="3"/>
  <c r="E126" i="3"/>
  <c r="F126" i="3"/>
  <c r="G126" i="3"/>
  <c r="E127" i="3"/>
  <c r="F127" i="3"/>
  <c r="G127" i="3"/>
  <c r="E128" i="3"/>
  <c r="F128" i="3"/>
  <c r="G128" i="3"/>
  <c r="E129" i="3"/>
  <c r="F129" i="3"/>
  <c r="G129" i="3"/>
  <c r="E130" i="3"/>
  <c r="F130" i="3"/>
  <c r="G130" i="3"/>
  <c r="E131" i="3"/>
  <c r="F131" i="3"/>
  <c r="G131" i="3"/>
  <c r="E132" i="3"/>
  <c r="F132" i="3"/>
  <c r="G132" i="3"/>
  <c r="E133" i="3"/>
  <c r="F133" i="3"/>
  <c r="G133" i="3"/>
  <c r="E134" i="3"/>
  <c r="F134" i="3"/>
  <c r="G134" i="3"/>
  <c r="E135" i="3"/>
  <c r="F135" i="3"/>
  <c r="G135" i="3"/>
  <c r="E136" i="3"/>
  <c r="F136" i="3"/>
  <c r="G136" i="3"/>
  <c r="E137" i="3"/>
  <c r="F137" i="3"/>
  <c r="G137" i="3"/>
  <c r="E138" i="3"/>
  <c r="F138" i="3"/>
  <c r="G138" i="3"/>
  <c r="E139" i="3"/>
  <c r="F139" i="3"/>
  <c r="G139" i="3"/>
  <c r="E140" i="3"/>
  <c r="F140" i="3"/>
  <c r="G140" i="3"/>
  <c r="E141" i="3"/>
  <c r="F141" i="3"/>
  <c r="G141" i="3"/>
  <c r="E142" i="3"/>
  <c r="F142" i="3"/>
  <c r="G142" i="3"/>
  <c r="E143" i="3"/>
  <c r="F143" i="3"/>
  <c r="G143" i="3"/>
  <c r="E144" i="3"/>
  <c r="F144" i="3"/>
  <c r="G144" i="3"/>
  <c r="E145" i="3"/>
  <c r="F145" i="3"/>
  <c r="G145" i="3"/>
  <c r="E146" i="3"/>
  <c r="F146" i="3"/>
  <c r="G146" i="3"/>
  <c r="E147" i="3"/>
  <c r="F147" i="3"/>
  <c r="G147" i="3"/>
  <c r="E148" i="3"/>
  <c r="F148" i="3"/>
  <c r="G148" i="3"/>
  <c r="E149" i="3"/>
  <c r="F149" i="3"/>
  <c r="G149" i="3"/>
  <c r="E150" i="3"/>
  <c r="F150" i="3"/>
  <c r="G150" i="3"/>
  <c r="E151" i="3"/>
  <c r="F151" i="3"/>
  <c r="G151" i="3"/>
  <c r="E152" i="3"/>
  <c r="F152" i="3"/>
  <c r="G152" i="3"/>
  <c r="E153" i="3"/>
  <c r="F153" i="3"/>
  <c r="G153" i="3"/>
  <c r="E154" i="3"/>
  <c r="F154" i="3"/>
  <c r="G154" i="3"/>
  <c r="E155" i="3"/>
  <c r="F155" i="3"/>
  <c r="G155" i="3"/>
  <c r="E156" i="3"/>
  <c r="F156" i="3"/>
  <c r="G156" i="3"/>
  <c r="E157" i="3"/>
  <c r="F157" i="3"/>
  <c r="G157" i="3"/>
  <c r="E158" i="3"/>
  <c r="F158" i="3"/>
  <c r="G158" i="3"/>
  <c r="E159" i="3"/>
  <c r="F159" i="3"/>
  <c r="G159" i="3"/>
  <c r="E160" i="3"/>
  <c r="F160" i="3"/>
  <c r="G160" i="3"/>
  <c r="E161" i="3"/>
  <c r="F161" i="3"/>
  <c r="G161" i="3"/>
  <c r="E162" i="3"/>
  <c r="F162" i="3"/>
  <c r="G162" i="3"/>
  <c r="E163" i="3"/>
  <c r="F163" i="3"/>
  <c r="G163" i="3"/>
  <c r="E164" i="3"/>
  <c r="F164" i="3"/>
  <c r="G164" i="3"/>
  <c r="E165" i="3"/>
  <c r="F165" i="3"/>
  <c r="G165" i="3"/>
  <c r="E166" i="3"/>
  <c r="F166" i="3"/>
  <c r="G166" i="3"/>
  <c r="E167" i="3"/>
  <c r="F167" i="3"/>
  <c r="G167" i="3"/>
  <c r="E168" i="3"/>
  <c r="F168" i="3"/>
  <c r="G168" i="3"/>
  <c r="E169" i="3"/>
  <c r="F169" i="3"/>
  <c r="G169" i="3"/>
  <c r="E170" i="3"/>
  <c r="F170" i="3"/>
  <c r="G170" i="3"/>
  <c r="E171" i="3"/>
  <c r="F171" i="3"/>
  <c r="G171" i="3"/>
  <c r="E172" i="3"/>
  <c r="F172" i="3"/>
  <c r="G172" i="3"/>
  <c r="E173" i="3"/>
  <c r="F173" i="3"/>
  <c r="G173" i="3"/>
  <c r="E174" i="3"/>
  <c r="F174" i="3"/>
  <c r="G174" i="3"/>
  <c r="E175" i="3"/>
  <c r="F175" i="3"/>
  <c r="G175" i="3"/>
  <c r="E176" i="3"/>
  <c r="F176" i="3"/>
  <c r="G176" i="3"/>
  <c r="E177" i="3"/>
  <c r="F177" i="3"/>
  <c r="G177" i="3"/>
  <c r="E178" i="3"/>
  <c r="F178" i="3"/>
  <c r="G178" i="3"/>
  <c r="E179" i="3"/>
  <c r="F179" i="3"/>
  <c r="G179" i="3"/>
  <c r="E180" i="3"/>
  <c r="F180" i="3"/>
  <c r="G180" i="3"/>
  <c r="E181" i="3"/>
  <c r="F181" i="3"/>
  <c r="G181" i="3"/>
  <c r="E182" i="3"/>
  <c r="F182" i="3"/>
  <c r="G182" i="3"/>
  <c r="E183" i="3"/>
  <c r="F183" i="3"/>
  <c r="G183" i="3"/>
  <c r="E184" i="3"/>
  <c r="F184" i="3"/>
  <c r="G184" i="3"/>
  <c r="E185" i="3"/>
  <c r="F185" i="3"/>
  <c r="G185" i="3"/>
  <c r="E186" i="3"/>
  <c r="F186" i="3"/>
  <c r="G186" i="3"/>
  <c r="E187" i="3"/>
  <c r="F187" i="3"/>
  <c r="G187" i="3"/>
  <c r="E188" i="3"/>
  <c r="F188" i="3"/>
  <c r="G188" i="3"/>
  <c r="E189" i="3"/>
  <c r="F189" i="3"/>
  <c r="G189" i="3"/>
  <c r="E190" i="3"/>
  <c r="F190" i="3"/>
  <c r="G190" i="3"/>
  <c r="E191" i="3"/>
  <c r="F191" i="3"/>
  <c r="G191" i="3"/>
  <c r="E192" i="3"/>
  <c r="F192" i="3"/>
  <c r="G192" i="3"/>
  <c r="E193" i="3"/>
  <c r="F193" i="3"/>
  <c r="G193" i="3"/>
  <c r="E194" i="3"/>
  <c r="F194" i="3"/>
  <c r="G194" i="3"/>
  <c r="E195" i="3"/>
  <c r="F195" i="3"/>
  <c r="G195" i="3"/>
  <c r="E196" i="3"/>
  <c r="F196" i="3"/>
  <c r="G196" i="3"/>
  <c r="E197" i="3"/>
  <c r="F197" i="3"/>
  <c r="G197" i="3"/>
  <c r="E198" i="3"/>
  <c r="F198" i="3"/>
  <c r="G198" i="3"/>
  <c r="E199" i="3"/>
  <c r="F199" i="3"/>
  <c r="G199" i="3"/>
  <c r="E200" i="3"/>
  <c r="F200" i="3"/>
  <c r="G200" i="3"/>
  <c r="E201" i="3"/>
  <c r="F201" i="3"/>
  <c r="G201" i="3"/>
  <c r="E202" i="3"/>
  <c r="F202" i="3"/>
  <c r="G202" i="3"/>
  <c r="E203" i="3"/>
  <c r="F203" i="3"/>
  <c r="G203" i="3"/>
  <c r="E204" i="3"/>
  <c r="F204" i="3"/>
  <c r="G204" i="3"/>
  <c r="E205" i="3"/>
  <c r="F205" i="3"/>
  <c r="G205" i="3"/>
  <c r="E206" i="3"/>
  <c r="F206" i="3"/>
  <c r="G206" i="3"/>
  <c r="E207" i="3"/>
  <c r="F207" i="3"/>
  <c r="G207" i="3"/>
  <c r="E208" i="3"/>
  <c r="F208" i="3"/>
  <c r="G208" i="3"/>
  <c r="E209" i="3"/>
  <c r="F209" i="3"/>
  <c r="G209" i="3"/>
  <c r="E210" i="3"/>
  <c r="F210" i="3"/>
  <c r="G210" i="3"/>
  <c r="E211" i="3"/>
  <c r="F211" i="3"/>
  <c r="G211" i="3"/>
  <c r="E212" i="3"/>
  <c r="F212" i="3"/>
  <c r="G212" i="3"/>
  <c r="E213" i="3"/>
  <c r="F213" i="3"/>
  <c r="G213" i="3"/>
  <c r="E214" i="3"/>
  <c r="F214" i="3"/>
  <c r="G214" i="3"/>
  <c r="E215" i="3"/>
  <c r="F215" i="3"/>
  <c r="G215" i="3"/>
  <c r="E216" i="3"/>
  <c r="F216" i="3"/>
  <c r="G216" i="3"/>
  <c r="E217" i="3"/>
  <c r="F217" i="3"/>
  <c r="G217" i="3"/>
  <c r="E218" i="3"/>
  <c r="F218" i="3"/>
  <c r="G218" i="3"/>
  <c r="E219" i="3"/>
  <c r="F219" i="3"/>
  <c r="G219" i="3"/>
  <c r="E220" i="3"/>
  <c r="F220" i="3"/>
  <c r="G220" i="3"/>
  <c r="E221" i="3"/>
  <c r="F221" i="3"/>
  <c r="G221" i="3"/>
  <c r="E222" i="3"/>
  <c r="F222" i="3"/>
  <c r="G222" i="3"/>
  <c r="E223" i="3"/>
  <c r="F223" i="3"/>
  <c r="G223" i="3"/>
  <c r="E224" i="3"/>
  <c r="F224" i="3"/>
  <c r="G224" i="3"/>
  <c r="E225" i="3"/>
  <c r="F225" i="3"/>
  <c r="G225" i="3"/>
  <c r="E226" i="3"/>
  <c r="F226" i="3"/>
  <c r="G226" i="3"/>
  <c r="E227" i="3"/>
  <c r="F227" i="3"/>
  <c r="G227" i="3"/>
  <c r="E228" i="3"/>
  <c r="F228" i="3"/>
  <c r="G228" i="3"/>
  <c r="E229" i="3"/>
  <c r="F229" i="3"/>
  <c r="G229" i="3"/>
  <c r="E230" i="3"/>
  <c r="F230" i="3"/>
  <c r="G230" i="3"/>
  <c r="E231" i="3"/>
  <c r="F231" i="3"/>
  <c r="G231" i="3"/>
  <c r="E232" i="3"/>
  <c r="F232" i="3"/>
  <c r="G232" i="3"/>
  <c r="E233" i="3"/>
  <c r="F233" i="3"/>
  <c r="G233" i="3"/>
  <c r="E234" i="3"/>
  <c r="F234" i="3"/>
  <c r="G234" i="3"/>
  <c r="E235" i="3"/>
  <c r="F235" i="3"/>
  <c r="G235" i="3"/>
  <c r="E236" i="3"/>
  <c r="F236" i="3"/>
  <c r="G236" i="3"/>
  <c r="E237" i="3"/>
  <c r="F237" i="3"/>
  <c r="G237" i="3"/>
  <c r="E238" i="3"/>
  <c r="F238" i="3"/>
  <c r="G238" i="3"/>
  <c r="E239" i="3"/>
  <c r="F239" i="3"/>
  <c r="G239" i="3"/>
  <c r="E240" i="3"/>
  <c r="F240" i="3"/>
  <c r="G240" i="3"/>
  <c r="E241" i="3"/>
  <c r="F241" i="3"/>
  <c r="G241" i="3"/>
  <c r="E242" i="3"/>
  <c r="F242" i="3"/>
  <c r="G242" i="3"/>
  <c r="E243" i="3"/>
  <c r="F243" i="3"/>
  <c r="G243" i="3"/>
  <c r="E244" i="3"/>
  <c r="F244" i="3"/>
  <c r="G244" i="3"/>
  <c r="E245" i="3"/>
  <c r="F245" i="3"/>
  <c r="G245" i="3"/>
  <c r="E246" i="3"/>
  <c r="F246" i="3"/>
  <c r="G246" i="3"/>
  <c r="E247" i="3"/>
  <c r="F247" i="3"/>
  <c r="G247" i="3"/>
  <c r="E248" i="3"/>
  <c r="F248" i="3"/>
  <c r="G248" i="3"/>
  <c r="E249" i="3"/>
  <c r="F249" i="3"/>
  <c r="G249" i="3"/>
  <c r="E250" i="3"/>
  <c r="F250" i="3"/>
  <c r="G250" i="3"/>
  <c r="E251" i="3"/>
  <c r="F251" i="3"/>
  <c r="G251" i="3"/>
  <c r="E252" i="3"/>
  <c r="F252" i="3"/>
  <c r="G252" i="3"/>
  <c r="E253" i="3"/>
  <c r="F253" i="3"/>
  <c r="G253" i="3"/>
  <c r="E254" i="3"/>
  <c r="F254" i="3"/>
  <c r="G254" i="3"/>
  <c r="E255" i="3"/>
  <c r="F255" i="3"/>
  <c r="G255" i="3"/>
  <c r="E256" i="3"/>
  <c r="F256" i="3"/>
  <c r="G256" i="3"/>
  <c r="E257" i="3"/>
  <c r="F257" i="3"/>
  <c r="G257" i="3"/>
  <c r="E258" i="3"/>
  <c r="F258" i="3"/>
  <c r="G258" i="3"/>
  <c r="E259" i="3"/>
  <c r="F259" i="3"/>
  <c r="G259" i="3"/>
  <c r="E260" i="3"/>
  <c r="F260" i="3"/>
  <c r="G260" i="3"/>
  <c r="E261" i="3"/>
  <c r="F261" i="3"/>
  <c r="G261" i="3"/>
  <c r="E262" i="3"/>
  <c r="F262" i="3"/>
  <c r="G262" i="3"/>
  <c r="E263" i="3"/>
  <c r="F263" i="3"/>
  <c r="G263" i="3"/>
  <c r="E264" i="3"/>
  <c r="F264" i="3"/>
  <c r="G264" i="3"/>
  <c r="E265" i="3"/>
  <c r="F265" i="3"/>
  <c r="G265" i="3"/>
  <c r="E266" i="3"/>
  <c r="F266" i="3"/>
  <c r="G266" i="3"/>
  <c r="E267" i="3"/>
  <c r="F267" i="3"/>
  <c r="G267" i="3"/>
  <c r="E268" i="3"/>
  <c r="F268" i="3"/>
  <c r="G268" i="3"/>
  <c r="E269" i="3"/>
  <c r="F269" i="3"/>
  <c r="G269" i="3"/>
  <c r="E270" i="3"/>
  <c r="F270" i="3"/>
  <c r="G270" i="3"/>
  <c r="E271" i="3"/>
  <c r="F271" i="3"/>
  <c r="G271" i="3"/>
  <c r="E272" i="3"/>
  <c r="F272" i="3"/>
  <c r="G272" i="3"/>
  <c r="E273" i="3"/>
  <c r="F273" i="3"/>
  <c r="G273" i="3"/>
  <c r="E274" i="3"/>
  <c r="F274" i="3"/>
  <c r="G274" i="3"/>
  <c r="E275" i="3"/>
  <c r="F275" i="3"/>
  <c r="G275" i="3"/>
  <c r="E276" i="3"/>
  <c r="F276" i="3"/>
  <c r="G276" i="3"/>
  <c r="E277" i="3"/>
  <c r="F277" i="3"/>
  <c r="G277" i="3"/>
  <c r="E278" i="3"/>
  <c r="F278" i="3"/>
  <c r="G278" i="3"/>
  <c r="E279" i="3"/>
  <c r="F279" i="3"/>
  <c r="G279" i="3"/>
  <c r="E280" i="3"/>
  <c r="F280" i="3"/>
  <c r="G280" i="3"/>
  <c r="E281" i="3"/>
  <c r="F281" i="3"/>
  <c r="G281" i="3"/>
  <c r="E282" i="3"/>
  <c r="F282" i="3"/>
  <c r="G282" i="3"/>
  <c r="E283" i="3"/>
  <c r="F283" i="3"/>
  <c r="G283" i="3"/>
  <c r="E284" i="3"/>
  <c r="F284" i="3"/>
  <c r="G284" i="3"/>
  <c r="E285" i="3"/>
  <c r="F285" i="3"/>
  <c r="G285" i="3"/>
  <c r="E286" i="3"/>
  <c r="F286" i="3"/>
  <c r="G286" i="3"/>
  <c r="E287" i="3"/>
  <c r="F287" i="3"/>
  <c r="G287" i="3"/>
  <c r="E288" i="3"/>
  <c r="F288" i="3"/>
  <c r="G288" i="3"/>
  <c r="E289" i="3"/>
  <c r="F289" i="3"/>
  <c r="G289" i="3"/>
  <c r="E290" i="3"/>
  <c r="F290" i="3"/>
  <c r="G290" i="3"/>
  <c r="E291" i="3"/>
  <c r="F291" i="3"/>
  <c r="G291" i="3"/>
  <c r="E292" i="3"/>
  <c r="F292" i="3"/>
  <c r="G292" i="3"/>
  <c r="E293" i="3"/>
  <c r="F293" i="3"/>
  <c r="G293" i="3"/>
  <c r="E294" i="3"/>
  <c r="F294" i="3"/>
  <c r="G294" i="3"/>
  <c r="E295" i="3"/>
  <c r="F295" i="3"/>
  <c r="G295" i="3"/>
  <c r="E296" i="3"/>
  <c r="F296" i="3"/>
  <c r="G296" i="3"/>
  <c r="E297" i="3"/>
  <c r="F297" i="3"/>
  <c r="G297" i="3"/>
  <c r="E298" i="3"/>
  <c r="F298" i="3"/>
  <c r="G298" i="3"/>
  <c r="E299" i="3"/>
  <c r="F299" i="3"/>
  <c r="G299" i="3"/>
  <c r="E11" i="2"/>
  <c r="F11" i="2"/>
  <c r="G11" i="2"/>
  <c r="E12" i="2"/>
  <c r="F12" i="2"/>
  <c r="J12" i="2" s="1"/>
  <c r="G12" i="2"/>
  <c r="E13" i="2"/>
  <c r="F13" i="2"/>
  <c r="G13" i="2"/>
  <c r="E14" i="2"/>
  <c r="I14" i="2" s="1"/>
  <c r="F14" i="2"/>
  <c r="J14" i="2" s="1"/>
  <c r="G14" i="2"/>
  <c r="K14" i="2" s="1"/>
  <c r="E15" i="2"/>
  <c r="F15" i="2"/>
  <c r="G15" i="2"/>
  <c r="K15" i="2" s="1"/>
  <c r="E16" i="2"/>
  <c r="F16" i="2"/>
  <c r="G16" i="2"/>
  <c r="E17" i="2"/>
  <c r="I17" i="2" s="1"/>
  <c r="F17" i="2"/>
  <c r="J17" i="2" s="1"/>
  <c r="G17" i="2"/>
  <c r="K17" i="2" s="1"/>
  <c r="E18" i="2"/>
  <c r="I18" i="2" s="1"/>
  <c r="F18" i="2"/>
  <c r="J18" i="2" s="1"/>
  <c r="G18" i="2"/>
  <c r="K18" i="2" s="1"/>
  <c r="E19" i="2"/>
  <c r="F19" i="2"/>
  <c r="G19" i="2"/>
  <c r="E20" i="2"/>
  <c r="I20" i="2" s="1"/>
  <c r="F20" i="2"/>
  <c r="G20" i="2"/>
  <c r="K20" i="2" s="1"/>
  <c r="E21" i="2"/>
  <c r="I21" i="2" s="1"/>
  <c r="F21" i="2"/>
  <c r="J21" i="2" s="1"/>
  <c r="G21" i="2"/>
  <c r="E22" i="2"/>
  <c r="F22" i="2"/>
  <c r="J22" i="2" s="1"/>
  <c r="G22" i="2"/>
  <c r="K22" i="2" s="1"/>
  <c r="E23" i="2"/>
  <c r="F23" i="2"/>
  <c r="G23" i="2"/>
  <c r="E24" i="2"/>
  <c r="F24" i="2"/>
  <c r="G24" i="2"/>
  <c r="K24" i="2" s="1"/>
  <c r="E25" i="2"/>
  <c r="I25" i="2" s="1"/>
  <c r="F25" i="2"/>
  <c r="J25" i="2" s="1"/>
  <c r="G25" i="2"/>
  <c r="K25" i="2" s="1"/>
  <c r="E26" i="2"/>
  <c r="I26" i="2" s="1"/>
  <c r="F26" i="2"/>
  <c r="J26" i="2" s="1"/>
  <c r="G26" i="2"/>
  <c r="K26" i="2" s="1"/>
  <c r="E27" i="2"/>
  <c r="F27" i="2"/>
  <c r="J27" i="2" s="1"/>
  <c r="G27" i="2"/>
  <c r="E28" i="2"/>
  <c r="F28" i="2"/>
  <c r="J28" i="2" s="1"/>
  <c r="G28" i="2"/>
  <c r="K28" i="2" s="1"/>
  <c r="E29" i="2"/>
  <c r="I29" i="2" s="1"/>
  <c r="F29" i="2"/>
  <c r="J29" i="2" s="1"/>
  <c r="G29" i="2"/>
  <c r="K29" i="2" s="1"/>
  <c r="E30" i="2"/>
  <c r="I30" i="2" s="1"/>
  <c r="F30" i="2"/>
  <c r="J30" i="2" s="1"/>
  <c r="G30" i="2"/>
  <c r="K30" i="2" s="1"/>
  <c r="E31" i="2"/>
  <c r="F31" i="2"/>
  <c r="G31" i="2"/>
  <c r="E32" i="2"/>
  <c r="F32" i="2"/>
  <c r="J32" i="2" s="1"/>
  <c r="G32" i="2"/>
  <c r="K32" i="2" s="1"/>
  <c r="E33" i="2"/>
  <c r="I33" i="2" s="1"/>
  <c r="F33" i="2"/>
  <c r="J33" i="2" s="1"/>
  <c r="G33" i="2"/>
  <c r="K33" i="2" s="1"/>
  <c r="E34" i="2"/>
  <c r="I34" i="2" s="1"/>
  <c r="F34" i="2"/>
  <c r="J34" i="2" s="1"/>
  <c r="G34" i="2"/>
  <c r="K34" i="2" s="1"/>
  <c r="E35" i="2"/>
  <c r="F35" i="2"/>
  <c r="G35" i="2"/>
  <c r="E36" i="2"/>
  <c r="I36" i="2" s="1"/>
  <c r="F36" i="2"/>
  <c r="G36" i="2"/>
  <c r="E37" i="2"/>
  <c r="F37" i="2"/>
  <c r="J37" i="2" s="1"/>
  <c r="G37" i="2"/>
  <c r="E38" i="2"/>
  <c r="F38" i="2"/>
  <c r="G38" i="2"/>
  <c r="E39" i="2"/>
  <c r="F39" i="2"/>
  <c r="G39" i="2"/>
  <c r="E40" i="2"/>
  <c r="F40" i="2"/>
  <c r="G40" i="2"/>
  <c r="K40" i="2" s="1"/>
  <c r="E41" i="2"/>
  <c r="I41" i="2" s="1"/>
  <c r="F41" i="2"/>
  <c r="J41" i="2" s="1"/>
  <c r="G41" i="2"/>
  <c r="K41" i="2" s="1"/>
  <c r="E42" i="2"/>
  <c r="I42" i="2" s="1"/>
  <c r="F42" i="2"/>
  <c r="J42" i="2" s="1"/>
  <c r="G42" i="2"/>
  <c r="K42" i="2" s="1"/>
  <c r="E43" i="2"/>
  <c r="F43" i="2"/>
  <c r="G43" i="2"/>
  <c r="E44" i="2"/>
  <c r="I44" i="2" s="1"/>
  <c r="F44" i="2"/>
  <c r="G44" i="2"/>
  <c r="E45" i="2"/>
  <c r="F45" i="2"/>
  <c r="G45" i="2"/>
  <c r="E46" i="2"/>
  <c r="I46" i="2" s="1"/>
  <c r="F46" i="2"/>
  <c r="J46" i="2" s="1"/>
  <c r="G46" i="2"/>
  <c r="K46" i="2" s="1"/>
  <c r="E47" i="2"/>
  <c r="F47" i="2"/>
  <c r="G47" i="2"/>
  <c r="E48" i="2"/>
  <c r="F48" i="2"/>
  <c r="J48" i="2" s="1"/>
  <c r="G48" i="2"/>
  <c r="K48" i="2" s="1"/>
  <c r="E49" i="2"/>
  <c r="I49" i="2" s="1"/>
  <c r="F49" i="2"/>
  <c r="J49" i="2" s="1"/>
  <c r="G49" i="2"/>
  <c r="K49" i="2" s="1"/>
  <c r="E50" i="2"/>
  <c r="I50" i="2" s="1"/>
  <c r="F50" i="2"/>
  <c r="J50" i="2" s="1"/>
  <c r="G50" i="2"/>
  <c r="K50" i="2" s="1"/>
  <c r="E51" i="2"/>
  <c r="F51" i="2"/>
  <c r="G51" i="2"/>
  <c r="E52" i="2"/>
  <c r="F52" i="2"/>
  <c r="G52" i="2"/>
  <c r="E53" i="2"/>
  <c r="F53" i="2"/>
  <c r="J53" i="2" s="1"/>
  <c r="G53" i="2"/>
  <c r="K53" i="2" s="1"/>
  <c r="E54" i="2"/>
  <c r="F54" i="2"/>
  <c r="J54" i="2" s="1"/>
  <c r="G54" i="2"/>
  <c r="K54" i="2" s="1"/>
  <c r="E55" i="2"/>
  <c r="F55" i="2"/>
  <c r="J55" i="2" s="1"/>
  <c r="G55" i="2"/>
  <c r="E56" i="2"/>
  <c r="I56" i="2" s="1"/>
  <c r="F56" i="2"/>
  <c r="J56" i="2" s="1"/>
  <c r="G56" i="2"/>
  <c r="K56" i="2" s="1"/>
  <c r="E57" i="2"/>
  <c r="I57" i="2" s="1"/>
  <c r="F57" i="2"/>
  <c r="G57" i="2"/>
  <c r="K57" i="2" s="1"/>
  <c r="E58" i="2"/>
  <c r="I58" i="2" s="1"/>
  <c r="F58" i="2"/>
  <c r="J58" i="2" s="1"/>
  <c r="G58" i="2"/>
  <c r="K58" i="2" s="1"/>
  <c r="E59" i="2"/>
  <c r="F59" i="2"/>
  <c r="G59" i="2"/>
  <c r="E60" i="2"/>
  <c r="F60" i="2"/>
  <c r="G60" i="2"/>
  <c r="K60" i="2" s="1"/>
  <c r="E61" i="2"/>
  <c r="F61" i="2"/>
  <c r="J61" i="2" s="1"/>
  <c r="G61" i="2"/>
  <c r="K61" i="2" s="1"/>
  <c r="E62" i="2"/>
  <c r="I62" i="2" s="1"/>
  <c r="F62" i="2"/>
  <c r="J62" i="2" s="1"/>
  <c r="G62" i="2"/>
  <c r="K62" i="2" s="1"/>
  <c r="E63" i="2"/>
  <c r="F63" i="2"/>
  <c r="G63" i="2"/>
  <c r="E64" i="2"/>
  <c r="I64" i="2" s="1"/>
  <c r="F64" i="2"/>
  <c r="J64" i="2" s="1"/>
  <c r="G64" i="2"/>
  <c r="K64" i="2" s="1"/>
  <c r="E65" i="2"/>
  <c r="I65" i="2" s="1"/>
  <c r="F65" i="2"/>
  <c r="J65" i="2" s="1"/>
  <c r="G65" i="2"/>
  <c r="K65" i="2" s="1"/>
  <c r="E66" i="2"/>
  <c r="I66" i="2" s="1"/>
  <c r="F66" i="2"/>
  <c r="J66" i="2" s="1"/>
  <c r="G66" i="2"/>
  <c r="K66" i="2" s="1"/>
  <c r="E67" i="2"/>
  <c r="F67" i="2"/>
  <c r="G67" i="2"/>
  <c r="E68" i="2"/>
  <c r="F68" i="2"/>
  <c r="G68" i="2"/>
  <c r="E69" i="2"/>
  <c r="F69" i="2"/>
  <c r="J69" i="2" s="1"/>
  <c r="G69" i="2"/>
  <c r="K69" i="2" s="1"/>
  <c r="E70" i="2"/>
  <c r="I70" i="2" s="1"/>
  <c r="F70" i="2"/>
  <c r="J70" i="2" s="1"/>
  <c r="G70" i="2"/>
  <c r="K70" i="2" s="1"/>
  <c r="E71" i="2"/>
  <c r="F71" i="2"/>
  <c r="G71" i="2"/>
  <c r="E72" i="2"/>
  <c r="I72" i="2" s="1"/>
  <c r="F72" i="2"/>
  <c r="J72" i="2" s="1"/>
  <c r="G72" i="2"/>
  <c r="K72" i="2" s="1"/>
  <c r="E73" i="2"/>
  <c r="I73" i="2" s="1"/>
  <c r="F73" i="2"/>
  <c r="J73" i="2" s="1"/>
  <c r="G73" i="2"/>
  <c r="K73" i="2" s="1"/>
  <c r="E74" i="2"/>
  <c r="I74" i="2" s="1"/>
  <c r="F74" i="2"/>
  <c r="J74" i="2" s="1"/>
  <c r="G74" i="2"/>
  <c r="K74" i="2" s="1"/>
  <c r="E75" i="2"/>
  <c r="F75" i="2"/>
  <c r="G75" i="2"/>
  <c r="E76" i="2"/>
  <c r="F76" i="2"/>
  <c r="G76" i="2"/>
  <c r="E77" i="2"/>
  <c r="F77" i="2"/>
  <c r="G77" i="2"/>
  <c r="K77" i="2" s="1"/>
  <c r="E78" i="2"/>
  <c r="F78" i="2"/>
  <c r="J78" i="2" s="1"/>
  <c r="G78" i="2"/>
  <c r="K78" i="2" s="1"/>
  <c r="E79" i="2"/>
  <c r="F79" i="2"/>
  <c r="G79" i="2"/>
  <c r="E80" i="2"/>
  <c r="F80" i="2"/>
  <c r="J80" i="2" s="1"/>
  <c r="G80" i="2"/>
  <c r="K80" i="2" s="1"/>
  <c r="E81" i="2"/>
  <c r="I81" i="2" s="1"/>
  <c r="F81" i="2"/>
  <c r="J81" i="2" s="1"/>
  <c r="G81" i="2"/>
  <c r="K81" i="2" s="1"/>
  <c r="E82" i="2"/>
  <c r="I82" i="2" s="1"/>
  <c r="F82" i="2"/>
  <c r="J82" i="2" s="1"/>
  <c r="G82" i="2"/>
  <c r="K82" i="2" s="1"/>
  <c r="E83" i="2"/>
  <c r="F83" i="2"/>
  <c r="G83" i="2"/>
  <c r="E84" i="2"/>
  <c r="F84" i="2"/>
  <c r="G84" i="2"/>
  <c r="K84" i="2" s="1"/>
  <c r="E85" i="2"/>
  <c r="F85" i="2"/>
  <c r="G85" i="2"/>
  <c r="K85" i="2" s="1"/>
  <c r="E86" i="2"/>
  <c r="I86" i="2" s="1"/>
  <c r="F86" i="2"/>
  <c r="J86" i="2" s="1"/>
  <c r="G86" i="2"/>
  <c r="K86" i="2" s="1"/>
  <c r="E87" i="2"/>
  <c r="F87" i="2"/>
  <c r="G87" i="2"/>
  <c r="E88" i="2"/>
  <c r="I88" i="2" s="1"/>
  <c r="F88" i="2"/>
  <c r="G88" i="2"/>
  <c r="E89" i="2"/>
  <c r="F89" i="2"/>
  <c r="G89" i="2"/>
  <c r="K89" i="2" s="1"/>
  <c r="E90" i="2"/>
  <c r="I90" i="2" s="1"/>
  <c r="F90" i="2"/>
  <c r="J90" i="2" s="1"/>
  <c r="G90" i="2"/>
  <c r="K90" i="2" s="1"/>
  <c r="E91" i="2"/>
  <c r="F91" i="2"/>
  <c r="G91" i="2"/>
  <c r="K91" i="2" s="1"/>
  <c r="E92" i="2"/>
  <c r="F92" i="2"/>
  <c r="G92" i="2"/>
  <c r="K92" i="2" s="1"/>
  <c r="E93" i="2"/>
  <c r="I93" i="2" s="1"/>
  <c r="F93" i="2"/>
  <c r="J93" i="2" s="1"/>
  <c r="G93" i="2"/>
  <c r="K93" i="2" s="1"/>
  <c r="E94" i="2"/>
  <c r="I94" i="2" s="1"/>
  <c r="F94" i="2"/>
  <c r="J94" i="2" s="1"/>
  <c r="G94" i="2"/>
  <c r="K94" i="2" s="1"/>
  <c r="E95" i="2"/>
  <c r="F95" i="2"/>
  <c r="G95" i="2"/>
  <c r="E96" i="2"/>
  <c r="I96" i="2" s="1"/>
  <c r="F96" i="2"/>
  <c r="G96" i="2"/>
  <c r="E97" i="2"/>
  <c r="F97" i="2"/>
  <c r="J97" i="2" s="1"/>
  <c r="G97" i="2"/>
  <c r="E98" i="2"/>
  <c r="I98" i="2" s="1"/>
  <c r="F98" i="2"/>
  <c r="J98" i="2" s="1"/>
  <c r="G98" i="2"/>
  <c r="K98" i="2" s="1"/>
  <c r="E99" i="2"/>
  <c r="F99" i="2"/>
  <c r="G99" i="2"/>
  <c r="E100" i="2"/>
  <c r="F100" i="2"/>
  <c r="J100" i="2" s="1"/>
  <c r="G100" i="2"/>
  <c r="E101" i="2"/>
  <c r="F101" i="2"/>
  <c r="G101" i="2"/>
  <c r="K101" i="2" s="1"/>
  <c r="E102" i="2"/>
  <c r="F102" i="2"/>
  <c r="J102" i="2" s="1"/>
  <c r="G102" i="2"/>
  <c r="K102" i="2" s="1"/>
  <c r="E103" i="2"/>
  <c r="F103" i="2"/>
  <c r="G103" i="2"/>
  <c r="E104" i="2"/>
  <c r="F104" i="2"/>
  <c r="G104" i="2"/>
  <c r="K104" i="2" s="1"/>
  <c r="E105" i="2"/>
  <c r="I105" i="2" s="1"/>
  <c r="F105" i="2"/>
  <c r="J105" i="2" s="1"/>
  <c r="G105" i="2"/>
  <c r="K105" i="2" s="1"/>
  <c r="E106" i="2"/>
  <c r="I106" i="2" s="1"/>
  <c r="F106" i="2"/>
  <c r="J106" i="2" s="1"/>
  <c r="G106" i="2"/>
  <c r="K106" i="2" s="1"/>
  <c r="E107" i="2"/>
  <c r="F107" i="2"/>
  <c r="G107" i="2"/>
  <c r="E108" i="2"/>
  <c r="F108" i="2"/>
  <c r="G108" i="2"/>
  <c r="E109" i="2"/>
  <c r="I109" i="2" s="1"/>
  <c r="F109" i="2"/>
  <c r="J109" i="2" s="1"/>
  <c r="G109" i="2"/>
  <c r="K109" i="2" s="1"/>
  <c r="E110" i="2"/>
  <c r="I110" i="2" s="1"/>
  <c r="F110" i="2"/>
  <c r="J110" i="2" s="1"/>
  <c r="G110" i="2"/>
  <c r="K110" i="2" s="1"/>
  <c r="E111" i="2"/>
  <c r="F111" i="2"/>
  <c r="G111" i="2"/>
  <c r="E112" i="2"/>
  <c r="F112" i="2"/>
  <c r="G112" i="2"/>
  <c r="K112" i="2" s="1"/>
  <c r="E113" i="2"/>
  <c r="I113" i="2" s="1"/>
  <c r="F113" i="2"/>
  <c r="J113" i="2" s="1"/>
  <c r="G113" i="2"/>
  <c r="K113" i="2" s="1"/>
  <c r="E114" i="2"/>
  <c r="I114" i="2" s="1"/>
  <c r="F114" i="2"/>
  <c r="J114" i="2" s="1"/>
  <c r="G114" i="2"/>
  <c r="K114" i="2" s="1"/>
  <c r="E115" i="2"/>
  <c r="F115" i="2"/>
  <c r="G115" i="2"/>
  <c r="E116" i="2"/>
  <c r="F116" i="2"/>
  <c r="G116" i="2"/>
  <c r="K116" i="2" s="1"/>
  <c r="E117" i="2"/>
  <c r="I117" i="2" s="1"/>
  <c r="F117" i="2"/>
  <c r="J117" i="2" s="1"/>
  <c r="G117" i="2"/>
  <c r="K117" i="2" s="1"/>
  <c r="E118" i="2"/>
  <c r="I118" i="2" s="1"/>
  <c r="F118" i="2"/>
  <c r="J118" i="2" s="1"/>
  <c r="G118" i="2"/>
  <c r="K118" i="2" s="1"/>
  <c r="E119" i="2"/>
  <c r="F119" i="2"/>
  <c r="G119" i="2"/>
  <c r="E120" i="2"/>
  <c r="I120" i="2" s="1"/>
  <c r="F120" i="2"/>
  <c r="G120" i="2"/>
  <c r="K120" i="2" s="1"/>
  <c r="E121" i="2"/>
  <c r="F121" i="2"/>
  <c r="G121" i="2"/>
  <c r="K121" i="2" s="1"/>
  <c r="E122" i="2"/>
  <c r="I122" i="2" s="1"/>
  <c r="F122" i="2"/>
  <c r="J122" i="2" s="1"/>
  <c r="G122" i="2"/>
  <c r="K122" i="2" s="1"/>
  <c r="E123" i="2"/>
  <c r="F123" i="2"/>
  <c r="G123" i="2"/>
  <c r="E124" i="2"/>
  <c r="F124" i="2"/>
  <c r="G124" i="2"/>
  <c r="K124" i="2" s="1"/>
  <c r="E125" i="2"/>
  <c r="I125" i="2" s="1"/>
  <c r="F125" i="2"/>
  <c r="J125" i="2" s="1"/>
  <c r="G125" i="2"/>
  <c r="K125" i="2" s="1"/>
  <c r="E126" i="2"/>
  <c r="F126" i="2"/>
  <c r="J126" i="2" s="1"/>
  <c r="G126" i="2"/>
  <c r="K126" i="2" s="1"/>
  <c r="E127" i="2"/>
  <c r="F127" i="2"/>
  <c r="G127" i="2"/>
  <c r="K127" i="2" s="1"/>
  <c r="E128" i="2"/>
  <c r="I128" i="2" s="1"/>
  <c r="F128" i="2"/>
  <c r="J128" i="2" s="1"/>
  <c r="G128" i="2"/>
  <c r="K128" i="2" s="1"/>
  <c r="E129" i="2"/>
  <c r="I129" i="2" s="1"/>
  <c r="F129" i="2"/>
  <c r="J129" i="2" s="1"/>
  <c r="G129" i="2"/>
  <c r="K129" i="2" s="1"/>
  <c r="E130" i="2"/>
  <c r="I130" i="2" s="1"/>
  <c r="F130" i="2"/>
  <c r="J130" i="2" s="1"/>
  <c r="G130" i="2"/>
  <c r="K130" i="2" s="1"/>
  <c r="E131" i="2"/>
  <c r="F131" i="2"/>
  <c r="G131" i="2"/>
  <c r="E132" i="2"/>
  <c r="F132" i="2"/>
  <c r="G132" i="2"/>
  <c r="K132" i="2" s="1"/>
  <c r="E133" i="2"/>
  <c r="I133" i="2" s="1"/>
  <c r="F133" i="2"/>
  <c r="J133" i="2" s="1"/>
  <c r="G133" i="2"/>
  <c r="K133" i="2" s="1"/>
  <c r="E134" i="2"/>
  <c r="I134" i="2" s="1"/>
  <c r="F134" i="2"/>
  <c r="J134" i="2" s="1"/>
  <c r="G134" i="2"/>
  <c r="K134" i="2" s="1"/>
  <c r="E135" i="2"/>
  <c r="F135" i="2"/>
  <c r="G135" i="2"/>
  <c r="E136" i="2"/>
  <c r="F136" i="2"/>
  <c r="J136" i="2" s="1"/>
  <c r="G136" i="2"/>
  <c r="E137" i="2"/>
  <c r="F137" i="2"/>
  <c r="J137" i="2" s="1"/>
  <c r="G137" i="2"/>
  <c r="K137" i="2" s="1"/>
  <c r="E138" i="2"/>
  <c r="I138" i="2" s="1"/>
  <c r="F138" i="2"/>
  <c r="J138" i="2" s="1"/>
  <c r="G138" i="2"/>
  <c r="E139" i="2"/>
  <c r="F139" i="2"/>
  <c r="J139" i="2" s="1"/>
  <c r="G139" i="2"/>
  <c r="E140" i="2"/>
  <c r="I140" i="2" s="1"/>
  <c r="F140" i="2"/>
  <c r="J140" i="2" s="1"/>
  <c r="G140" i="2"/>
  <c r="K140" i="2" s="1"/>
  <c r="E141" i="2"/>
  <c r="I141" i="2" s="1"/>
  <c r="F141" i="2"/>
  <c r="J141" i="2" s="1"/>
  <c r="G141" i="2"/>
  <c r="K141" i="2" s="1"/>
  <c r="E142" i="2"/>
  <c r="I142" i="2" s="1"/>
  <c r="F142" i="2"/>
  <c r="J142" i="2" s="1"/>
  <c r="G142" i="2"/>
  <c r="K142" i="2" s="1"/>
  <c r="E143" i="2"/>
  <c r="F143" i="2"/>
  <c r="G143" i="2"/>
  <c r="E144" i="2"/>
  <c r="F144" i="2"/>
  <c r="G144" i="2"/>
  <c r="E145" i="2"/>
  <c r="F145" i="2"/>
  <c r="G145" i="2"/>
  <c r="K145" i="2" s="1"/>
  <c r="E146" i="2"/>
  <c r="I146" i="2" s="1"/>
  <c r="F146" i="2"/>
  <c r="J146" i="2" s="1"/>
  <c r="G146" i="2"/>
  <c r="K146" i="2" s="1"/>
  <c r="E147" i="2"/>
  <c r="F147" i="2"/>
  <c r="G147" i="2"/>
  <c r="E148" i="2"/>
  <c r="F148" i="2"/>
  <c r="G148" i="2"/>
  <c r="K148" i="2" s="1"/>
  <c r="E149" i="2"/>
  <c r="I149" i="2" s="1"/>
  <c r="F149" i="2"/>
  <c r="J149" i="2" s="1"/>
  <c r="G149" i="2"/>
  <c r="K149" i="2" s="1"/>
  <c r="E150" i="2"/>
  <c r="F150" i="2"/>
  <c r="J150" i="2" s="1"/>
  <c r="G150" i="2"/>
  <c r="K150" i="2" s="1"/>
  <c r="E151" i="2"/>
  <c r="F151" i="2"/>
  <c r="G151" i="2"/>
  <c r="E152" i="2"/>
  <c r="F152" i="2"/>
  <c r="G152" i="2"/>
  <c r="K152" i="2" s="1"/>
  <c r="E153" i="2"/>
  <c r="I153" i="2" s="1"/>
  <c r="F153" i="2"/>
  <c r="J153" i="2" s="1"/>
  <c r="G153" i="2"/>
  <c r="K153" i="2" s="1"/>
  <c r="E154" i="2"/>
  <c r="I154" i="2" s="1"/>
  <c r="F154" i="2"/>
  <c r="J154" i="2" s="1"/>
  <c r="G154" i="2"/>
  <c r="K154" i="2" s="1"/>
  <c r="E155" i="2"/>
  <c r="F155" i="2"/>
  <c r="G155" i="2"/>
  <c r="K155" i="2" s="1"/>
  <c r="E156" i="2"/>
  <c r="F156" i="2"/>
  <c r="G156" i="2"/>
  <c r="E157" i="2"/>
  <c r="F157" i="2"/>
  <c r="J157" i="2" s="1"/>
  <c r="G157" i="2"/>
  <c r="K157" i="2" s="1"/>
  <c r="E158" i="2"/>
  <c r="I158" i="2" s="1"/>
  <c r="F158" i="2"/>
  <c r="J158" i="2" s="1"/>
  <c r="G158" i="2"/>
  <c r="K158" i="2" s="1"/>
  <c r="E159" i="2"/>
  <c r="F159" i="2"/>
  <c r="G159" i="2"/>
  <c r="E160" i="2"/>
  <c r="I160" i="2" s="1"/>
  <c r="F160" i="2"/>
  <c r="J160" i="2" s="1"/>
  <c r="G160" i="2"/>
  <c r="K160" i="2" s="1"/>
  <c r="E161" i="2"/>
  <c r="F161" i="2"/>
  <c r="J161" i="2" s="1"/>
  <c r="G161" i="2"/>
  <c r="K161" i="2" s="1"/>
  <c r="E162" i="2"/>
  <c r="I162" i="2" s="1"/>
  <c r="F162" i="2"/>
  <c r="J162" i="2" s="1"/>
  <c r="G162" i="2"/>
  <c r="K162" i="2" s="1"/>
  <c r="E163" i="2"/>
  <c r="F163" i="2"/>
  <c r="G163" i="2"/>
  <c r="E164" i="2"/>
  <c r="F164" i="2"/>
  <c r="G164" i="2"/>
  <c r="K164" i="2" s="1"/>
  <c r="E165" i="2"/>
  <c r="I165" i="2" s="1"/>
  <c r="F165" i="2"/>
  <c r="J165" i="2" s="1"/>
  <c r="G165" i="2"/>
  <c r="E166" i="2"/>
  <c r="I166" i="2" s="1"/>
  <c r="F166" i="2"/>
  <c r="J166" i="2" s="1"/>
  <c r="G166" i="2"/>
  <c r="K166" i="2" s="1"/>
  <c r="E167" i="2"/>
  <c r="F167" i="2"/>
  <c r="G167" i="2"/>
  <c r="E168" i="2"/>
  <c r="F168" i="2"/>
  <c r="J168" i="2" s="1"/>
  <c r="G168" i="2"/>
  <c r="K168" i="2" s="1"/>
  <c r="E169" i="2"/>
  <c r="I169" i="2" s="1"/>
  <c r="F169" i="2"/>
  <c r="J169" i="2" s="1"/>
  <c r="G169" i="2"/>
  <c r="K169" i="2" s="1"/>
  <c r="E170" i="2"/>
  <c r="I170" i="2" s="1"/>
  <c r="F170" i="2"/>
  <c r="J170" i="2" s="1"/>
  <c r="G170" i="2"/>
  <c r="K170" i="2" s="1"/>
  <c r="E171" i="2"/>
  <c r="F171" i="2"/>
  <c r="G171" i="2"/>
  <c r="E172" i="2"/>
  <c r="F172" i="2"/>
  <c r="G172" i="2"/>
  <c r="E173" i="2"/>
  <c r="F173" i="2"/>
  <c r="J173" i="2" s="1"/>
  <c r="G173" i="2"/>
  <c r="K173" i="2" s="1"/>
  <c r="E174" i="2"/>
  <c r="I174" i="2" s="1"/>
  <c r="F174" i="2"/>
  <c r="J174" i="2" s="1"/>
  <c r="G174" i="2"/>
  <c r="K174" i="2" s="1"/>
  <c r="E175" i="2"/>
  <c r="F175" i="2"/>
  <c r="G175" i="2"/>
  <c r="E176" i="2"/>
  <c r="F176" i="2"/>
  <c r="J176" i="2" s="1"/>
  <c r="G176" i="2"/>
  <c r="K176" i="2" s="1"/>
  <c r="E177" i="2"/>
  <c r="I177" i="2" s="1"/>
  <c r="F177" i="2"/>
  <c r="J177" i="2" s="1"/>
  <c r="G177" i="2"/>
  <c r="K177" i="2" s="1"/>
  <c r="E178" i="2"/>
  <c r="I178" i="2" s="1"/>
  <c r="F178" i="2"/>
  <c r="J178" i="2" s="1"/>
  <c r="G178" i="2"/>
  <c r="K178" i="2" s="1"/>
  <c r="E179" i="2"/>
  <c r="F179" i="2"/>
  <c r="G179" i="2"/>
  <c r="E180" i="2"/>
  <c r="F180" i="2"/>
  <c r="G180" i="2"/>
  <c r="K180" i="2" s="1"/>
  <c r="E181" i="2"/>
  <c r="F181" i="2"/>
  <c r="G181" i="2"/>
  <c r="E182" i="2"/>
  <c r="I182" i="2" s="1"/>
  <c r="F182" i="2"/>
  <c r="J182" i="2" s="1"/>
  <c r="G182" i="2"/>
  <c r="K182" i="2" s="1"/>
  <c r="E183" i="2"/>
  <c r="F183" i="2"/>
  <c r="G183" i="2"/>
  <c r="K183" i="2" s="1"/>
  <c r="E184" i="2"/>
  <c r="F184" i="2"/>
  <c r="J184" i="2" s="1"/>
  <c r="G184" i="2"/>
  <c r="K184" i="2" s="1"/>
  <c r="E185" i="2"/>
  <c r="I185" i="2" s="1"/>
  <c r="F185" i="2"/>
  <c r="J185" i="2" s="1"/>
  <c r="G185" i="2"/>
  <c r="K185" i="2" s="1"/>
  <c r="E186" i="2"/>
  <c r="I186" i="2" s="1"/>
  <c r="F186" i="2"/>
  <c r="J186" i="2" s="1"/>
  <c r="G186" i="2"/>
  <c r="K186" i="2" s="1"/>
  <c r="E187" i="2"/>
  <c r="F187" i="2"/>
  <c r="G187" i="2"/>
  <c r="E188" i="2"/>
  <c r="F188" i="2"/>
  <c r="G188" i="2"/>
  <c r="E189" i="2"/>
  <c r="I189" i="2" s="1"/>
  <c r="F189" i="2"/>
  <c r="J189" i="2" s="1"/>
  <c r="G189" i="2"/>
  <c r="K189" i="2" s="1"/>
  <c r="E190" i="2"/>
  <c r="I190" i="2" s="1"/>
  <c r="F190" i="2"/>
  <c r="J190" i="2" s="1"/>
  <c r="G190" i="2"/>
  <c r="E191" i="2"/>
  <c r="F191" i="2"/>
  <c r="G191" i="2"/>
  <c r="E192" i="2"/>
  <c r="I192" i="2" s="1"/>
  <c r="F192" i="2"/>
  <c r="J192" i="2" s="1"/>
  <c r="G192" i="2"/>
  <c r="K192" i="2" s="1"/>
  <c r="E193" i="2"/>
  <c r="I193" i="2" s="1"/>
  <c r="F193" i="2"/>
  <c r="J193" i="2" s="1"/>
  <c r="G193" i="2"/>
  <c r="K193" i="2" s="1"/>
  <c r="E194" i="2"/>
  <c r="F194" i="2"/>
  <c r="J194" i="2" s="1"/>
  <c r="G194" i="2"/>
  <c r="K194" i="2" s="1"/>
  <c r="E195" i="2"/>
  <c r="F195" i="2"/>
  <c r="J195" i="2" s="1"/>
  <c r="G195" i="2"/>
  <c r="E196" i="2"/>
  <c r="I196" i="2" s="1"/>
  <c r="F196" i="2"/>
  <c r="J196" i="2" s="1"/>
  <c r="G196" i="2"/>
  <c r="E197" i="2"/>
  <c r="F197" i="2"/>
  <c r="J197" i="2" s="1"/>
  <c r="G197" i="2"/>
  <c r="K197" i="2" s="1"/>
  <c r="E198" i="2"/>
  <c r="I198" i="2" s="1"/>
  <c r="F198" i="2"/>
  <c r="J198" i="2" s="1"/>
  <c r="G198" i="2"/>
  <c r="K198" i="2" s="1"/>
  <c r="E199" i="2"/>
  <c r="F199" i="2"/>
  <c r="G199" i="2"/>
  <c r="E200" i="2"/>
  <c r="F200" i="2"/>
  <c r="J200" i="2" s="1"/>
  <c r="G200" i="2"/>
  <c r="E201" i="2"/>
  <c r="I201" i="2" s="1"/>
  <c r="F201" i="2"/>
  <c r="J201" i="2" s="1"/>
  <c r="G201" i="2"/>
  <c r="K201" i="2" s="1"/>
  <c r="E202" i="2"/>
  <c r="I202" i="2" s="1"/>
  <c r="F202" i="2"/>
  <c r="J202" i="2" s="1"/>
  <c r="G202" i="2"/>
  <c r="K202" i="2" s="1"/>
  <c r="E203" i="2"/>
  <c r="F203" i="2"/>
  <c r="G203" i="2"/>
  <c r="K203" i="2" s="1"/>
  <c r="E204" i="2"/>
  <c r="I204" i="2" s="1"/>
  <c r="F204" i="2"/>
  <c r="G204" i="2"/>
  <c r="E205" i="2"/>
  <c r="I205" i="2" s="1"/>
  <c r="F205" i="2"/>
  <c r="J205" i="2" s="1"/>
  <c r="G205" i="2"/>
  <c r="K205" i="2" s="1"/>
  <c r="E206" i="2"/>
  <c r="I206" i="2" s="1"/>
  <c r="F206" i="2"/>
  <c r="J206" i="2" s="1"/>
  <c r="G206" i="2"/>
  <c r="K206" i="2" s="1"/>
  <c r="E207" i="2"/>
  <c r="F207" i="2"/>
  <c r="G207" i="2"/>
  <c r="E208" i="2"/>
  <c r="F208" i="2"/>
  <c r="G208" i="2"/>
  <c r="E209" i="2"/>
  <c r="I209" i="2" s="1"/>
  <c r="F209" i="2"/>
  <c r="J209" i="2" s="1"/>
  <c r="G209" i="2"/>
  <c r="K209" i="2" s="1"/>
  <c r="E210" i="2"/>
  <c r="I210" i="2" s="1"/>
  <c r="F210" i="2"/>
  <c r="J210" i="2" s="1"/>
  <c r="G210" i="2"/>
  <c r="K210" i="2" s="1"/>
  <c r="E211" i="2"/>
  <c r="F211" i="2"/>
  <c r="J211" i="2" s="1"/>
  <c r="G211" i="2"/>
  <c r="K211" i="2" s="1"/>
  <c r="E212" i="2"/>
  <c r="I212" i="2" s="1"/>
  <c r="F212" i="2"/>
  <c r="J212" i="2" s="1"/>
  <c r="G212" i="2"/>
  <c r="K212" i="2" s="1"/>
  <c r="E213" i="2"/>
  <c r="F213" i="2"/>
  <c r="J213" i="2" s="1"/>
  <c r="G213" i="2"/>
  <c r="E214" i="2"/>
  <c r="F214" i="2"/>
  <c r="G214" i="2"/>
  <c r="E215" i="2"/>
  <c r="F215" i="2"/>
  <c r="G215" i="2"/>
  <c r="E216" i="2"/>
  <c r="F216" i="2"/>
  <c r="G216" i="2"/>
  <c r="K216" i="2" s="1"/>
  <c r="E217" i="2"/>
  <c r="I217" i="2" s="1"/>
  <c r="F217" i="2"/>
  <c r="J217" i="2" s="1"/>
  <c r="G217" i="2"/>
  <c r="K217" i="2" s="1"/>
  <c r="E218" i="2"/>
  <c r="I218" i="2" s="1"/>
  <c r="F218" i="2"/>
  <c r="J218" i="2" s="1"/>
  <c r="G218" i="2"/>
  <c r="K218" i="2" s="1"/>
  <c r="E219" i="2"/>
  <c r="F219" i="2"/>
  <c r="G219" i="2"/>
  <c r="K219" i="2" s="1"/>
  <c r="E220" i="2"/>
  <c r="I220" i="2" s="1"/>
  <c r="F220" i="2"/>
  <c r="J220" i="2" s="1"/>
  <c r="G220" i="2"/>
  <c r="K220" i="2" s="1"/>
  <c r="E221" i="2"/>
  <c r="I221" i="2" s="1"/>
  <c r="F221" i="2"/>
  <c r="G221" i="2"/>
  <c r="E222" i="2"/>
  <c r="I222" i="2" s="1"/>
  <c r="F222" i="2"/>
  <c r="J222" i="2" s="1"/>
  <c r="G222" i="2"/>
  <c r="K222" i="2" s="1"/>
  <c r="E223" i="2"/>
  <c r="F223" i="2"/>
  <c r="G223" i="2"/>
  <c r="E224" i="2"/>
  <c r="F224" i="2"/>
  <c r="G224" i="2"/>
  <c r="E225" i="2"/>
  <c r="I225" i="2" s="1"/>
  <c r="F225" i="2"/>
  <c r="J225" i="2" s="1"/>
  <c r="G225" i="2"/>
  <c r="K225" i="2" s="1"/>
  <c r="E226" i="2"/>
  <c r="I226" i="2" s="1"/>
  <c r="F226" i="2"/>
  <c r="J226" i="2" s="1"/>
  <c r="G226" i="2"/>
  <c r="K226" i="2" s="1"/>
  <c r="E227" i="2"/>
  <c r="F227" i="2"/>
  <c r="G227" i="2"/>
  <c r="E228" i="2"/>
  <c r="I228" i="2" s="1"/>
  <c r="F228" i="2"/>
  <c r="G228" i="2"/>
  <c r="K228" i="2" s="1"/>
  <c r="E229" i="2"/>
  <c r="I229" i="2" s="1"/>
  <c r="F229" i="2"/>
  <c r="J229" i="2" s="1"/>
  <c r="G229" i="2"/>
  <c r="K229" i="2" s="1"/>
  <c r="E230" i="2"/>
  <c r="I230" i="2" s="1"/>
  <c r="F230" i="2"/>
  <c r="J230" i="2" s="1"/>
  <c r="G230" i="2"/>
  <c r="K230" i="2" s="1"/>
  <c r="E231" i="2"/>
  <c r="F231" i="2"/>
  <c r="G231" i="2"/>
  <c r="E232" i="2"/>
  <c r="F232" i="2"/>
  <c r="J232" i="2" s="1"/>
  <c r="G232" i="2"/>
  <c r="K232" i="2" s="1"/>
  <c r="E233" i="2"/>
  <c r="I233" i="2" s="1"/>
  <c r="F233" i="2"/>
  <c r="G233" i="2"/>
  <c r="E234" i="2"/>
  <c r="I234" i="2" s="1"/>
  <c r="F234" i="2"/>
  <c r="J234" i="2" s="1"/>
  <c r="G234" i="2"/>
  <c r="K234" i="2" s="1"/>
  <c r="E235" i="2"/>
  <c r="F235" i="2"/>
  <c r="G235" i="2"/>
  <c r="E236" i="2"/>
  <c r="I236" i="2" s="1"/>
  <c r="F236" i="2"/>
  <c r="J236" i="2" s="1"/>
  <c r="G236" i="2"/>
  <c r="E237" i="2"/>
  <c r="F237" i="2"/>
  <c r="J237" i="2" s="1"/>
  <c r="G237" i="2"/>
  <c r="K237" i="2" s="1"/>
  <c r="E238" i="2"/>
  <c r="I238" i="2" s="1"/>
  <c r="F238" i="2"/>
  <c r="J238" i="2" s="1"/>
  <c r="G238" i="2"/>
  <c r="K238" i="2" s="1"/>
  <c r="E239" i="2"/>
  <c r="F239" i="2"/>
  <c r="G239" i="2"/>
  <c r="E240" i="2"/>
  <c r="F240" i="2"/>
  <c r="G240" i="2"/>
  <c r="E241" i="2"/>
  <c r="I241" i="2" s="1"/>
  <c r="F241" i="2"/>
  <c r="J241" i="2" s="1"/>
  <c r="G241" i="2"/>
  <c r="K241" i="2" s="1"/>
  <c r="E242" i="2"/>
  <c r="I242" i="2" s="1"/>
  <c r="F242" i="2"/>
  <c r="J242" i="2" s="1"/>
  <c r="G242" i="2"/>
  <c r="K242" i="2" s="1"/>
  <c r="E243" i="2"/>
  <c r="F243" i="2"/>
  <c r="G243" i="2"/>
  <c r="E244" i="2"/>
  <c r="F244" i="2"/>
  <c r="J244" i="2" s="1"/>
  <c r="G244" i="2"/>
  <c r="K244" i="2" s="1"/>
  <c r="E245" i="2"/>
  <c r="F245" i="2"/>
  <c r="J245" i="2" s="1"/>
  <c r="G245" i="2"/>
  <c r="K245" i="2" s="1"/>
  <c r="E246" i="2"/>
  <c r="I246" i="2" s="1"/>
  <c r="F246" i="2"/>
  <c r="J246" i="2" s="1"/>
  <c r="G246" i="2"/>
  <c r="K246" i="2" s="1"/>
  <c r="E247" i="2"/>
  <c r="F247" i="2"/>
  <c r="G247" i="2"/>
  <c r="E248" i="2"/>
  <c r="F248" i="2"/>
  <c r="G248" i="2"/>
  <c r="E249" i="2"/>
  <c r="I249" i="2" s="1"/>
  <c r="F249" i="2"/>
  <c r="J249" i="2" s="1"/>
  <c r="G249" i="2"/>
  <c r="K249" i="2" s="1"/>
  <c r="E250" i="2"/>
  <c r="I250" i="2" s="1"/>
  <c r="F250" i="2"/>
  <c r="J250" i="2" s="1"/>
  <c r="G250" i="2"/>
  <c r="K250" i="2" s="1"/>
  <c r="E251" i="2"/>
  <c r="F251" i="2"/>
  <c r="J251" i="2" s="1"/>
  <c r="G251" i="2"/>
  <c r="K251" i="2" s="1"/>
  <c r="E252" i="2"/>
  <c r="I252" i="2" s="1"/>
  <c r="F252" i="2"/>
  <c r="J252" i="2" s="1"/>
  <c r="G252" i="2"/>
  <c r="K252" i="2" s="1"/>
  <c r="E253" i="2"/>
  <c r="I253" i="2" s="1"/>
  <c r="F253" i="2"/>
  <c r="J253" i="2" s="1"/>
  <c r="G253" i="2"/>
  <c r="K253" i="2" s="1"/>
  <c r="E254" i="2"/>
  <c r="I254" i="2" s="1"/>
  <c r="F254" i="2"/>
  <c r="G254" i="2"/>
  <c r="K254" i="2" s="1"/>
  <c r="E255" i="2"/>
  <c r="F255" i="2"/>
  <c r="G255" i="2"/>
  <c r="E256" i="2"/>
  <c r="F256" i="2"/>
  <c r="G256" i="2"/>
  <c r="E257" i="2"/>
  <c r="F257" i="2"/>
  <c r="J257" i="2" s="1"/>
  <c r="G257" i="2"/>
  <c r="K257" i="2" s="1"/>
  <c r="E258" i="2"/>
  <c r="I258" i="2" s="1"/>
  <c r="F258" i="2"/>
  <c r="J258" i="2" s="1"/>
  <c r="G258" i="2"/>
  <c r="K258" i="2" s="1"/>
  <c r="E259" i="2"/>
  <c r="F259" i="2"/>
  <c r="G259" i="2"/>
  <c r="E260" i="2"/>
  <c r="F260" i="2"/>
  <c r="J260" i="2" s="1"/>
  <c r="G260" i="2"/>
  <c r="K260" i="2" s="1"/>
  <c r="E261" i="2"/>
  <c r="I261" i="2" s="1"/>
  <c r="F261" i="2"/>
  <c r="J261" i="2" s="1"/>
  <c r="G261" i="2"/>
  <c r="K261" i="2" s="1"/>
  <c r="E262" i="2"/>
  <c r="I262" i="2" s="1"/>
  <c r="F262" i="2"/>
  <c r="J262" i="2" s="1"/>
  <c r="G262" i="2"/>
  <c r="K262" i="2" s="1"/>
  <c r="E263" i="2"/>
  <c r="F263" i="2"/>
  <c r="G263" i="2"/>
  <c r="E264" i="2"/>
  <c r="F264" i="2"/>
  <c r="G264" i="2"/>
  <c r="K264" i="2" s="1"/>
  <c r="E265" i="2"/>
  <c r="I265" i="2" s="1"/>
  <c r="F265" i="2"/>
  <c r="J265" i="2" s="1"/>
  <c r="G265" i="2"/>
  <c r="K265" i="2" s="1"/>
  <c r="E266" i="2"/>
  <c r="I266" i="2" s="1"/>
  <c r="F266" i="2"/>
  <c r="J266" i="2" s="1"/>
  <c r="G266" i="2"/>
  <c r="K266" i="2" s="1"/>
  <c r="E267" i="2"/>
  <c r="F267" i="2"/>
  <c r="G267" i="2"/>
  <c r="K267" i="2" s="1"/>
  <c r="E268" i="2"/>
  <c r="I268" i="2" s="1"/>
  <c r="F268" i="2"/>
  <c r="G268" i="2"/>
  <c r="K268" i="2" s="1"/>
  <c r="E269" i="2"/>
  <c r="I269" i="2" s="1"/>
  <c r="F269" i="2"/>
  <c r="J269" i="2" s="1"/>
  <c r="G269" i="2"/>
  <c r="K269" i="2" s="1"/>
  <c r="E270" i="2"/>
  <c r="I270" i="2" s="1"/>
  <c r="F270" i="2"/>
  <c r="J270" i="2" s="1"/>
  <c r="G270" i="2"/>
  <c r="K270" i="2" s="1"/>
  <c r="E271" i="2"/>
  <c r="F271" i="2"/>
  <c r="G271" i="2"/>
  <c r="E272" i="2"/>
  <c r="F272" i="2"/>
  <c r="G272" i="2"/>
  <c r="E273" i="2"/>
  <c r="F273" i="2"/>
  <c r="J273" i="2" s="1"/>
  <c r="G273" i="2"/>
  <c r="K273" i="2" s="1"/>
  <c r="E274" i="2"/>
  <c r="I274" i="2" s="1"/>
  <c r="F274" i="2"/>
  <c r="J274" i="2" s="1"/>
  <c r="G274" i="2"/>
  <c r="K274" i="2" s="1"/>
  <c r="E275" i="2"/>
  <c r="F275" i="2"/>
  <c r="G275" i="2"/>
  <c r="E276" i="2"/>
  <c r="F276" i="2"/>
  <c r="J276" i="2" s="1"/>
  <c r="G276" i="2"/>
  <c r="K276" i="2" s="1"/>
  <c r="E277" i="2"/>
  <c r="I277" i="2" s="1"/>
  <c r="F277" i="2"/>
  <c r="J277" i="2" s="1"/>
  <c r="G277" i="2"/>
  <c r="K277" i="2" s="1"/>
  <c r="E278" i="2"/>
  <c r="I278" i="2" s="1"/>
  <c r="F278" i="2"/>
  <c r="J278" i="2" s="1"/>
  <c r="G278" i="2"/>
  <c r="K278" i="2" s="1"/>
  <c r="E279" i="2"/>
  <c r="F279" i="2"/>
  <c r="J279" i="2" s="1"/>
  <c r="G279" i="2"/>
  <c r="E280" i="2"/>
  <c r="I280" i="2" s="1"/>
  <c r="F280" i="2"/>
  <c r="J280" i="2" s="1"/>
  <c r="G280" i="2"/>
  <c r="K280" i="2" s="1"/>
  <c r="E281" i="2"/>
  <c r="I281" i="2" s="1"/>
  <c r="F281" i="2"/>
  <c r="J281" i="2" s="1"/>
  <c r="G281" i="2"/>
  <c r="E282" i="2"/>
  <c r="F282" i="2"/>
  <c r="J282" i="2" s="1"/>
  <c r="G282" i="2"/>
  <c r="K282" i="2" s="1"/>
  <c r="E283" i="2"/>
  <c r="F283" i="2"/>
  <c r="G283" i="2"/>
  <c r="E284" i="2"/>
  <c r="F284" i="2"/>
  <c r="J284" i="2" s="1"/>
  <c r="G284" i="2"/>
  <c r="K284" i="2" s="1"/>
  <c r="E285" i="2"/>
  <c r="I285" i="2" s="1"/>
  <c r="F285" i="2"/>
  <c r="J285" i="2" s="1"/>
  <c r="G285" i="2"/>
  <c r="K285" i="2" s="1"/>
  <c r="E286" i="2"/>
  <c r="I286" i="2" s="1"/>
  <c r="F286" i="2"/>
  <c r="J286" i="2" s="1"/>
  <c r="G286" i="2"/>
  <c r="K286" i="2" s="1"/>
  <c r="E287" i="2"/>
  <c r="F287" i="2"/>
  <c r="G287" i="2"/>
  <c r="E288" i="2"/>
  <c r="F288" i="2"/>
  <c r="G288" i="2"/>
  <c r="K288" i="2" s="1"/>
  <c r="E289" i="2"/>
  <c r="I289" i="2" s="1"/>
  <c r="F289" i="2"/>
  <c r="J289" i="2" s="1"/>
  <c r="G289" i="2"/>
  <c r="K289" i="2" s="1"/>
  <c r="E290" i="2"/>
  <c r="I290" i="2" s="1"/>
  <c r="F290" i="2"/>
  <c r="J290" i="2" s="1"/>
  <c r="G290" i="2"/>
  <c r="K290" i="2" s="1"/>
  <c r="E291" i="2"/>
  <c r="F291" i="2"/>
  <c r="G291" i="2"/>
  <c r="E292" i="2"/>
  <c r="I292" i="2" s="1"/>
  <c r="F292" i="2"/>
  <c r="J292" i="2" s="1"/>
  <c r="G292" i="2"/>
  <c r="K292" i="2" s="1"/>
  <c r="E293" i="2"/>
  <c r="I293" i="2" s="1"/>
  <c r="F293" i="2"/>
  <c r="J293" i="2" s="1"/>
  <c r="G293" i="2"/>
  <c r="E294" i="2"/>
  <c r="F294" i="2"/>
  <c r="J294" i="2" s="1"/>
  <c r="G294" i="2"/>
  <c r="K294" i="2" s="1"/>
  <c r="E295" i="2"/>
  <c r="F295" i="2"/>
  <c r="G295" i="2"/>
  <c r="E296" i="2"/>
  <c r="F296" i="2"/>
  <c r="G296" i="2"/>
  <c r="K296" i="2" s="1"/>
  <c r="E297" i="2"/>
  <c r="I297" i="2" s="1"/>
  <c r="F297" i="2"/>
  <c r="J297" i="2" s="1"/>
  <c r="G297" i="2"/>
  <c r="K297" i="2" s="1"/>
  <c r="E298" i="2"/>
  <c r="I298" i="2" s="1"/>
  <c r="F298" i="2"/>
  <c r="J298" i="2" s="1"/>
  <c r="G298" i="2"/>
  <c r="K298" i="2" s="1"/>
  <c r="E299" i="2"/>
  <c r="F299" i="2"/>
  <c r="G299" i="2"/>
  <c r="K299" i="2"/>
  <c r="J296" i="2"/>
  <c r="I296" i="2"/>
  <c r="K295" i="2"/>
  <c r="I294" i="2"/>
  <c r="K293" i="2"/>
  <c r="K291" i="2"/>
  <c r="J288" i="2"/>
  <c r="K287" i="2"/>
  <c r="I284" i="2"/>
  <c r="K283" i="2"/>
  <c r="I282" i="2"/>
  <c r="K281" i="2"/>
  <c r="K279" i="2"/>
  <c r="I276" i="2"/>
  <c r="K275" i="2"/>
  <c r="I273" i="2"/>
  <c r="K272" i="2"/>
  <c r="J272" i="2"/>
  <c r="I272" i="2"/>
  <c r="K271" i="2"/>
  <c r="J268" i="2"/>
  <c r="J264" i="2"/>
  <c r="I264" i="2"/>
  <c r="K263" i="2"/>
  <c r="I260" i="2"/>
  <c r="K259" i="2"/>
  <c r="I257" i="2"/>
  <c r="K256" i="2"/>
  <c r="J256" i="2"/>
  <c r="I256" i="2"/>
  <c r="K255" i="2"/>
  <c r="K248" i="2"/>
  <c r="J248" i="2"/>
  <c r="I248" i="2"/>
  <c r="K247" i="2"/>
  <c r="I245" i="2"/>
  <c r="I244" i="2"/>
  <c r="K243" i="2"/>
  <c r="J240" i="2"/>
  <c r="I240" i="2"/>
  <c r="K239" i="2"/>
  <c r="I237" i="2"/>
  <c r="K236" i="2"/>
  <c r="K235" i="2"/>
  <c r="K233" i="2"/>
  <c r="J233" i="2"/>
  <c r="I232" i="2"/>
  <c r="K231" i="2"/>
  <c r="K227" i="2"/>
  <c r="K224" i="2"/>
  <c r="J224" i="2"/>
  <c r="I224" i="2"/>
  <c r="K223" i="2"/>
  <c r="K221" i="2"/>
  <c r="J221" i="2"/>
  <c r="J216" i="2"/>
  <c r="I216" i="2"/>
  <c r="K215" i="2"/>
  <c r="I213" i="2"/>
  <c r="K208" i="2"/>
  <c r="J208" i="2"/>
  <c r="I208" i="2"/>
  <c r="K207" i="2"/>
  <c r="K204" i="2"/>
  <c r="J204" i="2"/>
  <c r="I200" i="2"/>
  <c r="K199" i="2"/>
  <c r="I197" i="2"/>
  <c r="K196" i="2"/>
  <c r="K195" i="2"/>
  <c r="I194" i="2"/>
  <c r="K191" i="2"/>
  <c r="I188" i="2"/>
  <c r="K187" i="2"/>
  <c r="I184" i="2"/>
  <c r="K181" i="2"/>
  <c r="J181" i="2"/>
  <c r="I181" i="2"/>
  <c r="J180" i="2"/>
  <c r="I180" i="2"/>
  <c r="K179" i="2"/>
  <c r="I176" i="2"/>
  <c r="K175" i="2"/>
  <c r="I173" i="2"/>
  <c r="K172" i="2"/>
  <c r="J172" i="2"/>
  <c r="I172" i="2"/>
  <c r="K171" i="2"/>
  <c r="I168" i="2"/>
  <c r="K167" i="2"/>
  <c r="J164" i="2"/>
  <c r="I164" i="2"/>
  <c r="K163" i="2"/>
  <c r="I161" i="2"/>
  <c r="K159" i="2"/>
  <c r="I157" i="2"/>
  <c r="K156" i="2"/>
  <c r="J156" i="2"/>
  <c r="I156" i="2"/>
  <c r="J152" i="2"/>
  <c r="I152" i="2"/>
  <c r="K151" i="2"/>
  <c r="I148" i="2"/>
  <c r="K147" i="2"/>
  <c r="J145" i="2"/>
  <c r="I145" i="2"/>
  <c r="K144" i="2"/>
  <c r="J144" i="2"/>
  <c r="I144" i="2"/>
  <c r="K143" i="2"/>
  <c r="K139" i="2"/>
  <c r="I137" i="2"/>
  <c r="K136" i="2"/>
  <c r="K135" i="2"/>
  <c r="J132" i="2"/>
  <c r="I132" i="2"/>
  <c r="K131" i="2"/>
  <c r="J124" i="2"/>
  <c r="I124" i="2"/>
  <c r="K123" i="2"/>
  <c r="J121" i="2"/>
  <c r="I121" i="2"/>
  <c r="J120" i="2"/>
  <c r="K119" i="2"/>
  <c r="J116" i="2"/>
  <c r="I116" i="2"/>
  <c r="K115" i="2"/>
  <c r="J112" i="2"/>
  <c r="I112" i="2"/>
  <c r="K111" i="2"/>
  <c r="K108" i="2"/>
  <c r="J108" i="2"/>
  <c r="I108" i="2"/>
  <c r="K107" i="2"/>
  <c r="J104" i="2"/>
  <c r="I104" i="2"/>
  <c r="K103" i="2"/>
  <c r="I100" i="2"/>
  <c r="K99" i="2"/>
  <c r="K97" i="2"/>
  <c r="I97" i="2"/>
  <c r="K96" i="2"/>
  <c r="J96" i="2"/>
  <c r="K95" i="2"/>
  <c r="J92" i="2"/>
  <c r="I92" i="2"/>
  <c r="J89" i="2"/>
  <c r="J88" i="2"/>
  <c r="K87" i="2"/>
  <c r="J85" i="2"/>
  <c r="I85" i="2"/>
  <c r="J84" i="2"/>
  <c r="I84" i="2"/>
  <c r="K83" i="2"/>
  <c r="I80" i="2"/>
  <c r="K79" i="2"/>
  <c r="J77" i="2"/>
  <c r="I77" i="2"/>
  <c r="K76" i="2"/>
  <c r="J76" i="2"/>
  <c r="I76" i="2"/>
  <c r="K75" i="2"/>
  <c r="K71" i="2"/>
  <c r="I69" i="2"/>
  <c r="K68" i="2"/>
  <c r="J68" i="2"/>
  <c r="I68" i="2"/>
  <c r="K67" i="2"/>
  <c r="K63" i="2"/>
  <c r="J60" i="2"/>
  <c r="I60" i="2"/>
  <c r="K59" i="2"/>
  <c r="J57" i="2"/>
  <c r="K55" i="2"/>
  <c r="I54" i="2"/>
  <c r="K52" i="2"/>
  <c r="J52" i="2"/>
  <c r="I52" i="2"/>
  <c r="K51" i="2"/>
  <c r="I48" i="2"/>
  <c r="K47" i="2"/>
  <c r="K45" i="2"/>
  <c r="J45" i="2"/>
  <c r="I45" i="2"/>
  <c r="K44" i="2"/>
  <c r="J44" i="2"/>
  <c r="K43" i="2"/>
  <c r="J40" i="2"/>
  <c r="I40" i="2"/>
  <c r="K39" i="2"/>
  <c r="I37" i="2"/>
  <c r="K36" i="2"/>
  <c r="J36" i="2"/>
  <c r="K35" i="2"/>
  <c r="I32" i="2"/>
  <c r="K31" i="2"/>
  <c r="I28" i="2"/>
  <c r="K27" i="2"/>
  <c r="J24" i="2"/>
  <c r="I24" i="2"/>
  <c r="K23" i="2"/>
  <c r="I22" i="2"/>
  <c r="K21" i="2"/>
  <c r="J20" i="2"/>
  <c r="K19" i="2"/>
  <c r="K16" i="2"/>
  <c r="J16" i="2"/>
  <c r="I16" i="2"/>
  <c r="K13" i="2"/>
  <c r="J13" i="2"/>
  <c r="I13" i="2"/>
  <c r="G4" i="2"/>
  <c r="I15" i="2"/>
  <c r="J15" i="2"/>
  <c r="I19" i="2"/>
  <c r="J19" i="2"/>
  <c r="I23" i="2"/>
  <c r="J23" i="2"/>
  <c r="I27" i="2"/>
  <c r="I31" i="2"/>
  <c r="J31" i="2"/>
  <c r="I35" i="2"/>
  <c r="J35" i="2"/>
  <c r="K37" i="2"/>
  <c r="I38" i="2"/>
  <c r="J38" i="2"/>
  <c r="K38" i="2"/>
  <c r="I39" i="2"/>
  <c r="J39" i="2"/>
  <c r="I43" i="2"/>
  <c r="J43" i="2"/>
  <c r="I47" i="2"/>
  <c r="J47" i="2"/>
  <c r="I51" i="2"/>
  <c r="J51" i="2"/>
  <c r="I53" i="2"/>
  <c r="I55" i="2"/>
  <c r="I59" i="2"/>
  <c r="J59" i="2"/>
  <c r="I61" i="2"/>
  <c r="I63" i="2"/>
  <c r="J63" i="2"/>
  <c r="I67" i="2"/>
  <c r="J67" i="2"/>
  <c r="I71" i="2"/>
  <c r="J71" i="2"/>
  <c r="I75" i="2"/>
  <c r="J75" i="2"/>
  <c r="I78" i="2"/>
  <c r="I79" i="2"/>
  <c r="J79" i="2"/>
  <c r="I83" i="2"/>
  <c r="J83" i="2"/>
  <c r="I87" i="2"/>
  <c r="J87" i="2"/>
  <c r="K88" i="2"/>
  <c r="I89" i="2"/>
  <c r="I91" i="2"/>
  <c r="J91" i="2"/>
  <c r="I95" i="2"/>
  <c r="J95" i="2"/>
  <c r="I99" i="2"/>
  <c r="J99" i="2"/>
  <c r="K100" i="2"/>
  <c r="I101" i="2"/>
  <c r="J101" i="2"/>
  <c r="I102" i="2"/>
  <c r="I103" i="2"/>
  <c r="J103" i="2"/>
  <c r="I107" i="2"/>
  <c r="J107" i="2"/>
  <c r="I111" i="2"/>
  <c r="J111" i="2"/>
  <c r="I115" i="2"/>
  <c r="J115" i="2"/>
  <c r="I119" i="2"/>
  <c r="J119" i="2"/>
  <c r="I123" i="2"/>
  <c r="J123" i="2"/>
  <c r="I126" i="2"/>
  <c r="I127" i="2"/>
  <c r="J127" i="2"/>
  <c r="I131" i="2"/>
  <c r="J131" i="2"/>
  <c r="I135" i="2"/>
  <c r="J135" i="2"/>
  <c r="I136" i="2"/>
  <c r="K138" i="2"/>
  <c r="I139" i="2"/>
  <c r="I143" i="2"/>
  <c r="J143" i="2"/>
  <c r="I147" i="2"/>
  <c r="J147" i="2"/>
  <c r="J148" i="2"/>
  <c r="I150" i="2"/>
  <c r="I151" i="2"/>
  <c r="J151" i="2"/>
  <c r="I155" i="2"/>
  <c r="J155" i="2"/>
  <c r="I159" i="2"/>
  <c r="J159" i="2"/>
  <c r="I163" i="2"/>
  <c r="J163" i="2"/>
  <c r="K165" i="2"/>
  <c r="I167" i="2"/>
  <c r="J167" i="2"/>
  <c r="I171" i="2"/>
  <c r="J171" i="2"/>
  <c r="I175" i="2"/>
  <c r="J175" i="2"/>
  <c r="I179" i="2"/>
  <c r="J179" i="2"/>
  <c r="I183" i="2"/>
  <c r="J183" i="2"/>
  <c r="I187" i="2"/>
  <c r="J187" i="2"/>
  <c r="J188" i="2"/>
  <c r="K188" i="2"/>
  <c r="K190" i="2"/>
  <c r="I191" i="2"/>
  <c r="J191" i="2"/>
  <c r="I195" i="2"/>
  <c r="I199" i="2"/>
  <c r="J199" i="2"/>
  <c r="K200" i="2"/>
  <c r="I203" i="2"/>
  <c r="J203" i="2"/>
  <c r="I207" i="2"/>
  <c r="J207" i="2"/>
  <c r="I211" i="2"/>
  <c r="K213" i="2"/>
  <c r="I214" i="2"/>
  <c r="J214" i="2"/>
  <c r="K214" i="2"/>
  <c r="I215" i="2"/>
  <c r="J215" i="2"/>
  <c r="I219" i="2"/>
  <c r="J219" i="2"/>
  <c r="I223" i="2"/>
  <c r="J223" i="2"/>
  <c r="I227" i="2"/>
  <c r="J227" i="2"/>
  <c r="J228" i="2"/>
  <c r="I231" i="2"/>
  <c r="J231" i="2"/>
  <c r="I235" i="2"/>
  <c r="J235" i="2"/>
  <c r="I239" i="2"/>
  <c r="J239" i="2"/>
  <c r="K240" i="2"/>
  <c r="I243" i="2"/>
  <c r="J243" i="2"/>
  <c r="I247" i="2"/>
  <c r="J247" i="2"/>
  <c r="I251" i="2"/>
  <c r="J254" i="2"/>
  <c r="I255" i="2"/>
  <c r="J255" i="2"/>
  <c r="I259" i="2"/>
  <c r="J259" i="2"/>
  <c r="I263" i="2"/>
  <c r="J263" i="2"/>
  <c r="I267" i="2"/>
  <c r="J267" i="2"/>
  <c r="I271" i="2"/>
  <c r="J271" i="2"/>
  <c r="I275" i="2"/>
  <c r="J275" i="2"/>
  <c r="I279" i="2"/>
  <c r="I283" i="2"/>
  <c r="J283" i="2"/>
  <c r="I287" i="2"/>
  <c r="J287" i="2"/>
  <c r="I288" i="2"/>
  <c r="I291" i="2"/>
  <c r="J291" i="2"/>
  <c r="I295" i="2"/>
  <c r="J295" i="2"/>
  <c r="I299" i="2"/>
  <c r="J299" i="2"/>
  <c r="J11" i="2"/>
  <c r="K11" i="2"/>
  <c r="I11" i="2"/>
  <c r="C299" i="4"/>
  <c r="B299" i="4"/>
  <c r="A299" i="4"/>
  <c r="A3" i="4" s="1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B294" i="4"/>
  <c r="A294" i="4"/>
  <c r="C293" i="4"/>
  <c r="B293" i="4"/>
  <c r="A293" i="4"/>
  <c r="C292" i="4"/>
  <c r="B292" i="4"/>
  <c r="A292" i="4"/>
  <c r="C291" i="4"/>
  <c r="B291" i="4"/>
  <c r="A291" i="4"/>
  <c r="C290" i="4"/>
  <c r="B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C283" i="4"/>
  <c r="B283" i="4"/>
  <c r="A283" i="4"/>
  <c r="C282" i="4"/>
  <c r="B282" i="4"/>
  <c r="A282" i="4"/>
  <c r="C281" i="4"/>
  <c r="B281" i="4"/>
  <c r="A281" i="4"/>
  <c r="C280" i="4"/>
  <c r="B280" i="4"/>
  <c r="A280" i="4"/>
  <c r="C279" i="4"/>
  <c r="B279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C274" i="4"/>
  <c r="B274" i="4"/>
  <c r="A274" i="4"/>
  <c r="C273" i="4"/>
  <c r="B273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C248" i="4"/>
  <c r="B248" i="4"/>
  <c r="A248" i="4"/>
  <c r="C247" i="4"/>
  <c r="B247" i="4"/>
  <c r="A247" i="4"/>
  <c r="C246" i="4"/>
  <c r="B246" i="4"/>
  <c r="A246" i="4"/>
  <c r="C245" i="4"/>
  <c r="B245" i="4"/>
  <c r="A245" i="4"/>
  <c r="C244" i="4"/>
  <c r="B244" i="4"/>
  <c r="A244" i="4"/>
  <c r="C243" i="4"/>
  <c r="B243" i="4"/>
  <c r="A243" i="4"/>
  <c r="C242" i="4"/>
  <c r="B242" i="4"/>
  <c r="A242" i="4"/>
  <c r="C241" i="4"/>
  <c r="B241" i="4"/>
  <c r="A241" i="4"/>
  <c r="C240" i="4"/>
  <c r="B240" i="4"/>
  <c r="A240" i="4"/>
  <c r="C239" i="4"/>
  <c r="B239" i="4"/>
  <c r="A239" i="4"/>
  <c r="C238" i="4"/>
  <c r="B238" i="4"/>
  <c r="A238" i="4"/>
  <c r="C237" i="4"/>
  <c r="B237" i="4"/>
  <c r="A237" i="4"/>
  <c r="C236" i="4"/>
  <c r="B236" i="4"/>
  <c r="A236" i="4"/>
  <c r="C235" i="4"/>
  <c r="B235" i="4"/>
  <c r="A235" i="4"/>
  <c r="C234" i="4"/>
  <c r="B234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C228" i="4"/>
  <c r="B228" i="4"/>
  <c r="A228" i="4"/>
  <c r="C227" i="4"/>
  <c r="B227" i="4"/>
  <c r="A227" i="4"/>
  <c r="C226" i="4"/>
  <c r="B226" i="4"/>
  <c r="A226" i="4"/>
  <c r="C225" i="4"/>
  <c r="B225" i="4"/>
  <c r="A225" i="4"/>
  <c r="C224" i="4"/>
  <c r="B224" i="4"/>
  <c r="A224" i="4"/>
  <c r="C223" i="4"/>
  <c r="B223" i="4"/>
  <c r="A223" i="4"/>
  <c r="C222" i="4"/>
  <c r="B222" i="4"/>
  <c r="A222" i="4"/>
  <c r="C221" i="4"/>
  <c r="B221" i="4"/>
  <c r="A221" i="4"/>
  <c r="C220" i="4"/>
  <c r="B220" i="4"/>
  <c r="A220" i="4"/>
  <c r="C219" i="4"/>
  <c r="B219" i="4"/>
  <c r="A219" i="4"/>
  <c r="C218" i="4"/>
  <c r="B218" i="4"/>
  <c r="A218" i="4"/>
  <c r="C217" i="4"/>
  <c r="B217" i="4"/>
  <c r="A217" i="4"/>
  <c r="C216" i="4"/>
  <c r="B216" i="4"/>
  <c r="A216" i="4"/>
  <c r="C215" i="4"/>
  <c r="B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C203" i="4"/>
  <c r="B203" i="4"/>
  <c r="A203" i="4"/>
  <c r="C202" i="4"/>
  <c r="B202" i="4"/>
  <c r="A202" i="4"/>
  <c r="C201" i="4"/>
  <c r="B201" i="4"/>
  <c r="A201" i="4"/>
  <c r="C200" i="4"/>
  <c r="B200" i="4"/>
  <c r="A200" i="4"/>
  <c r="C199" i="4"/>
  <c r="B199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C191" i="4"/>
  <c r="B191" i="4"/>
  <c r="A191" i="4"/>
  <c r="C190" i="4"/>
  <c r="B190" i="4"/>
  <c r="A190" i="4"/>
  <c r="C189" i="4"/>
  <c r="B189" i="4"/>
  <c r="A189" i="4"/>
  <c r="C188" i="4"/>
  <c r="B188" i="4"/>
  <c r="A188" i="4"/>
  <c r="C187" i="4"/>
  <c r="B187" i="4"/>
  <c r="A187" i="4"/>
  <c r="C186" i="4"/>
  <c r="B186" i="4"/>
  <c r="A186" i="4"/>
  <c r="C185" i="4"/>
  <c r="B185" i="4"/>
  <c r="A185" i="4"/>
  <c r="C184" i="4"/>
  <c r="B184" i="4"/>
  <c r="A184" i="4"/>
  <c r="C183" i="4"/>
  <c r="B183" i="4"/>
  <c r="A183" i="4"/>
  <c r="C182" i="4"/>
  <c r="B182" i="4"/>
  <c r="A182" i="4"/>
  <c r="C181" i="4"/>
  <c r="B181" i="4"/>
  <c r="A181" i="4"/>
  <c r="C180" i="4"/>
  <c r="B180" i="4"/>
  <c r="A180" i="4"/>
  <c r="C179" i="4"/>
  <c r="B179" i="4"/>
  <c r="A179" i="4"/>
  <c r="C178" i="4"/>
  <c r="B178" i="4"/>
  <c r="A178" i="4"/>
  <c r="C177" i="4"/>
  <c r="B177" i="4"/>
  <c r="A177" i="4"/>
  <c r="C176" i="4"/>
  <c r="B176" i="4"/>
  <c r="A176" i="4"/>
  <c r="C175" i="4"/>
  <c r="B175" i="4"/>
  <c r="A175" i="4"/>
  <c r="C174" i="4"/>
  <c r="B174" i="4"/>
  <c r="A174" i="4"/>
  <c r="C173" i="4"/>
  <c r="B173" i="4"/>
  <c r="A173" i="4"/>
  <c r="C172" i="4"/>
  <c r="B172" i="4"/>
  <c r="A172" i="4"/>
  <c r="C171" i="4"/>
  <c r="B171" i="4"/>
  <c r="A171" i="4"/>
  <c r="C170" i="4"/>
  <c r="B170" i="4"/>
  <c r="A170" i="4"/>
  <c r="C169" i="4"/>
  <c r="B169" i="4"/>
  <c r="A169" i="4"/>
  <c r="C168" i="4"/>
  <c r="B168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C162" i="4"/>
  <c r="B162" i="4"/>
  <c r="A162" i="4"/>
  <c r="C161" i="4"/>
  <c r="B161" i="4"/>
  <c r="A161" i="4"/>
  <c r="C160" i="4"/>
  <c r="B160" i="4"/>
  <c r="A160" i="4"/>
  <c r="C159" i="4"/>
  <c r="B159" i="4"/>
  <c r="A159" i="4"/>
  <c r="C158" i="4"/>
  <c r="B158" i="4"/>
  <c r="A158" i="4"/>
  <c r="C157" i="4"/>
  <c r="B157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C151" i="4"/>
  <c r="B151" i="4"/>
  <c r="A151" i="4"/>
  <c r="C150" i="4"/>
  <c r="B150" i="4"/>
  <c r="A150" i="4"/>
  <c r="C149" i="4"/>
  <c r="B149" i="4"/>
  <c r="A149" i="4"/>
  <c r="C148" i="4"/>
  <c r="B148" i="4"/>
  <c r="A148" i="4"/>
  <c r="C147" i="4"/>
  <c r="B147" i="4"/>
  <c r="A147" i="4"/>
  <c r="C146" i="4"/>
  <c r="B146" i="4"/>
  <c r="A146" i="4"/>
  <c r="C145" i="4"/>
  <c r="B145" i="4"/>
  <c r="A145" i="4"/>
  <c r="C144" i="4"/>
  <c r="B144" i="4"/>
  <c r="A144" i="4"/>
  <c r="C143" i="4"/>
  <c r="B143" i="4"/>
  <c r="A143" i="4"/>
  <c r="C142" i="4"/>
  <c r="B142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C137" i="4"/>
  <c r="B137" i="4"/>
  <c r="A137" i="4"/>
  <c r="C136" i="4"/>
  <c r="B136" i="4"/>
  <c r="A136" i="4"/>
  <c r="C135" i="4"/>
  <c r="B135" i="4"/>
  <c r="A135" i="4"/>
  <c r="C134" i="4"/>
  <c r="B134" i="4"/>
  <c r="A134" i="4"/>
  <c r="C133" i="4"/>
  <c r="B133" i="4"/>
  <c r="A133" i="4"/>
  <c r="C132" i="4"/>
  <c r="B132" i="4"/>
  <c r="A132" i="4"/>
  <c r="C131" i="4"/>
  <c r="B131" i="4"/>
  <c r="A131" i="4"/>
  <c r="C130" i="4"/>
  <c r="B130" i="4"/>
  <c r="A130" i="4"/>
  <c r="C129" i="4"/>
  <c r="B129" i="4"/>
  <c r="A129" i="4"/>
  <c r="C128" i="4"/>
  <c r="B128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C123" i="4"/>
  <c r="B123" i="4"/>
  <c r="A123" i="4"/>
  <c r="C122" i="4"/>
  <c r="B122" i="4"/>
  <c r="A122" i="4"/>
  <c r="C121" i="4"/>
  <c r="B121" i="4"/>
  <c r="A121" i="4"/>
  <c r="C120" i="4"/>
  <c r="B120" i="4"/>
  <c r="A120" i="4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C4" i="4" s="1"/>
  <c r="B11" i="4"/>
  <c r="B5" i="4" s="1"/>
  <c r="B6" i="4" s="1"/>
  <c r="A11" i="4"/>
  <c r="A5" i="4" s="1"/>
  <c r="A6" i="4" s="1"/>
  <c r="G10" i="4"/>
  <c r="F10" i="4"/>
  <c r="E10" i="4"/>
  <c r="C5" i="4"/>
  <c r="C6" i="4" s="1"/>
  <c r="B4" i="4"/>
  <c r="C3" i="4"/>
  <c r="B3" i="4"/>
  <c r="G2" i="4"/>
  <c r="F2" i="4"/>
  <c r="E2" i="4"/>
  <c r="C299" i="3"/>
  <c r="B299" i="3"/>
  <c r="A299" i="3"/>
  <c r="C298" i="3"/>
  <c r="B298" i="3"/>
  <c r="A298" i="3"/>
  <c r="C297" i="3"/>
  <c r="B297" i="3"/>
  <c r="A297" i="3"/>
  <c r="C296" i="3"/>
  <c r="B296" i="3"/>
  <c r="A296" i="3"/>
  <c r="C295" i="3"/>
  <c r="B295" i="3"/>
  <c r="A295" i="3"/>
  <c r="C294" i="3"/>
  <c r="B294" i="3"/>
  <c r="A294" i="3"/>
  <c r="C293" i="3"/>
  <c r="B293" i="3"/>
  <c r="A293" i="3"/>
  <c r="C292" i="3"/>
  <c r="B292" i="3"/>
  <c r="A292" i="3"/>
  <c r="C291" i="3"/>
  <c r="B291" i="3"/>
  <c r="A291" i="3"/>
  <c r="C290" i="3"/>
  <c r="B290" i="3"/>
  <c r="A290" i="3"/>
  <c r="C289" i="3"/>
  <c r="B289" i="3"/>
  <c r="A289" i="3"/>
  <c r="C288" i="3"/>
  <c r="B288" i="3"/>
  <c r="A288" i="3"/>
  <c r="C287" i="3"/>
  <c r="B287" i="3"/>
  <c r="A287" i="3"/>
  <c r="C286" i="3"/>
  <c r="B286" i="3"/>
  <c r="A286" i="3"/>
  <c r="C285" i="3"/>
  <c r="B285" i="3"/>
  <c r="A285" i="3"/>
  <c r="C284" i="3"/>
  <c r="B284" i="3"/>
  <c r="A284" i="3"/>
  <c r="C283" i="3"/>
  <c r="B283" i="3"/>
  <c r="A283" i="3"/>
  <c r="C282" i="3"/>
  <c r="B282" i="3"/>
  <c r="A282" i="3"/>
  <c r="C281" i="3"/>
  <c r="B281" i="3"/>
  <c r="A281" i="3"/>
  <c r="C280" i="3"/>
  <c r="B280" i="3"/>
  <c r="A280" i="3"/>
  <c r="C279" i="3"/>
  <c r="B279" i="3"/>
  <c r="A279" i="3"/>
  <c r="C278" i="3"/>
  <c r="B278" i="3"/>
  <c r="A278" i="3"/>
  <c r="C277" i="3"/>
  <c r="B277" i="3"/>
  <c r="A277" i="3"/>
  <c r="C276" i="3"/>
  <c r="B276" i="3"/>
  <c r="A276" i="3"/>
  <c r="C275" i="3"/>
  <c r="B275" i="3"/>
  <c r="A275" i="3"/>
  <c r="C274" i="3"/>
  <c r="B274" i="3"/>
  <c r="A274" i="3"/>
  <c r="C273" i="3"/>
  <c r="B273" i="3"/>
  <c r="A273" i="3"/>
  <c r="C272" i="3"/>
  <c r="B272" i="3"/>
  <c r="A272" i="3"/>
  <c r="C271" i="3"/>
  <c r="B271" i="3"/>
  <c r="A271" i="3"/>
  <c r="C270" i="3"/>
  <c r="B270" i="3"/>
  <c r="A270" i="3"/>
  <c r="C269" i="3"/>
  <c r="B269" i="3"/>
  <c r="A269" i="3"/>
  <c r="C268" i="3"/>
  <c r="B268" i="3"/>
  <c r="A268" i="3"/>
  <c r="C267" i="3"/>
  <c r="B267" i="3"/>
  <c r="A267" i="3"/>
  <c r="C266" i="3"/>
  <c r="B266" i="3"/>
  <c r="A266" i="3"/>
  <c r="C265" i="3"/>
  <c r="B265" i="3"/>
  <c r="A265" i="3"/>
  <c r="C264" i="3"/>
  <c r="B264" i="3"/>
  <c r="A264" i="3"/>
  <c r="C263" i="3"/>
  <c r="B263" i="3"/>
  <c r="A263" i="3"/>
  <c r="C262" i="3"/>
  <c r="B262" i="3"/>
  <c r="A262" i="3"/>
  <c r="C261" i="3"/>
  <c r="B261" i="3"/>
  <c r="A261" i="3"/>
  <c r="C260" i="3"/>
  <c r="B260" i="3"/>
  <c r="A260" i="3"/>
  <c r="C259" i="3"/>
  <c r="B259" i="3"/>
  <c r="A259" i="3"/>
  <c r="C258" i="3"/>
  <c r="B258" i="3"/>
  <c r="A258" i="3"/>
  <c r="C257" i="3"/>
  <c r="B257" i="3"/>
  <c r="A257" i="3"/>
  <c r="C256" i="3"/>
  <c r="B256" i="3"/>
  <c r="A256" i="3"/>
  <c r="C255" i="3"/>
  <c r="B255" i="3"/>
  <c r="A255" i="3"/>
  <c r="C254" i="3"/>
  <c r="B254" i="3"/>
  <c r="A254" i="3"/>
  <c r="C253" i="3"/>
  <c r="B253" i="3"/>
  <c r="A253" i="3"/>
  <c r="C252" i="3"/>
  <c r="B252" i="3"/>
  <c r="A252" i="3"/>
  <c r="C251" i="3"/>
  <c r="B251" i="3"/>
  <c r="A251" i="3"/>
  <c r="C250" i="3"/>
  <c r="B250" i="3"/>
  <c r="A250" i="3"/>
  <c r="C249" i="3"/>
  <c r="B249" i="3"/>
  <c r="A249" i="3"/>
  <c r="C248" i="3"/>
  <c r="B248" i="3"/>
  <c r="A248" i="3"/>
  <c r="C247" i="3"/>
  <c r="B247" i="3"/>
  <c r="A247" i="3"/>
  <c r="C246" i="3"/>
  <c r="B246" i="3"/>
  <c r="A246" i="3"/>
  <c r="C245" i="3"/>
  <c r="B245" i="3"/>
  <c r="A245" i="3"/>
  <c r="C244" i="3"/>
  <c r="B244" i="3"/>
  <c r="A244" i="3"/>
  <c r="C243" i="3"/>
  <c r="B243" i="3"/>
  <c r="A243" i="3"/>
  <c r="C242" i="3"/>
  <c r="B242" i="3"/>
  <c r="A242" i="3"/>
  <c r="C241" i="3"/>
  <c r="B241" i="3"/>
  <c r="A241" i="3"/>
  <c r="C240" i="3"/>
  <c r="B240" i="3"/>
  <c r="A240" i="3"/>
  <c r="C239" i="3"/>
  <c r="B239" i="3"/>
  <c r="A239" i="3"/>
  <c r="C238" i="3"/>
  <c r="B238" i="3"/>
  <c r="A238" i="3"/>
  <c r="C237" i="3"/>
  <c r="B237" i="3"/>
  <c r="A237" i="3"/>
  <c r="C236" i="3"/>
  <c r="B236" i="3"/>
  <c r="A236" i="3"/>
  <c r="C235" i="3"/>
  <c r="B235" i="3"/>
  <c r="A235" i="3"/>
  <c r="C234" i="3"/>
  <c r="B234" i="3"/>
  <c r="A234" i="3"/>
  <c r="C233" i="3"/>
  <c r="B233" i="3"/>
  <c r="A233" i="3"/>
  <c r="C232" i="3"/>
  <c r="B232" i="3"/>
  <c r="A232" i="3"/>
  <c r="C231" i="3"/>
  <c r="B231" i="3"/>
  <c r="A231" i="3"/>
  <c r="C230" i="3"/>
  <c r="B230" i="3"/>
  <c r="A230" i="3"/>
  <c r="C229" i="3"/>
  <c r="B229" i="3"/>
  <c r="A229" i="3"/>
  <c r="C228" i="3"/>
  <c r="B228" i="3"/>
  <c r="A228" i="3"/>
  <c r="C227" i="3"/>
  <c r="B227" i="3"/>
  <c r="A227" i="3"/>
  <c r="C226" i="3"/>
  <c r="B226" i="3"/>
  <c r="A226" i="3"/>
  <c r="C225" i="3"/>
  <c r="B225" i="3"/>
  <c r="A225" i="3"/>
  <c r="C224" i="3"/>
  <c r="B224" i="3"/>
  <c r="A224" i="3"/>
  <c r="C223" i="3"/>
  <c r="B223" i="3"/>
  <c r="A223" i="3"/>
  <c r="C222" i="3"/>
  <c r="B222" i="3"/>
  <c r="A222" i="3"/>
  <c r="C221" i="3"/>
  <c r="B221" i="3"/>
  <c r="A221" i="3"/>
  <c r="C220" i="3"/>
  <c r="B220" i="3"/>
  <c r="A220" i="3"/>
  <c r="C219" i="3"/>
  <c r="B219" i="3"/>
  <c r="A219" i="3"/>
  <c r="C218" i="3"/>
  <c r="B218" i="3"/>
  <c r="A218" i="3"/>
  <c r="C217" i="3"/>
  <c r="B217" i="3"/>
  <c r="A217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C212" i="3"/>
  <c r="B212" i="3"/>
  <c r="A212" i="3"/>
  <c r="C211" i="3"/>
  <c r="B211" i="3"/>
  <c r="A211" i="3"/>
  <c r="C210" i="3"/>
  <c r="B210" i="3"/>
  <c r="A210" i="3"/>
  <c r="C209" i="3"/>
  <c r="B209" i="3"/>
  <c r="A209" i="3"/>
  <c r="C208" i="3"/>
  <c r="B208" i="3"/>
  <c r="A208" i="3"/>
  <c r="C207" i="3"/>
  <c r="B207" i="3"/>
  <c r="A207" i="3"/>
  <c r="C206" i="3"/>
  <c r="B206" i="3"/>
  <c r="A206" i="3"/>
  <c r="C205" i="3"/>
  <c r="B205" i="3"/>
  <c r="A205" i="3"/>
  <c r="C204" i="3"/>
  <c r="B204" i="3"/>
  <c r="A204" i="3"/>
  <c r="C203" i="3"/>
  <c r="B203" i="3"/>
  <c r="A203" i="3"/>
  <c r="C202" i="3"/>
  <c r="B202" i="3"/>
  <c r="A202" i="3"/>
  <c r="C201" i="3"/>
  <c r="B201" i="3"/>
  <c r="A201" i="3"/>
  <c r="C200" i="3"/>
  <c r="B200" i="3"/>
  <c r="A200" i="3"/>
  <c r="C199" i="3"/>
  <c r="B199" i="3"/>
  <c r="A199" i="3"/>
  <c r="C198" i="3"/>
  <c r="B198" i="3"/>
  <c r="A198" i="3"/>
  <c r="C197" i="3"/>
  <c r="B197" i="3"/>
  <c r="A197" i="3"/>
  <c r="C196" i="3"/>
  <c r="B196" i="3"/>
  <c r="A196" i="3"/>
  <c r="C195" i="3"/>
  <c r="B195" i="3"/>
  <c r="A195" i="3"/>
  <c r="C194" i="3"/>
  <c r="B194" i="3"/>
  <c r="A194" i="3"/>
  <c r="C193" i="3"/>
  <c r="B193" i="3"/>
  <c r="A193" i="3"/>
  <c r="C192" i="3"/>
  <c r="B192" i="3"/>
  <c r="A192" i="3"/>
  <c r="C191" i="3"/>
  <c r="B191" i="3"/>
  <c r="A191" i="3"/>
  <c r="C190" i="3"/>
  <c r="B190" i="3"/>
  <c r="A190" i="3"/>
  <c r="C189" i="3"/>
  <c r="B189" i="3"/>
  <c r="A189" i="3"/>
  <c r="C188" i="3"/>
  <c r="B188" i="3"/>
  <c r="A188" i="3"/>
  <c r="C187" i="3"/>
  <c r="B187" i="3"/>
  <c r="A187" i="3"/>
  <c r="C186" i="3"/>
  <c r="B186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C181" i="3"/>
  <c r="B181" i="3"/>
  <c r="A181" i="3"/>
  <c r="C180" i="3"/>
  <c r="B180" i="3"/>
  <c r="A180" i="3"/>
  <c r="C179" i="3"/>
  <c r="B179" i="3"/>
  <c r="A179" i="3"/>
  <c r="C178" i="3"/>
  <c r="B178" i="3"/>
  <c r="A178" i="3"/>
  <c r="C177" i="3"/>
  <c r="B177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C172" i="3"/>
  <c r="B172" i="3"/>
  <c r="A172" i="3"/>
  <c r="C171" i="3"/>
  <c r="B171" i="3"/>
  <c r="A171" i="3"/>
  <c r="C170" i="3"/>
  <c r="B170" i="3"/>
  <c r="A170" i="3"/>
  <c r="C169" i="3"/>
  <c r="B169" i="3"/>
  <c r="A169" i="3"/>
  <c r="C168" i="3"/>
  <c r="B168" i="3"/>
  <c r="A168" i="3"/>
  <c r="C167" i="3"/>
  <c r="B167" i="3"/>
  <c r="A167" i="3"/>
  <c r="C166" i="3"/>
  <c r="B166" i="3"/>
  <c r="A166" i="3"/>
  <c r="C165" i="3"/>
  <c r="B165" i="3"/>
  <c r="A165" i="3"/>
  <c r="C164" i="3"/>
  <c r="B164" i="3"/>
  <c r="A164" i="3"/>
  <c r="C163" i="3"/>
  <c r="B163" i="3"/>
  <c r="A163" i="3"/>
  <c r="C162" i="3"/>
  <c r="B162" i="3"/>
  <c r="A162" i="3"/>
  <c r="C161" i="3"/>
  <c r="B161" i="3"/>
  <c r="A161" i="3"/>
  <c r="C160" i="3"/>
  <c r="B160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C155" i="3"/>
  <c r="B155" i="3"/>
  <c r="A155" i="3"/>
  <c r="C154" i="3"/>
  <c r="B154" i="3"/>
  <c r="A154" i="3"/>
  <c r="C153" i="3"/>
  <c r="B153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C148" i="3"/>
  <c r="B148" i="3"/>
  <c r="A148" i="3"/>
  <c r="C147" i="3"/>
  <c r="B147" i="3"/>
  <c r="A147" i="3"/>
  <c r="C146" i="3"/>
  <c r="B146" i="3"/>
  <c r="A146" i="3"/>
  <c r="C145" i="3"/>
  <c r="B145" i="3"/>
  <c r="A145" i="3"/>
  <c r="C144" i="3"/>
  <c r="B144" i="3"/>
  <c r="A144" i="3"/>
  <c r="C143" i="3"/>
  <c r="B143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C135" i="3"/>
  <c r="B135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C123" i="3"/>
  <c r="B123" i="3"/>
  <c r="A123" i="3"/>
  <c r="C122" i="3"/>
  <c r="B122" i="3"/>
  <c r="A122" i="3"/>
  <c r="C121" i="3"/>
  <c r="B121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C110" i="3"/>
  <c r="B110" i="3"/>
  <c r="A110" i="3"/>
  <c r="C109" i="3"/>
  <c r="B109" i="3"/>
  <c r="A109" i="3"/>
  <c r="C108" i="3"/>
  <c r="B108" i="3"/>
  <c r="A108" i="3"/>
  <c r="C107" i="3"/>
  <c r="B107" i="3"/>
  <c r="A107" i="3"/>
  <c r="C106" i="3"/>
  <c r="B106" i="3"/>
  <c r="A106" i="3"/>
  <c r="C105" i="3"/>
  <c r="B105" i="3"/>
  <c r="A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C4" i="3" s="1"/>
  <c r="B11" i="3"/>
  <c r="B4" i="3" s="1"/>
  <c r="A11" i="3"/>
  <c r="A4" i="3" s="1"/>
  <c r="G10" i="3"/>
  <c r="F10" i="3"/>
  <c r="E10" i="3"/>
  <c r="C5" i="3"/>
  <c r="C6" i="3" s="1"/>
  <c r="B5" i="3"/>
  <c r="B6" i="3" s="1"/>
  <c r="A5" i="3"/>
  <c r="A6" i="3" s="1"/>
  <c r="C3" i="3"/>
  <c r="B3" i="3"/>
  <c r="A3" i="3"/>
  <c r="G2" i="3"/>
  <c r="F2" i="3"/>
  <c r="E2" i="3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C244" i="2"/>
  <c r="B244" i="2"/>
  <c r="A244" i="2"/>
  <c r="C243" i="2"/>
  <c r="B243" i="2"/>
  <c r="A243" i="2"/>
  <c r="C242" i="2"/>
  <c r="B242" i="2"/>
  <c r="A242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C227" i="2"/>
  <c r="B227" i="2"/>
  <c r="A227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C201" i="2"/>
  <c r="B201" i="2"/>
  <c r="A201" i="2"/>
  <c r="C200" i="2"/>
  <c r="B200" i="2"/>
  <c r="A200" i="2"/>
  <c r="C199" i="2"/>
  <c r="B199" i="2"/>
  <c r="A199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C192" i="2"/>
  <c r="B192" i="2"/>
  <c r="A192" i="2"/>
  <c r="C191" i="2"/>
  <c r="B191" i="2"/>
  <c r="A191" i="2"/>
  <c r="C190" i="2"/>
  <c r="B190" i="2"/>
  <c r="A190" i="2"/>
  <c r="C189" i="2"/>
  <c r="B189" i="2"/>
  <c r="A189" i="2"/>
  <c r="C188" i="2"/>
  <c r="B188" i="2"/>
  <c r="A188" i="2"/>
  <c r="C187" i="2"/>
  <c r="B187" i="2"/>
  <c r="A187" i="2"/>
  <c r="C186" i="2"/>
  <c r="B186" i="2"/>
  <c r="A186" i="2"/>
  <c r="C185" i="2"/>
  <c r="B185" i="2"/>
  <c r="A185" i="2"/>
  <c r="C184" i="2"/>
  <c r="B184" i="2"/>
  <c r="A184" i="2"/>
  <c r="C183" i="2"/>
  <c r="B183" i="2"/>
  <c r="A183" i="2"/>
  <c r="C182" i="2"/>
  <c r="B182" i="2"/>
  <c r="A182" i="2"/>
  <c r="C181" i="2"/>
  <c r="B181" i="2"/>
  <c r="A181" i="2"/>
  <c r="C180" i="2"/>
  <c r="B180" i="2"/>
  <c r="A180" i="2"/>
  <c r="C179" i="2"/>
  <c r="B179" i="2"/>
  <c r="A179" i="2"/>
  <c r="C178" i="2"/>
  <c r="B178" i="2"/>
  <c r="A178" i="2"/>
  <c r="C177" i="2"/>
  <c r="B177" i="2"/>
  <c r="A177" i="2"/>
  <c r="C176" i="2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C156" i="2"/>
  <c r="B156" i="2"/>
  <c r="A156" i="2"/>
  <c r="C155" i="2"/>
  <c r="B155" i="2"/>
  <c r="A155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C149" i="2"/>
  <c r="B149" i="2"/>
  <c r="A149" i="2"/>
  <c r="C148" i="2"/>
  <c r="B148" i="2"/>
  <c r="A148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C4" i="2" s="1"/>
  <c r="B11" i="2"/>
  <c r="B4" i="2" s="1"/>
  <c r="A11" i="2"/>
  <c r="A4" i="2" s="1"/>
  <c r="G10" i="2"/>
  <c r="F10" i="2"/>
  <c r="E10" i="2"/>
  <c r="C5" i="2"/>
  <c r="C6" i="2" s="1"/>
  <c r="B5" i="2"/>
  <c r="B6" i="2" s="1"/>
  <c r="A5" i="2"/>
  <c r="A6" i="2" s="1"/>
  <c r="C3" i="2"/>
  <c r="B3" i="2"/>
  <c r="A3" i="2"/>
  <c r="G2" i="2"/>
  <c r="F2" i="2"/>
  <c r="E2" i="2"/>
  <c r="C299" i="5"/>
  <c r="B299" i="5"/>
  <c r="A299" i="5"/>
  <c r="C298" i="5"/>
  <c r="B298" i="5"/>
  <c r="A298" i="5"/>
  <c r="C297" i="5"/>
  <c r="B297" i="5"/>
  <c r="A297" i="5"/>
  <c r="C296" i="5"/>
  <c r="B296" i="5"/>
  <c r="A296" i="5"/>
  <c r="C295" i="5"/>
  <c r="B295" i="5"/>
  <c r="A295" i="5"/>
  <c r="C294" i="5"/>
  <c r="B294" i="5"/>
  <c r="A294" i="5"/>
  <c r="C293" i="5"/>
  <c r="B293" i="5"/>
  <c r="A293" i="5"/>
  <c r="C292" i="5"/>
  <c r="B292" i="5"/>
  <c r="A292" i="5"/>
  <c r="C291" i="5"/>
  <c r="B291" i="5"/>
  <c r="A291" i="5"/>
  <c r="C290" i="5"/>
  <c r="B290" i="5"/>
  <c r="A290" i="5"/>
  <c r="C289" i="5"/>
  <c r="B289" i="5"/>
  <c r="A289" i="5"/>
  <c r="C288" i="5"/>
  <c r="B288" i="5"/>
  <c r="A288" i="5"/>
  <c r="C287" i="5"/>
  <c r="B287" i="5"/>
  <c r="A287" i="5"/>
  <c r="C286" i="5"/>
  <c r="B286" i="5"/>
  <c r="A286" i="5"/>
  <c r="C285" i="5"/>
  <c r="B285" i="5"/>
  <c r="A285" i="5"/>
  <c r="C284" i="5"/>
  <c r="B284" i="5"/>
  <c r="A284" i="5"/>
  <c r="C283" i="5"/>
  <c r="B283" i="5"/>
  <c r="A283" i="5"/>
  <c r="C282" i="5"/>
  <c r="B282" i="5"/>
  <c r="A282" i="5"/>
  <c r="C281" i="5"/>
  <c r="B281" i="5"/>
  <c r="A281" i="5"/>
  <c r="C280" i="5"/>
  <c r="B280" i="5"/>
  <c r="A280" i="5"/>
  <c r="C279" i="5"/>
  <c r="B279" i="5"/>
  <c r="A279" i="5"/>
  <c r="C278" i="5"/>
  <c r="B278" i="5"/>
  <c r="A278" i="5"/>
  <c r="C277" i="5"/>
  <c r="B277" i="5"/>
  <c r="A277" i="5"/>
  <c r="C276" i="5"/>
  <c r="B276" i="5"/>
  <c r="A276" i="5"/>
  <c r="C275" i="5"/>
  <c r="B275" i="5"/>
  <c r="A275" i="5"/>
  <c r="C274" i="5"/>
  <c r="B274" i="5"/>
  <c r="A274" i="5"/>
  <c r="C273" i="5"/>
  <c r="B273" i="5"/>
  <c r="A273" i="5"/>
  <c r="C272" i="5"/>
  <c r="B272" i="5"/>
  <c r="A272" i="5"/>
  <c r="C271" i="5"/>
  <c r="B271" i="5"/>
  <c r="A271" i="5"/>
  <c r="C270" i="5"/>
  <c r="B270" i="5"/>
  <c r="A270" i="5"/>
  <c r="C269" i="5"/>
  <c r="B269" i="5"/>
  <c r="A269" i="5"/>
  <c r="C268" i="5"/>
  <c r="B268" i="5"/>
  <c r="A268" i="5"/>
  <c r="C267" i="5"/>
  <c r="B267" i="5"/>
  <c r="A267" i="5"/>
  <c r="C266" i="5"/>
  <c r="B266" i="5"/>
  <c r="A266" i="5"/>
  <c r="C265" i="5"/>
  <c r="B265" i="5"/>
  <c r="A265" i="5"/>
  <c r="C264" i="5"/>
  <c r="B264" i="5"/>
  <c r="A264" i="5"/>
  <c r="C263" i="5"/>
  <c r="B263" i="5"/>
  <c r="A263" i="5"/>
  <c r="C262" i="5"/>
  <c r="B262" i="5"/>
  <c r="A262" i="5"/>
  <c r="C261" i="5"/>
  <c r="B261" i="5"/>
  <c r="A261" i="5"/>
  <c r="C260" i="5"/>
  <c r="B260" i="5"/>
  <c r="A260" i="5"/>
  <c r="C259" i="5"/>
  <c r="B259" i="5"/>
  <c r="A259" i="5"/>
  <c r="C258" i="5"/>
  <c r="B258" i="5"/>
  <c r="A258" i="5"/>
  <c r="C257" i="5"/>
  <c r="B257" i="5"/>
  <c r="A257" i="5"/>
  <c r="C256" i="5"/>
  <c r="B256" i="5"/>
  <c r="A256" i="5"/>
  <c r="C255" i="5"/>
  <c r="B255" i="5"/>
  <c r="A255" i="5"/>
  <c r="C254" i="5"/>
  <c r="B254" i="5"/>
  <c r="A254" i="5"/>
  <c r="C253" i="5"/>
  <c r="B253" i="5"/>
  <c r="A253" i="5"/>
  <c r="C252" i="5"/>
  <c r="B252" i="5"/>
  <c r="A252" i="5"/>
  <c r="C251" i="5"/>
  <c r="B251" i="5"/>
  <c r="A251" i="5"/>
  <c r="C250" i="5"/>
  <c r="B250" i="5"/>
  <c r="A250" i="5"/>
  <c r="C249" i="5"/>
  <c r="B249" i="5"/>
  <c r="A249" i="5"/>
  <c r="C248" i="5"/>
  <c r="B248" i="5"/>
  <c r="A248" i="5"/>
  <c r="C247" i="5"/>
  <c r="B247" i="5"/>
  <c r="A247" i="5"/>
  <c r="C246" i="5"/>
  <c r="B246" i="5"/>
  <c r="A246" i="5"/>
  <c r="C245" i="5"/>
  <c r="B245" i="5"/>
  <c r="A245" i="5"/>
  <c r="C244" i="5"/>
  <c r="B244" i="5"/>
  <c r="A244" i="5"/>
  <c r="C243" i="5"/>
  <c r="B243" i="5"/>
  <c r="A243" i="5"/>
  <c r="C242" i="5"/>
  <c r="B242" i="5"/>
  <c r="A242" i="5"/>
  <c r="C241" i="5"/>
  <c r="B241" i="5"/>
  <c r="A241" i="5"/>
  <c r="C240" i="5"/>
  <c r="B240" i="5"/>
  <c r="A240" i="5"/>
  <c r="C239" i="5"/>
  <c r="B239" i="5"/>
  <c r="A239" i="5"/>
  <c r="C238" i="5"/>
  <c r="B238" i="5"/>
  <c r="A238" i="5"/>
  <c r="C237" i="5"/>
  <c r="B237" i="5"/>
  <c r="A237" i="5"/>
  <c r="C236" i="5"/>
  <c r="B236" i="5"/>
  <c r="A236" i="5"/>
  <c r="C235" i="5"/>
  <c r="B235" i="5"/>
  <c r="A235" i="5"/>
  <c r="C234" i="5"/>
  <c r="B234" i="5"/>
  <c r="A234" i="5"/>
  <c r="C233" i="5"/>
  <c r="B233" i="5"/>
  <c r="A233" i="5"/>
  <c r="C232" i="5"/>
  <c r="B232" i="5"/>
  <c r="A232" i="5"/>
  <c r="C231" i="5"/>
  <c r="B231" i="5"/>
  <c r="A231" i="5"/>
  <c r="C230" i="5"/>
  <c r="B230" i="5"/>
  <c r="A230" i="5"/>
  <c r="C229" i="5"/>
  <c r="B229" i="5"/>
  <c r="A229" i="5"/>
  <c r="C228" i="5"/>
  <c r="B228" i="5"/>
  <c r="A228" i="5"/>
  <c r="C227" i="5"/>
  <c r="B227" i="5"/>
  <c r="A227" i="5"/>
  <c r="C226" i="5"/>
  <c r="B226" i="5"/>
  <c r="A226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C221" i="5"/>
  <c r="B221" i="5"/>
  <c r="A221" i="5"/>
  <c r="C220" i="5"/>
  <c r="B220" i="5"/>
  <c r="A220" i="5"/>
  <c r="C219" i="5"/>
  <c r="B219" i="5"/>
  <c r="A219" i="5"/>
  <c r="C218" i="5"/>
  <c r="B218" i="5"/>
  <c r="A218" i="5"/>
  <c r="C217" i="5"/>
  <c r="B217" i="5"/>
  <c r="A217" i="5"/>
  <c r="C216" i="5"/>
  <c r="B216" i="5"/>
  <c r="A216" i="5"/>
  <c r="C215" i="5"/>
  <c r="B215" i="5"/>
  <c r="A215" i="5"/>
  <c r="C214" i="5"/>
  <c r="B214" i="5"/>
  <c r="A214" i="5"/>
  <c r="C213" i="5"/>
  <c r="B213" i="5"/>
  <c r="A213" i="5"/>
  <c r="C212" i="5"/>
  <c r="B212" i="5"/>
  <c r="A212" i="5"/>
  <c r="C211" i="5"/>
  <c r="B211" i="5"/>
  <c r="A211" i="5"/>
  <c r="C210" i="5"/>
  <c r="B210" i="5"/>
  <c r="A210" i="5"/>
  <c r="C209" i="5"/>
  <c r="B209" i="5"/>
  <c r="A209" i="5"/>
  <c r="C208" i="5"/>
  <c r="B208" i="5"/>
  <c r="A208" i="5"/>
  <c r="C207" i="5"/>
  <c r="B207" i="5"/>
  <c r="A207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C200" i="5"/>
  <c r="B200" i="5"/>
  <c r="A200" i="5"/>
  <c r="C199" i="5"/>
  <c r="B199" i="5"/>
  <c r="A199" i="5"/>
  <c r="C198" i="5"/>
  <c r="B198" i="5"/>
  <c r="A198" i="5"/>
  <c r="C197" i="5"/>
  <c r="B197" i="5"/>
  <c r="A197" i="5"/>
  <c r="C196" i="5"/>
  <c r="B196" i="5"/>
  <c r="A196" i="5"/>
  <c r="C195" i="5"/>
  <c r="B195" i="5"/>
  <c r="A195" i="5"/>
  <c r="C194" i="5"/>
  <c r="B194" i="5"/>
  <c r="A194" i="5"/>
  <c r="C193" i="5"/>
  <c r="B193" i="5"/>
  <c r="A193" i="5"/>
  <c r="C192" i="5"/>
  <c r="B192" i="5"/>
  <c r="A192" i="5"/>
  <c r="C191" i="5"/>
  <c r="B191" i="5"/>
  <c r="A191" i="5"/>
  <c r="C190" i="5"/>
  <c r="B190" i="5"/>
  <c r="A190" i="5"/>
  <c r="C189" i="5"/>
  <c r="B189" i="5"/>
  <c r="A189" i="5"/>
  <c r="C188" i="5"/>
  <c r="B188" i="5"/>
  <c r="A188" i="5"/>
  <c r="C187" i="5"/>
  <c r="B187" i="5"/>
  <c r="A187" i="5"/>
  <c r="C186" i="5"/>
  <c r="B186" i="5"/>
  <c r="A186" i="5"/>
  <c r="C185" i="5"/>
  <c r="B185" i="5"/>
  <c r="A185" i="5"/>
  <c r="C184" i="5"/>
  <c r="B184" i="5"/>
  <c r="A184" i="5"/>
  <c r="C183" i="5"/>
  <c r="B183" i="5"/>
  <c r="A183" i="5"/>
  <c r="C182" i="5"/>
  <c r="B182" i="5"/>
  <c r="A182" i="5"/>
  <c r="C181" i="5"/>
  <c r="B181" i="5"/>
  <c r="A181" i="5"/>
  <c r="C180" i="5"/>
  <c r="B180" i="5"/>
  <c r="A180" i="5"/>
  <c r="C179" i="5"/>
  <c r="B179" i="5"/>
  <c r="A179" i="5"/>
  <c r="C178" i="5"/>
  <c r="B178" i="5"/>
  <c r="A178" i="5"/>
  <c r="C177" i="5"/>
  <c r="B177" i="5"/>
  <c r="A177" i="5"/>
  <c r="C176" i="5"/>
  <c r="B176" i="5"/>
  <c r="A176" i="5"/>
  <c r="C175" i="5"/>
  <c r="B175" i="5"/>
  <c r="A175" i="5"/>
  <c r="C174" i="5"/>
  <c r="B174" i="5"/>
  <c r="A174" i="5"/>
  <c r="C173" i="5"/>
  <c r="B173" i="5"/>
  <c r="A173" i="5"/>
  <c r="C172" i="5"/>
  <c r="B172" i="5"/>
  <c r="A172" i="5"/>
  <c r="C171" i="5"/>
  <c r="B171" i="5"/>
  <c r="A171" i="5"/>
  <c r="C170" i="5"/>
  <c r="B170" i="5"/>
  <c r="A170" i="5"/>
  <c r="C169" i="5"/>
  <c r="B169" i="5"/>
  <c r="A169" i="5"/>
  <c r="C168" i="5"/>
  <c r="B168" i="5"/>
  <c r="A168" i="5"/>
  <c r="C167" i="5"/>
  <c r="B167" i="5"/>
  <c r="A167" i="5"/>
  <c r="C166" i="5"/>
  <c r="B166" i="5"/>
  <c r="A166" i="5"/>
  <c r="C165" i="5"/>
  <c r="B165" i="5"/>
  <c r="A165" i="5"/>
  <c r="C164" i="5"/>
  <c r="B164" i="5"/>
  <c r="A164" i="5"/>
  <c r="C163" i="5"/>
  <c r="B163" i="5"/>
  <c r="A163" i="5"/>
  <c r="C162" i="5"/>
  <c r="B162" i="5"/>
  <c r="A162" i="5"/>
  <c r="C161" i="5"/>
  <c r="B161" i="5"/>
  <c r="A161" i="5"/>
  <c r="C160" i="5"/>
  <c r="B160" i="5"/>
  <c r="A160" i="5"/>
  <c r="C159" i="5"/>
  <c r="B159" i="5"/>
  <c r="A159" i="5"/>
  <c r="C158" i="5"/>
  <c r="B158" i="5"/>
  <c r="A158" i="5"/>
  <c r="C157" i="5"/>
  <c r="B157" i="5"/>
  <c r="A157" i="5"/>
  <c r="C156" i="5"/>
  <c r="B156" i="5"/>
  <c r="A156" i="5"/>
  <c r="C155" i="5"/>
  <c r="B155" i="5"/>
  <c r="A155" i="5"/>
  <c r="C154" i="5"/>
  <c r="B154" i="5"/>
  <c r="A154" i="5"/>
  <c r="C153" i="5"/>
  <c r="B153" i="5"/>
  <c r="A153" i="5"/>
  <c r="C152" i="5"/>
  <c r="B152" i="5"/>
  <c r="A152" i="5"/>
  <c r="C151" i="5"/>
  <c r="B151" i="5"/>
  <c r="A151" i="5"/>
  <c r="C150" i="5"/>
  <c r="B150" i="5"/>
  <c r="A150" i="5"/>
  <c r="C149" i="5"/>
  <c r="B149" i="5"/>
  <c r="A149" i="5"/>
  <c r="C148" i="5"/>
  <c r="B148" i="5"/>
  <c r="A148" i="5"/>
  <c r="C147" i="5"/>
  <c r="B147" i="5"/>
  <c r="A147" i="5"/>
  <c r="C146" i="5"/>
  <c r="B146" i="5"/>
  <c r="A146" i="5"/>
  <c r="C145" i="5"/>
  <c r="B145" i="5"/>
  <c r="A145" i="5"/>
  <c r="C144" i="5"/>
  <c r="B144" i="5"/>
  <c r="A144" i="5"/>
  <c r="C143" i="5"/>
  <c r="B143" i="5"/>
  <c r="A143" i="5"/>
  <c r="C142" i="5"/>
  <c r="B142" i="5"/>
  <c r="A142" i="5"/>
  <c r="C141" i="5"/>
  <c r="B141" i="5"/>
  <c r="A141" i="5"/>
  <c r="C140" i="5"/>
  <c r="B140" i="5"/>
  <c r="A140" i="5"/>
  <c r="C139" i="5"/>
  <c r="B139" i="5"/>
  <c r="A139" i="5"/>
  <c r="C138" i="5"/>
  <c r="B138" i="5"/>
  <c r="A138" i="5"/>
  <c r="C137" i="5"/>
  <c r="B137" i="5"/>
  <c r="A137" i="5"/>
  <c r="C136" i="5"/>
  <c r="B136" i="5"/>
  <c r="A136" i="5"/>
  <c r="C135" i="5"/>
  <c r="B135" i="5"/>
  <c r="A135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C127" i="5"/>
  <c r="B127" i="5"/>
  <c r="A127" i="5"/>
  <c r="C126" i="5"/>
  <c r="B126" i="5"/>
  <c r="A126" i="5"/>
  <c r="C125" i="5"/>
  <c r="B125" i="5"/>
  <c r="A125" i="5"/>
  <c r="C124" i="5"/>
  <c r="B124" i="5"/>
  <c r="A124" i="5"/>
  <c r="C123" i="5"/>
  <c r="B123" i="5"/>
  <c r="A123" i="5"/>
  <c r="C122" i="5"/>
  <c r="B122" i="5"/>
  <c r="A122" i="5"/>
  <c r="C121" i="5"/>
  <c r="B121" i="5"/>
  <c r="A121" i="5"/>
  <c r="C120" i="5"/>
  <c r="B120" i="5"/>
  <c r="A120" i="5"/>
  <c r="C119" i="5"/>
  <c r="B119" i="5"/>
  <c r="A119" i="5"/>
  <c r="C118" i="5"/>
  <c r="B118" i="5"/>
  <c r="A118" i="5"/>
  <c r="C117" i="5"/>
  <c r="B117" i="5"/>
  <c r="A117" i="5"/>
  <c r="C116" i="5"/>
  <c r="B116" i="5"/>
  <c r="A116" i="5"/>
  <c r="C115" i="5"/>
  <c r="B115" i="5"/>
  <c r="A115" i="5"/>
  <c r="C114" i="5"/>
  <c r="B114" i="5"/>
  <c r="A114" i="5"/>
  <c r="C113" i="5"/>
  <c r="B113" i="5"/>
  <c r="A113" i="5"/>
  <c r="C112" i="5"/>
  <c r="B112" i="5"/>
  <c r="A112" i="5"/>
  <c r="C111" i="5"/>
  <c r="B111" i="5"/>
  <c r="A111" i="5"/>
  <c r="C110" i="5"/>
  <c r="B110" i="5"/>
  <c r="A110" i="5"/>
  <c r="C109" i="5"/>
  <c r="B109" i="5"/>
  <c r="A109" i="5"/>
  <c r="C108" i="5"/>
  <c r="B108" i="5"/>
  <c r="A108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C102" i="5"/>
  <c r="B102" i="5"/>
  <c r="A102" i="5"/>
  <c r="C101" i="5"/>
  <c r="B101" i="5"/>
  <c r="A101" i="5"/>
  <c r="C100" i="5"/>
  <c r="B100" i="5"/>
  <c r="A100" i="5"/>
  <c r="C99" i="5"/>
  <c r="B99" i="5"/>
  <c r="A99" i="5"/>
  <c r="C98" i="5"/>
  <c r="B98" i="5"/>
  <c r="A98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G5" i="5"/>
  <c r="F5" i="5"/>
  <c r="E5" i="5"/>
  <c r="C12" i="5"/>
  <c r="B12" i="5"/>
  <c r="A12" i="5"/>
  <c r="G4" i="5"/>
  <c r="F4" i="5"/>
  <c r="E4" i="5"/>
  <c r="C11" i="5"/>
  <c r="C4" i="5" s="1"/>
  <c r="B11" i="5"/>
  <c r="B4" i="5" s="1"/>
  <c r="A11" i="5"/>
  <c r="A4" i="5" s="1"/>
  <c r="G10" i="5"/>
  <c r="F10" i="5"/>
  <c r="E10" i="5"/>
  <c r="C5" i="5"/>
  <c r="C6" i="5" s="1"/>
  <c r="B5" i="5"/>
  <c r="B6" i="5" s="1"/>
  <c r="A5" i="5"/>
  <c r="A6" i="5" s="1"/>
  <c r="C3" i="5"/>
  <c r="B3" i="5"/>
  <c r="A3" i="5"/>
  <c r="G2" i="5"/>
  <c r="F2" i="5"/>
  <c r="E2" i="5"/>
  <c r="G4" i="3" l="1"/>
  <c r="F5" i="3"/>
  <c r="E5" i="3"/>
  <c r="E4" i="3"/>
  <c r="F4" i="3"/>
  <c r="G3" i="3"/>
  <c r="F4" i="2"/>
  <c r="I12" i="2"/>
  <c r="E3" i="2"/>
  <c r="G5" i="2"/>
  <c r="K12" i="2"/>
  <c r="E4" i="2"/>
  <c r="F3" i="2"/>
  <c r="E3" i="4"/>
  <c r="F3" i="4"/>
  <c r="F5" i="4"/>
  <c r="F6" i="4" s="1"/>
  <c r="E4" i="4"/>
  <c r="G5" i="4"/>
  <c r="E5" i="4"/>
  <c r="E6" i="4" s="1"/>
  <c r="G4" i="4"/>
  <c r="G6" i="4"/>
  <c r="E3" i="5"/>
  <c r="E6" i="5" s="1"/>
  <c r="E5" i="2"/>
  <c r="E6" i="2" s="1"/>
  <c r="E3" i="3"/>
  <c r="F3" i="5"/>
  <c r="F6" i="5" s="1"/>
  <c r="F5" i="2"/>
  <c r="F6" i="2" s="1"/>
  <c r="F3" i="3"/>
  <c r="G3" i="2"/>
  <c r="G5" i="3"/>
  <c r="G3" i="4"/>
  <c r="A4" i="4"/>
  <c r="G3" i="5"/>
  <c r="G6" i="5" s="1"/>
  <c r="F4" i="4"/>
  <c r="F6" i="3" l="1"/>
  <c r="G6" i="3"/>
  <c r="E6" i="3"/>
  <c r="G6" i="2"/>
</calcChain>
</file>

<file path=xl/sharedStrings.xml><?xml version="1.0" encoding="utf-8"?>
<sst xmlns="http://schemas.openxmlformats.org/spreadsheetml/2006/main" count="108" uniqueCount="24">
  <si>
    <t>VARIABLE</t>
  </si>
  <si>
    <t>LEGEND</t>
  </si>
  <si>
    <t>TREND___QLT___(M3_S)___RISER_OUTLET</t>
  </si>
  <si>
    <t>TREND___UL___(M_S)___RISER_OUTLET</t>
  </si>
  <si>
    <t>TREND___UG___(M_S)___RISER_OUTLET</t>
  </si>
  <si>
    <t>h</t>
  </si>
  <si>
    <t>(M3/S)</t>
  </si>
  <si>
    <t>(M/S)</t>
  </si>
  <si>
    <t>TIME1</t>
  </si>
  <si>
    <t>TIME2</t>
  </si>
  <si>
    <t>TIME3</t>
  </si>
  <si>
    <t>Report-2031_Oil_4500bopd_Liquid_4773blpd_10MMSCFD_GL_TD_Only_OP2.genkey</t>
  </si>
  <si>
    <t>Min</t>
  </si>
  <si>
    <t>P50</t>
  </si>
  <si>
    <t>Max</t>
  </si>
  <si>
    <t>Delta</t>
  </si>
  <si>
    <t>Offset</t>
  </si>
  <si>
    <t>Scale</t>
  </si>
  <si>
    <t>Report-2031_Oil_4500bopd_Liquid_4773blpd_5MMSCFD_GL_TD_Only_OP2.genkey</t>
  </si>
  <si>
    <t>Report-2031_Oil_4500bopd_Liquid_4773blpd_No_GL_TD_Only_OP2.genkey</t>
  </si>
  <si>
    <t>Report-2031_Oil_4500bopd_Liquid_4773blpd_No_GL_TD_Only_OP2_TCV_10pc.genkey</t>
  </si>
  <si>
    <t>Liquid at Outlet</t>
  </si>
  <si>
    <t>Liquid Velocity</t>
  </si>
  <si>
    <t>Gas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</si>
</sst>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b="0" i="0" u="none" strike="noStrike">
                <a:latin typeface="Calibri"/>
              </a:rPr>
              <a:t>Report-2031_Oil_4500bopd_Liquid_4773blpd_10MMSCFD_GL_TD_Only_OP2.genkey</a:t>
            </a:r>
          </a:p>
        </c:rich>
      </c:tx>
      <c:layout>
        <c:manualLayout>
          <c:xMode val="edge"/>
          <c:yMode val="edge"/>
          <c:x val="0.13559991924086415"/>
          <c:y val="2.7072758037225041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Legends!$B$2</c:f>
              <c:strCache>
                <c:ptCount val="1"/>
                <c:pt idx="0">
                  <c:v>Liquid at Outlet</c:v>
                </c:pt>
              </c:strCache>
            </c:strRef>
          </c:tx>
          <c:marker>
            <c:symbol val="none"/>
          </c:marker>
          <c:xVal>
            <c:numRef>
              <c:f>'10MMSCFD'!$A$11:$A$299</c:f>
              <c:numCache>
                <c:formatCode>General</c:formatCode>
                <c:ptCount val="289"/>
                <c:pt idx="0">
                  <c:v>0</c:v>
                </c:pt>
                <c:pt idx="1">
                  <c:v>0.25045117735862699</c:v>
                </c:pt>
                <c:pt idx="2">
                  <c:v>0.50037252902984597</c:v>
                </c:pt>
                <c:pt idx="3">
                  <c:v>0.75026446580886796</c:v>
                </c:pt>
                <c:pt idx="4">
                  <c:v>1.0002297163009599</c:v>
                </c:pt>
                <c:pt idx="5">
                  <c:v>1.2500131130218499</c:v>
                </c:pt>
                <c:pt idx="6">
                  <c:v>1.50012111663818</c:v>
                </c:pt>
                <c:pt idx="7">
                  <c:v>1.7503286600112899</c:v>
                </c:pt>
                <c:pt idx="8">
                  <c:v>2.0003285408020002</c:v>
                </c:pt>
                <c:pt idx="9">
                  <c:v>2.2502760887146001</c:v>
                </c:pt>
                <c:pt idx="10">
                  <c:v>2.50030422210693</c:v>
                </c:pt>
                <c:pt idx="11">
                  <c:v>2.7503318786621</c:v>
                </c:pt>
                <c:pt idx="12">
                  <c:v>3.00036120414733</c:v>
                </c:pt>
                <c:pt idx="13">
                  <c:v>3.2503888607025102</c:v>
                </c:pt>
                <c:pt idx="14">
                  <c:v>3.50002789497375</c:v>
                </c:pt>
                <c:pt idx="15">
                  <c:v>3.7500555515289302</c:v>
                </c:pt>
                <c:pt idx="16">
                  <c:v>4.0000834465026802</c:v>
                </c:pt>
                <c:pt idx="17">
                  <c:v>4.2501111030578604</c:v>
                </c:pt>
                <c:pt idx="18">
                  <c:v>4.50013875961303</c:v>
                </c:pt>
                <c:pt idx="19">
                  <c:v>4.7501668930053702</c:v>
                </c:pt>
                <c:pt idx="20">
                  <c:v>5.0001945495605398</c:v>
                </c:pt>
                <c:pt idx="21">
                  <c:v>5.25022220611572</c:v>
                </c:pt>
                <c:pt idx="22">
                  <c:v>5.5002498626708896</c:v>
                </c:pt>
                <c:pt idx="23">
                  <c:v>5.7502779960632298</c:v>
                </c:pt>
                <c:pt idx="24">
                  <c:v>6.0003056526184002</c:v>
                </c:pt>
                <c:pt idx="25">
                  <c:v>6.2503333091735804</c:v>
                </c:pt>
                <c:pt idx="26">
                  <c:v>6.5003609657287598</c:v>
                </c:pt>
                <c:pt idx="27">
                  <c:v>6.75</c:v>
                </c:pt>
                <c:pt idx="28">
                  <c:v>7.0000276565551696</c:v>
                </c:pt>
                <c:pt idx="29">
                  <c:v>7.2500557899475098</c:v>
                </c:pt>
                <c:pt idx="30">
                  <c:v>7.5000863075256303</c:v>
                </c:pt>
                <c:pt idx="31">
                  <c:v>7.7501139640808097</c:v>
                </c:pt>
                <c:pt idx="32">
                  <c:v>8.0001420974731392</c:v>
                </c:pt>
                <c:pt idx="33">
                  <c:v>8.2501697540283203</c:v>
                </c:pt>
                <c:pt idx="34">
                  <c:v>8.5001974105834908</c:v>
                </c:pt>
                <c:pt idx="35">
                  <c:v>8.7502250671386701</c:v>
                </c:pt>
                <c:pt idx="36">
                  <c:v>9.0002527236938406</c:v>
                </c:pt>
                <c:pt idx="37">
                  <c:v>9.2502803802490199</c:v>
                </c:pt>
                <c:pt idx="38">
                  <c:v>9.5003080368041903</c:v>
                </c:pt>
                <c:pt idx="39">
                  <c:v>9.7503356933593697</c:v>
                </c:pt>
                <c:pt idx="40">
                  <c:v>10.0003643035888</c:v>
                </c:pt>
                <c:pt idx="41">
                  <c:v>10.250002861022899</c:v>
                </c:pt>
                <c:pt idx="42">
                  <c:v>10.5000305175781</c:v>
                </c:pt>
                <c:pt idx="43">
                  <c:v>10.750058174133301</c:v>
                </c:pt>
                <c:pt idx="44">
                  <c:v>11.0000858306884</c:v>
                </c:pt>
                <c:pt idx="45">
                  <c:v>11.250113487243601</c:v>
                </c:pt>
                <c:pt idx="46">
                  <c:v>11.5001420974731</c:v>
                </c:pt>
                <c:pt idx="47">
                  <c:v>11.750169754028301</c:v>
                </c:pt>
                <c:pt idx="48">
                  <c:v>12.000200271606399</c:v>
                </c:pt>
                <c:pt idx="49">
                  <c:v>12.2502279281616</c:v>
                </c:pt>
                <c:pt idx="50">
                  <c:v>12.5002555847168</c:v>
                </c:pt>
                <c:pt idx="51">
                  <c:v>12.7502832412719</c:v>
                </c:pt>
                <c:pt idx="52">
                  <c:v>13.0003108978271</c:v>
                </c:pt>
                <c:pt idx="53">
                  <c:v>13.250338554382299</c:v>
                </c:pt>
                <c:pt idx="54">
                  <c:v>13.5003662109375</c:v>
                </c:pt>
                <c:pt idx="55">
                  <c:v>13.7500057220459</c:v>
                </c:pt>
                <c:pt idx="56">
                  <c:v>14.000033378601</c:v>
                </c:pt>
                <c:pt idx="57">
                  <c:v>14.2500610351562</c:v>
                </c:pt>
                <c:pt idx="58">
                  <c:v>14.500088691711399</c:v>
                </c:pt>
                <c:pt idx="59">
                  <c:v>14.7501163482666</c:v>
                </c:pt>
                <c:pt idx="60">
                  <c:v>15.000144004821699</c:v>
                </c:pt>
                <c:pt idx="61">
                  <c:v>15.2501726150512</c:v>
                </c:pt>
                <c:pt idx="62">
                  <c:v>15.500200271606399</c:v>
                </c:pt>
                <c:pt idx="63">
                  <c:v>15.7502279281616</c:v>
                </c:pt>
                <c:pt idx="64">
                  <c:v>16.0002555847168</c:v>
                </c:pt>
                <c:pt idx="65">
                  <c:v>16.2502841949462</c:v>
                </c:pt>
                <c:pt idx="66">
                  <c:v>16.500310897827099</c:v>
                </c:pt>
                <c:pt idx="67">
                  <c:v>16.750341415405199</c:v>
                </c:pt>
                <c:pt idx="68">
                  <c:v>17.000370025634702</c:v>
                </c:pt>
                <c:pt idx="69">
                  <c:v>17.250007629394499</c:v>
                </c:pt>
                <c:pt idx="70">
                  <c:v>17.500036239623999</c:v>
                </c:pt>
                <c:pt idx="71">
                  <c:v>17.750062942504801</c:v>
                </c:pt>
                <c:pt idx="72">
                  <c:v>18.0000915527343</c:v>
                </c:pt>
                <c:pt idx="73">
                  <c:v>18.2501201629638</c:v>
                </c:pt>
                <c:pt idx="74">
                  <c:v>18.500146865844702</c:v>
                </c:pt>
                <c:pt idx="75">
                  <c:v>18.750175476074201</c:v>
                </c:pt>
                <c:pt idx="76">
                  <c:v>19.000202178955</c:v>
                </c:pt>
                <c:pt idx="77">
                  <c:v>19.250230789184499</c:v>
                </c:pt>
                <c:pt idx="78">
                  <c:v>19.500257492065401</c:v>
                </c:pt>
                <c:pt idx="79">
                  <c:v>19.750286102294901</c:v>
                </c:pt>
                <c:pt idx="80">
                  <c:v>20.0003147125244</c:v>
                </c:pt>
                <c:pt idx="81">
                  <c:v>20.250341415405199</c:v>
                </c:pt>
                <c:pt idx="82">
                  <c:v>20.500370025634702</c:v>
                </c:pt>
                <c:pt idx="83">
                  <c:v>20.750007629394499</c:v>
                </c:pt>
                <c:pt idx="84">
                  <c:v>21.000036239623999</c:v>
                </c:pt>
                <c:pt idx="85">
                  <c:v>21.250066757202099</c:v>
                </c:pt>
                <c:pt idx="86">
                  <c:v>21.500095367431602</c:v>
                </c:pt>
                <c:pt idx="87">
                  <c:v>21.7501220703125</c:v>
                </c:pt>
                <c:pt idx="88">
                  <c:v>22.0001506805419</c:v>
                </c:pt>
                <c:pt idx="89">
                  <c:v>22.250177383422798</c:v>
                </c:pt>
                <c:pt idx="90">
                  <c:v>22.500205993652301</c:v>
                </c:pt>
                <c:pt idx="91">
                  <c:v>22.7502326965332</c:v>
                </c:pt>
                <c:pt idx="92">
                  <c:v>23.000261306762699</c:v>
                </c:pt>
                <c:pt idx="93">
                  <c:v>23.250288009643501</c:v>
                </c:pt>
                <c:pt idx="94">
                  <c:v>23.500316619873001</c:v>
                </c:pt>
                <c:pt idx="95">
                  <c:v>23.7503452301025</c:v>
                </c:pt>
                <c:pt idx="96">
                  <c:v>24.000371932983398</c:v>
                </c:pt>
                <c:pt idx="97">
                  <c:v>24.2500114440918</c:v>
                </c:pt>
                <c:pt idx="98">
                  <c:v>24.500038146972599</c:v>
                </c:pt>
                <c:pt idx="99">
                  <c:v>24.750066757202099</c:v>
                </c:pt>
                <c:pt idx="100">
                  <c:v>25.000095367431602</c:v>
                </c:pt>
                <c:pt idx="101">
                  <c:v>25.2501220703125</c:v>
                </c:pt>
                <c:pt idx="102">
                  <c:v>25.5001506805419</c:v>
                </c:pt>
                <c:pt idx="103">
                  <c:v>25.750177383422798</c:v>
                </c:pt>
                <c:pt idx="104">
                  <c:v>26.000207901000898</c:v>
                </c:pt>
                <c:pt idx="105">
                  <c:v>26.250236511230401</c:v>
                </c:pt>
                <c:pt idx="106">
                  <c:v>26.5002632141113</c:v>
                </c:pt>
                <c:pt idx="107">
                  <c:v>26.750291824340799</c:v>
                </c:pt>
                <c:pt idx="108">
                  <c:v>27.000318527221602</c:v>
                </c:pt>
                <c:pt idx="109">
                  <c:v>27.250347137451101</c:v>
                </c:pt>
                <c:pt idx="110">
                  <c:v>27.5003757476806</c:v>
                </c:pt>
                <c:pt idx="111">
                  <c:v>27.750013351440401</c:v>
                </c:pt>
                <c:pt idx="112">
                  <c:v>28.0000286102294</c:v>
                </c:pt>
                <c:pt idx="113">
                  <c:v>28.250083923339801</c:v>
                </c:pt>
                <c:pt idx="114">
                  <c:v>28.5001106262207</c:v>
                </c:pt>
                <c:pt idx="115">
                  <c:v>28.750139236450199</c:v>
                </c:pt>
                <c:pt idx="116">
                  <c:v>29.000165939331001</c:v>
                </c:pt>
                <c:pt idx="117">
                  <c:v>29.250194549560501</c:v>
                </c:pt>
                <c:pt idx="118">
                  <c:v>29.50022315979</c:v>
                </c:pt>
                <c:pt idx="119">
                  <c:v>29.750249862670898</c:v>
                </c:pt>
                <c:pt idx="120">
                  <c:v>30.000278472900298</c:v>
                </c:pt>
                <c:pt idx="121">
                  <c:v>30.2503051757812</c:v>
                </c:pt>
                <c:pt idx="122">
                  <c:v>30.5003337860107</c:v>
                </c:pt>
                <c:pt idx="123">
                  <c:v>30.750360488891602</c:v>
                </c:pt>
                <c:pt idx="124">
                  <c:v>31.000389099121001</c:v>
                </c:pt>
                <c:pt idx="125">
                  <c:v>31.2500286102294</c:v>
                </c:pt>
                <c:pt idx="126">
                  <c:v>31.500055313110298</c:v>
                </c:pt>
                <c:pt idx="127">
                  <c:v>31.750083923339801</c:v>
                </c:pt>
                <c:pt idx="128">
                  <c:v>32.000110626220703</c:v>
                </c:pt>
                <c:pt idx="129">
                  <c:v>32.250137329101499</c:v>
                </c:pt>
                <c:pt idx="130">
                  <c:v>32.500167846679602</c:v>
                </c:pt>
                <c:pt idx="131">
                  <c:v>32.750194549560497</c:v>
                </c:pt>
                <c:pt idx="132">
                  <c:v>33.000221252441399</c:v>
                </c:pt>
                <c:pt idx="133">
                  <c:v>33.250251770019503</c:v>
                </c:pt>
                <c:pt idx="134">
                  <c:v>33.500278472900298</c:v>
                </c:pt>
                <c:pt idx="135">
                  <c:v>33.7503051757812</c:v>
                </c:pt>
                <c:pt idx="136">
                  <c:v>34.000331878662102</c:v>
                </c:pt>
                <c:pt idx="137">
                  <c:v>34.250362396240199</c:v>
                </c:pt>
                <c:pt idx="138">
                  <c:v>34.500389099121001</c:v>
                </c:pt>
                <c:pt idx="139">
                  <c:v>34.750026702880803</c:v>
                </c:pt>
                <c:pt idx="140">
                  <c:v>35.000057220458899</c:v>
                </c:pt>
                <c:pt idx="141">
                  <c:v>35.250083923339801</c:v>
                </c:pt>
                <c:pt idx="142">
                  <c:v>35.500110626220703</c:v>
                </c:pt>
                <c:pt idx="143">
                  <c:v>35.750137329101499</c:v>
                </c:pt>
                <c:pt idx="144">
                  <c:v>36.000167846679602</c:v>
                </c:pt>
                <c:pt idx="145">
                  <c:v>36.250194549560497</c:v>
                </c:pt>
                <c:pt idx="146">
                  <c:v>36.500221252441399</c:v>
                </c:pt>
                <c:pt idx="147">
                  <c:v>36.750251770019503</c:v>
                </c:pt>
                <c:pt idx="148">
                  <c:v>37.000278472900298</c:v>
                </c:pt>
                <c:pt idx="149">
                  <c:v>37.2503051757812</c:v>
                </c:pt>
                <c:pt idx="150">
                  <c:v>37.500331878662102</c:v>
                </c:pt>
                <c:pt idx="151">
                  <c:v>37.750362396240199</c:v>
                </c:pt>
                <c:pt idx="152">
                  <c:v>38.000389099121001</c:v>
                </c:pt>
                <c:pt idx="153">
                  <c:v>38.250026702880803</c:v>
                </c:pt>
                <c:pt idx="154">
                  <c:v>38.500057220458899</c:v>
                </c:pt>
                <c:pt idx="155">
                  <c:v>38.750083923339801</c:v>
                </c:pt>
                <c:pt idx="156">
                  <c:v>39.000110626220703</c:v>
                </c:pt>
                <c:pt idx="157">
                  <c:v>39.250137329101499</c:v>
                </c:pt>
                <c:pt idx="158">
                  <c:v>39.500167846679602</c:v>
                </c:pt>
                <c:pt idx="159">
                  <c:v>39.750194549560497</c:v>
                </c:pt>
                <c:pt idx="160">
                  <c:v>40.000221252441399</c:v>
                </c:pt>
                <c:pt idx="161">
                  <c:v>40.250251770019503</c:v>
                </c:pt>
                <c:pt idx="162">
                  <c:v>40.500278472900298</c:v>
                </c:pt>
                <c:pt idx="163">
                  <c:v>40.7503051757812</c:v>
                </c:pt>
                <c:pt idx="164">
                  <c:v>41.000331878662102</c:v>
                </c:pt>
                <c:pt idx="165">
                  <c:v>41.250362396240199</c:v>
                </c:pt>
                <c:pt idx="166">
                  <c:v>41.500389099121001</c:v>
                </c:pt>
                <c:pt idx="167">
                  <c:v>41.750026702880803</c:v>
                </c:pt>
                <c:pt idx="168">
                  <c:v>42.000057220458899</c:v>
                </c:pt>
                <c:pt idx="169">
                  <c:v>42.250083923339801</c:v>
                </c:pt>
                <c:pt idx="170">
                  <c:v>42.500110626220703</c:v>
                </c:pt>
                <c:pt idx="171">
                  <c:v>42.750137329101499</c:v>
                </c:pt>
                <c:pt idx="172">
                  <c:v>43.000167846679602</c:v>
                </c:pt>
                <c:pt idx="173">
                  <c:v>43.250194549560497</c:v>
                </c:pt>
                <c:pt idx="174">
                  <c:v>43.500221252441399</c:v>
                </c:pt>
                <c:pt idx="175">
                  <c:v>43.750251770019503</c:v>
                </c:pt>
                <c:pt idx="176">
                  <c:v>44.000278472900298</c:v>
                </c:pt>
                <c:pt idx="177">
                  <c:v>44.2503051757812</c:v>
                </c:pt>
                <c:pt idx="178">
                  <c:v>44.500331878662102</c:v>
                </c:pt>
                <c:pt idx="179">
                  <c:v>44.750362396240199</c:v>
                </c:pt>
                <c:pt idx="180">
                  <c:v>45.000389099121001</c:v>
                </c:pt>
                <c:pt idx="181">
                  <c:v>45.250026702880803</c:v>
                </c:pt>
                <c:pt idx="182">
                  <c:v>45.500057220458899</c:v>
                </c:pt>
                <c:pt idx="183">
                  <c:v>45.750083923339801</c:v>
                </c:pt>
                <c:pt idx="184">
                  <c:v>46.000110626220703</c:v>
                </c:pt>
                <c:pt idx="185">
                  <c:v>46.250137329101499</c:v>
                </c:pt>
                <c:pt idx="186">
                  <c:v>46.500167846679602</c:v>
                </c:pt>
                <c:pt idx="187">
                  <c:v>46.750194549560497</c:v>
                </c:pt>
                <c:pt idx="188">
                  <c:v>47.000221252441399</c:v>
                </c:pt>
                <c:pt idx="189">
                  <c:v>47.250251770019503</c:v>
                </c:pt>
                <c:pt idx="190">
                  <c:v>47.500278472900298</c:v>
                </c:pt>
                <c:pt idx="191">
                  <c:v>47.7503051757812</c:v>
                </c:pt>
                <c:pt idx="192">
                  <c:v>48.000331878662102</c:v>
                </c:pt>
                <c:pt idx="193">
                  <c:v>48.250362396240199</c:v>
                </c:pt>
                <c:pt idx="194">
                  <c:v>48.500389099121001</c:v>
                </c:pt>
                <c:pt idx="195">
                  <c:v>48.750026702880803</c:v>
                </c:pt>
                <c:pt idx="196">
                  <c:v>49.000057220458899</c:v>
                </c:pt>
                <c:pt idx="197">
                  <c:v>49.250083923339801</c:v>
                </c:pt>
                <c:pt idx="198">
                  <c:v>49.500110626220703</c:v>
                </c:pt>
                <c:pt idx="199">
                  <c:v>49.750137329101499</c:v>
                </c:pt>
                <c:pt idx="200">
                  <c:v>50.000167846679602</c:v>
                </c:pt>
                <c:pt idx="201">
                  <c:v>50.250194549560497</c:v>
                </c:pt>
                <c:pt idx="202">
                  <c:v>50.500221252441399</c:v>
                </c:pt>
                <c:pt idx="203">
                  <c:v>50.750251770019503</c:v>
                </c:pt>
                <c:pt idx="204">
                  <c:v>51.000278472900298</c:v>
                </c:pt>
                <c:pt idx="205">
                  <c:v>51.2503051757812</c:v>
                </c:pt>
                <c:pt idx="206">
                  <c:v>51.500331878662102</c:v>
                </c:pt>
                <c:pt idx="207">
                  <c:v>51.750362396240199</c:v>
                </c:pt>
                <c:pt idx="208">
                  <c:v>52</c:v>
                </c:pt>
                <c:pt idx="209">
                  <c:v>52.250026702880803</c:v>
                </c:pt>
                <c:pt idx="210">
                  <c:v>52.500057220458899</c:v>
                </c:pt>
                <c:pt idx="211">
                  <c:v>52.750083923339801</c:v>
                </c:pt>
                <c:pt idx="212">
                  <c:v>53.000110626220703</c:v>
                </c:pt>
                <c:pt idx="213">
                  <c:v>53.250137329101499</c:v>
                </c:pt>
                <c:pt idx="214">
                  <c:v>53.500167846679602</c:v>
                </c:pt>
                <c:pt idx="215">
                  <c:v>53.750194549560497</c:v>
                </c:pt>
                <c:pt idx="216">
                  <c:v>54.000221252441399</c:v>
                </c:pt>
                <c:pt idx="217">
                  <c:v>54.250251770019503</c:v>
                </c:pt>
                <c:pt idx="218">
                  <c:v>54.500278472900298</c:v>
                </c:pt>
                <c:pt idx="219">
                  <c:v>54.7503051757812</c:v>
                </c:pt>
                <c:pt idx="220">
                  <c:v>55.000331878662102</c:v>
                </c:pt>
                <c:pt idx="221">
                  <c:v>55.250362396240199</c:v>
                </c:pt>
                <c:pt idx="222">
                  <c:v>55.5</c:v>
                </c:pt>
                <c:pt idx="223">
                  <c:v>55.750026702880803</c:v>
                </c:pt>
                <c:pt idx="224">
                  <c:v>56.000057220458899</c:v>
                </c:pt>
                <c:pt idx="225">
                  <c:v>56.250083923339801</c:v>
                </c:pt>
                <c:pt idx="226">
                  <c:v>56.500110626220703</c:v>
                </c:pt>
                <c:pt idx="227">
                  <c:v>56.750137329101499</c:v>
                </c:pt>
                <c:pt idx="228">
                  <c:v>57.000167846679602</c:v>
                </c:pt>
                <c:pt idx="229">
                  <c:v>57.250194549560497</c:v>
                </c:pt>
                <c:pt idx="230">
                  <c:v>57.500221252441399</c:v>
                </c:pt>
                <c:pt idx="231">
                  <c:v>57.750251770019503</c:v>
                </c:pt>
                <c:pt idx="232">
                  <c:v>58.000278472900298</c:v>
                </c:pt>
                <c:pt idx="233">
                  <c:v>58.2503051757812</c:v>
                </c:pt>
                <c:pt idx="234">
                  <c:v>58.500331878662102</c:v>
                </c:pt>
                <c:pt idx="235">
                  <c:v>58.750362396240199</c:v>
                </c:pt>
                <c:pt idx="236">
                  <c:v>59</c:v>
                </c:pt>
                <c:pt idx="237">
                  <c:v>59.250026702880803</c:v>
                </c:pt>
                <c:pt idx="238">
                  <c:v>59.500057220458899</c:v>
                </c:pt>
                <c:pt idx="239">
                  <c:v>59.750083923339801</c:v>
                </c:pt>
                <c:pt idx="240">
                  <c:v>60.000110626220703</c:v>
                </c:pt>
                <c:pt idx="241">
                  <c:v>60.250137329101499</c:v>
                </c:pt>
                <c:pt idx="242">
                  <c:v>60.500167846679602</c:v>
                </c:pt>
                <c:pt idx="243">
                  <c:v>60.750194549560497</c:v>
                </c:pt>
                <c:pt idx="244">
                  <c:v>61.000221252441399</c:v>
                </c:pt>
                <c:pt idx="245">
                  <c:v>61.250251770019503</c:v>
                </c:pt>
                <c:pt idx="246">
                  <c:v>61.500278472900298</c:v>
                </c:pt>
                <c:pt idx="247">
                  <c:v>61.7503051757812</c:v>
                </c:pt>
                <c:pt idx="248">
                  <c:v>62.000331878662102</c:v>
                </c:pt>
                <c:pt idx="249">
                  <c:v>62.250362396240199</c:v>
                </c:pt>
                <c:pt idx="250">
                  <c:v>62.5</c:v>
                </c:pt>
                <c:pt idx="251">
                  <c:v>62.750026702880803</c:v>
                </c:pt>
                <c:pt idx="252">
                  <c:v>63.000057220458899</c:v>
                </c:pt>
                <c:pt idx="253">
                  <c:v>63.250083923339801</c:v>
                </c:pt>
                <c:pt idx="254">
                  <c:v>63.500110626220703</c:v>
                </c:pt>
                <c:pt idx="255">
                  <c:v>63.750137329101499</c:v>
                </c:pt>
                <c:pt idx="256">
                  <c:v>64.000167846679602</c:v>
                </c:pt>
                <c:pt idx="257">
                  <c:v>64.250190734863196</c:v>
                </c:pt>
                <c:pt idx="258">
                  <c:v>64.500221252441406</c:v>
                </c:pt>
                <c:pt idx="259">
                  <c:v>64.750251770019503</c:v>
                </c:pt>
                <c:pt idx="260">
                  <c:v>65.000274658203097</c:v>
                </c:pt>
                <c:pt idx="261">
                  <c:v>65.250305175781193</c:v>
                </c:pt>
                <c:pt idx="262">
                  <c:v>65.500335693359304</c:v>
                </c:pt>
                <c:pt idx="263">
                  <c:v>65.750358581542898</c:v>
                </c:pt>
                <c:pt idx="264">
                  <c:v>66</c:v>
                </c:pt>
                <c:pt idx="265">
                  <c:v>66.250030517578097</c:v>
                </c:pt>
                <c:pt idx="266">
                  <c:v>66.500053405761705</c:v>
                </c:pt>
                <c:pt idx="267">
                  <c:v>66.750083923339801</c:v>
                </c:pt>
                <c:pt idx="268">
                  <c:v>67.000114440917898</c:v>
                </c:pt>
                <c:pt idx="269">
                  <c:v>67.250137329101506</c:v>
                </c:pt>
                <c:pt idx="270">
                  <c:v>67.500167846679602</c:v>
                </c:pt>
                <c:pt idx="271">
                  <c:v>67.750190734863196</c:v>
                </c:pt>
                <c:pt idx="272">
                  <c:v>68.000221252441406</c:v>
                </c:pt>
                <c:pt idx="273">
                  <c:v>68.250251770019503</c:v>
                </c:pt>
                <c:pt idx="274">
                  <c:v>68.500274658203097</c:v>
                </c:pt>
                <c:pt idx="275">
                  <c:v>68.750305175781193</c:v>
                </c:pt>
                <c:pt idx="276">
                  <c:v>69.000335693359304</c:v>
                </c:pt>
                <c:pt idx="277">
                  <c:v>69.250358581542898</c:v>
                </c:pt>
                <c:pt idx="278">
                  <c:v>69.5</c:v>
                </c:pt>
                <c:pt idx="279">
                  <c:v>69.750030517578097</c:v>
                </c:pt>
                <c:pt idx="280">
                  <c:v>70.000053405761705</c:v>
                </c:pt>
                <c:pt idx="281">
                  <c:v>70.250083923339801</c:v>
                </c:pt>
                <c:pt idx="282">
                  <c:v>70.500114440917898</c:v>
                </c:pt>
                <c:pt idx="283">
                  <c:v>70.750137329101506</c:v>
                </c:pt>
                <c:pt idx="284">
                  <c:v>71.000167846679602</c:v>
                </c:pt>
                <c:pt idx="285">
                  <c:v>71.250190734863196</c:v>
                </c:pt>
                <c:pt idx="286">
                  <c:v>71.500221252441406</c:v>
                </c:pt>
                <c:pt idx="287">
                  <c:v>71.750251770019503</c:v>
                </c:pt>
                <c:pt idx="288">
                  <c:v>72.000274658203097</c:v>
                </c:pt>
              </c:numCache>
            </c:numRef>
          </c:xVal>
          <c:yVal>
            <c:numRef>
              <c:f>'10MMSCFD'!$E$11:$E$299</c:f>
              <c:numCache>
                <c:formatCode>General</c:formatCode>
                <c:ptCount val="289"/>
                <c:pt idx="0">
                  <c:v>1.8990140408277501E-2</c:v>
                </c:pt>
                <c:pt idx="1">
                  <c:v>1.23529797419905E-2</c:v>
                </c:pt>
                <c:pt idx="2">
                  <c:v>8.7679512798786094E-3</c:v>
                </c:pt>
                <c:pt idx="3">
                  <c:v>1.13582797348499E-2</c:v>
                </c:pt>
                <c:pt idx="4">
                  <c:v>9.3985367566347105E-3</c:v>
                </c:pt>
                <c:pt idx="5">
                  <c:v>1.06283100321888E-2</c:v>
                </c:pt>
                <c:pt idx="6">
                  <c:v>8.9508173987269402E-3</c:v>
                </c:pt>
                <c:pt idx="7">
                  <c:v>8.8394451886415395E-3</c:v>
                </c:pt>
                <c:pt idx="8">
                  <c:v>1.0075850412249499E-2</c:v>
                </c:pt>
                <c:pt idx="9">
                  <c:v>8.4849074482917699E-3</c:v>
                </c:pt>
                <c:pt idx="10">
                  <c:v>1.01656904444098E-2</c:v>
                </c:pt>
                <c:pt idx="11">
                  <c:v>9.2078102752566303E-3</c:v>
                </c:pt>
                <c:pt idx="12">
                  <c:v>9.2938402667641605E-3</c:v>
                </c:pt>
                <c:pt idx="13">
                  <c:v>9.7932657226920093E-3</c:v>
                </c:pt>
                <c:pt idx="14">
                  <c:v>9.5933489501476201E-3</c:v>
                </c:pt>
                <c:pt idx="15">
                  <c:v>9.9278185516595806E-3</c:v>
                </c:pt>
                <c:pt idx="16">
                  <c:v>9.7459778189659101E-3</c:v>
                </c:pt>
                <c:pt idx="17">
                  <c:v>9.6197007223963703E-3</c:v>
                </c:pt>
                <c:pt idx="18">
                  <c:v>9.8139019683003408E-3</c:v>
                </c:pt>
                <c:pt idx="19">
                  <c:v>9.6331601962447097E-3</c:v>
                </c:pt>
                <c:pt idx="20">
                  <c:v>9.7122099250555004E-3</c:v>
                </c:pt>
                <c:pt idx="21">
                  <c:v>9.7687942907214095E-3</c:v>
                </c:pt>
                <c:pt idx="22">
                  <c:v>9.6621653065085394E-3</c:v>
                </c:pt>
                <c:pt idx="23">
                  <c:v>9.7716059535741806E-3</c:v>
                </c:pt>
                <c:pt idx="24">
                  <c:v>9.7376676276326093E-3</c:v>
                </c:pt>
                <c:pt idx="25">
                  <c:v>9.7152274101972493E-3</c:v>
                </c:pt>
                <c:pt idx="26">
                  <c:v>9.7864670678973198E-3</c:v>
                </c:pt>
                <c:pt idx="27">
                  <c:v>9.7345532849431003E-3</c:v>
                </c:pt>
                <c:pt idx="28">
                  <c:v>9.7609106451272895E-3</c:v>
                </c:pt>
                <c:pt idx="29">
                  <c:v>9.78302303701639E-3</c:v>
                </c:pt>
                <c:pt idx="30">
                  <c:v>9.7511168569326401E-3</c:v>
                </c:pt>
                <c:pt idx="31">
                  <c:v>9.7881592810153892E-3</c:v>
                </c:pt>
                <c:pt idx="32">
                  <c:v>9.7802905365824699E-3</c:v>
                </c:pt>
                <c:pt idx="33">
                  <c:v>9.7743626683950407E-3</c:v>
                </c:pt>
                <c:pt idx="34">
                  <c:v>9.7997058182954701E-3</c:v>
                </c:pt>
                <c:pt idx="35">
                  <c:v>9.7845522686839104E-3</c:v>
                </c:pt>
                <c:pt idx="36">
                  <c:v>9.7944680601358396E-3</c:v>
                </c:pt>
                <c:pt idx="37">
                  <c:v>9.8038101568818006E-3</c:v>
                </c:pt>
                <c:pt idx="38">
                  <c:v>9.7941597923636402E-3</c:v>
                </c:pt>
                <c:pt idx="39">
                  <c:v>9.8076621070504102E-3</c:v>
                </c:pt>
                <c:pt idx="40">
                  <c:v>9.8066646605730005E-3</c:v>
                </c:pt>
                <c:pt idx="41">
                  <c:v>9.8052062094211492E-3</c:v>
                </c:pt>
                <c:pt idx="42">
                  <c:v>9.8149189725518192E-3</c:v>
                </c:pt>
                <c:pt idx="43">
                  <c:v>9.8108341917395505E-3</c:v>
                </c:pt>
                <c:pt idx="44">
                  <c:v>9.8146190866827895E-3</c:v>
                </c:pt>
                <c:pt idx="45">
                  <c:v>9.81888081878423E-3</c:v>
                </c:pt>
                <c:pt idx="46">
                  <c:v>9.8161268979310903E-3</c:v>
                </c:pt>
                <c:pt idx="47">
                  <c:v>9.82121843844652E-3</c:v>
                </c:pt>
                <c:pt idx="48">
                  <c:v>9.8217017948627403E-3</c:v>
                </c:pt>
                <c:pt idx="49">
                  <c:v>9.8214745521545393E-3</c:v>
                </c:pt>
                <c:pt idx="50">
                  <c:v>9.8253330215811695E-3</c:v>
                </c:pt>
                <c:pt idx="51">
                  <c:v>9.8244324326515198E-3</c:v>
                </c:pt>
                <c:pt idx="52">
                  <c:v>9.8259495571255597E-3</c:v>
                </c:pt>
                <c:pt idx="53">
                  <c:v>9.8278969526290807E-3</c:v>
                </c:pt>
                <c:pt idx="54">
                  <c:v>9.8272226750850608E-3</c:v>
                </c:pt>
                <c:pt idx="55">
                  <c:v>9.8292119801044395E-3</c:v>
                </c:pt>
                <c:pt idx="56">
                  <c:v>9.8297530785202893E-3</c:v>
                </c:pt>
                <c:pt idx="57">
                  <c:v>9.8298313096165605E-3</c:v>
                </c:pt>
                <c:pt idx="58">
                  <c:v>9.8314089700579609E-3</c:v>
                </c:pt>
                <c:pt idx="59">
                  <c:v>9.8313353955745697E-3</c:v>
                </c:pt>
                <c:pt idx="60">
                  <c:v>9.8319761455058999E-3</c:v>
                </c:pt>
                <c:pt idx="61">
                  <c:v>9.8328655585646595E-3</c:v>
                </c:pt>
                <c:pt idx="62">
                  <c:v>9.8327677696943196E-3</c:v>
                </c:pt>
                <c:pt idx="63">
                  <c:v>9.8335659131407703E-3</c:v>
                </c:pt>
                <c:pt idx="64">
                  <c:v>9.8339123651385307E-3</c:v>
                </c:pt>
                <c:pt idx="65">
                  <c:v>9.8340176045894605E-3</c:v>
                </c:pt>
                <c:pt idx="66">
                  <c:v>9.8346676677465404E-3</c:v>
                </c:pt>
                <c:pt idx="67">
                  <c:v>9.8347468301653793E-3</c:v>
                </c:pt>
                <c:pt idx="68">
                  <c:v>9.8350262269377708E-3</c:v>
                </c:pt>
                <c:pt idx="69">
                  <c:v>9.8354239016771299E-3</c:v>
                </c:pt>
                <c:pt idx="70">
                  <c:v>9.8354527726769395E-3</c:v>
                </c:pt>
                <c:pt idx="71">
                  <c:v>9.8357787355780602E-3</c:v>
                </c:pt>
                <c:pt idx="72">
                  <c:v>9.8359677940607002E-3</c:v>
                </c:pt>
                <c:pt idx="73">
                  <c:v>9.8360432311892492E-3</c:v>
                </c:pt>
                <c:pt idx="74">
                  <c:v>9.8363114520907402E-3</c:v>
                </c:pt>
                <c:pt idx="75">
                  <c:v>9.8363868892192806E-3</c:v>
                </c:pt>
                <c:pt idx="76">
                  <c:v>9.8365107551216992E-3</c:v>
                </c:pt>
                <c:pt idx="77">
                  <c:v>9.8366877064108797E-3</c:v>
                </c:pt>
                <c:pt idx="78">
                  <c:v>9.83672682195901E-3</c:v>
                </c:pt>
                <c:pt idx="79">
                  <c:v>9.8368618637323293E-3</c:v>
                </c:pt>
                <c:pt idx="80">
                  <c:v>9.8369577899575199E-3</c:v>
                </c:pt>
                <c:pt idx="81">
                  <c:v>9.8370015621185303E-3</c:v>
                </c:pt>
                <c:pt idx="82">
                  <c:v>9.8371151834726299E-3</c:v>
                </c:pt>
                <c:pt idx="83">
                  <c:v>9.8371589556336403E-3</c:v>
                </c:pt>
                <c:pt idx="84">
                  <c:v>9.8372166976332595E-3</c:v>
                </c:pt>
                <c:pt idx="85">
                  <c:v>9.8372930660843797E-3</c:v>
                </c:pt>
                <c:pt idx="86">
                  <c:v>9.8373210057616199E-3</c:v>
                </c:pt>
                <c:pt idx="87">
                  <c:v>9.8373796790838207E-3</c:v>
                </c:pt>
                <c:pt idx="88">
                  <c:v>9.8374243825674005E-3</c:v>
                </c:pt>
                <c:pt idx="89">
                  <c:v>9.8374467343091895E-3</c:v>
                </c:pt>
                <c:pt idx="90">
                  <c:v>9.8374951630830695E-3</c:v>
                </c:pt>
                <c:pt idx="91">
                  <c:v>9.8375221714377403E-3</c:v>
                </c:pt>
                <c:pt idx="92">
                  <c:v>9.8375463858246803E-3</c:v>
                </c:pt>
                <c:pt idx="93">
                  <c:v>9.8375817760825105E-3</c:v>
                </c:pt>
                <c:pt idx="94">
                  <c:v>9.8375976085662807E-3</c:v>
                </c:pt>
                <c:pt idx="95">
                  <c:v>9.8376227542757901E-3</c:v>
                </c:pt>
                <c:pt idx="96">
                  <c:v>9.8376413807272894E-3</c:v>
                </c:pt>
                <c:pt idx="97">
                  <c:v>9.8376572132110596E-3</c:v>
                </c:pt>
                <c:pt idx="98">
                  <c:v>9.8376767709851196E-3</c:v>
                </c:pt>
                <c:pt idx="99">
                  <c:v>9.8376898095011694E-3</c:v>
                </c:pt>
                <c:pt idx="100">
                  <c:v>9.8377000540494901E-3</c:v>
                </c:pt>
                <c:pt idx="101">
                  <c:v>9.8377177491784096E-3</c:v>
                </c:pt>
                <c:pt idx="102">
                  <c:v>9.8377233371138503E-3</c:v>
                </c:pt>
                <c:pt idx="103">
                  <c:v>9.8377363756299002E-3</c:v>
                </c:pt>
                <c:pt idx="104">
                  <c:v>9.83774475753307E-3</c:v>
                </c:pt>
                <c:pt idx="105">
                  <c:v>9.8377512767910905E-3</c:v>
                </c:pt>
                <c:pt idx="106">
                  <c:v>9.8377596586942603E-3</c:v>
                </c:pt>
                <c:pt idx="107">
                  <c:v>9.83776897192001E-3</c:v>
                </c:pt>
                <c:pt idx="108">
                  <c:v>9.8377726972103102E-3</c:v>
                </c:pt>
                <c:pt idx="109">
                  <c:v>9.8377820104360494E-3</c:v>
                </c:pt>
                <c:pt idx="110">
                  <c:v>9.8377838730812003E-3</c:v>
                </c:pt>
                <c:pt idx="111">
                  <c:v>9.8377913236618007E-3</c:v>
                </c:pt>
                <c:pt idx="112">
                  <c:v>9.8377941176295194E-3</c:v>
                </c:pt>
                <c:pt idx="113">
                  <c:v>9.8377997055649705E-3</c:v>
                </c:pt>
                <c:pt idx="114">
                  <c:v>9.8378043621778401E-3</c:v>
                </c:pt>
                <c:pt idx="115">
                  <c:v>9.83780529350042E-3</c:v>
                </c:pt>
                <c:pt idx="116">
                  <c:v>9.8378090187907202E-3</c:v>
                </c:pt>
                <c:pt idx="117">
                  <c:v>9.8378118127584405E-3</c:v>
                </c:pt>
                <c:pt idx="118">
                  <c:v>9.8378136754035898E-3</c:v>
                </c:pt>
                <c:pt idx="119">
                  <c:v>9.8378183320164594E-3</c:v>
                </c:pt>
                <c:pt idx="120">
                  <c:v>9.8378211259841902E-3</c:v>
                </c:pt>
                <c:pt idx="121">
                  <c:v>9.8378239199519105E-3</c:v>
                </c:pt>
                <c:pt idx="122">
                  <c:v>9.8378229886293394E-3</c:v>
                </c:pt>
                <c:pt idx="123">
                  <c:v>9.8378276452422107E-3</c:v>
                </c:pt>
                <c:pt idx="124">
                  <c:v>9.8378276452422107E-3</c:v>
                </c:pt>
                <c:pt idx="125">
                  <c:v>9.8378285765647801E-3</c:v>
                </c:pt>
                <c:pt idx="126">
                  <c:v>9.8378341645002296E-3</c:v>
                </c:pt>
                <c:pt idx="127">
                  <c:v>9.8378350958228094E-3</c:v>
                </c:pt>
                <c:pt idx="128">
                  <c:v>9.8378369584679604E-3</c:v>
                </c:pt>
                <c:pt idx="129">
                  <c:v>9.8378369584679604E-3</c:v>
                </c:pt>
                <c:pt idx="130">
                  <c:v>9.8378369584679604E-3</c:v>
                </c:pt>
                <c:pt idx="131">
                  <c:v>9.8378378897905298E-3</c:v>
                </c:pt>
                <c:pt idx="132">
                  <c:v>9.8378388211131096E-3</c:v>
                </c:pt>
                <c:pt idx="133">
                  <c:v>9.8378397524356807E-3</c:v>
                </c:pt>
                <c:pt idx="134">
                  <c:v>9.8378444090485503E-3</c:v>
                </c:pt>
                <c:pt idx="135">
                  <c:v>9.8378444090485503E-3</c:v>
                </c:pt>
                <c:pt idx="136">
                  <c:v>9.8378462716936996E-3</c:v>
                </c:pt>
                <c:pt idx="137">
                  <c:v>9.8378444090485503E-3</c:v>
                </c:pt>
                <c:pt idx="138">
                  <c:v>9.8378472030162794E-3</c:v>
                </c:pt>
                <c:pt idx="139">
                  <c:v>9.8378481343388505E-3</c:v>
                </c:pt>
                <c:pt idx="140">
                  <c:v>9.8378481343388505E-3</c:v>
                </c:pt>
                <c:pt idx="141">
                  <c:v>9.8378490656614304E-3</c:v>
                </c:pt>
                <c:pt idx="142">
                  <c:v>9.8378472030162794E-3</c:v>
                </c:pt>
                <c:pt idx="143">
                  <c:v>9.8378490656614304E-3</c:v>
                </c:pt>
                <c:pt idx="144">
                  <c:v>9.8378527909517201E-3</c:v>
                </c:pt>
                <c:pt idx="145">
                  <c:v>9.8378518596291507E-3</c:v>
                </c:pt>
                <c:pt idx="146">
                  <c:v>9.8378499969839998E-3</c:v>
                </c:pt>
                <c:pt idx="147">
                  <c:v>9.8378509283065796E-3</c:v>
                </c:pt>
                <c:pt idx="148">
                  <c:v>9.8378518596291507E-3</c:v>
                </c:pt>
                <c:pt idx="149">
                  <c:v>9.8378537222743E-3</c:v>
                </c:pt>
                <c:pt idx="150">
                  <c:v>9.8378537222743E-3</c:v>
                </c:pt>
                <c:pt idx="151">
                  <c:v>9.8378574475646002E-3</c:v>
                </c:pt>
                <c:pt idx="152">
                  <c:v>9.8378555849194492E-3</c:v>
                </c:pt>
                <c:pt idx="153">
                  <c:v>9.8378537222743E-3</c:v>
                </c:pt>
                <c:pt idx="154">
                  <c:v>9.8378546535968694E-3</c:v>
                </c:pt>
                <c:pt idx="155">
                  <c:v>9.8378583788871696E-3</c:v>
                </c:pt>
                <c:pt idx="156">
                  <c:v>9.8378583788871696E-3</c:v>
                </c:pt>
                <c:pt idx="157">
                  <c:v>9.8378593102097494E-3</c:v>
                </c:pt>
                <c:pt idx="158">
                  <c:v>9.8378583788871696E-3</c:v>
                </c:pt>
                <c:pt idx="159">
                  <c:v>9.8378593102097494E-3</c:v>
                </c:pt>
                <c:pt idx="160">
                  <c:v>9.8378602415323205E-3</c:v>
                </c:pt>
                <c:pt idx="161">
                  <c:v>9.8378602415323205E-3</c:v>
                </c:pt>
                <c:pt idx="162">
                  <c:v>9.8378593102097494E-3</c:v>
                </c:pt>
                <c:pt idx="163">
                  <c:v>9.8378611728549004E-3</c:v>
                </c:pt>
                <c:pt idx="164">
                  <c:v>9.8378602415323205E-3</c:v>
                </c:pt>
                <c:pt idx="165">
                  <c:v>9.8378611728549004E-3</c:v>
                </c:pt>
                <c:pt idx="166">
                  <c:v>9.8378602415323205E-3</c:v>
                </c:pt>
                <c:pt idx="167">
                  <c:v>9.8378602415323205E-3</c:v>
                </c:pt>
                <c:pt idx="168">
                  <c:v>9.8378630355000496E-3</c:v>
                </c:pt>
                <c:pt idx="169">
                  <c:v>9.8378621041774698E-3</c:v>
                </c:pt>
                <c:pt idx="170">
                  <c:v>9.8378639668226207E-3</c:v>
                </c:pt>
                <c:pt idx="171">
                  <c:v>9.8378630355000496E-3</c:v>
                </c:pt>
                <c:pt idx="172">
                  <c:v>9.8378648981451901E-3</c:v>
                </c:pt>
                <c:pt idx="173">
                  <c:v>9.8378630355000496E-3</c:v>
                </c:pt>
                <c:pt idx="174">
                  <c:v>9.8378639668226207E-3</c:v>
                </c:pt>
                <c:pt idx="175">
                  <c:v>9.8378648981451901E-3</c:v>
                </c:pt>
                <c:pt idx="176">
                  <c:v>9.8378667607903394E-3</c:v>
                </c:pt>
                <c:pt idx="177">
                  <c:v>9.83786582946777E-3</c:v>
                </c:pt>
                <c:pt idx="178">
                  <c:v>9.8378667607903394E-3</c:v>
                </c:pt>
                <c:pt idx="179">
                  <c:v>9.8378676921129192E-3</c:v>
                </c:pt>
                <c:pt idx="180">
                  <c:v>9.8378667607903394E-3</c:v>
                </c:pt>
                <c:pt idx="181">
                  <c:v>9.8378667607903394E-3</c:v>
                </c:pt>
                <c:pt idx="182">
                  <c:v>9.8378676921129192E-3</c:v>
                </c:pt>
                <c:pt idx="183">
                  <c:v>9.83786582946777E-3</c:v>
                </c:pt>
                <c:pt idx="184">
                  <c:v>9.8378667607903394E-3</c:v>
                </c:pt>
                <c:pt idx="185">
                  <c:v>9.8378686234354903E-3</c:v>
                </c:pt>
                <c:pt idx="186">
                  <c:v>9.8378695547580702E-3</c:v>
                </c:pt>
                <c:pt idx="187">
                  <c:v>9.8378667607903394E-3</c:v>
                </c:pt>
                <c:pt idx="188">
                  <c:v>9.8378676921129192E-3</c:v>
                </c:pt>
                <c:pt idx="189">
                  <c:v>9.8378695547580702E-3</c:v>
                </c:pt>
                <c:pt idx="190">
                  <c:v>9.8378676921129192E-3</c:v>
                </c:pt>
                <c:pt idx="191">
                  <c:v>9.8378686234354903E-3</c:v>
                </c:pt>
                <c:pt idx="192">
                  <c:v>9.8378714174032194E-3</c:v>
                </c:pt>
                <c:pt idx="193">
                  <c:v>9.8378686234354903E-3</c:v>
                </c:pt>
                <c:pt idx="194">
                  <c:v>9.8378695547580702E-3</c:v>
                </c:pt>
                <c:pt idx="195">
                  <c:v>9.8378723487257905E-3</c:v>
                </c:pt>
                <c:pt idx="196">
                  <c:v>9.8378695547580702E-3</c:v>
                </c:pt>
                <c:pt idx="197">
                  <c:v>9.8378686234354903E-3</c:v>
                </c:pt>
                <c:pt idx="198">
                  <c:v>9.8378723487257905E-3</c:v>
                </c:pt>
                <c:pt idx="199">
                  <c:v>9.8378714174032194E-3</c:v>
                </c:pt>
                <c:pt idx="200">
                  <c:v>9.8378732800483704E-3</c:v>
                </c:pt>
                <c:pt idx="201">
                  <c:v>9.8378732800483704E-3</c:v>
                </c:pt>
                <c:pt idx="202">
                  <c:v>9.8378732800483704E-3</c:v>
                </c:pt>
                <c:pt idx="203">
                  <c:v>9.8378723487257905E-3</c:v>
                </c:pt>
                <c:pt idx="204">
                  <c:v>9.8378742113709398E-3</c:v>
                </c:pt>
                <c:pt idx="205">
                  <c:v>9.8378723487257905E-3</c:v>
                </c:pt>
                <c:pt idx="206">
                  <c:v>9.8378742113709398E-3</c:v>
                </c:pt>
                <c:pt idx="207">
                  <c:v>9.8378751426935196E-3</c:v>
                </c:pt>
                <c:pt idx="208">
                  <c:v>9.8378742113709398E-3</c:v>
                </c:pt>
                <c:pt idx="209">
                  <c:v>9.8378723487257905E-3</c:v>
                </c:pt>
                <c:pt idx="210">
                  <c:v>9.8378751426935196E-3</c:v>
                </c:pt>
                <c:pt idx="211">
                  <c:v>9.8378723487257905E-3</c:v>
                </c:pt>
                <c:pt idx="212">
                  <c:v>9.8378751426935196E-3</c:v>
                </c:pt>
                <c:pt idx="213">
                  <c:v>9.8378751426935196E-3</c:v>
                </c:pt>
                <c:pt idx="214">
                  <c:v>9.8378751426935196E-3</c:v>
                </c:pt>
                <c:pt idx="215">
                  <c:v>9.8378742113709398E-3</c:v>
                </c:pt>
                <c:pt idx="216">
                  <c:v>9.8378742113709398E-3</c:v>
                </c:pt>
                <c:pt idx="217">
                  <c:v>9.8378732800483704E-3</c:v>
                </c:pt>
                <c:pt idx="218">
                  <c:v>9.8378732800483704E-3</c:v>
                </c:pt>
                <c:pt idx="219">
                  <c:v>9.8378742113709398E-3</c:v>
                </c:pt>
                <c:pt idx="220">
                  <c:v>9.8378751426935196E-3</c:v>
                </c:pt>
                <c:pt idx="221">
                  <c:v>9.8378751426935196E-3</c:v>
                </c:pt>
                <c:pt idx="222">
                  <c:v>9.83787793666124E-3</c:v>
                </c:pt>
                <c:pt idx="223">
                  <c:v>9.8378770053386601E-3</c:v>
                </c:pt>
                <c:pt idx="224">
                  <c:v>9.83787793666124E-3</c:v>
                </c:pt>
                <c:pt idx="225">
                  <c:v>9.8378770053386601E-3</c:v>
                </c:pt>
                <c:pt idx="226">
                  <c:v>9.8378770053386601E-3</c:v>
                </c:pt>
                <c:pt idx="227">
                  <c:v>9.8378751426935196E-3</c:v>
                </c:pt>
                <c:pt idx="228">
                  <c:v>9.8378760740160907E-3</c:v>
                </c:pt>
                <c:pt idx="229">
                  <c:v>9.83787793666124E-3</c:v>
                </c:pt>
                <c:pt idx="230">
                  <c:v>9.8378797993063892E-3</c:v>
                </c:pt>
                <c:pt idx="231">
                  <c:v>9.8378788679838094E-3</c:v>
                </c:pt>
                <c:pt idx="232">
                  <c:v>9.83787793666124E-3</c:v>
                </c:pt>
                <c:pt idx="233">
                  <c:v>9.8378797993063892E-3</c:v>
                </c:pt>
                <c:pt idx="234">
                  <c:v>9.83787793666124E-3</c:v>
                </c:pt>
                <c:pt idx="235">
                  <c:v>9.83787793666124E-3</c:v>
                </c:pt>
                <c:pt idx="236">
                  <c:v>9.8378797993063892E-3</c:v>
                </c:pt>
                <c:pt idx="237">
                  <c:v>9.8378770053386601E-3</c:v>
                </c:pt>
                <c:pt idx="238">
                  <c:v>9.8378797993063892E-3</c:v>
                </c:pt>
                <c:pt idx="239">
                  <c:v>9.8378788679838094E-3</c:v>
                </c:pt>
                <c:pt idx="240">
                  <c:v>9.8378797993063892E-3</c:v>
                </c:pt>
                <c:pt idx="241">
                  <c:v>9.8378797993063892E-3</c:v>
                </c:pt>
                <c:pt idx="242">
                  <c:v>9.83787793666124E-3</c:v>
                </c:pt>
                <c:pt idx="243">
                  <c:v>9.8378797993063892E-3</c:v>
                </c:pt>
                <c:pt idx="244">
                  <c:v>9.8378807306289603E-3</c:v>
                </c:pt>
                <c:pt idx="245">
                  <c:v>9.8378807306289603E-3</c:v>
                </c:pt>
                <c:pt idx="246">
                  <c:v>9.8378807306289603E-3</c:v>
                </c:pt>
                <c:pt idx="247">
                  <c:v>9.8378816619515402E-3</c:v>
                </c:pt>
                <c:pt idx="248">
                  <c:v>9.8378788679838094E-3</c:v>
                </c:pt>
                <c:pt idx="249">
                  <c:v>9.8378807306289603E-3</c:v>
                </c:pt>
                <c:pt idx="250">
                  <c:v>9.8378807306289603E-3</c:v>
                </c:pt>
                <c:pt idx="251">
                  <c:v>9.8378797993063892E-3</c:v>
                </c:pt>
                <c:pt idx="252">
                  <c:v>9.8378797993063892E-3</c:v>
                </c:pt>
                <c:pt idx="253">
                  <c:v>9.8378797993063892E-3</c:v>
                </c:pt>
                <c:pt idx="254">
                  <c:v>9.8378807306289603E-3</c:v>
                </c:pt>
                <c:pt idx="255">
                  <c:v>9.8378816619515402E-3</c:v>
                </c:pt>
                <c:pt idx="256">
                  <c:v>9.8378844559192605E-3</c:v>
                </c:pt>
                <c:pt idx="257">
                  <c:v>9.8378807306289603E-3</c:v>
                </c:pt>
                <c:pt idx="258">
                  <c:v>9.8378825932741096E-3</c:v>
                </c:pt>
                <c:pt idx="259">
                  <c:v>9.8378816619515402E-3</c:v>
                </c:pt>
                <c:pt idx="260">
                  <c:v>9.8378797993063892E-3</c:v>
                </c:pt>
                <c:pt idx="261">
                  <c:v>9.8378816619515402E-3</c:v>
                </c:pt>
                <c:pt idx="262">
                  <c:v>9.8378825932741096E-3</c:v>
                </c:pt>
                <c:pt idx="263">
                  <c:v>9.8378825932741096E-3</c:v>
                </c:pt>
                <c:pt idx="264">
                  <c:v>9.8378844559192605E-3</c:v>
                </c:pt>
                <c:pt idx="265">
                  <c:v>9.8378807306289603E-3</c:v>
                </c:pt>
                <c:pt idx="266">
                  <c:v>9.8378844559192605E-3</c:v>
                </c:pt>
                <c:pt idx="267">
                  <c:v>9.8378807306289603E-3</c:v>
                </c:pt>
                <c:pt idx="268">
                  <c:v>9.8378816619515402E-3</c:v>
                </c:pt>
                <c:pt idx="269">
                  <c:v>9.8378807306289603E-3</c:v>
                </c:pt>
                <c:pt idx="270">
                  <c:v>9.8378853872418404E-3</c:v>
                </c:pt>
                <c:pt idx="271">
                  <c:v>9.8378825932741096E-3</c:v>
                </c:pt>
                <c:pt idx="272">
                  <c:v>9.8378844559192605E-3</c:v>
                </c:pt>
                <c:pt idx="273">
                  <c:v>9.8378825932741096E-3</c:v>
                </c:pt>
                <c:pt idx="274">
                  <c:v>9.8378844559192605E-3</c:v>
                </c:pt>
                <c:pt idx="275">
                  <c:v>9.8378825932741096E-3</c:v>
                </c:pt>
                <c:pt idx="276">
                  <c:v>9.8378825932741096E-3</c:v>
                </c:pt>
                <c:pt idx="277">
                  <c:v>9.8378825932741096E-3</c:v>
                </c:pt>
                <c:pt idx="278">
                  <c:v>9.8378853872418404E-3</c:v>
                </c:pt>
                <c:pt idx="279">
                  <c:v>9.8378816619515402E-3</c:v>
                </c:pt>
                <c:pt idx="280">
                  <c:v>9.8378853872418404E-3</c:v>
                </c:pt>
                <c:pt idx="281">
                  <c:v>9.8378816619515402E-3</c:v>
                </c:pt>
                <c:pt idx="282">
                  <c:v>9.8378853872418404E-3</c:v>
                </c:pt>
                <c:pt idx="283">
                  <c:v>9.8378853872418404E-3</c:v>
                </c:pt>
                <c:pt idx="284">
                  <c:v>9.8378863185644098E-3</c:v>
                </c:pt>
                <c:pt idx="285">
                  <c:v>9.8378853872418404E-3</c:v>
                </c:pt>
                <c:pt idx="286">
                  <c:v>9.8378863185644098E-3</c:v>
                </c:pt>
                <c:pt idx="287">
                  <c:v>9.8378863185644098E-3</c:v>
                </c:pt>
                <c:pt idx="288">
                  <c:v>9.8378863185644098E-3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92-4527-988C-09463ADA47F3}"/>
            </c:ext>
          </c:extLst>
        </c:ser>
        <c:ser>
          <c:idx val="1"/>
          <c:order val="1"/>
          <c:tx>
            <c:strRef>
              <c:f>Legends!$B$3</c:f>
              <c:strCache>
                <c:ptCount val="1"/>
                <c:pt idx="0">
                  <c:v>Liquid Velocity</c:v>
                </c:pt>
              </c:strCache>
            </c:strRef>
          </c:tx>
          <c:marker>
            <c:symbol val="none"/>
          </c:marker>
          <c:xVal>
            <c:numRef>
              <c:f>'10MMSCFD'!$B$11:$B$299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0.25045117735862699</c:v>
                </c:pt>
                <c:pt idx="2">
                  <c:v>0.50037252902984597</c:v>
                </c:pt>
                <c:pt idx="3">
                  <c:v>0.75026446580886796</c:v>
                </c:pt>
                <c:pt idx="4">
                  <c:v>1.0002297163009599</c:v>
                </c:pt>
                <c:pt idx="5">
                  <c:v>1.2500131130218499</c:v>
                </c:pt>
                <c:pt idx="6">
                  <c:v>1.50012111663818</c:v>
                </c:pt>
                <c:pt idx="7">
                  <c:v>1.7503286600112899</c:v>
                </c:pt>
                <c:pt idx="8">
                  <c:v>2.0003285408020002</c:v>
                </c:pt>
                <c:pt idx="9">
                  <c:v>2.2502760887146001</c:v>
                </c:pt>
                <c:pt idx="10">
                  <c:v>2.50030422210693</c:v>
                </c:pt>
                <c:pt idx="11">
                  <c:v>2.7503318786621</c:v>
                </c:pt>
                <c:pt idx="12">
                  <c:v>3.00036120414733</c:v>
                </c:pt>
                <c:pt idx="13">
                  <c:v>3.2503888607025102</c:v>
                </c:pt>
                <c:pt idx="14">
                  <c:v>3.50002789497375</c:v>
                </c:pt>
                <c:pt idx="15">
                  <c:v>3.7500555515289302</c:v>
                </c:pt>
                <c:pt idx="16">
                  <c:v>4.0000834465026802</c:v>
                </c:pt>
                <c:pt idx="17">
                  <c:v>4.2501111030578604</c:v>
                </c:pt>
                <c:pt idx="18">
                  <c:v>4.50013875961303</c:v>
                </c:pt>
                <c:pt idx="19">
                  <c:v>4.7501668930053702</c:v>
                </c:pt>
                <c:pt idx="20">
                  <c:v>5.0001945495605398</c:v>
                </c:pt>
                <c:pt idx="21">
                  <c:v>5.25022220611572</c:v>
                </c:pt>
                <c:pt idx="22">
                  <c:v>5.5002498626708896</c:v>
                </c:pt>
                <c:pt idx="23">
                  <c:v>5.7502779960632298</c:v>
                </c:pt>
                <c:pt idx="24">
                  <c:v>6.0003056526184002</c:v>
                </c:pt>
                <c:pt idx="25">
                  <c:v>6.2503333091735804</c:v>
                </c:pt>
                <c:pt idx="26">
                  <c:v>6.5003609657287598</c:v>
                </c:pt>
                <c:pt idx="27">
                  <c:v>6.75</c:v>
                </c:pt>
                <c:pt idx="28">
                  <c:v>7.0000276565551696</c:v>
                </c:pt>
                <c:pt idx="29">
                  <c:v>7.2500557899475098</c:v>
                </c:pt>
                <c:pt idx="30">
                  <c:v>7.5000863075256303</c:v>
                </c:pt>
                <c:pt idx="31">
                  <c:v>7.7501139640808097</c:v>
                </c:pt>
                <c:pt idx="32">
                  <c:v>8.0001420974731392</c:v>
                </c:pt>
                <c:pt idx="33">
                  <c:v>8.2501697540283203</c:v>
                </c:pt>
                <c:pt idx="34">
                  <c:v>8.5001974105834908</c:v>
                </c:pt>
                <c:pt idx="35">
                  <c:v>8.7502250671386701</c:v>
                </c:pt>
                <c:pt idx="36">
                  <c:v>9.0002527236938406</c:v>
                </c:pt>
                <c:pt idx="37">
                  <c:v>9.2502803802490199</c:v>
                </c:pt>
                <c:pt idx="38">
                  <c:v>9.5003080368041903</c:v>
                </c:pt>
                <c:pt idx="39">
                  <c:v>9.7503356933593697</c:v>
                </c:pt>
                <c:pt idx="40">
                  <c:v>10.0003643035888</c:v>
                </c:pt>
                <c:pt idx="41">
                  <c:v>10.250002861022899</c:v>
                </c:pt>
                <c:pt idx="42">
                  <c:v>10.5000305175781</c:v>
                </c:pt>
                <c:pt idx="43">
                  <c:v>10.750058174133301</c:v>
                </c:pt>
                <c:pt idx="44">
                  <c:v>11.0000858306884</c:v>
                </c:pt>
                <c:pt idx="45">
                  <c:v>11.250113487243601</c:v>
                </c:pt>
                <c:pt idx="46">
                  <c:v>11.5001420974731</c:v>
                </c:pt>
                <c:pt idx="47">
                  <c:v>11.750169754028301</c:v>
                </c:pt>
                <c:pt idx="48">
                  <c:v>12.000200271606399</c:v>
                </c:pt>
                <c:pt idx="49">
                  <c:v>12.2502279281616</c:v>
                </c:pt>
                <c:pt idx="50">
                  <c:v>12.5002555847168</c:v>
                </c:pt>
                <c:pt idx="51">
                  <c:v>12.7502832412719</c:v>
                </c:pt>
                <c:pt idx="52">
                  <c:v>13.0003108978271</c:v>
                </c:pt>
                <c:pt idx="53">
                  <c:v>13.250338554382299</c:v>
                </c:pt>
                <c:pt idx="54">
                  <c:v>13.5003662109375</c:v>
                </c:pt>
                <c:pt idx="55">
                  <c:v>13.7500057220459</c:v>
                </c:pt>
                <c:pt idx="56">
                  <c:v>14.000033378601</c:v>
                </c:pt>
                <c:pt idx="57">
                  <c:v>14.2500610351562</c:v>
                </c:pt>
                <c:pt idx="58">
                  <c:v>14.500088691711399</c:v>
                </c:pt>
                <c:pt idx="59">
                  <c:v>14.7501163482666</c:v>
                </c:pt>
                <c:pt idx="60">
                  <c:v>15.000144004821699</c:v>
                </c:pt>
                <c:pt idx="61">
                  <c:v>15.2501726150512</c:v>
                </c:pt>
                <c:pt idx="62">
                  <c:v>15.500200271606399</c:v>
                </c:pt>
                <c:pt idx="63">
                  <c:v>15.7502279281616</c:v>
                </c:pt>
                <c:pt idx="64">
                  <c:v>16.0002555847168</c:v>
                </c:pt>
                <c:pt idx="65">
                  <c:v>16.2502841949462</c:v>
                </c:pt>
                <c:pt idx="66">
                  <c:v>16.500310897827099</c:v>
                </c:pt>
                <c:pt idx="67">
                  <c:v>16.750341415405199</c:v>
                </c:pt>
                <c:pt idx="68">
                  <c:v>17.000370025634702</c:v>
                </c:pt>
                <c:pt idx="69">
                  <c:v>17.250007629394499</c:v>
                </c:pt>
                <c:pt idx="70">
                  <c:v>17.500036239623999</c:v>
                </c:pt>
                <c:pt idx="71">
                  <c:v>17.750062942504801</c:v>
                </c:pt>
                <c:pt idx="72">
                  <c:v>18.0000915527343</c:v>
                </c:pt>
                <c:pt idx="73">
                  <c:v>18.2501201629638</c:v>
                </c:pt>
                <c:pt idx="74">
                  <c:v>18.500146865844702</c:v>
                </c:pt>
                <c:pt idx="75">
                  <c:v>18.750175476074201</c:v>
                </c:pt>
                <c:pt idx="76">
                  <c:v>19.000202178955</c:v>
                </c:pt>
                <c:pt idx="77">
                  <c:v>19.250230789184499</c:v>
                </c:pt>
                <c:pt idx="78">
                  <c:v>19.500257492065401</c:v>
                </c:pt>
                <c:pt idx="79">
                  <c:v>19.750286102294901</c:v>
                </c:pt>
                <c:pt idx="80">
                  <c:v>20.0003147125244</c:v>
                </c:pt>
                <c:pt idx="81">
                  <c:v>20.250341415405199</c:v>
                </c:pt>
                <c:pt idx="82">
                  <c:v>20.500370025634702</c:v>
                </c:pt>
                <c:pt idx="83">
                  <c:v>20.750007629394499</c:v>
                </c:pt>
                <c:pt idx="84">
                  <c:v>21.000036239623999</c:v>
                </c:pt>
                <c:pt idx="85">
                  <c:v>21.250066757202099</c:v>
                </c:pt>
                <c:pt idx="86">
                  <c:v>21.500095367431602</c:v>
                </c:pt>
                <c:pt idx="87">
                  <c:v>21.7501220703125</c:v>
                </c:pt>
                <c:pt idx="88">
                  <c:v>22.0001506805419</c:v>
                </c:pt>
                <c:pt idx="89">
                  <c:v>22.250177383422798</c:v>
                </c:pt>
                <c:pt idx="90">
                  <c:v>22.500205993652301</c:v>
                </c:pt>
                <c:pt idx="91">
                  <c:v>22.7502326965332</c:v>
                </c:pt>
                <c:pt idx="92">
                  <c:v>23.000261306762699</c:v>
                </c:pt>
                <c:pt idx="93">
                  <c:v>23.250288009643501</c:v>
                </c:pt>
                <c:pt idx="94">
                  <c:v>23.500316619873001</c:v>
                </c:pt>
                <c:pt idx="95">
                  <c:v>23.7503452301025</c:v>
                </c:pt>
                <c:pt idx="96">
                  <c:v>24.000371932983398</c:v>
                </c:pt>
                <c:pt idx="97">
                  <c:v>24.2500114440918</c:v>
                </c:pt>
                <c:pt idx="98">
                  <c:v>24.500038146972599</c:v>
                </c:pt>
                <c:pt idx="99">
                  <c:v>24.750066757202099</c:v>
                </c:pt>
                <c:pt idx="100">
                  <c:v>25.000095367431602</c:v>
                </c:pt>
                <c:pt idx="101">
                  <c:v>25.2501220703125</c:v>
                </c:pt>
                <c:pt idx="102">
                  <c:v>25.5001506805419</c:v>
                </c:pt>
                <c:pt idx="103">
                  <c:v>25.750177383422798</c:v>
                </c:pt>
                <c:pt idx="104">
                  <c:v>26.000207901000898</c:v>
                </c:pt>
                <c:pt idx="105">
                  <c:v>26.250236511230401</c:v>
                </c:pt>
                <c:pt idx="106">
                  <c:v>26.5002632141113</c:v>
                </c:pt>
                <c:pt idx="107">
                  <c:v>26.750291824340799</c:v>
                </c:pt>
                <c:pt idx="108">
                  <c:v>27.000318527221602</c:v>
                </c:pt>
                <c:pt idx="109">
                  <c:v>27.250347137451101</c:v>
                </c:pt>
                <c:pt idx="110">
                  <c:v>27.5003757476806</c:v>
                </c:pt>
                <c:pt idx="111">
                  <c:v>27.750013351440401</c:v>
                </c:pt>
                <c:pt idx="112">
                  <c:v>28.0000286102294</c:v>
                </c:pt>
                <c:pt idx="113">
                  <c:v>28.250083923339801</c:v>
                </c:pt>
                <c:pt idx="114">
                  <c:v>28.5001106262207</c:v>
                </c:pt>
                <c:pt idx="115">
                  <c:v>28.750139236450199</c:v>
                </c:pt>
                <c:pt idx="116">
                  <c:v>29.000165939331001</c:v>
                </c:pt>
                <c:pt idx="117">
                  <c:v>29.250194549560501</c:v>
                </c:pt>
                <c:pt idx="118">
                  <c:v>29.50022315979</c:v>
                </c:pt>
                <c:pt idx="119">
                  <c:v>29.750249862670898</c:v>
                </c:pt>
                <c:pt idx="120">
                  <c:v>30.000278472900298</c:v>
                </c:pt>
                <c:pt idx="121">
                  <c:v>30.2503051757812</c:v>
                </c:pt>
                <c:pt idx="122">
                  <c:v>30.5003337860107</c:v>
                </c:pt>
                <c:pt idx="123">
                  <c:v>30.750360488891602</c:v>
                </c:pt>
                <c:pt idx="124">
                  <c:v>31.000389099121001</c:v>
                </c:pt>
                <c:pt idx="125">
                  <c:v>31.2500286102294</c:v>
                </c:pt>
                <c:pt idx="126">
                  <c:v>31.500055313110298</c:v>
                </c:pt>
                <c:pt idx="127">
                  <c:v>31.750083923339801</c:v>
                </c:pt>
                <c:pt idx="128">
                  <c:v>32.000110626220703</c:v>
                </c:pt>
                <c:pt idx="129">
                  <c:v>32.250137329101499</c:v>
                </c:pt>
                <c:pt idx="130">
                  <c:v>32.500167846679602</c:v>
                </c:pt>
                <c:pt idx="131">
                  <c:v>32.750194549560497</c:v>
                </c:pt>
                <c:pt idx="132">
                  <c:v>33.000221252441399</c:v>
                </c:pt>
                <c:pt idx="133">
                  <c:v>33.250251770019503</c:v>
                </c:pt>
                <c:pt idx="134">
                  <c:v>33.500278472900298</c:v>
                </c:pt>
                <c:pt idx="135">
                  <c:v>33.7503051757812</c:v>
                </c:pt>
                <c:pt idx="136">
                  <c:v>34.000331878662102</c:v>
                </c:pt>
                <c:pt idx="137">
                  <c:v>34.250362396240199</c:v>
                </c:pt>
                <c:pt idx="138">
                  <c:v>34.500389099121001</c:v>
                </c:pt>
                <c:pt idx="139">
                  <c:v>34.750026702880803</c:v>
                </c:pt>
                <c:pt idx="140">
                  <c:v>35.000057220458899</c:v>
                </c:pt>
                <c:pt idx="141">
                  <c:v>35.250083923339801</c:v>
                </c:pt>
                <c:pt idx="142">
                  <c:v>35.500110626220703</c:v>
                </c:pt>
                <c:pt idx="143">
                  <c:v>35.750137329101499</c:v>
                </c:pt>
                <c:pt idx="144">
                  <c:v>36.000167846679602</c:v>
                </c:pt>
                <c:pt idx="145">
                  <c:v>36.250194549560497</c:v>
                </c:pt>
                <c:pt idx="146">
                  <c:v>36.500221252441399</c:v>
                </c:pt>
                <c:pt idx="147">
                  <c:v>36.750251770019503</c:v>
                </c:pt>
                <c:pt idx="148">
                  <c:v>37.000278472900298</c:v>
                </c:pt>
                <c:pt idx="149">
                  <c:v>37.2503051757812</c:v>
                </c:pt>
                <c:pt idx="150">
                  <c:v>37.500331878662102</c:v>
                </c:pt>
                <c:pt idx="151">
                  <c:v>37.750362396240199</c:v>
                </c:pt>
                <c:pt idx="152">
                  <c:v>38.000389099121001</c:v>
                </c:pt>
                <c:pt idx="153">
                  <c:v>38.250026702880803</c:v>
                </c:pt>
                <c:pt idx="154">
                  <c:v>38.500057220458899</c:v>
                </c:pt>
                <c:pt idx="155">
                  <c:v>38.750083923339801</c:v>
                </c:pt>
                <c:pt idx="156">
                  <c:v>39.000110626220703</c:v>
                </c:pt>
                <c:pt idx="157">
                  <c:v>39.250137329101499</c:v>
                </c:pt>
                <c:pt idx="158">
                  <c:v>39.500167846679602</c:v>
                </c:pt>
                <c:pt idx="159">
                  <c:v>39.750194549560497</c:v>
                </c:pt>
                <c:pt idx="160">
                  <c:v>40.000221252441399</c:v>
                </c:pt>
                <c:pt idx="161">
                  <c:v>40.250251770019503</c:v>
                </c:pt>
                <c:pt idx="162">
                  <c:v>40.500278472900298</c:v>
                </c:pt>
                <c:pt idx="163">
                  <c:v>40.7503051757812</c:v>
                </c:pt>
                <c:pt idx="164">
                  <c:v>41.000331878662102</c:v>
                </c:pt>
                <c:pt idx="165">
                  <c:v>41.250362396240199</c:v>
                </c:pt>
                <c:pt idx="166">
                  <c:v>41.500389099121001</c:v>
                </c:pt>
                <c:pt idx="167">
                  <c:v>41.750026702880803</c:v>
                </c:pt>
                <c:pt idx="168">
                  <c:v>42.000057220458899</c:v>
                </c:pt>
                <c:pt idx="169">
                  <c:v>42.250083923339801</c:v>
                </c:pt>
                <c:pt idx="170">
                  <c:v>42.500110626220703</c:v>
                </c:pt>
                <c:pt idx="171">
                  <c:v>42.750137329101499</c:v>
                </c:pt>
                <c:pt idx="172">
                  <c:v>43.000167846679602</c:v>
                </c:pt>
                <c:pt idx="173">
                  <c:v>43.250194549560497</c:v>
                </c:pt>
                <c:pt idx="174">
                  <c:v>43.500221252441399</c:v>
                </c:pt>
                <c:pt idx="175">
                  <c:v>43.750251770019503</c:v>
                </c:pt>
                <c:pt idx="176">
                  <c:v>44.000278472900298</c:v>
                </c:pt>
                <c:pt idx="177">
                  <c:v>44.2503051757812</c:v>
                </c:pt>
                <c:pt idx="178">
                  <c:v>44.500331878662102</c:v>
                </c:pt>
                <c:pt idx="179">
                  <c:v>44.750362396240199</c:v>
                </c:pt>
                <c:pt idx="180">
                  <c:v>45.000389099121001</c:v>
                </c:pt>
                <c:pt idx="181">
                  <c:v>45.250026702880803</c:v>
                </c:pt>
                <c:pt idx="182">
                  <c:v>45.500057220458899</c:v>
                </c:pt>
                <c:pt idx="183">
                  <c:v>45.750083923339801</c:v>
                </c:pt>
                <c:pt idx="184">
                  <c:v>46.000110626220703</c:v>
                </c:pt>
                <c:pt idx="185">
                  <c:v>46.250137329101499</c:v>
                </c:pt>
                <c:pt idx="186">
                  <c:v>46.500167846679602</c:v>
                </c:pt>
                <c:pt idx="187">
                  <c:v>46.750194549560497</c:v>
                </c:pt>
                <c:pt idx="188">
                  <c:v>47.000221252441399</c:v>
                </c:pt>
                <c:pt idx="189">
                  <c:v>47.250251770019503</c:v>
                </c:pt>
                <c:pt idx="190">
                  <c:v>47.500278472900298</c:v>
                </c:pt>
                <c:pt idx="191">
                  <c:v>47.7503051757812</c:v>
                </c:pt>
                <c:pt idx="192">
                  <c:v>48.000331878662102</c:v>
                </c:pt>
                <c:pt idx="193">
                  <c:v>48.250362396240199</c:v>
                </c:pt>
                <c:pt idx="194">
                  <c:v>48.500389099121001</c:v>
                </c:pt>
                <c:pt idx="195">
                  <c:v>48.750026702880803</c:v>
                </c:pt>
                <c:pt idx="196">
                  <c:v>49.000057220458899</c:v>
                </c:pt>
                <c:pt idx="197">
                  <c:v>49.250083923339801</c:v>
                </c:pt>
                <c:pt idx="198">
                  <c:v>49.500110626220703</c:v>
                </c:pt>
                <c:pt idx="199">
                  <c:v>49.750137329101499</c:v>
                </c:pt>
                <c:pt idx="200">
                  <c:v>50.000167846679602</c:v>
                </c:pt>
                <c:pt idx="201">
                  <c:v>50.250194549560497</c:v>
                </c:pt>
                <c:pt idx="202">
                  <c:v>50.500221252441399</c:v>
                </c:pt>
                <c:pt idx="203">
                  <c:v>50.750251770019503</c:v>
                </c:pt>
                <c:pt idx="204">
                  <c:v>51.000278472900298</c:v>
                </c:pt>
                <c:pt idx="205">
                  <c:v>51.2503051757812</c:v>
                </c:pt>
                <c:pt idx="206">
                  <c:v>51.500331878662102</c:v>
                </c:pt>
                <c:pt idx="207">
                  <c:v>51.750362396240199</c:v>
                </c:pt>
                <c:pt idx="208">
                  <c:v>52</c:v>
                </c:pt>
                <c:pt idx="209">
                  <c:v>52.250026702880803</c:v>
                </c:pt>
                <c:pt idx="210">
                  <c:v>52.500057220458899</c:v>
                </c:pt>
                <c:pt idx="211">
                  <c:v>52.750083923339801</c:v>
                </c:pt>
                <c:pt idx="212">
                  <c:v>53.000110626220703</c:v>
                </c:pt>
                <c:pt idx="213">
                  <c:v>53.250137329101499</c:v>
                </c:pt>
                <c:pt idx="214">
                  <c:v>53.500167846679602</c:v>
                </c:pt>
                <c:pt idx="215">
                  <c:v>53.750194549560497</c:v>
                </c:pt>
                <c:pt idx="216">
                  <c:v>54.000221252441399</c:v>
                </c:pt>
                <c:pt idx="217">
                  <c:v>54.250251770019503</c:v>
                </c:pt>
                <c:pt idx="218">
                  <c:v>54.500278472900298</c:v>
                </c:pt>
                <c:pt idx="219">
                  <c:v>54.7503051757812</c:v>
                </c:pt>
                <c:pt idx="220">
                  <c:v>55.000331878662102</c:v>
                </c:pt>
                <c:pt idx="221">
                  <c:v>55.250362396240199</c:v>
                </c:pt>
                <c:pt idx="222">
                  <c:v>55.5</c:v>
                </c:pt>
                <c:pt idx="223">
                  <c:v>55.750026702880803</c:v>
                </c:pt>
                <c:pt idx="224">
                  <c:v>56.000057220458899</c:v>
                </c:pt>
                <c:pt idx="225">
                  <c:v>56.250083923339801</c:v>
                </c:pt>
                <c:pt idx="226">
                  <c:v>56.500110626220703</c:v>
                </c:pt>
                <c:pt idx="227">
                  <c:v>56.750137329101499</c:v>
                </c:pt>
                <c:pt idx="228">
                  <c:v>57.000167846679602</c:v>
                </c:pt>
                <c:pt idx="229">
                  <c:v>57.250194549560497</c:v>
                </c:pt>
                <c:pt idx="230">
                  <c:v>57.500221252441399</c:v>
                </c:pt>
                <c:pt idx="231">
                  <c:v>57.750251770019503</c:v>
                </c:pt>
                <c:pt idx="232">
                  <c:v>58.000278472900298</c:v>
                </c:pt>
                <c:pt idx="233">
                  <c:v>58.2503051757812</c:v>
                </c:pt>
                <c:pt idx="234">
                  <c:v>58.500331878662102</c:v>
                </c:pt>
                <c:pt idx="235">
                  <c:v>58.750362396240199</c:v>
                </c:pt>
                <c:pt idx="236">
                  <c:v>59</c:v>
                </c:pt>
                <c:pt idx="237">
                  <c:v>59.250026702880803</c:v>
                </c:pt>
                <c:pt idx="238">
                  <c:v>59.500057220458899</c:v>
                </c:pt>
                <c:pt idx="239">
                  <c:v>59.750083923339801</c:v>
                </c:pt>
                <c:pt idx="240">
                  <c:v>60.000110626220703</c:v>
                </c:pt>
                <c:pt idx="241">
                  <c:v>60.250137329101499</c:v>
                </c:pt>
                <c:pt idx="242">
                  <c:v>60.500167846679602</c:v>
                </c:pt>
                <c:pt idx="243">
                  <c:v>60.750194549560497</c:v>
                </c:pt>
                <c:pt idx="244">
                  <c:v>61.000221252441399</c:v>
                </c:pt>
                <c:pt idx="245">
                  <c:v>61.250251770019503</c:v>
                </c:pt>
                <c:pt idx="246">
                  <c:v>61.500278472900298</c:v>
                </c:pt>
                <c:pt idx="247">
                  <c:v>61.7503051757812</c:v>
                </c:pt>
                <c:pt idx="248">
                  <c:v>62.000331878662102</c:v>
                </c:pt>
                <c:pt idx="249">
                  <c:v>62.250362396240199</c:v>
                </c:pt>
                <c:pt idx="250">
                  <c:v>62.5</c:v>
                </c:pt>
                <c:pt idx="251">
                  <c:v>62.750026702880803</c:v>
                </c:pt>
                <c:pt idx="252">
                  <c:v>63.000057220458899</c:v>
                </c:pt>
                <c:pt idx="253">
                  <c:v>63.250083923339801</c:v>
                </c:pt>
                <c:pt idx="254">
                  <c:v>63.500110626220703</c:v>
                </c:pt>
                <c:pt idx="255">
                  <c:v>63.750137329101499</c:v>
                </c:pt>
                <c:pt idx="256">
                  <c:v>64.000167846679602</c:v>
                </c:pt>
                <c:pt idx="257">
                  <c:v>64.250190734863196</c:v>
                </c:pt>
                <c:pt idx="258">
                  <c:v>64.500221252441406</c:v>
                </c:pt>
                <c:pt idx="259">
                  <c:v>64.750251770019503</c:v>
                </c:pt>
                <c:pt idx="260">
                  <c:v>65.000274658203097</c:v>
                </c:pt>
                <c:pt idx="261">
                  <c:v>65.250305175781193</c:v>
                </c:pt>
                <c:pt idx="262">
                  <c:v>65.500335693359304</c:v>
                </c:pt>
                <c:pt idx="263">
                  <c:v>65.750358581542898</c:v>
                </c:pt>
                <c:pt idx="264">
                  <c:v>66</c:v>
                </c:pt>
                <c:pt idx="265">
                  <c:v>66.250030517578097</c:v>
                </c:pt>
                <c:pt idx="266">
                  <c:v>66.500053405761705</c:v>
                </c:pt>
                <c:pt idx="267">
                  <c:v>66.750083923339801</c:v>
                </c:pt>
                <c:pt idx="268">
                  <c:v>67.000114440917898</c:v>
                </c:pt>
                <c:pt idx="269">
                  <c:v>67.250137329101506</c:v>
                </c:pt>
                <c:pt idx="270">
                  <c:v>67.500167846679602</c:v>
                </c:pt>
                <c:pt idx="271">
                  <c:v>67.750190734863196</c:v>
                </c:pt>
                <c:pt idx="272">
                  <c:v>68.000221252441406</c:v>
                </c:pt>
                <c:pt idx="273">
                  <c:v>68.250251770019503</c:v>
                </c:pt>
                <c:pt idx="274">
                  <c:v>68.500274658203097</c:v>
                </c:pt>
                <c:pt idx="275">
                  <c:v>68.750305175781193</c:v>
                </c:pt>
                <c:pt idx="276">
                  <c:v>69.000335693359304</c:v>
                </c:pt>
                <c:pt idx="277">
                  <c:v>69.250358581542898</c:v>
                </c:pt>
                <c:pt idx="278">
                  <c:v>69.5</c:v>
                </c:pt>
                <c:pt idx="279">
                  <c:v>69.750030517578097</c:v>
                </c:pt>
                <c:pt idx="280">
                  <c:v>70.000053405761705</c:v>
                </c:pt>
                <c:pt idx="281">
                  <c:v>70.250083923339801</c:v>
                </c:pt>
                <c:pt idx="282">
                  <c:v>70.500114440917898</c:v>
                </c:pt>
                <c:pt idx="283">
                  <c:v>70.750137329101506</c:v>
                </c:pt>
                <c:pt idx="284">
                  <c:v>71.000167846679602</c:v>
                </c:pt>
                <c:pt idx="285">
                  <c:v>71.250190734863196</c:v>
                </c:pt>
                <c:pt idx="286">
                  <c:v>71.500221252441406</c:v>
                </c:pt>
                <c:pt idx="287">
                  <c:v>71.750251770019503</c:v>
                </c:pt>
                <c:pt idx="288">
                  <c:v>72.000274658203097</c:v>
                </c:pt>
              </c:numCache>
            </c:numRef>
          </c:xVal>
          <c:yVal>
            <c:numRef>
              <c:f>'10MMSCFD'!$F$11:$F$299</c:f>
              <c:numCache>
                <c:formatCode>General</c:formatCode>
                <c:ptCount val="289"/>
                <c:pt idx="0">
                  <c:v>6.9760231971740696</c:v>
                </c:pt>
                <c:pt idx="1">
                  <c:v>7.1813378334045401</c:v>
                </c:pt>
                <c:pt idx="2">
                  <c:v>5.2092480659484801</c:v>
                </c:pt>
                <c:pt idx="3">
                  <c:v>5.9839510917663503</c:v>
                </c:pt>
                <c:pt idx="4">
                  <c:v>5.2784719467162997</c:v>
                </c:pt>
                <c:pt idx="5">
                  <c:v>5.1463952064514098</c:v>
                </c:pt>
                <c:pt idx="6">
                  <c:v>5.0068101882934499</c:v>
                </c:pt>
                <c:pt idx="7">
                  <c:v>4.7376031875610298</c:v>
                </c:pt>
                <c:pt idx="8">
                  <c:v>5.1983528137206996</c:v>
                </c:pt>
                <c:pt idx="9">
                  <c:v>4.68322706222534</c:v>
                </c:pt>
                <c:pt idx="10">
                  <c:v>5.0703849792480398</c:v>
                </c:pt>
                <c:pt idx="11">
                  <c:v>4.8881850242614702</c:v>
                </c:pt>
                <c:pt idx="12">
                  <c:v>4.8183088302612296</c:v>
                </c:pt>
                <c:pt idx="13">
                  <c:v>5.0300588607787997</c:v>
                </c:pt>
                <c:pt idx="14">
                  <c:v>4.9457879066467196</c:v>
                </c:pt>
                <c:pt idx="15">
                  <c:v>4.9957861900329501</c:v>
                </c:pt>
                <c:pt idx="16">
                  <c:v>4.98752689361572</c:v>
                </c:pt>
                <c:pt idx="17">
                  <c:v>4.8980698585510201</c:v>
                </c:pt>
                <c:pt idx="18">
                  <c:v>4.94573879241943</c:v>
                </c:pt>
                <c:pt idx="19">
                  <c:v>4.9088649749755797</c:v>
                </c:pt>
                <c:pt idx="20">
                  <c:v>4.8960208892822203</c:v>
                </c:pt>
                <c:pt idx="21">
                  <c:v>4.92498683929443</c:v>
                </c:pt>
                <c:pt idx="22">
                  <c:v>4.8858070373535103</c:v>
                </c:pt>
                <c:pt idx="23">
                  <c:v>4.8983950614929199</c:v>
                </c:pt>
                <c:pt idx="24">
                  <c:v>4.8989319801330504</c:v>
                </c:pt>
                <c:pt idx="25">
                  <c:v>4.8756642341613698</c:v>
                </c:pt>
                <c:pt idx="26">
                  <c:v>4.8911728858947701</c:v>
                </c:pt>
                <c:pt idx="27">
                  <c:v>4.8776931762695304</c:v>
                </c:pt>
                <c:pt idx="28">
                  <c:v>4.8705110549926696</c:v>
                </c:pt>
                <c:pt idx="29">
                  <c:v>4.8778829574584899</c:v>
                </c:pt>
                <c:pt idx="30">
                  <c:v>4.8633670806884703</c:v>
                </c:pt>
                <c:pt idx="31">
                  <c:v>4.8650770187377903</c:v>
                </c:pt>
                <c:pt idx="32">
                  <c:v>4.8638157844543404</c:v>
                </c:pt>
                <c:pt idx="33">
                  <c:v>4.8544101715087802</c:v>
                </c:pt>
                <c:pt idx="34">
                  <c:v>4.8577351570129297</c:v>
                </c:pt>
                <c:pt idx="35">
                  <c:v>4.8520731925964302</c:v>
                </c:pt>
                <c:pt idx="36">
                  <c:v>4.8481550216674796</c:v>
                </c:pt>
                <c:pt idx="37">
                  <c:v>4.8494071960449201</c:v>
                </c:pt>
                <c:pt idx="38">
                  <c:v>4.8434519767761204</c:v>
                </c:pt>
                <c:pt idx="39">
                  <c:v>4.84281206130981</c:v>
                </c:pt>
                <c:pt idx="40">
                  <c:v>4.8415598869323704</c:v>
                </c:pt>
                <c:pt idx="41">
                  <c:v>4.8373842239379803</c:v>
                </c:pt>
                <c:pt idx="42">
                  <c:v>4.8376178741454998</c:v>
                </c:pt>
                <c:pt idx="43">
                  <c:v>4.83504295349121</c:v>
                </c:pt>
                <c:pt idx="44">
                  <c:v>4.83288097381591</c:v>
                </c:pt>
                <c:pt idx="45">
                  <c:v>4.8326997756957999</c:v>
                </c:pt>
                <c:pt idx="46">
                  <c:v>4.83009910583496</c:v>
                </c:pt>
                <c:pt idx="47">
                  <c:v>4.8292460441589302</c:v>
                </c:pt>
                <c:pt idx="48">
                  <c:v>4.82839012145996</c:v>
                </c:pt>
                <c:pt idx="49">
                  <c:v>4.8264660835266104</c:v>
                </c:pt>
                <c:pt idx="50">
                  <c:v>4.8261041641235298</c:v>
                </c:pt>
                <c:pt idx="51">
                  <c:v>4.8248848915100098</c:v>
                </c:pt>
                <c:pt idx="52">
                  <c:v>4.8237438201904297</c:v>
                </c:pt>
                <c:pt idx="53">
                  <c:v>4.8233780860900799</c:v>
                </c:pt>
                <c:pt idx="54">
                  <c:v>4.8221979141235298</c:v>
                </c:pt>
                <c:pt idx="55">
                  <c:v>4.8215970993041903</c:v>
                </c:pt>
                <c:pt idx="56">
                  <c:v>4.8210787773132298</c:v>
                </c:pt>
                <c:pt idx="57">
                  <c:v>4.8201742172241202</c:v>
                </c:pt>
                <c:pt idx="58">
                  <c:v>4.8198318481445304</c:v>
                </c:pt>
                <c:pt idx="59">
                  <c:v>4.8192400932312003</c:v>
                </c:pt>
                <c:pt idx="60">
                  <c:v>4.8186550140380797</c:v>
                </c:pt>
                <c:pt idx="61">
                  <c:v>4.81837606430053</c:v>
                </c:pt>
                <c:pt idx="62">
                  <c:v>4.8178319931030202</c:v>
                </c:pt>
                <c:pt idx="63">
                  <c:v>4.8174839019775302</c:v>
                </c:pt>
                <c:pt idx="64">
                  <c:v>4.81719923019409</c:v>
                </c:pt>
                <c:pt idx="65">
                  <c:v>4.8167772293090803</c:v>
                </c:pt>
                <c:pt idx="66">
                  <c:v>4.8165588378906197</c:v>
                </c:pt>
                <c:pt idx="67">
                  <c:v>4.8162741661071697</c:v>
                </c:pt>
                <c:pt idx="68">
                  <c:v>4.8159871101379297</c:v>
                </c:pt>
                <c:pt idx="69">
                  <c:v>4.8158211708068803</c:v>
                </c:pt>
                <c:pt idx="70">
                  <c:v>4.8155698776245099</c:v>
                </c:pt>
                <c:pt idx="71">
                  <c:v>4.8153867721557599</c:v>
                </c:pt>
                <c:pt idx="72">
                  <c:v>4.8152379989623997</c:v>
                </c:pt>
                <c:pt idx="73">
                  <c:v>4.8150429725646902</c:v>
                </c:pt>
                <c:pt idx="74">
                  <c:v>4.8149209022521902</c:v>
                </c:pt>
                <c:pt idx="75">
                  <c:v>4.8147869110107404</c:v>
                </c:pt>
                <c:pt idx="76">
                  <c:v>4.8146491050720197</c:v>
                </c:pt>
                <c:pt idx="77">
                  <c:v>4.8145589828491202</c:v>
                </c:pt>
                <c:pt idx="78">
                  <c:v>4.8144440650939897</c:v>
                </c:pt>
                <c:pt idx="79">
                  <c:v>4.81435203552246</c:v>
                </c:pt>
                <c:pt idx="80">
                  <c:v>4.8142781257629297</c:v>
                </c:pt>
                <c:pt idx="81">
                  <c:v>4.8141880035400302</c:v>
                </c:pt>
                <c:pt idx="82">
                  <c:v>4.81412601470947</c:v>
                </c:pt>
                <c:pt idx="83">
                  <c:v>4.8140611648559499</c:v>
                </c:pt>
                <c:pt idx="84">
                  <c:v>4.8139982223510698</c:v>
                </c:pt>
                <c:pt idx="85">
                  <c:v>4.8139510154724103</c:v>
                </c:pt>
                <c:pt idx="86">
                  <c:v>4.81389904022216</c:v>
                </c:pt>
                <c:pt idx="87">
                  <c:v>4.8138561248779297</c:v>
                </c:pt>
                <c:pt idx="88">
                  <c:v>4.8138179779052699</c:v>
                </c:pt>
                <c:pt idx="89">
                  <c:v>4.81377696990966</c:v>
                </c:pt>
                <c:pt idx="90">
                  <c:v>4.8137459754943803</c:v>
                </c:pt>
                <c:pt idx="91">
                  <c:v>4.8137168884277299</c:v>
                </c:pt>
                <c:pt idx="92">
                  <c:v>4.8136858940124503</c:v>
                </c:pt>
                <c:pt idx="93">
                  <c:v>4.8136649131774902</c:v>
                </c:pt>
                <c:pt idx="94">
                  <c:v>4.8136410713195801</c:v>
                </c:pt>
                <c:pt idx="95">
                  <c:v>4.8136200904846103</c:v>
                </c:pt>
                <c:pt idx="96">
                  <c:v>4.8136010169982901</c:v>
                </c:pt>
                <c:pt idx="97">
                  <c:v>4.8135838508605904</c:v>
                </c:pt>
                <c:pt idx="98">
                  <c:v>4.8135690689086896</c:v>
                </c:pt>
                <c:pt idx="99">
                  <c:v>4.81355476379394</c:v>
                </c:pt>
                <c:pt idx="100">
                  <c:v>4.8135399818420401</c:v>
                </c:pt>
                <c:pt idx="101">
                  <c:v>4.8135299682617099</c:v>
                </c:pt>
                <c:pt idx="102">
                  <c:v>4.8135170936584402</c:v>
                </c:pt>
                <c:pt idx="103">
                  <c:v>4.8135080337524396</c:v>
                </c:pt>
                <c:pt idx="104">
                  <c:v>4.8134989738464302</c:v>
                </c:pt>
                <c:pt idx="105">
                  <c:v>4.8134899139404297</c:v>
                </c:pt>
                <c:pt idx="106">
                  <c:v>4.8134832382202104</c:v>
                </c:pt>
                <c:pt idx="107">
                  <c:v>4.8134770393371502</c:v>
                </c:pt>
                <c:pt idx="108">
                  <c:v>4.8134689331054599</c:v>
                </c:pt>
                <c:pt idx="109">
                  <c:v>4.8134651184081996</c:v>
                </c:pt>
                <c:pt idx="110">
                  <c:v>4.8134579658508301</c:v>
                </c:pt>
                <c:pt idx="111">
                  <c:v>4.81345510482788</c:v>
                </c:pt>
                <c:pt idx="112">
                  <c:v>4.8134489059448198</c:v>
                </c:pt>
                <c:pt idx="113">
                  <c:v>4.8134460449218697</c:v>
                </c:pt>
                <c:pt idx="114">
                  <c:v>4.8134422302245996</c:v>
                </c:pt>
                <c:pt idx="115">
                  <c:v>4.8134379386901802</c:v>
                </c:pt>
                <c:pt idx="116">
                  <c:v>4.8134341239929199</c:v>
                </c:pt>
                <c:pt idx="117">
                  <c:v>4.81343221664428</c:v>
                </c:pt>
                <c:pt idx="118">
                  <c:v>4.8134288787841797</c:v>
                </c:pt>
                <c:pt idx="119">
                  <c:v>4.8134269714355398</c:v>
                </c:pt>
                <c:pt idx="120">
                  <c:v>4.8134250640869096</c:v>
                </c:pt>
                <c:pt idx="121">
                  <c:v>4.8134231567382804</c:v>
                </c:pt>
                <c:pt idx="122">
                  <c:v>4.8134188652038503</c:v>
                </c:pt>
                <c:pt idx="123">
                  <c:v>4.8134188652038503</c:v>
                </c:pt>
                <c:pt idx="124">
                  <c:v>4.8134160041809002</c:v>
                </c:pt>
                <c:pt idx="125">
                  <c:v>4.8134140968322701</c:v>
                </c:pt>
                <c:pt idx="126">
                  <c:v>4.8134140968322701</c:v>
                </c:pt>
                <c:pt idx="127">
                  <c:v>4.8134131431579501</c:v>
                </c:pt>
                <c:pt idx="128">
                  <c:v>4.81341123580932</c:v>
                </c:pt>
                <c:pt idx="129">
                  <c:v>4.8134098052978498</c:v>
                </c:pt>
                <c:pt idx="130">
                  <c:v>4.8134078979492099</c:v>
                </c:pt>
                <c:pt idx="131">
                  <c:v>4.8134059906005797</c:v>
                </c:pt>
                <c:pt idx="132">
                  <c:v>4.8134050369262704</c:v>
                </c:pt>
                <c:pt idx="133">
                  <c:v>4.8134040832519496</c:v>
                </c:pt>
                <c:pt idx="134">
                  <c:v>4.8134040832519496</c:v>
                </c:pt>
                <c:pt idx="135">
                  <c:v>4.8134031295776296</c:v>
                </c:pt>
                <c:pt idx="136">
                  <c:v>4.8134021759033203</c:v>
                </c:pt>
                <c:pt idx="137">
                  <c:v>4.8133997917175204</c:v>
                </c:pt>
                <c:pt idx="138">
                  <c:v>4.8134012222290004</c:v>
                </c:pt>
                <c:pt idx="139">
                  <c:v>4.8133997917175204</c:v>
                </c:pt>
                <c:pt idx="140">
                  <c:v>4.8133988380432102</c:v>
                </c:pt>
                <c:pt idx="141">
                  <c:v>4.8133978843688903</c:v>
                </c:pt>
                <c:pt idx="142">
                  <c:v>4.8133959770202601</c:v>
                </c:pt>
                <c:pt idx="143">
                  <c:v>4.8133950233459402</c:v>
                </c:pt>
                <c:pt idx="144">
                  <c:v>4.8133959770202601</c:v>
                </c:pt>
                <c:pt idx="145">
                  <c:v>4.8133950233459402</c:v>
                </c:pt>
                <c:pt idx="146">
                  <c:v>4.81339311599731</c:v>
                </c:pt>
                <c:pt idx="147">
                  <c:v>4.81339311599731</c:v>
                </c:pt>
                <c:pt idx="148">
                  <c:v>4.8133921623229901</c:v>
                </c:pt>
                <c:pt idx="149">
                  <c:v>4.81339311599731</c:v>
                </c:pt>
                <c:pt idx="150">
                  <c:v>4.8133921623229901</c:v>
                </c:pt>
                <c:pt idx="151">
                  <c:v>4.8133921623229901</c:v>
                </c:pt>
                <c:pt idx="152">
                  <c:v>4.8133912086486799</c:v>
                </c:pt>
                <c:pt idx="153">
                  <c:v>4.8133888244628897</c:v>
                </c:pt>
                <c:pt idx="154">
                  <c:v>4.8133888244628897</c:v>
                </c:pt>
                <c:pt idx="155">
                  <c:v>4.8133888244628897</c:v>
                </c:pt>
                <c:pt idx="156">
                  <c:v>4.8133888244628897</c:v>
                </c:pt>
                <c:pt idx="157">
                  <c:v>4.8133878707885698</c:v>
                </c:pt>
                <c:pt idx="158">
                  <c:v>4.8133869171142498</c:v>
                </c:pt>
                <c:pt idx="159">
                  <c:v>4.8133869171142498</c:v>
                </c:pt>
                <c:pt idx="160">
                  <c:v>4.8133869171142498</c:v>
                </c:pt>
                <c:pt idx="161">
                  <c:v>4.8133869171142498</c:v>
                </c:pt>
                <c:pt idx="162">
                  <c:v>4.8133850097656197</c:v>
                </c:pt>
                <c:pt idx="163">
                  <c:v>4.8133859634399396</c:v>
                </c:pt>
                <c:pt idx="164">
                  <c:v>4.8133840560912997</c:v>
                </c:pt>
                <c:pt idx="165">
                  <c:v>4.8133850097656197</c:v>
                </c:pt>
                <c:pt idx="166">
                  <c:v>4.8133831024169904</c:v>
                </c:pt>
                <c:pt idx="167">
                  <c:v>4.8133831024169904</c:v>
                </c:pt>
                <c:pt idx="168">
                  <c:v>4.8133840560912997</c:v>
                </c:pt>
                <c:pt idx="169">
                  <c:v>4.8133821487426696</c:v>
                </c:pt>
                <c:pt idx="170">
                  <c:v>4.8133831024169904</c:v>
                </c:pt>
                <c:pt idx="171">
                  <c:v>4.8133821487426696</c:v>
                </c:pt>
                <c:pt idx="172">
                  <c:v>4.8133821487426696</c:v>
                </c:pt>
                <c:pt idx="173">
                  <c:v>4.8133811950683496</c:v>
                </c:pt>
                <c:pt idx="174">
                  <c:v>4.8133797645568803</c:v>
                </c:pt>
                <c:pt idx="175">
                  <c:v>4.8133797645568803</c:v>
                </c:pt>
                <c:pt idx="176">
                  <c:v>4.8133811950683496</c:v>
                </c:pt>
                <c:pt idx="177">
                  <c:v>4.8133797645568803</c:v>
                </c:pt>
                <c:pt idx="178">
                  <c:v>4.8133797645568803</c:v>
                </c:pt>
                <c:pt idx="179">
                  <c:v>4.8133797645568803</c:v>
                </c:pt>
                <c:pt idx="180">
                  <c:v>4.8133788108825604</c:v>
                </c:pt>
                <c:pt idx="181">
                  <c:v>4.8133788108825604</c:v>
                </c:pt>
                <c:pt idx="182">
                  <c:v>4.8133778572082502</c:v>
                </c:pt>
                <c:pt idx="183">
                  <c:v>4.8133769035339302</c:v>
                </c:pt>
                <c:pt idx="184">
                  <c:v>4.8133769035339302</c:v>
                </c:pt>
                <c:pt idx="185">
                  <c:v>4.8133778572082502</c:v>
                </c:pt>
                <c:pt idx="186">
                  <c:v>4.8133769035339302</c:v>
                </c:pt>
                <c:pt idx="187">
                  <c:v>4.8133759498596103</c:v>
                </c:pt>
                <c:pt idx="188">
                  <c:v>4.8133749961853001</c:v>
                </c:pt>
                <c:pt idx="189">
                  <c:v>4.8133759498596103</c:v>
                </c:pt>
                <c:pt idx="190">
                  <c:v>4.8133749961853001</c:v>
                </c:pt>
                <c:pt idx="191">
                  <c:v>4.8133749961853001</c:v>
                </c:pt>
                <c:pt idx="192">
                  <c:v>4.8133749961853001</c:v>
                </c:pt>
                <c:pt idx="193">
                  <c:v>4.8133740425109801</c:v>
                </c:pt>
                <c:pt idx="194">
                  <c:v>4.8133740425109801</c:v>
                </c:pt>
                <c:pt idx="195">
                  <c:v>4.8133749961853001</c:v>
                </c:pt>
                <c:pt idx="196">
                  <c:v>4.8133730888366699</c:v>
                </c:pt>
                <c:pt idx="197">
                  <c:v>4.8133730888366699</c:v>
                </c:pt>
                <c:pt idx="198">
                  <c:v>4.8133740425109801</c:v>
                </c:pt>
                <c:pt idx="199">
                  <c:v>4.8133730888366699</c:v>
                </c:pt>
                <c:pt idx="200">
                  <c:v>4.8133730888366699</c:v>
                </c:pt>
                <c:pt idx="201">
                  <c:v>4.8133730888366699</c:v>
                </c:pt>
                <c:pt idx="202">
                  <c:v>4.8133730888366699</c:v>
                </c:pt>
                <c:pt idx="203">
                  <c:v>4.81337118148803</c:v>
                </c:pt>
                <c:pt idx="204">
                  <c:v>4.81337213516235</c:v>
                </c:pt>
                <c:pt idx="205">
                  <c:v>4.81337118148803</c:v>
                </c:pt>
                <c:pt idx="206">
                  <c:v>4.81337213516235</c:v>
                </c:pt>
                <c:pt idx="207">
                  <c:v>4.81337213516235</c:v>
                </c:pt>
                <c:pt idx="208">
                  <c:v>4.81337118148803</c:v>
                </c:pt>
                <c:pt idx="209">
                  <c:v>4.8133702278137198</c:v>
                </c:pt>
                <c:pt idx="210">
                  <c:v>4.81337118148803</c:v>
                </c:pt>
                <c:pt idx="211">
                  <c:v>4.8133687973022399</c:v>
                </c:pt>
                <c:pt idx="212">
                  <c:v>4.8133702278137198</c:v>
                </c:pt>
                <c:pt idx="213">
                  <c:v>4.8133702278137198</c:v>
                </c:pt>
                <c:pt idx="214">
                  <c:v>4.8133702278137198</c:v>
                </c:pt>
                <c:pt idx="215">
                  <c:v>4.8133687973022399</c:v>
                </c:pt>
                <c:pt idx="216">
                  <c:v>4.8133678436279297</c:v>
                </c:pt>
                <c:pt idx="217">
                  <c:v>4.8133678436279297</c:v>
                </c:pt>
                <c:pt idx="218">
                  <c:v>4.8133668899536097</c:v>
                </c:pt>
                <c:pt idx="219">
                  <c:v>4.8133668899536097</c:v>
                </c:pt>
                <c:pt idx="220">
                  <c:v>4.8133668899536097</c:v>
                </c:pt>
                <c:pt idx="221">
                  <c:v>4.8133668899536097</c:v>
                </c:pt>
                <c:pt idx="222">
                  <c:v>4.8133678436279297</c:v>
                </c:pt>
                <c:pt idx="223">
                  <c:v>4.8133678436279297</c:v>
                </c:pt>
                <c:pt idx="224">
                  <c:v>4.8133678436279297</c:v>
                </c:pt>
                <c:pt idx="225">
                  <c:v>4.8133668899536097</c:v>
                </c:pt>
                <c:pt idx="226">
                  <c:v>4.8133659362792898</c:v>
                </c:pt>
                <c:pt idx="227">
                  <c:v>4.8133659362792898</c:v>
                </c:pt>
                <c:pt idx="228">
                  <c:v>4.8133659362792898</c:v>
                </c:pt>
                <c:pt idx="229">
                  <c:v>4.8133659362792898</c:v>
                </c:pt>
                <c:pt idx="230">
                  <c:v>4.8133668899536097</c:v>
                </c:pt>
                <c:pt idx="231">
                  <c:v>4.8133659362792898</c:v>
                </c:pt>
                <c:pt idx="232">
                  <c:v>4.8133659362792898</c:v>
                </c:pt>
                <c:pt idx="233">
                  <c:v>4.8133659362792898</c:v>
                </c:pt>
                <c:pt idx="234">
                  <c:v>4.8133649826049796</c:v>
                </c:pt>
                <c:pt idx="235">
                  <c:v>4.8133649826049796</c:v>
                </c:pt>
                <c:pt idx="236">
                  <c:v>4.8133659362792898</c:v>
                </c:pt>
                <c:pt idx="237">
                  <c:v>4.8133640289306596</c:v>
                </c:pt>
                <c:pt idx="238">
                  <c:v>4.8133649826049796</c:v>
                </c:pt>
                <c:pt idx="239">
                  <c:v>4.8133640289306596</c:v>
                </c:pt>
                <c:pt idx="240">
                  <c:v>4.8133649826049796</c:v>
                </c:pt>
                <c:pt idx="241">
                  <c:v>4.8133649826049796</c:v>
                </c:pt>
                <c:pt idx="242">
                  <c:v>4.8133630752563397</c:v>
                </c:pt>
                <c:pt idx="243">
                  <c:v>4.8133640289306596</c:v>
                </c:pt>
                <c:pt idx="244">
                  <c:v>4.8133640289306596</c:v>
                </c:pt>
                <c:pt idx="245">
                  <c:v>4.8133640289306596</c:v>
                </c:pt>
                <c:pt idx="246">
                  <c:v>4.8133640289306596</c:v>
                </c:pt>
                <c:pt idx="247">
                  <c:v>4.8133640289306596</c:v>
                </c:pt>
                <c:pt idx="248">
                  <c:v>4.8133621215820304</c:v>
                </c:pt>
                <c:pt idx="249">
                  <c:v>4.8133630752563397</c:v>
                </c:pt>
                <c:pt idx="250">
                  <c:v>4.8133630752563397</c:v>
                </c:pt>
                <c:pt idx="251">
                  <c:v>4.8133621215820304</c:v>
                </c:pt>
                <c:pt idx="252">
                  <c:v>4.8133611679077104</c:v>
                </c:pt>
                <c:pt idx="253">
                  <c:v>4.8133621215820304</c:v>
                </c:pt>
                <c:pt idx="254">
                  <c:v>4.8133621215820304</c:v>
                </c:pt>
                <c:pt idx="255">
                  <c:v>4.8133621215820304</c:v>
                </c:pt>
                <c:pt idx="256">
                  <c:v>4.8133630752563397</c:v>
                </c:pt>
                <c:pt idx="257">
                  <c:v>4.8133611679077104</c:v>
                </c:pt>
                <c:pt idx="258">
                  <c:v>4.8133621215820304</c:v>
                </c:pt>
                <c:pt idx="259">
                  <c:v>4.8133611679077104</c:v>
                </c:pt>
                <c:pt idx="260">
                  <c:v>4.8133602142333896</c:v>
                </c:pt>
                <c:pt idx="261">
                  <c:v>4.8133611679077104</c:v>
                </c:pt>
                <c:pt idx="262">
                  <c:v>4.8133611679077104</c:v>
                </c:pt>
                <c:pt idx="263">
                  <c:v>4.8133611679077104</c:v>
                </c:pt>
                <c:pt idx="264">
                  <c:v>4.8133611679077104</c:v>
                </c:pt>
                <c:pt idx="265">
                  <c:v>4.8133602142333896</c:v>
                </c:pt>
                <c:pt idx="266">
                  <c:v>4.8133611679077104</c:v>
                </c:pt>
                <c:pt idx="267">
                  <c:v>4.8133587837219203</c:v>
                </c:pt>
                <c:pt idx="268">
                  <c:v>4.8133587837219203</c:v>
                </c:pt>
                <c:pt idx="269">
                  <c:v>4.8133587837219203</c:v>
                </c:pt>
                <c:pt idx="270">
                  <c:v>4.8133602142333896</c:v>
                </c:pt>
                <c:pt idx="271">
                  <c:v>4.8133602142333896</c:v>
                </c:pt>
                <c:pt idx="272">
                  <c:v>4.8133602142333896</c:v>
                </c:pt>
                <c:pt idx="273">
                  <c:v>4.8133587837219203</c:v>
                </c:pt>
                <c:pt idx="274">
                  <c:v>4.8133587837219203</c:v>
                </c:pt>
                <c:pt idx="275">
                  <c:v>4.8133578300476003</c:v>
                </c:pt>
                <c:pt idx="276">
                  <c:v>4.8133578300476003</c:v>
                </c:pt>
                <c:pt idx="277">
                  <c:v>4.8133578300476003</c:v>
                </c:pt>
                <c:pt idx="278">
                  <c:v>4.8133587837219203</c:v>
                </c:pt>
                <c:pt idx="279">
                  <c:v>4.8133578300476003</c:v>
                </c:pt>
                <c:pt idx="280">
                  <c:v>4.8133587837219203</c:v>
                </c:pt>
                <c:pt idx="281">
                  <c:v>4.8133568763732901</c:v>
                </c:pt>
                <c:pt idx="282">
                  <c:v>4.8133578300476003</c:v>
                </c:pt>
                <c:pt idx="283">
                  <c:v>4.8133578300476003</c:v>
                </c:pt>
                <c:pt idx="284">
                  <c:v>4.8133578300476003</c:v>
                </c:pt>
                <c:pt idx="285">
                  <c:v>4.8133578300476003</c:v>
                </c:pt>
                <c:pt idx="286">
                  <c:v>4.8133578300476003</c:v>
                </c:pt>
                <c:pt idx="287">
                  <c:v>4.8133578300476003</c:v>
                </c:pt>
                <c:pt idx="288">
                  <c:v>4.8133578300476003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92-4527-988C-09463ADA47F3}"/>
            </c:ext>
          </c:extLst>
        </c:ser>
        <c:ser>
          <c:idx val="2"/>
          <c:order val="2"/>
          <c:tx>
            <c:strRef>
              <c:f>Legends!$B$4</c:f>
              <c:strCache>
                <c:ptCount val="1"/>
                <c:pt idx="0">
                  <c:v>Gas Velocity</c:v>
                </c:pt>
              </c:strCache>
            </c:strRef>
          </c:tx>
          <c:marker>
            <c:symbol val="none"/>
          </c:marker>
          <c:xVal>
            <c:numRef>
              <c:f>'10MMSCFD'!$C$11:$C$299</c:f>
              <c:numCache>
                <c:formatCode>General</c:formatCode>
                <c:ptCount val="289"/>
                <c:pt idx="0">
                  <c:v>0</c:v>
                </c:pt>
                <c:pt idx="1">
                  <c:v>0.25045117735862699</c:v>
                </c:pt>
                <c:pt idx="2">
                  <c:v>0.50037252902984597</c:v>
                </c:pt>
                <c:pt idx="3">
                  <c:v>0.75026446580886796</c:v>
                </c:pt>
                <c:pt idx="4">
                  <c:v>1.0002297163009599</c:v>
                </c:pt>
                <c:pt idx="5">
                  <c:v>1.2500131130218499</c:v>
                </c:pt>
                <c:pt idx="6">
                  <c:v>1.50012111663818</c:v>
                </c:pt>
                <c:pt idx="7">
                  <c:v>1.7503286600112899</c:v>
                </c:pt>
                <c:pt idx="8">
                  <c:v>2.0003285408020002</c:v>
                </c:pt>
                <c:pt idx="9">
                  <c:v>2.2502760887146001</c:v>
                </c:pt>
                <c:pt idx="10">
                  <c:v>2.50030422210693</c:v>
                </c:pt>
                <c:pt idx="11">
                  <c:v>2.7503318786621</c:v>
                </c:pt>
                <c:pt idx="12">
                  <c:v>3.00036120414733</c:v>
                </c:pt>
                <c:pt idx="13">
                  <c:v>3.2503888607025102</c:v>
                </c:pt>
                <c:pt idx="14">
                  <c:v>3.50002789497375</c:v>
                </c:pt>
                <c:pt idx="15">
                  <c:v>3.7500555515289302</c:v>
                </c:pt>
                <c:pt idx="16">
                  <c:v>4.0000834465026802</c:v>
                </c:pt>
                <c:pt idx="17">
                  <c:v>4.2501111030578604</c:v>
                </c:pt>
                <c:pt idx="18">
                  <c:v>4.50013875961303</c:v>
                </c:pt>
                <c:pt idx="19">
                  <c:v>4.7501668930053702</c:v>
                </c:pt>
                <c:pt idx="20">
                  <c:v>5.0001945495605398</c:v>
                </c:pt>
                <c:pt idx="21">
                  <c:v>5.25022220611572</c:v>
                </c:pt>
                <c:pt idx="22">
                  <c:v>5.5002498626708896</c:v>
                </c:pt>
                <c:pt idx="23">
                  <c:v>5.7502779960632298</c:v>
                </c:pt>
                <c:pt idx="24">
                  <c:v>6.0003056526184002</c:v>
                </c:pt>
                <c:pt idx="25">
                  <c:v>6.2503333091735804</c:v>
                </c:pt>
                <c:pt idx="26">
                  <c:v>6.5003609657287598</c:v>
                </c:pt>
                <c:pt idx="27">
                  <c:v>6.75</c:v>
                </c:pt>
                <c:pt idx="28">
                  <c:v>7.0000276565551696</c:v>
                </c:pt>
                <c:pt idx="29">
                  <c:v>7.2500557899475098</c:v>
                </c:pt>
                <c:pt idx="30">
                  <c:v>7.5000863075256303</c:v>
                </c:pt>
                <c:pt idx="31">
                  <c:v>7.7501139640808097</c:v>
                </c:pt>
                <c:pt idx="32">
                  <c:v>8.0001420974731392</c:v>
                </c:pt>
                <c:pt idx="33">
                  <c:v>8.2501697540283203</c:v>
                </c:pt>
                <c:pt idx="34">
                  <c:v>8.5001974105834908</c:v>
                </c:pt>
                <c:pt idx="35">
                  <c:v>8.7502250671386701</c:v>
                </c:pt>
                <c:pt idx="36">
                  <c:v>9.0002527236938406</c:v>
                </c:pt>
                <c:pt idx="37">
                  <c:v>9.2502803802490199</c:v>
                </c:pt>
                <c:pt idx="38">
                  <c:v>9.5003080368041903</c:v>
                </c:pt>
                <c:pt idx="39">
                  <c:v>9.7503356933593697</c:v>
                </c:pt>
                <c:pt idx="40">
                  <c:v>10.0003643035888</c:v>
                </c:pt>
                <c:pt idx="41">
                  <c:v>10.250002861022899</c:v>
                </c:pt>
                <c:pt idx="42">
                  <c:v>10.5000305175781</c:v>
                </c:pt>
                <c:pt idx="43">
                  <c:v>10.750058174133301</c:v>
                </c:pt>
                <c:pt idx="44">
                  <c:v>11.0000858306884</c:v>
                </c:pt>
                <c:pt idx="45">
                  <c:v>11.250113487243601</c:v>
                </c:pt>
                <c:pt idx="46">
                  <c:v>11.5001420974731</c:v>
                </c:pt>
                <c:pt idx="47">
                  <c:v>11.750169754028301</c:v>
                </c:pt>
                <c:pt idx="48">
                  <c:v>12.000200271606399</c:v>
                </c:pt>
                <c:pt idx="49">
                  <c:v>12.2502279281616</c:v>
                </c:pt>
                <c:pt idx="50">
                  <c:v>12.5002555847168</c:v>
                </c:pt>
                <c:pt idx="51">
                  <c:v>12.7502832412719</c:v>
                </c:pt>
                <c:pt idx="52">
                  <c:v>13.0003108978271</c:v>
                </c:pt>
                <c:pt idx="53">
                  <c:v>13.250338554382299</c:v>
                </c:pt>
                <c:pt idx="54">
                  <c:v>13.5003662109375</c:v>
                </c:pt>
                <c:pt idx="55">
                  <c:v>13.7500057220459</c:v>
                </c:pt>
                <c:pt idx="56">
                  <c:v>14.000033378601</c:v>
                </c:pt>
                <c:pt idx="57">
                  <c:v>14.2500610351562</c:v>
                </c:pt>
                <c:pt idx="58">
                  <c:v>14.500088691711399</c:v>
                </c:pt>
                <c:pt idx="59">
                  <c:v>14.7501163482666</c:v>
                </c:pt>
                <c:pt idx="60">
                  <c:v>15.000144004821699</c:v>
                </c:pt>
                <c:pt idx="61">
                  <c:v>15.2501726150512</c:v>
                </c:pt>
                <c:pt idx="62">
                  <c:v>15.500200271606399</c:v>
                </c:pt>
                <c:pt idx="63">
                  <c:v>15.7502279281616</c:v>
                </c:pt>
                <c:pt idx="64">
                  <c:v>16.0002555847168</c:v>
                </c:pt>
                <c:pt idx="65">
                  <c:v>16.2502841949462</c:v>
                </c:pt>
                <c:pt idx="66">
                  <c:v>16.500310897827099</c:v>
                </c:pt>
                <c:pt idx="67">
                  <c:v>16.750341415405199</c:v>
                </c:pt>
                <c:pt idx="68">
                  <c:v>17.000370025634702</c:v>
                </c:pt>
                <c:pt idx="69">
                  <c:v>17.250007629394499</c:v>
                </c:pt>
                <c:pt idx="70">
                  <c:v>17.500036239623999</c:v>
                </c:pt>
                <c:pt idx="71">
                  <c:v>17.750062942504801</c:v>
                </c:pt>
                <c:pt idx="72">
                  <c:v>18.0000915527343</c:v>
                </c:pt>
                <c:pt idx="73">
                  <c:v>18.2501201629638</c:v>
                </c:pt>
                <c:pt idx="74">
                  <c:v>18.500146865844702</c:v>
                </c:pt>
                <c:pt idx="75">
                  <c:v>18.750175476074201</c:v>
                </c:pt>
                <c:pt idx="76">
                  <c:v>19.000202178955</c:v>
                </c:pt>
                <c:pt idx="77">
                  <c:v>19.250230789184499</c:v>
                </c:pt>
                <c:pt idx="78">
                  <c:v>19.500257492065401</c:v>
                </c:pt>
                <c:pt idx="79">
                  <c:v>19.750286102294901</c:v>
                </c:pt>
                <c:pt idx="80">
                  <c:v>20.0003147125244</c:v>
                </c:pt>
                <c:pt idx="81">
                  <c:v>20.250341415405199</c:v>
                </c:pt>
                <c:pt idx="82">
                  <c:v>20.500370025634702</c:v>
                </c:pt>
                <c:pt idx="83">
                  <c:v>20.750007629394499</c:v>
                </c:pt>
                <c:pt idx="84">
                  <c:v>21.000036239623999</c:v>
                </c:pt>
                <c:pt idx="85">
                  <c:v>21.250066757202099</c:v>
                </c:pt>
                <c:pt idx="86">
                  <c:v>21.500095367431602</c:v>
                </c:pt>
                <c:pt idx="87">
                  <c:v>21.7501220703125</c:v>
                </c:pt>
                <c:pt idx="88">
                  <c:v>22.0001506805419</c:v>
                </c:pt>
                <c:pt idx="89">
                  <c:v>22.250177383422798</c:v>
                </c:pt>
                <c:pt idx="90">
                  <c:v>22.500205993652301</c:v>
                </c:pt>
                <c:pt idx="91">
                  <c:v>22.7502326965332</c:v>
                </c:pt>
                <c:pt idx="92">
                  <c:v>23.000261306762699</c:v>
                </c:pt>
                <c:pt idx="93">
                  <c:v>23.250288009643501</c:v>
                </c:pt>
                <c:pt idx="94">
                  <c:v>23.500316619873001</c:v>
                </c:pt>
                <c:pt idx="95">
                  <c:v>23.7503452301025</c:v>
                </c:pt>
                <c:pt idx="96">
                  <c:v>24.000371932983398</c:v>
                </c:pt>
                <c:pt idx="97">
                  <c:v>24.2500114440918</c:v>
                </c:pt>
                <c:pt idx="98">
                  <c:v>24.500038146972599</c:v>
                </c:pt>
                <c:pt idx="99">
                  <c:v>24.750066757202099</c:v>
                </c:pt>
                <c:pt idx="100">
                  <c:v>25.000095367431602</c:v>
                </c:pt>
                <c:pt idx="101">
                  <c:v>25.2501220703125</c:v>
                </c:pt>
                <c:pt idx="102">
                  <c:v>25.5001506805419</c:v>
                </c:pt>
                <c:pt idx="103">
                  <c:v>25.750177383422798</c:v>
                </c:pt>
                <c:pt idx="104">
                  <c:v>26.000207901000898</c:v>
                </c:pt>
                <c:pt idx="105">
                  <c:v>26.250236511230401</c:v>
                </c:pt>
                <c:pt idx="106">
                  <c:v>26.5002632141113</c:v>
                </c:pt>
                <c:pt idx="107">
                  <c:v>26.750291824340799</c:v>
                </c:pt>
                <c:pt idx="108">
                  <c:v>27.000318527221602</c:v>
                </c:pt>
                <c:pt idx="109">
                  <c:v>27.250347137451101</c:v>
                </c:pt>
                <c:pt idx="110">
                  <c:v>27.5003757476806</c:v>
                </c:pt>
                <c:pt idx="111">
                  <c:v>27.750013351440401</c:v>
                </c:pt>
                <c:pt idx="112">
                  <c:v>28.0000286102294</c:v>
                </c:pt>
                <c:pt idx="113">
                  <c:v>28.250083923339801</c:v>
                </c:pt>
                <c:pt idx="114">
                  <c:v>28.5001106262207</c:v>
                </c:pt>
                <c:pt idx="115">
                  <c:v>28.750139236450199</c:v>
                </c:pt>
                <c:pt idx="116">
                  <c:v>29.000165939331001</c:v>
                </c:pt>
                <c:pt idx="117">
                  <c:v>29.250194549560501</c:v>
                </c:pt>
                <c:pt idx="118">
                  <c:v>29.50022315979</c:v>
                </c:pt>
                <c:pt idx="119">
                  <c:v>29.750249862670898</c:v>
                </c:pt>
                <c:pt idx="120">
                  <c:v>30.000278472900298</c:v>
                </c:pt>
                <c:pt idx="121">
                  <c:v>30.2503051757812</c:v>
                </c:pt>
                <c:pt idx="122">
                  <c:v>30.5003337860107</c:v>
                </c:pt>
                <c:pt idx="123">
                  <c:v>30.750360488891602</c:v>
                </c:pt>
                <c:pt idx="124">
                  <c:v>31.000389099121001</c:v>
                </c:pt>
                <c:pt idx="125">
                  <c:v>31.2500286102294</c:v>
                </c:pt>
                <c:pt idx="126">
                  <c:v>31.500055313110298</c:v>
                </c:pt>
                <c:pt idx="127">
                  <c:v>31.750083923339801</c:v>
                </c:pt>
                <c:pt idx="128">
                  <c:v>32.000110626220703</c:v>
                </c:pt>
                <c:pt idx="129">
                  <c:v>32.250137329101499</c:v>
                </c:pt>
                <c:pt idx="130">
                  <c:v>32.500167846679602</c:v>
                </c:pt>
                <c:pt idx="131">
                  <c:v>32.750194549560497</c:v>
                </c:pt>
                <c:pt idx="132">
                  <c:v>33.000221252441399</c:v>
                </c:pt>
                <c:pt idx="133">
                  <c:v>33.250251770019503</c:v>
                </c:pt>
                <c:pt idx="134">
                  <c:v>33.500278472900298</c:v>
                </c:pt>
                <c:pt idx="135">
                  <c:v>33.7503051757812</c:v>
                </c:pt>
                <c:pt idx="136">
                  <c:v>34.000331878662102</c:v>
                </c:pt>
                <c:pt idx="137">
                  <c:v>34.250362396240199</c:v>
                </c:pt>
                <c:pt idx="138">
                  <c:v>34.500389099121001</c:v>
                </c:pt>
                <c:pt idx="139">
                  <c:v>34.750026702880803</c:v>
                </c:pt>
                <c:pt idx="140">
                  <c:v>35.000057220458899</c:v>
                </c:pt>
                <c:pt idx="141">
                  <c:v>35.250083923339801</c:v>
                </c:pt>
                <c:pt idx="142">
                  <c:v>35.500110626220703</c:v>
                </c:pt>
                <c:pt idx="143">
                  <c:v>35.750137329101499</c:v>
                </c:pt>
                <c:pt idx="144">
                  <c:v>36.000167846679602</c:v>
                </c:pt>
                <c:pt idx="145">
                  <c:v>36.250194549560497</c:v>
                </c:pt>
                <c:pt idx="146">
                  <c:v>36.500221252441399</c:v>
                </c:pt>
                <c:pt idx="147">
                  <c:v>36.750251770019503</c:v>
                </c:pt>
                <c:pt idx="148">
                  <c:v>37.000278472900298</c:v>
                </c:pt>
                <c:pt idx="149">
                  <c:v>37.2503051757812</c:v>
                </c:pt>
                <c:pt idx="150">
                  <c:v>37.500331878662102</c:v>
                </c:pt>
                <c:pt idx="151">
                  <c:v>37.750362396240199</c:v>
                </c:pt>
                <c:pt idx="152">
                  <c:v>38.000389099121001</c:v>
                </c:pt>
                <c:pt idx="153">
                  <c:v>38.250026702880803</c:v>
                </c:pt>
                <c:pt idx="154">
                  <c:v>38.500057220458899</c:v>
                </c:pt>
                <c:pt idx="155">
                  <c:v>38.750083923339801</c:v>
                </c:pt>
                <c:pt idx="156">
                  <c:v>39.000110626220703</c:v>
                </c:pt>
                <c:pt idx="157">
                  <c:v>39.250137329101499</c:v>
                </c:pt>
                <c:pt idx="158">
                  <c:v>39.500167846679602</c:v>
                </c:pt>
                <c:pt idx="159">
                  <c:v>39.750194549560497</c:v>
                </c:pt>
                <c:pt idx="160">
                  <c:v>40.000221252441399</c:v>
                </c:pt>
                <c:pt idx="161">
                  <c:v>40.250251770019503</c:v>
                </c:pt>
                <c:pt idx="162">
                  <c:v>40.500278472900298</c:v>
                </c:pt>
                <c:pt idx="163">
                  <c:v>40.7503051757812</c:v>
                </c:pt>
                <c:pt idx="164">
                  <c:v>41.000331878662102</c:v>
                </c:pt>
                <c:pt idx="165">
                  <c:v>41.250362396240199</c:v>
                </c:pt>
                <c:pt idx="166">
                  <c:v>41.500389099121001</c:v>
                </c:pt>
                <c:pt idx="167">
                  <c:v>41.750026702880803</c:v>
                </c:pt>
                <c:pt idx="168">
                  <c:v>42.000057220458899</c:v>
                </c:pt>
                <c:pt idx="169">
                  <c:v>42.250083923339801</c:v>
                </c:pt>
                <c:pt idx="170">
                  <c:v>42.500110626220703</c:v>
                </c:pt>
                <c:pt idx="171">
                  <c:v>42.750137329101499</c:v>
                </c:pt>
                <c:pt idx="172">
                  <c:v>43.000167846679602</c:v>
                </c:pt>
                <c:pt idx="173">
                  <c:v>43.250194549560497</c:v>
                </c:pt>
                <c:pt idx="174">
                  <c:v>43.500221252441399</c:v>
                </c:pt>
                <c:pt idx="175">
                  <c:v>43.750251770019503</c:v>
                </c:pt>
                <c:pt idx="176">
                  <c:v>44.000278472900298</c:v>
                </c:pt>
                <c:pt idx="177">
                  <c:v>44.2503051757812</c:v>
                </c:pt>
                <c:pt idx="178">
                  <c:v>44.500331878662102</c:v>
                </c:pt>
                <c:pt idx="179">
                  <c:v>44.750362396240199</c:v>
                </c:pt>
                <c:pt idx="180">
                  <c:v>45.000389099121001</c:v>
                </c:pt>
                <c:pt idx="181">
                  <c:v>45.250026702880803</c:v>
                </c:pt>
                <c:pt idx="182">
                  <c:v>45.500057220458899</c:v>
                </c:pt>
                <c:pt idx="183">
                  <c:v>45.750083923339801</c:v>
                </c:pt>
                <c:pt idx="184">
                  <c:v>46.000110626220703</c:v>
                </c:pt>
                <c:pt idx="185">
                  <c:v>46.250137329101499</c:v>
                </c:pt>
                <c:pt idx="186">
                  <c:v>46.500167846679602</c:v>
                </c:pt>
                <c:pt idx="187">
                  <c:v>46.750194549560497</c:v>
                </c:pt>
                <c:pt idx="188">
                  <c:v>47.000221252441399</c:v>
                </c:pt>
                <c:pt idx="189">
                  <c:v>47.250251770019503</c:v>
                </c:pt>
                <c:pt idx="190">
                  <c:v>47.500278472900298</c:v>
                </c:pt>
                <c:pt idx="191">
                  <c:v>47.7503051757812</c:v>
                </c:pt>
                <c:pt idx="192">
                  <c:v>48.000331878662102</c:v>
                </c:pt>
                <c:pt idx="193">
                  <c:v>48.250362396240199</c:v>
                </c:pt>
                <c:pt idx="194">
                  <c:v>48.500389099121001</c:v>
                </c:pt>
                <c:pt idx="195">
                  <c:v>48.750026702880803</c:v>
                </c:pt>
                <c:pt idx="196">
                  <c:v>49.000057220458899</c:v>
                </c:pt>
                <c:pt idx="197">
                  <c:v>49.250083923339801</c:v>
                </c:pt>
                <c:pt idx="198">
                  <c:v>49.500110626220703</c:v>
                </c:pt>
                <c:pt idx="199">
                  <c:v>49.750137329101499</c:v>
                </c:pt>
                <c:pt idx="200">
                  <c:v>50.000167846679602</c:v>
                </c:pt>
                <c:pt idx="201">
                  <c:v>50.250194549560497</c:v>
                </c:pt>
                <c:pt idx="202">
                  <c:v>50.500221252441399</c:v>
                </c:pt>
                <c:pt idx="203">
                  <c:v>50.750251770019503</c:v>
                </c:pt>
                <c:pt idx="204">
                  <c:v>51.000278472900298</c:v>
                </c:pt>
                <c:pt idx="205">
                  <c:v>51.2503051757812</c:v>
                </c:pt>
                <c:pt idx="206">
                  <c:v>51.500331878662102</c:v>
                </c:pt>
                <c:pt idx="207">
                  <c:v>51.750362396240199</c:v>
                </c:pt>
                <c:pt idx="208">
                  <c:v>52</c:v>
                </c:pt>
                <c:pt idx="209">
                  <c:v>52.250026702880803</c:v>
                </c:pt>
                <c:pt idx="210">
                  <c:v>52.500057220458899</c:v>
                </c:pt>
                <c:pt idx="211">
                  <c:v>52.750083923339801</c:v>
                </c:pt>
                <c:pt idx="212">
                  <c:v>53.000110626220703</c:v>
                </c:pt>
                <c:pt idx="213">
                  <c:v>53.250137329101499</c:v>
                </c:pt>
                <c:pt idx="214">
                  <c:v>53.500167846679602</c:v>
                </c:pt>
                <c:pt idx="215">
                  <c:v>53.750194549560497</c:v>
                </c:pt>
                <c:pt idx="216">
                  <c:v>54.000221252441399</c:v>
                </c:pt>
                <c:pt idx="217">
                  <c:v>54.250251770019503</c:v>
                </c:pt>
                <c:pt idx="218">
                  <c:v>54.500278472900298</c:v>
                </c:pt>
                <c:pt idx="219">
                  <c:v>54.7503051757812</c:v>
                </c:pt>
                <c:pt idx="220">
                  <c:v>55.000331878662102</c:v>
                </c:pt>
                <c:pt idx="221">
                  <c:v>55.250362396240199</c:v>
                </c:pt>
                <c:pt idx="222">
                  <c:v>55.5</c:v>
                </c:pt>
                <c:pt idx="223">
                  <c:v>55.750026702880803</c:v>
                </c:pt>
                <c:pt idx="224">
                  <c:v>56.000057220458899</c:v>
                </c:pt>
                <c:pt idx="225">
                  <c:v>56.250083923339801</c:v>
                </c:pt>
                <c:pt idx="226">
                  <c:v>56.500110626220703</c:v>
                </c:pt>
                <c:pt idx="227">
                  <c:v>56.750137329101499</c:v>
                </c:pt>
                <c:pt idx="228">
                  <c:v>57.000167846679602</c:v>
                </c:pt>
                <c:pt idx="229">
                  <c:v>57.250194549560497</c:v>
                </c:pt>
                <c:pt idx="230">
                  <c:v>57.500221252441399</c:v>
                </c:pt>
                <c:pt idx="231">
                  <c:v>57.750251770019503</c:v>
                </c:pt>
                <c:pt idx="232">
                  <c:v>58.000278472900298</c:v>
                </c:pt>
                <c:pt idx="233">
                  <c:v>58.2503051757812</c:v>
                </c:pt>
                <c:pt idx="234">
                  <c:v>58.500331878662102</c:v>
                </c:pt>
                <c:pt idx="235">
                  <c:v>58.750362396240199</c:v>
                </c:pt>
                <c:pt idx="236">
                  <c:v>59</c:v>
                </c:pt>
                <c:pt idx="237">
                  <c:v>59.250026702880803</c:v>
                </c:pt>
                <c:pt idx="238">
                  <c:v>59.500057220458899</c:v>
                </c:pt>
                <c:pt idx="239">
                  <c:v>59.750083923339801</c:v>
                </c:pt>
                <c:pt idx="240">
                  <c:v>60.000110626220703</c:v>
                </c:pt>
                <c:pt idx="241">
                  <c:v>60.250137329101499</c:v>
                </c:pt>
                <c:pt idx="242">
                  <c:v>60.500167846679602</c:v>
                </c:pt>
                <c:pt idx="243">
                  <c:v>60.750194549560497</c:v>
                </c:pt>
                <c:pt idx="244">
                  <c:v>61.000221252441399</c:v>
                </c:pt>
                <c:pt idx="245">
                  <c:v>61.250251770019503</c:v>
                </c:pt>
                <c:pt idx="246">
                  <c:v>61.500278472900298</c:v>
                </c:pt>
                <c:pt idx="247">
                  <c:v>61.7503051757812</c:v>
                </c:pt>
                <c:pt idx="248">
                  <c:v>62.000331878662102</c:v>
                </c:pt>
                <c:pt idx="249">
                  <c:v>62.250362396240199</c:v>
                </c:pt>
                <c:pt idx="250">
                  <c:v>62.5</c:v>
                </c:pt>
                <c:pt idx="251">
                  <c:v>62.750026702880803</c:v>
                </c:pt>
                <c:pt idx="252">
                  <c:v>63.000057220458899</c:v>
                </c:pt>
                <c:pt idx="253">
                  <c:v>63.250083923339801</c:v>
                </c:pt>
                <c:pt idx="254">
                  <c:v>63.500110626220703</c:v>
                </c:pt>
                <c:pt idx="255">
                  <c:v>63.750137329101499</c:v>
                </c:pt>
                <c:pt idx="256">
                  <c:v>64.000167846679602</c:v>
                </c:pt>
                <c:pt idx="257">
                  <c:v>64.250190734863196</c:v>
                </c:pt>
                <c:pt idx="258">
                  <c:v>64.500221252441406</c:v>
                </c:pt>
                <c:pt idx="259">
                  <c:v>64.750251770019503</c:v>
                </c:pt>
                <c:pt idx="260">
                  <c:v>65.000274658203097</c:v>
                </c:pt>
                <c:pt idx="261">
                  <c:v>65.250305175781193</c:v>
                </c:pt>
                <c:pt idx="262">
                  <c:v>65.500335693359304</c:v>
                </c:pt>
                <c:pt idx="263">
                  <c:v>65.750358581542898</c:v>
                </c:pt>
                <c:pt idx="264">
                  <c:v>66</c:v>
                </c:pt>
                <c:pt idx="265">
                  <c:v>66.250030517578097</c:v>
                </c:pt>
                <c:pt idx="266">
                  <c:v>66.500053405761705</c:v>
                </c:pt>
                <c:pt idx="267">
                  <c:v>66.750083923339801</c:v>
                </c:pt>
                <c:pt idx="268">
                  <c:v>67.000114440917898</c:v>
                </c:pt>
                <c:pt idx="269">
                  <c:v>67.250137329101506</c:v>
                </c:pt>
                <c:pt idx="270">
                  <c:v>67.500167846679602</c:v>
                </c:pt>
                <c:pt idx="271">
                  <c:v>67.750190734863196</c:v>
                </c:pt>
                <c:pt idx="272">
                  <c:v>68.000221252441406</c:v>
                </c:pt>
                <c:pt idx="273">
                  <c:v>68.250251770019503</c:v>
                </c:pt>
                <c:pt idx="274">
                  <c:v>68.500274658203097</c:v>
                </c:pt>
                <c:pt idx="275">
                  <c:v>68.750305175781193</c:v>
                </c:pt>
                <c:pt idx="276">
                  <c:v>69.000335693359304</c:v>
                </c:pt>
                <c:pt idx="277">
                  <c:v>69.250358581542898</c:v>
                </c:pt>
                <c:pt idx="278">
                  <c:v>69.5</c:v>
                </c:pt>
                <c:pt idx="279">
                  <c:v>69.750030517578097</c:v>
                </c:pt>
                <c:pt idx="280">
                  <c:v>70.000053405761705</c:v>
                </c:pt>
                <c:pt idx="281">
                  <c:v>70.250083923339801</c:v>
                </c:pt>
                <c:pt idx="282">
                  <c:v>70.500114440917898</c:v>
                </c:pt>
                <c:pt idx="283">
                  <c:v>70.750137329101506</c:v>
                </c:pt>
                <c:pt idx="284">
                  <c:v>71.000167846679602</c:v>
                </c:pt>
                <c:pt idx="285">
                  <c:v>71.250190734863196</c:v>
                </c:pt>
                <c:pt idx="286">
                  <c:v>71.500221252441406</c:v>
                </c:pt>
                <c:pt idx="287">
                  <c:v>71.750251770019503</c:v>
                </c:pt>
                <c:pt idx="288">
                  <c:v>72.000274658203097</c:v>
                </c:pt>
              </c:numCache>
            </c:numRef>
          </c:xVal>
          <c:yVal>
            <c:numRef>
              <c:f>'10MMSCFD'!$G$11:$G$299</c:f>
              <c:numCache>
                <c:formatCode>General</c:formatCode>
                <c:ptCount val="289"/>
                <c:pt idx="0">
                  <c:v>9.8774652481079102</c:v>
                </c:pt>
                <c:pt idx="1">
                  <c:v>13.0239000320434</c:v>
                </c:pt>
                <c:pt idx="2">
                  <c:v>11.3920698165893</c:v>
                </c:pt>
                <c:pt idx="3">
                  <c:v>11.169739723205501</c:v>
                </c:pt>
                <c:pt idx="4">
                  <c:v>11.015219688415501</c:v>
                </c:pt>
                <c:pt idx="5">
                  <c:v>9.8512163162231392</c:v>
                </c:pt>
                <c:pt idx="6">
                  <c:v>10.7459001541137</c:v>
                </c:pt>
                <c:pt idx="7">
                  <c:v>10.1899499893188</c:v>
                </c:pt>
                <c:pt idx="8">
                  <c:v>10.3284101486206</c:v>
                </c:pt>
                <c:pt idx="9">
                  <c:v>10.3659601211547</c:v>
                </c:pt>
                <c:pt idx="10">
                  <c:v>9.9943752288818306</c:v>
                </c:pt>
                <c:pt idx="11">
                  <c:v>10.2712097167968</c:v>
                </c:pt>
                <c:pt idx="12">
                  <c:v>10.045559883117599</c:v>
                </c:pt>
                <c:pt idx="13">
                  <c:v>10.169690132141101</c:v>
                </c:pt>
                <c:pt idx="14">
                  <c:v>10.1256504058837</c:v>
                </c:pt>
                <c:pt idx="15">
                  <c:v>10.009380340576101</c:v>
                </c:pt>
                <c:pt idx="16">
                  <c:v>10.134659767150801</c:v>
                </c:pt>
                <c:pt idx="17">
                  <c:v>10.039959907531699</c:v>
                </c:pt>
                <c:pt idx="18">
                  <c:v>10.0161895751953</c:v>
                </c:pt>
                <c:pt idx="19">
                  <c:v>10.062720298766999</c:v>
                </c:pt>
                <c:pt idx="20">
                  <c:v>9.9806985855102504</c:v>
                </c:pt>
                <c:pt idx="21">
                  <c:v>10.007149696350099</c:v>
                </c:pt>
                <c:pt idx="22">
                  <c:v>9.9959564208984304</c:v>
                </c:pt>
                <c:pt idx="23">
                  <c:v>9.9495754241943306</c:v>
                </c:pt>
                <c:pt idx="24">
                  <c:v>9.9755964279174805</c:v>
                </c:pt>
                <c:pt idx="25">
                  <c:v>9.9411687850952095</c:v>
                </c:pt>
                <c:pt idx="26">
                  <c:v>9.9279413223266602</c:v>
                </c:pt>
                <c:pt idx="27">
                  <c:v>9.9350900650024396</c:v>
                </c:pt>
                <c:pt idx="28">
                  <c:v>9.9024629592895508</c:v>
                </c:pt>
                <c:pt idx="29">
                  <c:v>9.9048509597778303</c:v>
                </c:pt>
                <c:pt idx="30">
                  <c:v>9.8957777023315394</c:v>
                </c:pt>
                <c:pt idx="31">
                  <c:v>9.87542629241943</c:v>
                </c:pt>
                <c:pt idx="32">
                  <c:v>9.8790349960327095</c:v>
                </c:pt>
                <c:pt idx="33">
                  <c:v>9.86334133148193</c:v>
                </c:pt>
                <c:pt idx="34">
                  <c:v>9.8544340133666903</c:v>
                </c:pt>
                <c:pt idx="35">
                  <c:v>9.8531141281127894</c:v>
                </c:pt>
                <c:pt idx="36">
                  <c:v>9.8386192321777308</c:v>
                </c:pt>
                <c:pt idx="37">
                  <c:v>9.8358449935912997</c:v>
                </c:pt>
                <c:pt idx="38">
                  <c:v>9.8299951553344709</c:v>
                </c:pt>
                <c:pt idx="39">
                  <c:v>9.8201837539672798</c:v>
                </c:pt>
                <c:pt idx="40">
                  <c:v>9.8187513351440394</c:v>
                </c:pt>
                <c:pt idx="41">
                  <c:v>9.8111658096313406</c:v>
                </c:pt>
                <c:pt idx="42">
                  <c:v>9.8057231903076101</c:v>
                </c:pt>
                <c:pt idx="43">
                  <c:v>9.8033390045165998</c:v>
                </c:pt>
                <c:pt idx="44">
                  <c:v>9.7965431213378906</c:v>
                </c:pt>
                <c:pt idx="45">
                  <c:v>9.7937469482421804</c:v>
                </c:pt>
                <c:pt idx="46">
                  <c:v>9.7903051376342702</c:v>
                </c:pt>
                <c:pt idx="47">
                  <c:v>9.7854204177856392</c:v>
                </c:pt>
                <c:pt idx="48">
                  <c:v>9.7835836410522408</c:v>
                </c:pt>
                <c:pt idx="49">
                  <c:v>9.7798557281494105</c:v>
                </c:pt>
                <c:pt idx="50">
                  <c:v>9.7768020629882795</c:v>
                </c:pt>
                <c:pt idx="51">
                  <c:v>9.7750272750854403</c:v>
                </c:pt>
                <c:pt idx="52">
                  <c:v>9.7717819213867099</c:v>
                </c:pt>
                <c:pt idx="53">
                  <c:v>9.7699308395385707</c:v>
                </c:pt>
                <c:pt idx="54">
                  <c:v>9.7680263519287092</c:v>
                </c:pt>
                <c:pt idx="55">
                  <c:v>9.7655973434448207</c:v>
                </c:pt>
                <c:pt idx="56">
                  <c:v>9.7643003463745099</c:v>
                </c:pt>
                <c:pt idx="57">
                  <c:v>9.7624492645263601</c:v>
                </c:pt>
                <c:pt idx="58">
                  <c:v>9.7608146667480398</c:v>
                </c:pt>
                <c:pt idx="59">
                  <c:v>9.7597227096557599</c:v>
                </c:pt>
                <c:pt idx="60">
                  <c:v>9.7581558227538991</c:v>
                </c:pt>
                <c:pt idx="61">
                  <c:v>9.7570848464965803</c:v>
                </c:pt>
                <c:pt idx="62">
                  <c:v>9.7560777664184499</c:v>
                </c:pt>
                <c:pt idx="63">
                  <c:v>9.7548952102661097</c:v>
                </c:pt>
                <c:pt idx="64">
                  <c:v>9.7541418075561506</c:v>
                </c:pt>
                <c:pt idx="65">
                  <c:v>9.7532396316528303</c:v>
                </c:pt>
                <c:pt idx="66">
                  <c:v>9.7524137496948207</c:v>
                </c:pt>
                <c:pt idx="67">
                  <c:v>9.7518167495727504</c:v>
                </c:pt>
                <c:pt idx="68">
                  <c:v>9.7510728836059499</c:v>
                </c:pt>
                <c:pt idx="69">
                  <c:v>9.7505102157592702</c:v>
                </c:pt>
                <c:pt idx="70">
                  <c:v>9.7500009536743093</c:v>
                </c:pt>
                <c:pt idx="71">
                  <c:v>9.7494373321533203</c:v>
                </c:pt>
                <c:pt idx="72">
                  <c:v>9.7490358352661097</c:v>
                </c:pt>
                <c:pt idx="73">
                  <c:v>9.7486038208007795</c:v>
                </c:pt>
                <c:pt idx="74">
                  <c:v>9.7482013702392507</c:v>
                </c:pt>
                <c:pt idx="75">
                  <c:v>9.7478942871093697</c:v>
                </c:pt>
                <c:pt idx="76">
                  <c:v>9.7475452423095703</c:v>
                </c:pt>
                <c:pt idx="77">
                  <c:v>9.7472629547119105</c:v>
                </c:pt>
                <c:pt idx="78">
                  <c:v>9.7470130920410103</c:v>
                </c:pt>
                <c:pt idx="79">
                  <c:v>9.7467489242553693</c:v>
                </c:pt>
                <c:pt idx="80">
                  <c:v>9.7465467453002894</c:v>
                </c:pt>
                <c:pt idx="81">
                  <c:v>9.7463426589965803</c:v>
                </c:pt>
                <c:pt idx="82">
                  <c:v>9.7461509704589808</c:v>
                </c:pt>
                <c:pt idx="83">
                  <c:v>9.7460002899169904</c:v>
                </c:pt>
                <c:pt idx="84">
                  <c:v>9.7458372116088796</c:v>
                </c:pt>
                <c:pt idx="85">
                  <c:v>9.7457008361816406</c:v>
                </c:pt>
                <c:pt idx="86">
                  <c:v>9.7455806732177699</c:v>
                </c:pt>
                <c:pt idx="87">
                  <c:v>9.7454576492309499</c:v>
                </c:pt>
                <c:pt idx="88">
                  <c:v>9.74536037445068</c:v>
                </c:pt>
                <c:pt idx="89">
                  <c:v>9.7452650070190394</c:v>
                </c:pt>
                <c:pt idx="90">
                  <c:v>9.7451753616333008</c:v>
                </c:pt>
                <c:pt idx="91">
                  <c:v>9.7451019287109304</c:v>
                </c:pt>
                <c:pt idx="92">
                  <c:v>9.7450265884399396</c:v>
                </c:pt>
                <c:pt idx="93">
                  <c:v>9.7449617385864205</c:v>
                </c:pt>
                <c:pt idx="94">
                  <c:v>9.7449054718017507</c:v>
                </c:pt>
                <c:pt idx="95">
                  <c:v>9.7448482513427699</c:v>
                </c:pt>
                <c:pt idx="96">
                  <c:v>9.7448024749755806</c:v>
                </c:pt>
                <c:pt idx="97">
                  <c:v>9.7447566986083896</c:v>
                </c:pt>
                <c:pt idx="98">
                  <c:v>9.7447147369384695</c:v>
                </c:pt>
                <c:pt idx="99">
                  <c:v>9.7446794509887695</c:v>
                </c:pt>
                <c:pt idx="100">
                  <c:v>9.74464511871337</c:v>
                </c:pt>
                <c:pt idx="101">
                  <c:v>9.7446136474609304</c:v>
                </c:pt>
                <c:pt idx="102">
                  <c:v>9.7445869445800692</c:v>
                </c:pt>
                <c:pt idx="103">
                  <c:v>9.7445602416992099</c:v>
                </c:pt>
                <c:pt idx="104">
                  <c:v>9.7445383071899396</c:v>
                </c:pt>
                <c:pt idx="105">
                  <c:v>9.7445163726806605</c:v>
                </c:pt>
                <c:pt idx="106">
                  <c:v>9.7444963455200195</c:v>
                </c:pt>
                <c:pt idx="107">
                  <c:v>9.7444791793823207</c:v>
                </c:pt>
                <c:pt idx="108">
                  <c:v>9.74446296691894</c:v>
                </c:pt>
                <c:pt idx="109">
                  <c:v>9.7444467544555593</c:v>
                </c:pt>
                <c:pt idx="110">
                  <c:v>9.7444343566894496</c:v>
                </c:pt>
                <c:pt idx="111">
                  <c:v>9.7444210052490199</c:v>
                </c:pt>
                <c:pt idx="112">
                  <c:v>9.7444095611572195</c:v>
                </c:pt>
                <c:pt idx="113">
                  <c:v>9.7443990707397408</c:v>
                </c:pt>
                <c:pt idx="114">
                  <c:v>9.7443885803222603</c:v>
                </c:pt>
                <c:pt idx="115">
                  <c:v>9.7443809509277308</c:v>
                </c:pt>
                <c:pt idx="116">
                  <c:v>9.7443723678588796</c:v>
                </c:pt>
                <c:pt idx="117">
                  <c:v>9.7443647384643501</c:v>
                </c:pt>
                <c:pt idx="118">
                  <c:v>9.7443580627441406</c:v>
                </c:pt>
                <c:pt idx="119">
                  <c:v>9.7443513870239205</c:v>
                </c:pt>
                <c:pt idx="120">
                  <c:v>9.7443447113037092</c:v>
                </c:pt>
                <c:pt idx="121">
                  <c:v>9.7443389892578107</c:v>
                </c:pt>
                <c:pt idx="122">
                  <c:v>9.7443342208862305</c:v>
                </c:pt>
                <c:pt idx="123">
                  <c:v>9.7443294525146396</c:v>
                </c:pt>
                <c:pt idx="124">
                  <c:v>9.74432373046875</c:v>
                </c:pt>
                <c:pt idx="125">
                  <c:v>9.7443199157714808</c:v>
                </c:pt>
                <c:pt idx="126">
                  <c:v>9.7443161010742099</c:v>
                </c:pt>
                <c:pt idx="127">
                  <c:v>9.7443122863769496</c:v>
                </c:pt>
                <c:pt idx="128">
                  <c:v>9.7443084716796804</c:v>
                </c:pt>
                <c:pt idx="129">
                  <c:v>9.7443046569824201</c:v>
                </c:pt>
                <c:pt idx="130">
                  <c:v>9.7443017959594709</c:v>
                </c:pt>
                <c:pt idx="131">
                  <c:v>9.7442989349365199</c:v>
                </c:pt>
                <c:pt idx="132">
                  <c:v>9.7442960739135707</c:v>
                </c:pt>
                <c:pt idx="133">
                  <c:v>9.7442932128906197</c:v>
                </c:pt>
                <c:pt idx="134">
                  <c:v>9.7442903518676705</c:v>
                </c:pt>
                <c:pt idx="135">
                  <c:v>9.7442884445190394</c:v>
                </c:pt>
                <c:pt idx="136">
                  <c:v>9.7442846298217702</c:v>
                </c:pt>
                <c:pt idx="137">
                  <c:v>9.7442827224731392</c:v>
                </c:pt>
                <c:pt idx="138">
                  <c:v>9.7442808151245099</c:v>
                </c:pt>
                <c:pt idx="139">
                  <c:v>9.74427890777587</c:v>
                </c:pt>
                <c:pt idx="140">
                  <c:v>9.7442770004272408</c:v>
                </c:pt>
                <c:pt idx="141">
                  <c:v>9.7442750930786097</c:v>
                </c:pt>
                <c:pt idx="142">
                  <c:v>9.7442731857299805</c:v>
                </c:pt>
                <c:pt idx="143">
                  <c:v>9.7442712783813406</c:v>
                </c:pt>
                <c:pt idx="144">
                  <c:v>9.7442693710327095</c:v>
                </c:pt>
                <c:pt idx="145">
                  <c:v>9.7442684173583896</c:v>
                </c:pt>
                <c:pt idx="146">
                  <c:v>9.7442655563354403</c:v>
                </c:pt>
                <c:pt idx="147">
                  <c:v>9.7442636489868093</c:v>
                </c:pt>
                <c:pt idx="148">
                  <c:v>9.7442626953125</c:v>
                </c:pt>
                <c:pt idx="149">
                  <c:v>9.7442607879638601</c:v>
                </c:pt>
                <c:pt idx="150">
                  <c:v>9.7442598342895508</c:v>
                </c:pt>
                <c:pt idx="151">
                  <c:v>9.7442579269409109</c:v>
                </c:pt>
                <c:pt idx="152">
                  <c:v>9.7442569732665998</c:v>
                </c:pt>
                <c:pt idx="153">
                  <c:v>9.7442560195922798</c:v>
                </c:pt>
                <c:pt idx="154">
                  <c:v>9.7442541122436506</c:v>
                </c:pt>
                <c:pt idx="155">
                  <c:v>9.7442531585693306</c:v>
                </c:pt>
                <c:pt idx="156">
                  <c:v>9.7442512512206996</c:v>
                </c:pt>
                <c:pt idx="157">
                  <c:v>9.7442502975463796</c:v>
                </c:pt>
                <c:pt idx="158">
                  <c:v>9.7442493438720703</c:v>
                </c:pt>
                <c:pt idx="159">
                  <c:v>9.7442483901977504</c:v>
                </c:pt>
                <c:pt idx="160">
                  <c:v>9.7442455291747994</c:v>
                </c:pt>
                <c:pt idx="161">
                  <c:v>9.7442445755004794</c:v>
                </c:pt>
                <c:pt idx="162">
                  <c:v>9.7442436218261701</c:v>
                </c:pt>
                <c:pt idx="163">
                  <c:v>9.7442426681518501</c:v>
                </c:pt>
                <c:pt idx="164">
                  <c:v>9.7442417144775302</c:v>
                </c:pt>
                <c:pt idx="165">
                  <c:v>9.7442407608032209</c:v>
                </c:pt>
                <c:pt idx="166">
                  <c:v>9.7442398071288991</c:v>
                </c:pt>
                <c:pt idx="167">
                  <c:v>9.7442388534545898</c:v>
                </c:pt>
                <c:pt idx="168">
                  <c:v>9.7442378997802699</c:v>
                </c:pt>
                <c:pt idx="169">
                  <c:v>9.7442369461059499</c:v>
                </c:pt>
                <c:pt idx="170">
                  <c:v>9.7442359924316406</c:v>
                </c:pt>
                <c:pt idx="171">
                  <c:v>9.7442350387573207</c:v>
                </c:pt>
                <c:pt idx="172">
                  <c:v>9.7442340850830007</c:v>
                </c:pt>
                <c:pt idx="173">
                  <c:v>9.7442331314086896</c:v>
                </c:pt>
                <c:pt idx="174">
                  <c:v>9.7442321777343697</c:v>
                </c:pt>
                <c:pt idx="175">
                  <c:v>9.7442312240600497</c:v>
                </c:pt>
                <c:pt idx="176">
                  <c:v>9.7442302703857404</c:v>
                </c:pt>
                <c:pt idx="177">
                  <c:v>9.7442293167114205</c:v>
                </c:pt>
                <c:pt idx="178">
                  <c:v>9.7442283630371005</c:v>
                </c:pt>
                <c:pt idx="179">
                  <c:v>9.7442283630371005</c:v>
                </c:pt>
                <c:pt idx="180">
                  <c:v>9.7442274093627894</c:v>
                </c:pt>
                <c:pt idx="181">
                  <c:v>9.7442264556884695</c:v>
                </c:pt>
                <c:pt idx="182">
                  <c:v>9.7442245483398402</c:v>
                </c:pt>
                <c:pt idx="183">
                  <c:v>9.7442235946655202</c:v>
                </c:pt>
                <c:pt idx="184">
                  <c:v>9.7442226409912092</c:v>
                </c:pt>
                <c:pt idx="185">
                  <c:v>9.7442216873168892</c:v>
                </c:pt>
                <c:pt idx="186">
                  <c:v>9.7442216873168892</c:v>
                </c:pt>
                <c:pt idx="187">
                  <c:v>9.7442207336425692</c:v>
                </c:pt>
                <c:pt idx="188">
                  <c:v>9.7442197799682599</c:v>
                </c:pt>
                <c:pt idx="189">
                  <c:v>9.7442197799682599</c:v>
                </c:pt>
                <c:pt idx="190">
                  <c:v>9.74421882629394</c:v>
                </c:pt>
                <c:pt idx="191">
                  <c:v>9.74421787261962</c:v>
                </c:pt>
                <c:pt idx="192">
                  <c:v>9.7442169189453107</c:v>
                </c:pt>
                <c:pt idx="193">
                  <c:v>9.7442169189453107</c:v>
                </c:pt>
                <c:pt idx="194">
                  <c:v>9.7442159652709908</c:v>
                </c:pt>
                <c:pt idx="195">
                  <c:v>9.7442150115966797</c:v>
                </c:pt>
                <c:pt idx="196">
                  <c:v>9.7442140579223597</c:v>
                </c:pt>
                <c:pt idx="197">
                  <c:v>9.7442140579223597</c:v>
                </c:pt>
                <c:pt idx="198">
                  <c:v>9.7442131042480398</c:v>
                </c:pt>
                <c:pt idx="199">
                  <c:v>9.7442131042480398</c:v>
                </c:pt>
                <c:pt idx="200">
                  <c:v>9.7442121505737305</c:v>
                </c:pt>
                <c:pt idx="201">
                  <c:v>9.7442111968994105</c:v>
                </c:pt>
                <c:pt idx="202">
                  <c:v>9.7442102432250906</c:v>
                </c:pt>
                <c:pt idx="203">
                  <c:v>9.7442102432250906</c:v>
                </c:pt>
                <c:pt idx="204">
                  <c:v>9.7442092895507795</c:v>
                </c:pt>
                <c:pt idx="205">
                  <c:v>9.7442092895507795</c:v>
                </c:pt>
                <c:pt idx="206">
                  <c:v>9.7442083358764595</c:v>
                </c:pt>
                <c:pt idx="207">
                  <c:v>9.7442073822021396</c:v>
                </c:pt>
                <c:pt idx="208">
                  <c:v>9.7442073822021396</c:v>
                </c:pt>
                <c:pt idx="209">
                  <c:v>9.7442064285278303</c:v>
                </c:pt>
                <c:pt idx="210">
                  <c:v>9.7442064285278303</c:v>
                </c:pt>
                <c:pt idx="211">
                  <c:v>9.7442054748535103</c:v>
                </c:pt>
                <c:pt idx="212">
                  <c:v>9.7442035675048793</c:v>
                </c:pt>
                <c:pt idx="213">
                  <c:v>9.7442035675048793</c:v>
                </c:pt>
                <c:pt idx="214">
                  <c:v>9.7442026138305593</c:v>
                </c:pt>
                <c:pt idx="215">
                  <c:v>9.7442026138305593</c:v>
                </c:pt>
                <c:pt idx="216">
                  <c:v>9.74420166015625</c:v>
                </c:pt>
                <c:pt idx="217">
                  <c:v>9.74420166015625</c:v>
                </c:pt>
                <c:pt idx="218">
                  <c:v>9.74420070648193</c:v>
                </c:pt>
                <c:pt idx="219">
                  <c:v>9.74420070648193</c:v>
                </c:pt>
                <c:pt idx="220">
                  <c:v>9.7441997528076101</c:v>
                </c:pt>
                <c:pt idx="221">
                  <c:v>9.7441997528076101</c:v>
                </c:pt>
                <c:pt idx="222">
                  <c:v>9.7441987991333008</c:v>
                </c:pt>
                <c:pt idx="223">
                  <c:v>9.7441987991333008</c:v>
                </c:pt>
                <c:pt idx="224">
                  <c:v>9.7441978454589808</c:v>
                </c:pt>
                <c:pt idx="225">
                  <c:v>9.7441968917846609</c:v>
                </c:pt>
                <c:pt idx="226">
                  <c:v>9.7441968917846609</c:v>
                </c:pt>
                <c:pt idx="227">
                  <c:v>9.7441968917846609</c:v>
                </c:pt>
                <c:pt idx="228">
                  <c:v>9.7441959381103498</c:v>
                </c:pt>
                <c:pt idx="229">
                  <c:v>9.7441949844360298</c:v>
                </c:pt>
                <c:pt idx="230">
                  <c:v>9.7441949844360298</c:v>
                </c:pt>
                <c:pt idx="231">
                  <c:v>9.7441949844360298</c:v>
                </c:pt>
                <c:pt idx="232">
                  <c:v>9.7441940307617099</c:v>
                </c:pt>
                <c:pt idx="233">
                  <c:v>9.7441940307617099</c:v>
                </c:pt>
                <c:pt idx="234">
                  <c:v>9.7441930770874006</c:v>
                </c:pt>
                <c:pt idx="235">
                  <c:v>9.7441930770874006</c:v>
                </c:pt>
                <c:pt idx="236">
                  <c:v>9.7441921234130806</c:v>
                </c:pt>
                <c:pt idx="237">
                  <c:v>9.7441921234130806</c:v>
                </c:pt>
                <c:pt idx="238">
                  <c:v>9.7441911697387695</c:v>
                </c:pt>
                <c:pt idx="239">
                  <c:v>9.7441911697387695</c:v>
                </c:pt>
                <c:pt idx="240">
                  <c:v>9.7441911697387695</c:v>
                </c:pt>
                <c:pt idx="241">
                  <c:v>9.7441902160644496</c:v>
                </c:pt>
                <c:pt idx="242">
                  <c:v>9.7441902160644496</c:v>
                </c:pt>
                <c:pt idx="243">
                  <c:v>9.7441892623901296</c:v>
                </c:pt>
                <c:pt idx="244">
                  <c:v>9.7441892623901296</c:v>
                </c:pt>
                <c:pt idx="245">
                  <c:v>9.7441883087158203</c:v>
                </c:pt>
                <c:pt idx="246">
                  <c:v>9.7441883087158203</c:v>
                </c:pt>
                <c:pt idx="247">
                  <c:v>9.7441883087158203</c:v>
                </c:pt>
                <c:pt idx="248">
                  <c:v>9.7441883087158203</c:v>
                </c:pt>
                <c:pt idx="249">
                  <c:v>9.7441873550415004</c:v>
                </c:pt>
                <c:pt idx="250">
                  <c:v>9.7441864013671804</c:v>
                </c:pt>
                <c:pt idx="251">
                  <c:v>9.7441864013671804</c:v>
                </c:pt>
                <c:pt idx="252">
                  <c:v>9.7441864013671804</c:v>
                </c:pt>
                <c:pt idx="253">
                  <c:v>9.7441854476928693</c:v>
                </c:pt>
                <c:pt idx="254">
                  <c:v>9.7441854476928693</c:v>
                </c:pt>
                <c:pt idx="255">
                  <c:v>9.7441835403442294</c:v>
                </c:pt>
                <c:pt idx="256">
                  <c:v>9.7441835403442294</c:v>
                </c:pt>
                <c:pt idx="257">
                  <c:v>9.7441835403442294</c:v>
                </c:pt>
                <c:pt idx="258">
                  <c:v>9.7441825866699201</c:v>
                </c:pt>
                <c:pt idx="259">
                  <c:v>9.7441825866699201</c:v>
                </c:pt>
                <c:pt idx="260">
                  <c:v>9.7441825866699201</c:v>
                </c:pt>
                <c:pt idx="261">
                  <c:v>9.7441825866699201</c:v>
                </c:pt>
                <c:pt idx="262">
                  <c:v>9.7441816329956001</c:v>
                </c:pt>
                <c:pt idx="263">
                  <c:v>9.7441816329956001</c:v>
                </c:pt>
                <c:pt idx="264">
                  <c:v>9.7441806793212802</c:v>
                </c:pt>
                <c:pt idx="265">
                  <c:v>9.7441806793212802</c:v>
                </c:pt>
                <c:pt idx="266">
                  <c:v>9.7441806793212802</c:v>
                </c:pt>
                <c:pt idx="267">
                  <c:v>9.7441797256469709</c:v>
                </c:pt>
                <c:pt idx="268">
                  <c:v>9.7441797256469709</c:v>
                </c:pt>
                <c:pt idx="269">
                  <c:v>9.7441797256469709</c:v>
                </c:pt>
                <c:pt idx="270">
                  <c:v>9.7441787719726491</c:v>
                </c:pt>
                <c:pt idx="271">
                  <c:v>9.7441787719726491</c:v>
                </c:pt>
                <c:pt idx="272">
                  <c:v>9.7441778182983398</c:v>
                </c:pt>
                <c:pt idx="273">
                  <c:v>9.7441778182983398</c:v>
                </c:pt>
                <c:pt idx="274">
                  <c:v>9.7441778182983398</c:v>
                </c:pt>
                <c:pt idx="275">
                  <c:v>9.7441778182983398</c:v>
                </c:pt>
                <c:pt idx="276">
                  <c:v>9.7441768646240199</c:v>
                </c:pt>
                <c:pt idx="277">
                  <c:v>9.7441768646240199</c:v>
                </c:pt>
                <c:pt idx="278">
                  <c:v>9.7441768646240199</c:v>
                </c:pt>
                <c:pt idx="279">
                  <c:v>9.7441759109496999</c:v>
                </c:pt>
                <c:pt idx="280">
                  <c:v>9.7441759109496999</c:v>
                </c:pt>
                <c:pt idx="281">
                  <c:v>9.7441759109496999</c:v>
                </c:pt>
                <c:pt idx="282">
                  <c:v>9.7441749572753906</c:v>
                </c:pt>
                <c:pt idx="283">
                  <c:v>9.7441749572753906</c:v>
                </c:pt>
                <c:pt idx="284">
                  <c:v>9.7441749572753906</c:v>
                </c:pt>
                <c:pt idx="285">
                  <c:v>9.7441740036010707</c:v>
                </c:pt>
                <c:pt idx="286">
                  <c:v>9.7441740036010707</c:v>
                </c:pt>
                <c:pt idx="287">
                  <c:v>9.7441740036010707</c:v>
                </c:pt>
                <c:pt idx="288">
                  <c:v>9.7441740036010707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92-4527-988C-09463ADA4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GB"/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b="0" i="0" u="none" strike="noStrike">
                <a:latin typeface="Calibri"/>
              </a:rPr>
              <a:t>Report-2031_Oil_4500bopd_Liquid_4773blpd_5MMSCFD_GL_TD_Only_OP2.genkey</a:t>
            </a:r>
          </a:p>
        </c:rich>
      </c:tx>
      <c:layout>
        <c:manualLayout>
          <c:xMode val="edge"/>
          <c:yMode val="edge"/>
          <c:x val="0.11935376539471029"/>
          <c:y val="1.6920473773265651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Legends!$B$2</c:f>
              <c:strCache>
                <c:ptCount val="1"/>
                <c:pt idx="0">
                  <c:v>Liquid at Outlet</c:v>
                </c:pt>
              </c:strCache>
            </c:strRef>
          </c:tx>
          <c:marker>
            <c:symbol val="none"/>
          </c:marker>
          <c:xVal>
            <c:numRef>
              <c:f>'SIM2'!$A$11:$A$299</c:f>
              <c:numCache>
                <c:formatCode>General</c:formatCode>
                <c:ptCount val="289"/>
                <c:pt idx="0">
                  <c:v>0</c:v>
                </c:pt>
                <c:pt idx="1">
                  <c:v>0.25023770332336398</c:v>
                </c:pt>
                <c:pt idx="2">
                  <c:v>0.50013446807861295</c:v>
                </c:pt>
                <c:pt idx="3">
                  <c:v>0.75021666288375799</c:v>
                </c:pt>
                <c:pt idx="4">
                  <c:v>1.0002969503402701</c:v>
                </c:pt>
                <c:pt idx="5">
                  <c:v>1.2500705718994101</c:v>
                </c:pt>
                <c:pt idx="6">
                  <c:v>1.50002884864807</c:v>
                </c:pt>
                <c:pt idx="7">
                  <c:v>1.7500077486038199</c:v>
                </c:pt>
                <c:pt idx="8">
                  <c:v>2.0003316402435298</c:v>
                </c:pt>
                <c:pt idx="9">
                  <c:v>2.25025415420532</c:v>
                </c:pt>
                <c:pt idx="10">
                  <c:v>2.5001766681671098</c:v>
                </c:pt>
                <c:pt idx="11">
                  <c:v>2.7500991821289</c:v>
                </c:pt>
                <c:pt idx="12">
                  <c:v>3.0000221729278498</c:v>
                </c:pt>
                <c:pt idx="13">
                  <c:v>3.2503445148468</c:v>
                </c:pt>
                <c:pt idx="14">
                  <c:v>3.5002694129943799</c:v>
                </c:pt>
                <c:pt idx="15">
                  <c:v>3.7501916885375901</c:v>
                </c:pt>
                <c:pt idx="16">
                  <c:v>4.0001139640808097</c:v>
                </c:pt>
                <c:pt idx="17">
                  <c:v>4.2500362396240199</c:v>
                </c:pt>
                <c:pt idx="18">
                  <c:v>4.5003581047058097</c:v>
                </c:pt>
                <c:pt idx="19">
                  <c:v>4.7503056526184002</c:v>
                </c:pt>
                <c:pt idx="20">
                  <c:v>5.00006103515625</c:v>
                </c:pt>
                <c:pt idx="21">
                  <c:v>5.2504858970642001</c:v>
                </c:pt>
                <c:pt idx="22">
                  <c:v>5.5004582405090297</c:v>
                </c:pt>
                <c:pt idx="23">
                  <c:v>5.7507166862487704</c:v>
                </c:pt>
                <c:pt idx="24">
                  <c:v>6.0005640983581499</c:v>
                </c:pt>
                <c:pt idx="25">
                  <c:v>6.2506027221679599</c:v>
                </c:pt>
                <c:pt idx="26">
                  <c:v>6.5001525878906197</c:v>
                </c:pt>
                <c:pt idx="27">
                  <c:v>6.7502026557922301</c:v>
                </c:pt>
                <c:pt idx="28">
                  <c:v>7.0003890991210902</c:v>
                </c:pt>
                <c:pt idx="29">
                  <c:v>7.2500557899475098</c:v>
                </c:pt>
                <c:pt idx="30">
                  <c:v>7.5003914833068803</c:v>
                </c:pt>
                <c:pt idx="31">
                  <c:v>7.7502470016479403</c:v>
                </c:pt>
                <c:pt idx="32">
                  <c:v>8.0002527236938406</c:v>
                </c:pt>
                <c:pt idx="33">
                  <c:v>8.2500829696655202</c:v>
                </c:pt>
                <c:pt idx="34">
                  <c:v>8.50056648254394</c:v>
                </c:pt>
                <c:pt idx="35">
                  <c:v>8.7500801086425692</c:v>
                </c:pt>
                <c:pt idx="36">
                  <c:v>9.0003747940063406</c:v>
                </c:pt>
                <c:pt idx="37">
                  <c:v>9.2501363754272408</c:v>
                </c:pt>
                <c:pt idx="38">
                  <c:v>9.5003442764282209</c:v>
                </c:pt>
                <c:pt idx="39">
                  <c:v>9.7503252029418892</c:v>
                </c:pt>
                <c:pt idx="40">
                  <c:v>10.000319480896</c:v>
                </c:pt>
                <c:pt idx="41">
                  <c:v>10.250200271606399</c:v>
                </c:pt>
                <c:pt idx="42">
                  <c:v>10.500033378601</c:v>
                </c:pt>
                <c:pt idx="43">
                  <c:v>10.750124931335399</c:v>
                </c:pt>
                <c:pt idx="44">
                  <c:v>11.0005111694335</c:v>
                </c:pt>
                <c:pt idx="45">
                  <c:v>11.250474929809499</c:v>
                </c:pt>
                <c:pt idx="46">
                  <c:v>11.500144004821699</c:v>
                </c:pt>
                <c:pt idx="47">
                  <c:v>11.7502746582031</c:v>
                </c:pt>
                <c:pt idx="48">
                  <c:v>12.0000305175781</c:v>
                </c:pt>
                <c:pt idx="49">
                  <c:v>12.250641822814901</c:v>
                </c:pt>
                <c:pt idx="50">
                  <c:v>12.5005025863647</c:v>
                </c:pt>
                <c:pt idx="51">
                  <c:v>12.750319480896</c:v>
                </c:pt>
                <c:pt idx="52">
                  <c:v>13.000347137451101</c:v>
                </c:pt>
                <c:pt idx="53">
                  <c:v>13.250124931335399</c:v>
                </c:pt>
                <c:pt idx="54">
                  <c:v>13.5002336502075</c:v>
                </c:pt>
                <c:pt idx="55">
                  <c:v>13.7500553131103</c:v>
                </c:pt>
                <c:pt idx="56">
                  <c:v>14.000383377075201</c:v>
                </c:pt>
                <c:pt idx="57">
                  <c:v>14.2503004074096</c:v>
                </c:pt>
                <c:pt idx="58">
                  <c:v>14.5004892349243</c:v>
                </c:pt>
                <c:pt idx="59">
                  <c:v>14.750580787658601</c:v>
                </c:pt>
                <c:pt idx="60">
                  <c:v>15.000205993652299</c:v>
                </c:pt>
                <c:pt idx="61">
                  <c:v>15.2500190734863</c:v>
                </c:pt>
                <c:pt idx="62">
                  <c:v>15.500438690185501</c:v>
                </c:pt>
                <c:pt idx="63">
                  <c:v>15.750094413757299</c:v>
                </c:pt>
                <c:pt idx="64">
                  <c:v>16.0000190734863</c:v>
                </c:pt>
                <c:pt idx="65">
                  <c:v>16.250097274780199</c:v>
                </c:pt>
                <c:pt idx="66">
                  <c:v>16.5001335144043</c:v>
                </c:pt>
                <c:pt idx="67">
                  <c:v>16.750207901000898</c:v>
                </c:pt>
                <c:pt idx="68">
                  <c:v>17.000288009643501</c:v>
                </c:pt>
                <c:pt idx="69">
                  <c:v>17.2501525878906</c:v>
                </c:pt>
                <c:pt idx="70">
                  <c:v>17.5003662109375</c:v>
                </c:pt>
                <c:pt idx="71">
                  <c:v>17.750024795532202</c:v>
                </c:pt>
                <c:pt idx="72">
                  <c:v>18.000467300415</c:v>
                </c:pt>
                <c:pt idx="73">
                  <c:v>18.250591278076101</c:v>
                </c:pt>
                <c:pt idx="74">
                  <c:v>18.500062942504801</c:v>
                </c:pt>
                <c:pt idx="75">
                  <c:v>18.750097274780199</c:v>
                </c:pt>
                <c:pt idx="76">
                  <c:v>19.000097274780199</c:v>
                </c:pt>
                <c:pt idx="77">
                  <c:v>19.250114440917901</c:v>
                </c:pt>
                <c:pt idx="78">
                  <c:v>19.500127792358398</c:v>
                </c:pt>
                <c:pt idx="79">
                  <c:v>19.750299453735298</c:v>
                </c:pt>
                <c:pt idx="80">
                  <c:v>20.0000495910644</c:v>
                </c:pt>
                <c:pt idx="81">
                  <c:v>20.250165939331001</c:v>
                </c:pt>
                <c:pt idx="82">
                  <c:v>20.500303268432599</c:v>
                </c:pt>
                <c:pt idx="83">
                  <c:v>20.750108718871999</c:v>
                </c:pt>
                <c:pt idx="84">
                  <c:v>21.000127792358398</c:v>
                </c:pt>
                <c:pt idx="85">
                  <c:v>21.2502422332763</c:v>
                </c:pt>
                <c:pt idx="86">
                  <c:v>21.5003337860107</c:v>
                </c:pt>
                <c:pt idx="87">
                  <c:v>21.750389099121001</c:v>
                </c:pt>
                <c:pt idx="88">
                  <c:v>22.000238418579102</c:v>
                </c:pt>
                <c:pt idx="89">
                  <c:v>22.250032424926701</c:v>
                </c:pt>
                <c:pt idx="90">
                  <c:v>22.5002937316894</c:v>
                </c:pt>
                <c:pt idx="91">
                  <c:v>22.750350952148398</c:v>
                </c:pt>
                <c:pt idx="92">
                  <c:v>23.0001201629638</c:v>
                </c:pt>
                <c:pt idx="93">
                  <c:v>23.2501525878906</c:v>
                </c:pt>
                <c:pt idx="94">
                  <c:v>23.500278472900298</c:v>
                </c:pt>
                <c:pt idx="95">
                  <c:v>23.7503948211669</c:v>
                </c:pt>
                <c:pt idx="96">
                  <c:v>24.000318527221602</c:v>
                </c:pt>
                <c:pt idx="97">
                  <c:v>24.250114440917901</c:v>
                </c:pt>
                <c:pt idx="98">
                  <c:v>24.500473022460898</c:v>
                </c:pt>
                <c:pt idx="99">
                  <c:v>24.7501201629638</c:v>
                </c:pt>
                <c:pt idx="100">
                  <c:v>25.0001201629638</c:v>
                </c:pt>
                <c:pt idx="101">
                  <c:v>25.250083923339801</c:v>
                </c:pt>
                <c:pt idx="102">
                  <c:v>25.500383377075199</c:v>
                </c:pt>
                <c:pt idx="103">
                  <c:v>25.750299453735298</c:v>
                </c:pt>
                <c:pt idx="104">
                  <c:v>26.0003852844238</c:v>
                </c:pt>
                <c:pt idx="105">
                  <c:v>26.250186920166001</c:v>
                </c:pt>
                <c:pt idx="106">
                  <c:v>26.5003967285156</c:v>
                </c:pt>
                <c:pt idx="107">
                  <c:v>26.7504558563232</c:v>
                </c:pt>
                <c:pt idx="108">
                  <c:v>27.000513076782202</c:v>
                </c:pt>
                <c:pt idx="109">
                  <c:v>27.250005722045898</c:v>
                </c:pt>
                <c:pt idx="110">
                  <c:v>27.500522613525298</c:v>
                </c:pt>
                <c:pt idx="111">
                  <c:v>27.750062942504801</c:v>
                </c:pt>
                <c:pt idx="112">
                  <c:v>28.0003337860107</c:v>
                </c:pt>
                <c:pt idx="113">
                  <c:v>28.250139236450199</c:v>
                </c:pt>
                <c:pt idx="114">
                  <c:v>28.5000286102294</c:v>
                </c:pt>
                <c:pt idx="115">
                  <c:v>28.750360488891602</c:v>
                </c:pt>
                <c:pt idx="116">
                  <c:v>29.0003337860107</c:v>
                </c:pt>
                <c:pt idx="117">
                  <c:v>29.250278472900298</c:v>
                </c:pt>
                <c:pt idx="118">
                  <c:v>29.50022315979</c:v>
                </c:pt>
                <c:pt idx="119">
                  <c:v>29.7503051757812</c:v>
                </c:pt>
                <c:pt idx="120">
                  <c:v>30.000389099121001</c:v>
                </c:pt>
                <c:pt idx="121">
                  <c:v>30.250473022460898</c:v>
                </c:pt>
                <c:pt idx="122">
                  <c:v>30.5</c:v>
                </c:pt>
                <c:pt idx="123">
                  <c:v>30.7504158020019</c:v>
                </c:pt>
                <c:pt idx="124">
                  <c:v>31.0003051757812</c:v>
                </c:pt>
                <c:pt idx="125">
                  <c:v>31.2506103515625</c:v>
                </c:pt>
                <c:pt idx="126">
                  <c:v>31.500694274902301</c:v>
                </c:pt>
                <c:pt idx="127">
                  <c:v>31.750194549560501</c:v>
                </c:pt>
                <c:pt idx="128">
                  <c:v>32.000473022460902</c:v>
                </c:pt>
                <c:pt idx="129">
                  <c:v>32.250389099121001</c:v>
                </c:pt>
                <c:pt idx="130">
                  <c:v>32.5</c:v>
                </c:pt>
                <c:pt idx="131">
                  <c:v>32.750251770019503</c:v>
                </c:pt>
                <c:pt idx="132">
                  <c:v>33.000278472900298</c:v>
                </c:pt>
                <c:pt idx="133">
                  <c:v>33.250026702880803</c:v>
                </c:pt>
                <c:pt idx="134">
                  <c:v>33.500026702880803</c:v>
                </c:pt>
                <c:pt idx="135">
                  <c:v>33.750057220458899</c:v>
                </c:pt>
                <c:pt idx="136">
                  <c:v>34.000194549560497</c:v>
                </c:pt>
                <c:pt idx="137">
                  <c:v>34.250556945800703</c:v>
                </c:pt>
                <c:pt idx="138">
                  <c:v>34.500167846679602</c:v>
                </c:pt>
                <c:pt idx="139">
                  <c:v>34.750110626220703</c:v>
                </c:pt>
                <c:pt idx="140">
                  <c:v>35.000331878662102</c:v>
                </c:pt>
                <c:pt idx="141">
                  <c:v>35.250221252441399</c:v>
                </c:pt>
                <c:pt idx="142">
                  <c:v>35.500110626220703</c:v>
                </c:pt>
                <c:pt idx="143">
                  <c:v>35.750110626220703</c:v>
                </c:pt>
                <c:pt idx="144">
                  <c:v>36.000083923339801</c:v>
                </c:pt>
                <c:pt idx="145">
                  <c:v>36.250026702880803</c:v>
                </c:pt>
                <c:pt idx="146">
                  <c:v>36.50044631958</c:v>
                </c:pt>
                <c:pt idx="147">
                  <c:v>36.750583648681598</c:v>
                </c:pt>
                <c:pt idx="148">
                  <c:v>37.000221252441399</c:v>
                </c:pt>
                <c:pt idx="149">
                  <c:v>37.250499725341797</c:v>
                </c:pt>
                <c:pt idx="150">
                  <c:v>37.500637054443303</c:v>
                </c:pt>
                <c:pt idx="151">
                  <c:v>37.750026702880803</c:v>
                </c:pt>
                <c:pt idx="152">
                  <c:v>38.000362396240199</c:v>
                </c:pt>
                <c:pt idx="153">
                  <c:v>38.250415802001903</c:v>
                </c:pt>
                <c:pt idx="154">
                  <c:v>38.50044631958</c:v>
                </c:pt>
                <c:pt idx="155">
                  <c:v>38.750251770019503</c:v>
                </c:pt>
                <c:pt idx="156">
                  <c:v>39.000194549560497</c:v>
                </c:pt>
                <c:pt idx="157">
                  <c:v>39.250362396240199</c:v>
                </c:pt>
                <c:pt idx="158">
                  <c:v>39.500083923339801</c:v>
                </c:pt>
                <c:pt idx="159">
                  <c:v>39.750389099121001</c:v>
                </c:pt>
                <c:pt idx="160">
                  <c:v>40.000057220458899</c:v>
                </c:pt>
                <c:pt idx="161">
                  <c:v>40.2503051757812</c:v>
                </c:pt>
                <c:pt idx="162">
                  <c:v>40.500221252441399</c:v>
                </c:pt>
                <c:pt idx="163">
                  <c:v>40.750026702880803</c:v>
                </c:pt>
                <c:pt idx="164">
                  <c:v>41.000251770019503</c:v>
                </c:pt>
                <c:pt idx="165">
                  <c:v>41.250194549560497</c:v>
                </c:pt>
                <c:pt idx="166">
                  <c:v>41.500637054443303</c:v>
                </c:pt>
                <c:pt idx="167">
                  <c:v>41.750194549560497</c:v>
                </c:pt>
                <c:pt idx="168">
                  <c:v>42.000083923339801</c:v>
                </c:pt>
                <c:pt idx="169">
                  <c:v>42.25</c:v>
                </c:pt>
                <c:pt idx="170">
                  <c:v>42.500331878662102</c:v>
                </c:pt>
                <c:pt idx="171">
                  <c:v>42.750137329101499</c:v>
                </c:pt>
                <c:pt idx="172">
                  <c:v>43.000473022460902</c:v>
                </c:pt>
                <c:pt idx="173">
                  <c:v>43.250473022460902</c:v>
                </c:pt>
                <c:pt idx="174">
                  <c:v>43.500026702880803</c:v>
                </c:pt>
                <c:pt idx="175">
                  <c:v>43.750389099121001</c:v>
                </c:pt>
                <c:pt idx="176">
                  <c:v>44.000362396240199</c:v>
                </c:pt>
                <c:pt idx="177">
                  <c:v>44.250221252441399</c:v>
                </c:pt>
                <c:pt idx="178">
                  <c:v>44.500331878662102</c:v>
                </c:pt>
                <c:pt idx="179">
                  <c:v>44.750167846679602</c:v>
                </c:pt>
                <c:pt idx="180">
                  <c:v>45.000499725341797</c:v>
                </c:pt>
                <c:pt idx="181">
                  <c:v>45.250362396240199</c:v>
                </c:pt>
                <c:pt idx="182">
                  <c:v>45.500221252441399</c:v>
                </c:pt>
                <c:pt idx="183">
                  <c:v>45.750057220458899</c:v>
                </c:pt>
                <c:pt idx="184">
                  <c:v>46.000137329101499</c:v>
                </c:pt>
                <c:pt idx="185">
                  <c:v>46.250415802001903</c:v>
                </c:pt>
                <c:pt idx="186">
                  <c:v>46.500278472900298</c:v>
                </c:pt>
                <c:pt idx="187">
                  <c:v>46.750167846679602</c:v>
                </c:pt>
                <c:pt idx="188">
                  <c:v>47.000473022460902</c:v>
                </c:pt>
                <c:pt idx="189">
                  <c:v>47.25044631958</c:v>
                </c:pt>
                <c:pt idx="190">
                  <c:v>47.500667572021399</c:v>
                </c:pt>
                <c:pt idx="191">
                  <c:v>47.75</c:v>
                </c:pt>
                <c:pt idx="192">
                  <c:v>48.000278472900298</c:v>
                </c:pt>
                <c:pt idx="193">
                  <c:v>48.250110626220703</c:v>
                </c:pt>
                <c:pt idx="194">
                  <c:v>48.500362396240199</c:v>
                </c:pt>
                <c:pt idx="195">
                  <c:v>48.750057220458899</c:v>
                </c:pt>
                <c:pt idx="196">
                  <c:v>49.000167846679602</c:v>
                </c:pt>
                <c:pt idx="197">
                  <c:v>49.250278472900298</c:v>
                </c:pt>
                <c:pt idx="198">
                  <c:v>49.500167846679602</c:v>
                </c:pt>
                <c:pt idx="199">
                  <c:v>49.750473022460902</c:v>
                </c:pt>
                <c:pt idx="200">
                  <c:v>50.000194549560497</c:v>
                </c:pt>
                <c:pt idx="201">
                  <c:v>50.250194549560497</c:v>
                </c:pt>
                <c:pt idx="202">
                  <c:v>50.500221252441399</c:v>
                </c:pt>
                <c:pt idx="203">
                  <c:v>50.750526428222599</c:v>
                </c:pt>
                <c:pt idx="204">
                  <c:v>51.000221252441399</c:v>
                </c:pt>
                <c:pt idx="205">
                  <c:v>51.250110626220703</c:v>
                </c:pt>
                <c:pt idx="206">
                  <c:v>51.500083923339801</c:v>
                </c:pt>
                <c:pt idx="207">
                  <c:v>51.750415802001903</c:v>
                </c:pt>
                <c:pt idx="208">
                  <c:v>52.000194549560497</c:v>
                </c:pt>
                <c:pt idx="209">
                  <c:v>52.250389099121001</c:v>
                </c:pt>
                <c:pt idx="210">
                  <c:v>52.500278472900298</c:v>
                </c:pt>
                <c:pt idx="211">
                  <c:v>52.750278472900298</c:v>
                </c:pt>
                <c:pt idx="212">
                  <c:v>53.000278472900298</c:v>
                </c:pt>
                <c:pt idx="213">
                  <c:v>53.250526428222599</c:v>
                </c:pt>
                <c:pt idx="214">
                  <c:v>53.500362396240199</c:v>
                </c:pt>
                <c:pt idx="215">
                  <c:v>53.750389099121001</c:v>
                </c:pt>
                <c:pt idx="216">
                  <c:v>54.000167846679602</c:v>
                </c:pt>
                <c:pt idx="217">
                  <c:v>54.250251770019503</c:v>
                </c:pt>
                <c:pt idx="218">
                  <c:v>54.500167846679602</c:v>
                </c:pt>
                <c:pt idx="219">
                  <c:v>54.750583648681598</c:v>
                </c:pt>
                <c:pt idx="220">
                  <c:v>55.0003051757812</c:v>
                </c:pt>
                <c:pt idx="221">
                  <c:v>55.250362396240199</c:v>
                </c:pt>
                <c:pt idx="222">
                  <c:v>55.500083923339801</c:v>
                </c:pt>
                <c:pt idx="223">
                  <c:v>55.750083923339801</c:v>
                </c:pt>
                <c:pt idx="224">
                  <c:v>56.00044631958</c:v>
                </c:pt>
                <c:pt idx="225">
                  <c:v>56.2503051757812</c:v>
                </c:pt>
                <c:pt idx="226">
                  <c:v>56.5003051757812</c:v>
                </c:pt>
                <c:pt idx="227">
                  <c:v>56.750278472900298</c:v>
                </c:pt>
                <c:pt idx="228">
                  <c:v>57.000473022460902</c:v>
                </c:pt>
                <c:pt idx="229">
                  <c:v>57.250831604003899</c:v>
                </c:pt>
                <c:pt idx="230">
                  <c:v>57.500026702880803</c:v>
                </c:pt>
                <c:pt idx="231">
                  <c:v>57.750057220458899</c:v>
                </c:pt>
                <c:pt idx="232">
                  <c:v>58.000110626220703</c:v>
                </c:pt>
                <c:pt idx="233">
                  <c:v>58.250415802001903</c:v>
                </c:pt>
                <c:pt idx="234">
                  <c:v>58.5003051757812</c:v>
                </c:pt>
                <c:pt idx="235">
                  <c:v>58.750362396240199</c:v>
                </c:pt>
                <c:pt idx="236">
                  <c:v>59</c:v>
                </c:pt>
                <c:pt idx="237">
                  <c:v>59.250415802001903</c:v>
                </c:pt>
                <c:pt idx="238">
                  <c:v>59.500278472900298</c:v>
                </c:pt>
                <c:pt idx="239">
                  <c:v>59.750415802001903</c:v>
                </c:pt>
                <c:pt idx="240">
                  <c:v>60.000331878662102</c:v>
                </c:pt>
                <c:pt idx="241">
                  <c:v>60.2506103515625</c:v>
                </c:pt>
                <c:pt idx="242">
                  <c:v>60.500415802001903</c:v>
                </c:pt>
                <c:pt idx="243">
                  <c:v>60.750499725341797</c:v>
                </c:pt>
                <c:pt idx="244">
                  <c:v>61.000278472900298</c:v>
                </c:pt>
                <c:pt idx="245">
                  <c:v>61.25</c:v>
                </c:pt>
                <c:pt idx="246">
                  <c:v>61.500389099121001</c:v>
                </c:pt>
                <c:pt idx="247">
                  <c:v>61.75</c:v>
                </c:pt>
                <c:pt idx="248">
                  <c:v>62.000194549560497</c:v>
                </c:pt>
                <c:pt idx="249">
                  <c:v>62.250251770019503</c:v>
                </c:pt>
                <c:pt idx="250">
                  <c:v>62.500499725341797</c:v>
                </c:pt>
                <c:pt idx="251">
                  <c:v>62.750026702880803</c:v>
                </c:pt>
                <c:pt idx="252">
                  <c:v>63.00044631958</c:v>
                </c:pt>
                <c:pt idx="253">
                  <c:v>63.250026702880803</c:v>
                </c:pt>
                <c:pt idx="254">
                  <c:v>63.5006103515625</c:v>
                </c:pt>
                <c:pt idx="255">
                  <c:v>63.75044631958</c:v>
                </c:pt>
                <c:pt idx="256">
                  <c:v>64.000831604003906</c:v>
                </c:pt>
                <c:pt idx="257">
                  <c:v>64.250190734863196</c:v>
                </c:pt>
                <c:pt idx="258">
                  <c:v>64.500419616699205</c:v>
                </c:pt>
                <c:pt idx="259">
                  <c:v>64.750053405761705</c:v>
                </c:pt>
                <c:pt idx="260">
                  <c:v>65.000335693359304</c:v>
                </c:pt>
                <c:pt idx="261">
                  <c:v>65.250114440917898</c:v>
                </c:pt>
                <c:pt idx="262">
                  <c:v>65.500335693359304</c:v>
                </c:pt>
                <c:pt idx="263">
                  <c:v>65.750335693359304</c:v>
                </c:pt>
                <c:pt idx="264">
                  <c:v>66.000083923339801</c:v>
                </c:pt>
                <c:pt idx="265">
                  <c:v>66.250419616699205</c:v>
                </c:pt>
                <c:pt idx="266">
                  <c:v>66.500030517578097</c:v>
                </c:pt>
                <c:pt idx="267">
                  <c:v>66.750389099120994</c:v>
                </c:pt>
                <c:pt idx="268">
                  <c:v>67.000778198242102</c:v>
                </c:pt>
                <c:pt idx="269">
                  <c:v>67.250442504882798</c:v>
                </c:pt>
                <c:pt idx="270">
                  <c:v>67.500137329101506</c:v>
                </c:pt>
                <c:pt idx="271">
                  <c:v>67.750305175781193</c:v>
                </c:pt>
                <c:pt idx="272">
                  <c:v>68.000221252441406</c:v>
                </c:pt>
                <c:pt idx="273">
                  <c:v>68.250030517578097</c:v>
                </c:pt>
                <c:pt idx="274">
                  <c:v>68.5</c:v>
                </c:pt>
                <c:pt idx="275">
                  <c:v>68.750335693359304</c:v>
                </c:pt>
                <c:pt idx="276">
                  <c:v>69.000083923339801</c:v>
                </c:pt>
                <c:pt idx="277">
                  <c:v>69.250221252441406</c:v>
                </c:pt>
                <c:pt idx="278">
                  <c:v>69.500083923339801</c:v>
                </c:pt>
                <c:pt idx="279">
                  <c:v>69.750503540039006</c:v>
                </c:pt>
                <c:pt idx="280">
                  <c:v>70.000526428222599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70.750358581542898</c:v>
                </c:pt>
                <c:pt idx="284">
                  <c:v>71.000389099120994</c:v>
                </c:pt>
                <c:pt idx="285">
                  <c:v>71.250083923339801</c:v>
                </c:pt>
                <c:pt idx="286">
                  <c:v>71.500030517578097</c:v>
                </c:pt>
                <c:pt idx="287">
                  <c:v>71.750221252441406</c:v>
                </c:pt>
                <c:pt idx="288">
                  <c:v>72.000335693359304</c:v>
                </c:pt>
              </c:numCache>
            </c:numRef>
          </c:xVal>
          <c:yVal>
            <c:numRef>
              <c:f>'SIM2'!$E$11:$E$299</c:f>
              <c:numCache>
                <c:formatCode>General</c:formatCode>
                <c:ptCount val="289"/>
                <c:pt idx="0">
                  <c:v>1.8990140408277501E-2</c:v>
                </c:pt>
                <c:pt idx="1">
                  <c:v>1.3257109560072399E-2</c:v>
                </c:pt>
                <c:pt idx="2">
                  <c:v>9.5496810972690496E-3</c:v>
                </c:pt>
                <c:pt idx="3">
                  <c:v>1.31569001823663E-2</c:v>
                </c:pt>
                <c:pt idx="4">
                  <c:v>9.3655679374933208E-3</c:v>
                </c:pt>
                <c:pt idx="5">
                  <c:v>8.3195697516202892E-3</c:v>
                </c:pt>
                <c:pt idx="6">
                  <c:v>9.2526162043213792E-3</c:v>
                </c:pt>
                <c:pt idx="7">
                  <c:v>8.6977062746882404E-3</c:v>
                </c:pt>
                <c:pt idx="8">
                  <c:v>1.15617401897907E-2</c:v>
                </c:pt>
                <c:pt idx="9">
                  <c:v>8.2071060314774496E-3</c:v>
                </c:pt>
                <c:pt idx="10">
                  <c:v>8.4927901625633205E-3</c:v>
                </c:pt>
                <c:pt idx="11">
                  <c:v>1.04625895619392E-2</c:v>
                </c:pt>
                <c:pt idx="12">
                  <c:v>8.3924373611807806E-3</c:v>
                </c:pt>
                <c:pt idx="13">
                  <c:v>1.1512080207466999E-2</c:v>
                </c:pt>
                <c:pt idx="14">
                  <c:v>8.4743658080697008E-3</c:v>
                </c:pt>
                <c:pt idx="15">
                  <c:v>7.51087395474314E-3</c:v>
                </c:pt>
                <c:pt idx="16">
                  <c:v>1.17009095847606E-2</c:v>
                </c:pt>
                <c:pt idx="17">
                  <c:v>8.2613248378038406E-3</c:v>
                </c:pt>
                <c:pt idx="18">
                  <c:v>9.4897402450442297E-3</c:v>
                </c:pt>
                <c:pt idx="19">
                  <c:v>7.1979020722210399E-3</c:v>
                </c:pt>
                <c:pt idx="20">
                  <c:v>5.3747277706861496E-3</c:v>
                </c:pt>
                <c:pt idx="21">
                  <c:v>-2.4282559752464199E-3</c:v>
                </c:pt>
                <c:pt idx="22">
                  <c:v>2.0651179365813702E-3</c:v>
                </c:pt>
                <c:pt idx="23">
                  <c:v>2.2369660437106999E-3</c:v>
                </c:pt>
                <c:pt idx="24">
                  <c:v>3.27861402183771E-3</c:v>
                </c:pt>
                <c:pt idx="25">
                  <c:v>2.5404550135135599E-2</c:v>
                </c:pt>
                <c:pt idx="26">
                  <c:v>1.04373395442962E-2</c:v>
                </c:pt>
                <c:pt idx="27">
                  <c:v>1.9105149433016701E-2</c:v>
                </c:pt>
                <c:pt idx="28">
                  <c:v>7.0409681648015898E-3</c:v>
                </c:pt>
                <c:pt idx="29">
                  <c:v>4.2462837882339902E-3</c:v>
                </c:pt>
                <c:pt idx="30">
                  <c:v>1.3355379924178099E-2</c:v>
                </c:pt>
                <c:pt idx="31">
                  <c:v>7.3230247944593404E-3</c:v>
                </c:pt>
                <c:pt idx="32">
                  <c:v>-2.8790940996259402E-4</c:v>
                </c:pt>
                <c:pt idx="33">
                  <c:v>-4.8303208313882299E-3</c:v>
                </c:pt>
                <c:pt idx="34">
                  <c:v>-1.58715900033712E-3</c:v>
                </c:pt>
                <c:pt idx="35">
                  <c:v>0.113277897238731</c:v>
                </c:pt>
                <c:pt idx="36">
                  <c:v>2.4441620334982799E-2</c:v>
                </c:pt>
                <c:pt idx="37">
                  <c:v>1.18796797469258E-2</c:v>
                </c:pt>
                <c:pt idx="38">
                  <c:v>9.4117680564522709E-3</c:v>
                </c:pt>
                <c:pt idx="39">
                  <c:v>8.7309554219245893E-3</c:v>
                </c:pt>
                <c:pt idx="40">
                  <c:v>5.7037561200559096E-3</c:v>
                </c:pt>
                <c:pt idx="41">
                  <c:v>1.47187104448676E-3</c:v>
                </c:pt>
                <c:pt idx="42">
                  <c:v>-1.8791389884427101E-3</c:v>
                </c:pt>
                <c:pt idx="43">
                  <c:v>7.7695287764072401E-3</c:v>
                </c:pt>
                <c:pt idx="44">
                  <c:v>2.3185599129646999E-3</c:v>
                </c:pt>
                <c:pt idx="45">
                  <c:v>-1.89168797805905E-3</c:v>
                </c:pt>
                <c:pt idx="46">
                  <c:v>4.1081180097535198E-4</c:v>
                </c:pt>
                <c:pt idx="47">
                  <c:v>-6.3539150869473804E-4</c:v>
                </c:pt>
                <c:pt idx="48">
                  <c:v>9.0108821168541908E-3</c:v>
                </c:pt>
                <c:pt idx="49">
                  <c:v>3.5379370674490898E-3</c:v>
                </c:pt>
                <c:pt idx="50">
                  <c:v>1.70581098645925E-2</c:v>
                </c:pt>
                <c:pt idx="51">
                  <c:v>6.8800039589404999E-3</c:v>
                </c:pt>
                <c:pt idx="52">
                  <c:v>9.9996291100978799E-3</c:v>
                </c:pt>
                <c:pt idx="53">
                  <c:v>6.24189618974924E-3</c:v>
                </c:pt>
                <c:pt idx="54">
                  <c:v>2.7022380381822499E-3</c:v>
                </c:pt>
                <c:pt idx="55">
                  <c:v>4.6946778893470703E-3</c:v>
                </c:pt>
                <c:pt idx="56">
                  <c:v>2.2812399547547102E-3</c:v>
                </c:pt>
                <c:pt idx="57">
                  <c:v>3.5532540641724998E-4</c:v>
                </c:pt>
                <c:pt idx="58">
                  <c:v>-9.2966831289231701E-4</c:v>
                </c:pt>
                <c:pt idx="59">
                  <c:v>8.3325261948630203E-4</c:v>
                </c:pt>
                <c:pt idx="60">
                  <c:v>-4.2713590664788999E-4</c:v>
                </c:pt>
                <c:pt idx="61">
                  <c:v>2.7043130248785002E-3</c:v>
                </c:pt>
                <c:pt idx="62">
                  <c:v>4.0120441466569901E-2</c:v>
                </c:pt>
                <c:pt idx="63">
                  <c:v>9.6381707116961392E-3</c:v>
                </c:pt>
                <c:pt idx="64">
                  <c:v>1.4255310408771E-2</c:v>
                </c:pt>
                <c:pt idx="65">
                  <c:v>7.0955180563032601E-3</c:v>
                </c:pt>
                <c:pt idx="66">
                  <c:v>4.1221948340535103E-3</c:v>
                </c:pt>
                <c:pt idx="67">
                  <c:v>-2.48006102629005E-3</c:v>
                </c:pt>
                <c:pt idx="68">
                  <c:v>-3.3619059249758699E-3</c:v>
                </c:pt>
                <c:pt idx="69">
                  <c:v>7.4781768023967701E-2</c:v>
                </c:pt>
                <c:pt idx="70">
                  <c:v>8.5767852142453107E-3</c:v>
                </c:pt>
                <c:pt idx="71">
                  <c:v>-2.8471578843891599E-4</c:v>
                </c:pt>
                <c:pt idx="72">
                  <c:v>-1.0656319791451101E-3</c:v>
                </c:pt>
                <c:pt idx="73">
                  <c:v>-7.8845601819921204E-5</c:v>
                </c:pt>
                <c:pt idx="74">
                  <c:v>0.16526350378990101</c:v>
                </c:pt>
                <c:pt idx="75">
                  <c:v>4.2869899421930299E-2</c:v>
                </c:pt>
                <c:pt idx="76">
                  <c:v>1.30777200683951E-2</c:v>
                </c:pt>
                <c:pt idx="77">
                  <c:v>9.6055399626493402E-3</c:v>
                </c:pt>
                <c:pt idx="78">
                  <c:v>8.4784021601080808E-3</c:v>
                </c:pt>
                <c:pt idx="79">
                  <c:v>5.9135202318429904E-3</c:v>
                </c:pt>
                <c:pt idx="80">
                  <c:v>1.7643410246819199E-3</c:v>
                </c:pt>
                <c:pt idx="81">
                  <c:v>7.1914959698915395E-4</c:v>
                </c:pt>
                <c:pt idx="82">
                  <c:v>6.4108513295650399E-2</c:v>
                </c:pt>
                <c:pt idx="83">
                  <c:v>3.2164540607482099E-3</c:v>
                </c:pt>
                <c:pt idx="84">
                  <c:v>-1.7274500569328601E-3</c:v>
                </c:pt>
                <c:pt idx="85">
                  <c:v>-5.1569181960075996E-4</c:v>
                </c:pt>
                <c:pt idx="86">
                  <c:v>-9.1144460020586805E-4</c:v>
                </c:pt>
                <c:pt idx="87">
                  <c:v>9.5689902082085592E-3</c:v>
                </c:pt>
                <c:pt idx="88">
                  <c:v>3.5641030408441999E-3</c:v>
                </c:pt>
                <c:pt idx="89">
                  <c:v>1.7104709520935998E-2</c:v>
                </c:pt>
                <c:pt idx="90">
                  <c:v>7.1236421354115001E-3</c:v>
                </c:pt>
                <c:pt idx="91">
                  <c:v>9.8997773602604797E-3</c:v>
                </c:pt>
                <c:pt idx="92">
                  <c:v>6.2324190512299503E-3</c:v>
                </c:pt>
                <c:pt idx="93">
                  <c:v>2.6921089738607398E-3</c:v>
                </c:pt>
                <c:pt idx="94">
                  <c:v>8.0309966579079593E-3</c:v>
                </c:pt>
                <c:pt idx="95">
                  <c:v>1.92009494639933E-3</c:v>
                </c:pt>
                <c:pt idx="96">
                  <c:v>8.7400607299059597E-4</c:v>
                </c:pt>
                <c:pt idx="97">
                  <c:v>-3.0571860261261398E-3</c:v>
                </c:pt>
                <c:pt idx="98">
                  <c:v>-6.17846206296235E-4</c:v>
                </c:pt>
                <c:pt idx="99">
                  <c:v>-1.8878870469052301E-4</c:v>
                </c:pt>
                <c:pt idx="100">
                  <c:v>3.9678709581494297E-3</c:v>
                </c:pt>
                <c:pt idx="101">
                  <c:v>2.6156829670071598E-2</c:v>
                </c:pt>
                <c:pt idx="102">
                  <c:v>8.4756975993513992E-3</c:v>
                </c:pt>
                <c:pt idx="103">
                  <c:v>1.53956301510334E-2</c:v>
                </c:pt>
                <c:pt idx="104">
                  <c:v>6.6754082217812503E-3</c:v>
                </c:pt>
                <c:pt idx="105">
                  <c:v>3.4505929797887802E-3</c:v>
                </c:pt>
                <c:pt idx="106">
                  <c:v>-4.0724161081016003E-3</c:v>
                </c:pt>
                <c:pt idx="107">
                  <c:v>-4.4877800974063501E-5</c:v>
                </c:pt>
                <c:pt idx="108">
                  <c:v>0.108436599373817</c:v>
                </c:pt>
                <c:pt idx="109">
                  <c:v>1.10723497346043E-2</c:v>
                </c:pt>
                <c:pt idx="110">
                  <c:v>-2.3837869521230398E-3</c:v>
                </c:pt>
                <c:pt idx="111">
                  <c:v>-1.54419697355479E-3</c:v>
                </c:pt>
                <c:pt idx="112">
                  <c:v>3.2729710801504498E-4</c:v>
                </c:pt>
                <c:pt idx="113">
                  <c:v>0.22022439539432501</c:v>
                </c:pt>
                <c:pt idx="114">
                  <c:v>5.4382909089326803E-2</c:v>
                </c:pt>
                <c:pt idx="115">
                  <c:v>1.21169695630669E-2</c:v>
                </c:pt>
                <c:pt idx="116">
                  <c:v>1.0712319985032E-2</c:v>
                </c:pt>
                <c:pt idx="117">
                  <c:v>8.2655707374215091E-3</c:v>
                </c:pt>
                <c:pt idx="118">
                  <c:v>5.6747030466794898E-3</c:v>
                </c:pt>
                <c:pt idx="119">
                  <c:v>1.34254398290067E-3</c:v>
                </c:pt>
                <c:pt idx="120">
                  <c:v>-8.9688389562070305E-4</c:v>
                </c:pt>
                <c:pt idx="121">
                  <c:v>5.855408962816E-3</c:v>
                </c:pt>
                <c:pt idx="122">
                  <c:v>2.3135009687393899E-3</c:v>
                </c:pt>
                <c:pt idx="123">
                  <c:v>-7.0632062852382595E-4</c:v>
                </c:pt>
                <c:pt idx="124">
                  <c:v>-2.4734358885325399E-4</c:v>
                </c:pt>
                <c:pt idx="125">
                  <c:v>-3.6867539165541503E-4</c:v>
                </c:pt>
                <c:pt idx="126">
                  <c:v>5.9444140642881298E-3</c:v>
                </c:pt>
                <c:pt idx="127">
                  <c:v>3.4579669591039402E-3</c:v>
                </c:pt>
                <c:pt idx="128">
                  <c:v>1.72848794609308E-2</c:v>
                </c:pt>
                <c:pt idx="129">
                  <c:v>6.8937391042709299E-3</c:v>
                </c:pt>
                <c:pt idx="130">
                  <c:v>1.0003070347011001E-2</c:v>
                </c:pt>
                <c:pt idx="131">
                  <c:v>6.2312781810760498E-3</c:v>
                </c:pt>
                <c:pt idx="132">
                  <c:v>2.7361658867448499E-3</c:v>
                </c:pt>
                <c:pt idx="133">
                  <c:v>7.8671146184205992E-3</c:v>
                </c:pt>
                <c:pt idx="134">
                  <c:v>1.96397211402654E-3</c:v>
                </c:pt>
                <c:pt idx="135">
                  <c:v>-3.6907999310642398E-3</c:v>
                </c:pt>
                <c:pt idx="136">
                  <c:v>1.0603240225464099E-3</c:v>
                </c:pt>
                <c:pt idx="137">
                  <c:v>-1.0416130535304501E-3</c:v>
                </c:pt>
                <c:pt idx="138">
                  <c:v>-1.86398101504892E-4</c:v>
                </c:pt>
                <c:pt idx="139">
                  <c:v>3.26190888881683E-3</c:v>
                </c:pt>
                <c:pt idx="140">
                  <c:v>2.83304005861282E-2</c:v>
                </c:pt>
                <c:pt idx="141">
                  <c:v>8.92819184809923E-3</c:v>
                </c:pt>
                <c:pt idx="142">
                  <c:v>1.51810897514224E-2</c:v>
                </c:pt>
                <c:pt idx="143">
                  <c:v>6.8081351928412897E-3</c:v>
                </c:pt>
                <c:pt idx="144">
                  <c:v>3.6778519861400101E-3</c:v>
                </c:pt>
                <c:pt idx="145">
                  <c:v>7.9363999248016592E-6</c:v>
                </c:pt>
                <c:pt idx="146">
                  <c:v>-4.80939314002171E-4</c:v>
                </c:pt>
                <c:pt idx="147">
                  <c:v>0.100442998111248</c:v>
                </c:pt>
                <c:pt idx="148">
                  <c:v>1.01530896499753E-2</c:v>
                </c:pt>
                <c:pt idx="149">
                  <c:v>-2.6511719916015798E-3</c:v>
                </c:pt>
                <c:pt idx="150">
                  <c:v>-1.1433480540290399E-3</c:v>
                </c:pt>
                <c:pt idx="151">
                  <c:v>-1.33423903025686E-3</c:v>
                </c:pt>
                <c:pt idx="152">
                  <c:v>0.22869360446929901</c:v>
                </c:pt>
                <c:pt idx="153">
                  <c:v>5.2863691002130501E-2</c:v>
                </c:pt>
                <c:pt idx="154">
                  <c:v>1.23045099899172E-2</c:v>
                </c:pt>
                <c:pt idx="155">
                  <c:v>1.04676103219389E-2</c:v>
                </c:pt>
                <c:pt idx="156">
                  <c:v>8.3137350156903198E-3</c:v>
                </c:pt>
                <c:pt idx="157">
                  <c:v>5.7340320199728003E-3</c:v>
                </c:pt>
                <c:pt idx="158">
                  <c:v>1.457403996028E-3</c:v>
                </c:pt>
                <c:pt idx="159">
                  <c:v>4.9439699068898301E-5</c:v>
                </c:pt>
                <c:pt idx="160">
                  <c:v>6.7498849239200299E-4</c:v>
                </c:pt>
                <c:pt idx="161">
                  <c:v>1.5821299748495199E-3</c:v>
                </c:pt>
                <c:pt idx="162">
                  <c:v>-1.2905419571325101E-3</c:v>
                </c:pt>
                <c:pt idx="163">
                  <c:v>-1.0023249778896501E-3</c:v>
                </c:pt>
                <c:pt idx="164">
                  <c:v>-6.5048778196796699E-4</c:v>
                </c:pt>
                <c:pt idx="165">
                  <c:v>8.0785630270838703E-3</c:v>
                </c:pt>
                <c:pt idx="166">
                  <c:v>3.7191049195826002E-3</c:v>
                </c:pt>
                <c:pt idx="167">
                  <c:v>1.7212400212883901E-2</c:v>
                </c:pt>
                <c:pt idx="168">
                  <c:v>6.7013711668550899E-3</c:v>
                </c:pt>
                <c:pt idx="169">
                  <c:v>1.01423198357224E-2</c:v>
                </c:pt>
                <c:pt idx="170">
                  <c:v>6.2505099922418499E-3</c:v>
                </c:pt>
                <c:pt idx="171">
                  <c:v>2.5315729435533198E-3</c:v>
                </c:pt>
                <c:pt idx="172">
                  <c:v>2.2569409338757401E-4</c:v>
                </c:pt>
                <c:pt idx="173">
                  <c:v>-2.9843900847481499E-5</c:v>
                </c:pt>
                <c:pt idx="174">
                  <c:v>1.47190503776073E-3</c:v>
                </c:pt>
                <c:pt idx="175">
                  <c:v>-8.4353820420801596E-4</c:v>
                </c:pt>
                <c:pt idx="176">
                  <c:v>-9.3163712881505403E-4</c:v>
                </c:pt>
                <c:pt idx="177">
                  <c:v>-7.4614101322367706E-5</c:v>
                </c:pt>
                <c:pt idx="178">
                  <c:v>1.7825140384957099E-3</c:v>
                </c:pt>
                <c:pt idx="179">
                  <c:v>6.8217511288821697E-3</c:v>
                </c:pt>
                <c:pt idx="180">
                  <c:v>2.63603292405605E-2</c:v>
                </c:pt>
                <c:pt idx="181">
                  <c:v>7.29745905846357E-3</c:v>
                </c:pt>
                <c:pt idx="182">
                  <c:v>1.3874189928174E-2</c:v>
                </c:pt>
                <c:pt idx="183">
                  <c:v>6.4630862325429899E-3</c:v>
                </c:pt>
                <c:pt idx="184">
                  <c:v>3.4419519361108498E-3</c:v>
                </c:pt>
                <c:pt idx="185">
                  <c:v>3.3233161084353902E-3</c:v>
                </c:pt>
                <c:pt idx="186">
                  <c:v>2.8655859641730699E-3</c:v>
                </c:pt>
                <c:pt idx="187">
                  <c:v>-3.0141009483486401E-3</c:v>
                </c:pt>
                <c:pt idx="188">
                  <c:v>3.6506619653664502E-4</c:v>
                </c:pt>
                <c:pt idx="189">
                  <c:v>-1.2879710411652901E-3</c:v>
                </c:pt>
                <c:pt idx="190">
                  <c:v>-6.5696192905306805E-4</c:v>
                </c:pt>
                <c:pt idx="191">
                  <c:v>3.5476209595799398E-3</c:v>
                </c:pt>
                <c:pt idx="192">
                  <c:v>6.3533052802085793E-2</c:v>
                </c:pt>
                <c:pt idx="193">
                  <c:v>1.12127996981144E-2</c:v>
                </c:pt>
                <c:pt idx="194">
                  <c:v>1.20248198509216E-2</c:v>
                </c:pt>
                <c:pt idx="195">
                  <c:v>7.71386083215475E-3</c:v>
                </c:pt>
                <c:pt idx="196">
                  <c:v>4.9634738825261497E-3</c:v>
                </c:pt>
                <c:pt idx="197">
                  <c:v>-1.245763967745E-3</c:v>
                </c:pt>
                <c:pt idx="198">
                  <c:v>-1.6807869542390099E-3</c:v>
                </c:pt>
                <c:pt idx="199">
                  <c:v>4.3256899516563802E-5</c:v>
                </c:pt>
                <c:pt idx="200">
                  <c:v>1.5925390180200299E-3</c:v>
                </c:pt>
                <c:pt idx="201">
                  <c:v>-8.9766067685559305E-4</c:v>
                </c:pt>
                <c:pt idx="202">
                  <c:v>-5.2629871061071699E-4</c:v>
                </c:pt>
                <c:pt idx="203">
                  <c:v>-6.0161331202834801E-4</c:v>
                </c:pt>
                <c:pt idx="204">
                  <c:v>1.0891229845583401E-2</c:v>
                </c:pt>
                <c:pt idx="205">
                  <c:v>1.50235202163457E-2</c:v>
                </c:pt>
                <c:pt idx="206">
                  <c:v>1.5439700335264201E-2</c:v>
                </c:pt>
                <c:pt idx="207">
                  <c:v>7.4638677760958602E-3</c:v>
                </c:pt>
                <c:pt idx="208">
                  <c:v>9.3503789976239204E-3</c:v>
                </c:pt>
                <c:pt idx="209">
                  <c:v>6.1844149604439701E-3</c:v>
                </c:pt>
                <c:pt idx="210">
                  <c:v>2.2297380492091101E-3</c:v>
                </c:pt>
                <c:pt idx="211">
                  <c:v>-3.1499360920861298E-4</c:v>
                </c:pt>
                <c:pt idx="212">
                  <c:v>-1.51090498548001E-4</c:v>
                </c:pt>
                <c:pt idx="213">
                  <c:v>1.4345370000228199E-3</c:v>
                </c:pt>
                <c:pt idx="214">
                  <c:v>6.5044237999245503E-4</c:v>
                </c:pt>
                <c:pt idx="215">
                  <c:v>-1.39619503170251E-3</c:v>
                </c:pt>
                <c:pt idx="216">
                  <c:v>-4.0128329419530901E-4</c:v>
                </c:pt>
                <c:pt idx="217">
                  <c:v>-3.06257093325257E-3</c:v>
                </c:pt>
                <c:pt idx="218">
                  <c:v>7.1045681834220799E-3</c:v>
                </c:pt>
                <c:pt idx="219">
                  <c:v>2.4166520684957501E-2</c:v>
                </c:pt>
                <c:pt idx="220">
                  <c:v>6.78169587627053E-3</c:v>
                </c:pt>
                <c:pt idx="221">
                  <c:v>1.2976479716598901E-2</c:v>
                </c:pt>
                <c:pt idx="222">
                  <c:v>6.3558551482856204E-3</c:v>
                </c:pt>
                <c:pt idx="223">
                  <c:v>3.3269920386374001E-3</c:v>
                </c:pt>
                <c:pt idx="224">
                  <c:v>4.4576232321560296E-3</c:v>
                </c:pt>
                <c:pt idx="225">
                  <c:v>2.7572379913181001E-3</c:v>
                </c:pt>
                <c:pt idx="226">
                  <c:v>-7.7211618190631205E-4</c:v>
                </c:pt>
                <c:pt idx="227">
                  <c:v>1.88457997865043E-5</c:v>
                </c:pt>
                <c:pt idx="228">
                  <c:v>-4.4231880456209096E-3</c:v>
                </c:pt>
                <c:pt idx="229">
                  <c:v>-6.6175271058455099E-4</c:v>
                </c:pt>
                <c:pt idx="230">
                  <c:v>2.5362160522490701E-3</c:v>
                </c:pt>
                <c:pt idx="231">
                  <c:v>5.9635598212480503E-2</c:v>
                </c:pt>
                <c:pt idx="232">
                  <c:v>1.04024996981024E-2</c:v>
                </c:pt>
                <c:pt idx="233">
                  <c:v>1.34428795427084E-2</c:v>
                </c:pt>
                <c:pt idx="234">
                  <c:v>7.3319640941917896E-3</c:v>
                </c:pt>
                <c:pt idx="235">
                  <c:v>4.4169072061777098E-3</c:v>
                </c:pt>
                <c:pt idx="236">
                  <c:v>-2.3385109379887498E-3</c:v>
                </c:pt>
                <c:pt idx="237">
                  <c:v>-1.1500939726829501E-3</c:v>
                </c:pt>
                <c:pt idx="238">
                  <c:v>3.6901968996971798E-3</c:v>
                </c:pt>
                <c:pt idx="239">
                  <c:v>2.49648606404662E-3</c:v>
                </c:pt>
                <c:pt idx="240">
                  <c:v>1.8190909759141499E-4</c:v>
                </c:pt>
                <c:pt idx="241">
                  <c:v>-1.96221997612156E-4</c:v>
                </c:pt>
                <c:pt idx="242">
                  <c:v>-9.8973701824434102E-5</c:v>
                </c:pt>
                <c:pt idx="243">
                  <c:v>4.8274390399456003E-2</c:v>
                </c:pt>
                <c:pt idx="244">
                  <c:v>3.1214790418744E-2</c:v>
                </c:pt>
                <c:pt idx="245">
                  <c:v>1.4291210100054699E-2</c:v>
                </c:pt>
                <c:pt idx="246">
                  <c:v>8.3569698035716993E-3</c:v>
                </c:pt>
                <c:pt idx="247">
                  <c:v>8.8592879474163003E-3</c:v>
                </c:pt>
                <c:pt idx="248">
                  <c:v>6.0941088013350903E-3</c:v>
                </c:pt>
                <c:pt idx="249">
                  <c:v>2.0285039208829399E-3</c:v>
                </c:pt>
                <c:pt idx="250">
                  <c:v>-1.87873397953808E-3</c:v>
                </c:pt>
                <c:pt idx="251">
                  <c:v>1.2504649930633599E-4</c:v>
                </c:pt>
                <c:pt idx="252">
                  <c:v>1.5036650002002701E-3</c:v>
                </c:pt>
                <c:pt idx="253">
                  <c:v>-1.16947898641228E-3</c:v>
                </c:pt>
                <c:pt idx="254">
                  <c:v>-1.0087749687954701E-3</c:v>
                </c:pt>
                <c:pt idx="255">
                  <c:v>-1.00461998954415E-3</c:v>
                </c:pt>
                <c:pt idx="256">
                  <c:v>-1.61336502060294E-3</c:v>
                </c:pt>
                <c:pt idx="257">
                  <c:v>6.9269239902496303E-3</c:v>
                </c:pt>
                <c:pt idx="258">
                  <c:v>2.19718497246503E-2</c:v>
                </c:pt>
                <c:pt idx="259">
                  <c:v>6.4306408166885298E-3</c:v>
                </c:pt>
                <c:pt idx="260">
                  <c:v>1.2299699708819299E-2</c:v>
                </c:pt>
                <c:pt idx="261">
                  <c:v>6.3303671777248296E-3</c:v>
                </c:pt>
                <c:pt idx="262">
                  <c:v>3.1567199621349499E-3</c:v>
                </c:pt>
                <c:pt idx="263">
                  <c:v>8.8165700435638395E-4</c:v>
                </c:pt>
                <c:pt idx="264">
                  <c:v>4.6501071192324101E-3</c:v>
                </c:pt>
                <c:pt idx="265">
                  <c:v>6.9529801839962602E-4</c:v>
                </c:pt>
                <c:pt idx="266">
                  <c:v>-1.5135910362005199E-3</c:v>
                </c:pt>
                <c:pt idx="267">
                  <c:v>-1.1681059841066601E-3</c:v>
                </c:pt>
                <c:pt idx="268">
                  <c:v>-7.4439361924305504E-4</c:v>
                </c:pt>
                <c:pt idx="269">
                  <c:v>0.20576229691505399</c:v>
                </c:pt>
                <c:pt idx="270">
                  <c:v>4.3341811746358802E-2</c:v>
                </c:pt>
                <c:pt idx="271">
                  <c:v>1.27280196174979E-2</c:v>
                </c:pt>
                <c:pt idx="272">
                  <c:v>9.7646657377481409E-3</c:v>
                </c:pt>
                <c:pt idx="273">
                  <c:v>8.2884188741445507E-3</c:v>
                </c:pt>
                <c:pt idx="274">
                  <c:v>5.8213989250361902E-3</c:v>
                </c:pt>
                <c:pt idx="275">
                  <c:v>9.1961119323968801E-4</c:v>
                </c:pt>
                <c:pt idx="276">
                  <c:v>-8.9102701167576001E-5</c:v>
                </c:pt>
                <c:pt idx="277">
                  <c:v>-1.6473959840368401E-4</c:v>
                </c:pt>
                <c:pt idx="278">
                  <c:v>1.50798598770052E-3</c:v>
                </c:pt>
                <c:pt idx="279">
                  <c:v>-2.7102699968963801E-3</c:v>
                </c:pt>
                <c:pt idx="280">
                  <c:v>-7.6387578155845404E-4</c:v>
                </c:pt>
                <c:pt idx="281">
                  <c:v>-9.89904860034585E-4</c:v>
                </c:pt>
                <c:pt idx="282">
                  <c:v>-1.4669490337837401E-4</c:v>
                </c:pt>
                <c:pt idx="283">
                  <c:v>5.0230240449309297E-3</c:v>
                </c:pt>
                <c:pt idx="284">
                  <c:v>1.9202230498194601E-2</c:v>
                </c:pt>
                <c:pt idx="285">
                  <c:v>6.2056900933384904E-3</c:v>
                </c:pt>
                <c:pt idx="286">
                  <c:v>1.0991279967129199E-2</c:v>
                </c:pt>
                <c:pt idx="287">
                  <c:v>6.2863091006875003E-3</c:v>
                </c:pt>
                <c:pt idx="288">
                  <c:v>2.8444500640034602E-3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7-47D0-BB31-D0952D2E4E4B}"/>
            </c:ext>
          </c:extLst>
        </c:ser>
        <c:ser>
          <c:idx val="1"/>
          <c:order val="1"/>
          <c:tx>
            <c:strRef>
              <c:f>Legends!$B$3</c:f>
              <c:strCache>
                <c:ptCount val="1"/>
                <c:pt idx="0">
                  <c:v>Liquid Velocity</c:v>
                </c:pt>
              </c:strCache>
            </c:strRef>
          </c:tx>
          <c:marker>
            <c:symbol val="none"/>
          </c:marker>
          <c:xVal>
            <c:numRef>
              <c:f>'SIM2'!$B$11:$B$299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0.25023770332336398</c:v>
                </c:pt>
                <c:pt idx="2">
                  <c:v>0.50013446807861295</c:v>
                </c:pt>
                <c:pt idx="3">
                  <c:v>0.75021666288375799</c:v>
                </c:pt>
                <c:pt idx="4">
                  <c:v>1.0002969503402701</c:v>
                </c:pt>
                <c:pt idx="5">
                  <c:v>1.2500705718994101</c:v>
                </c:pt>
                <c:pt idx="6">
                  <c:v>1.50002884864807</c:v>
                </c:pt>
                <c:pt idx="7">
                  <c:v>1.7500077486038199</c:v>
                </c:pt>
                <c:pt idx="8">
                  <c:v>2.0003316402435298</c:v>
                </c:pt>
                <c:pt idx="9">
                  <c:v>2.25025415420532</c:v>
                </c:pt>
                <c:pt idx="10">
                  <c:v>2.5001766681671098</c:v>
                </c:pt>
                <c:pt idx="11">
                  <c:v>2.7500991821289</c:v>
                </c:pt>
                <c:pt idx="12">
                  <c:v>3.0000221729278498</c:v>
                </c:pt>
                <c:pt idx="13">
                  <c:v>3.2503445148468</c:v>
                </c:pt>
                <c:pt idx="14">
                  <c:v>3.5002694129943799</c:v>
                </c:pt>
                <c:pt idx="15">
                  <c:v>3.7501916885375901</c:v>
                </c:pt>
                <c:pt idx="16">
                  <c:v>4.0001139640808097</c:v>
                </c:pt>
                <c:pt idx="17">
                  <c:v>4.2500362396240199</c:v>
                </c:pt>
                <c:pt idx="18">
                  <c:v>4.5003581047058097</c:v>
                </c:pt>
                <c:pt idx="19">
                  <c:v>4.7503056526184002</c:v>
                </c:pt>
                <c:pt idx="20">
                  <c:v>5.00006103515625</c:v>
                </c:pt>
                <c:pt idx="21">
                  <c:v>5.2504858970642001</c:v>
                </c:pt>
                <c:pt idx="22">
                  <c:v>5.5004582405090297</c:v>
                </c:pt>
                <c:pt idx="23">
                  <c:v>5.7507166862487704</c:v>
                </c:pt>
                <c:pt idx="24">
                  <c:v>6.0005640983581499</c:v>
                </c:pt>
                <c:pt idx="25">
                  <c:v>6.2506027221679599</c:v>
                </c:pt>
                <c:pt idx="26">
                  <c:v>6.5001525878906197</c:v>
                </c:pt>
                <c:pt idx="27">
                  <c:v>6.7502026557922301</c:v>
                </c:pt>
                <c:pt idx="28">
                  <c:v>7.0003890991210902</c:v>
                </c:pt>
                <c:pt idx="29">
                  <c:v>7.2500557899475098</c:v>
                </c:pt>
                <c:pt idx="30">
                  <c:v>7.5003914833068803</c:v>
                </c:pt>
                <c:pt idx="31">
                  <c:v>7.7502470016479403</c:v>
                </c:pt>
                <c:pt idx="32">
                  <c:v>8.0002527236938406</c:v>
                </c:pt>
                <c:pt idx="33">
                  <c:v>8.2500829696655202</c:v>
                </c:pt>
                <c:pt idx="34">
                  <c:v>8.50056648254394</c:v>
                </c:pt>
                <c:pt idx="35">
                  <c:v>8.7500801086425692</c:v>
                </c:pt>
                <c:pt idx="36">
                  <c:v>9.0003747940063406</c:v>
                </c:pt>
                <c:pt idx="37">
                  <c:v>9.2501363754272408</c:v>
                </c:pt>
                <c:pt idx="38">
                  <c:v>9.5003442764282209</c:v>
                </c:pt>
                <c:pt idx="39">
                  <c:v>9.7503252029418892</c:v>
                </c:pt>
                <c:pt idx="40">
                  <c:v>10.000319480896</c:v>
                </c:pt>
                <c:pt idx="41">
                  <c:v>10.250200271606399</c:v>
                </c:pt>
                <c:pt idx="42">
                  <c:v>10.500033378601</c:v>
                </c:pt>
                <c:pt idx="43">
                  <c:v>10.750124931335399</c:v>
                </c:pt>
                <c:pt idx="44">
                  <c:v>11.0005111694335</c:v>
                </c:pt>
                <c:pt idx="45">
                  <c:v>11.250474929809499</c:v>
                </c:pt>
                <c:pt idx="46">
                  <c:v>11.500144004821699</c:v>
                </c:pt>
                <c:pt idx="47">
                  <c:v>11.7502746582031</c:v>
                </c:pt>
                <c:pt idx="48">
                  <c:v>12.0000305175781</c:v>
                </c:pt>
                <c:pt idx="49">
                  <c:v>12.250641822814901</c:v>
                </c:pt>
                <c:pt idx="50">
                  <c:v>12.5005025863647</c:v>
                </c:pt>
                <c:pt idx="51">
                  <c:v>12.750319480896</c:v>
                </c:pt>
                <c:pt idx="52">
                  <c:v>13.000347137451101</c:v>
                </c:pt>
                <c:pt idx="53">
                  <c:v>13.250124931335399</c:v>
                </c:pt>
                <c:pt idx="54">
                  <c:v>13.5002336502075</c:v>
                </c:pt>
                <c:pt idx="55">
                  <c:v>13.7500553131103</c:v>
                </c:pt>
                <c:pt idx="56">
                  <c:v>14.000383377075201</c:v>
                </c:pt>
                <c:pt idx="57">
                  <c:v>14.2503004074096</c:v>
                </c:pt>
                <c:pt idx="58">
                  <c:v>14.5004892349243</c:v>
                </c:pt>
                <c:pt idx="59">
                  <c:v>14.750580787658601</c:v>
                </c:pt>
                <c:pt idx="60">
                  <c:v>15.000205993652299</c:v>
                </c:pt>
                <c:pt idx="61">
                  <c:v>15.2500190734863</c:v>
                </c:pt>
                <c:pt idx="62">
                  <c:v>15.500438690185501</c:v>
                </c:pt>
                <c:pt idx="63">
                  <c:v>15.750094413757299</c:v>
                </c:pt>
                <c:pt idx="64">
                  <c:v>16.0000190734863</c:v>
                </c:pt>
                <c:pt idx="65">
                  <c:v>16.250097274780199</c:v>
                </c:pt>
                <c:pt idx="66">
                  <c:v>16.5001335144043</c:v>
                </c:pt>
                <c:pt idx="67">
                  <c:v>16.750207901000898</c:v>
                </c:pt>
                <c:pt idx="68">
                  <c:v>17.000288009643501</c:v>
                </c:pt>
                <c:pt idx="69">
                  <c:v>17.2501525878906</c:v>
                </c:pt>
                <c:pt idx="70">
                  <c:v>17.5003662109375</c:v>
                </c:pt>
                <c:pt idx="71">
                  <c:v>17.750024795532202</c:v>
                </c:pt>
                <c:pt idx="72">
                  <c:v>18.000467300415</c:v>
                </c:pt>
                <c:pt idx="73">
                  <c:v>18.250591278076101</c:v>
                </c:pt>
                <c:pt idx="74">
                  <c:v>18.500062942504801</c:v>
                </c:pt>
                <c:pt idx="75">
                  <c:v>18.750097274780199</c:v>
                </c:pt>
                <c:pt idx="76">
                  <c:v>19.000097274780199</c:v>
                </c:pt>
                <c:pt idx="77">
                  <c:v>19.250114440917901</c:v>
                </c:pt>
                <c:pt idx="78">
                  <c:v>19.500127792358398</c:v>
                </c:pt>
                <c:pt idx="79">
                  <c:v>19.750299453735298</c:v>
                </c:pt>
                <c:pt idx="80">
                  <c:v>20.0000495910644</c:v>
                </c:pt>
                <c:pt idx="81">
                  <c:v>20.250165939331001</c:v>
                </c:pt>
                <c:pt idx="82">
                  <c:v>20.500303268432599</c:v>
                </c:pt>
                <c:pt idx="83">
                  <c:v>20.750108718871999</c:v>
                </c:pt>
                <c:pt idx="84">
                  <c:v>21.000127792358398</c:v>
                </c:pt>
                <c:pt idx="85">
                  <c:v>21.2502422332763</c:v>
                </c:pt>
                <c:pt idx="86">
                  <c:v>21.5003337860107</c:v>
                </c:pt>
                <c:pt idx="87">
                  <c:v>21.750389099121001</c:v>
                </c:pt>
                <c:pt idx="88">
                  <c:v>22.000238418579102</c:v>
                </c:pt>
                <c:pt idx="89">
                  <c:v>22.250032424926701</c:v>
                </c:pt>
                <c:pt idx="90">
                  <c:v>22.5002937316894</c:v>
                </c:pt>
                <c:pt idx="91">
                  <c:v>22.750350952148398</c:v>
                </c:pt>
                <c:pt idx="92">
                  <c:v>23.0001201629638</c:v>
                </c:pt>
                <c:pt idx="93">
                  <c:v>23.2501525878906</c:v>
                </c:pt>
                <c:pt idx="94">
                  <c:v>23.500278472900298</c:v>
                </c:pt>
                <c:pt idx="95">
                  <c:v>23.7503948211669</c:v>
                </c:pt>
                <c:pt idx="96">
                  <c:v>24.000318527221602</c:v>
                </c:pt>
                <c:pt idx="97">
                  <c:v>24.250114440917901</c:v>
                </c:pt>
                <c:pt idx="98">
                  <c:v>24.500473022460898</c:v>
                </c:pt>
                <c:pt idx="99">
                  <c:v>24.7501201629638</c:v>
                </c:pt>
                <c:pt idx="100">
                  <c:v>25.0001201629638</c:v>
                </c:pt>
                <c:pt idx="101">
                  <c:v>25.250083923339801</c:v>
                </c:pt>
                <c:pt idx="102">
                  <c:v>25.500383377075199</c:v>
                </c:pt>
                <c:pt idx="103">
                  <c:v>25.750299453735298</c:v>
                </c:pt>
                <c:pt idx="104">
                  <c:v>26.0003852844238</c:v>
                </c:pt>
                <c:pt idx="105">
                  <c:v>26.250186920166001</c:v>
                </c:pt>
                <c:pt idx="106">
                  <c:v>26.5003967285156</c:v>
                </c:pt>
                <c:pt idx="107">
                  <c:v>26.7504558563232</c:v>
                </c:pt>
                <c:pt idx="108">
                  <c:v>27.000513076782202</c:v>
                </c:pt>
                <c:pt idx="109">
                  <c:v>27.250005722045898</c:v>
                </c:pt>
                <c:pt idx="110">
                  <c:v>27.500522613525298</c:v>
                </c:pt>
                <c:pt idx="111">
                  <c:v>27.750062942504801</c:v>
                </c:pt>
                <c:pt idx="112">
                  <c:v>28.0003337860107</c:v>
                </c:pt>
                <c:pt idx="113">
                  <c:v>28.250139236450199</c:v>
                </c:pt>
                <c:pt idx="114">
                  <c:v>28.5000286102294</c:v>
                </c:pt>
                <c:pt idx="115">
                  <c:v>28.750360488891602</c:v>
                </c:pt>
                <c:pt idx="116">
                  <c:v>29.0003337860107</c:v>
                </c:pt>
                <c:pt idx="117">
                  <c:v>29.250278472900298</c:v>
                </c:pt>
                <c:pt idx="118">
                  <c:v>29.50022315979</c:v>
                </c:pt>
                <c:pt idx="119">
                  <c:v>29.7503051757812</c:v>
                </c:pt>
                <c:pt idx="120">
                  <c:v>30.000389099121001</c:v>
                </c:pt>
                <c:pt idx="121">
                  <c:v>30.250473022460898</c:v>
                </c:pt>
                <c:pt idx="122">
                  <c:v>30.5</c:v>
                </c:pt>
                <c:pt idx="123">
                  <c:v>30.7504158020019</c:v>
                </c:pt>
                <c:pt idx="124">
                  <c:v>31.0003051757812</c:v>
                </c:pt>
                <c:pt idx="125">
                  <c:v>31.2506103515625</c:v>
                </c:pt>
                <c:pt idx="126">
                  <c:v>31.500694274902301</c:v>
                </c:pt>
                <c:pt idx="127">
                  <c:v>31.750194549560501</c:v>
                </c:pt>
                <c:pt idx="128">
                  <c:v>32.000473022460902</c:v>
                </c:pt>
                <c:pt idx="129">
                  <c:v>32.250389099121001</c:v>
                </c:pt>
                <c:pt idx="130">
                  <c:v>32.5</c:v>
                </c:pt>
                <c:pt idx="131">
                  <c:v>32.750251770019503</c:v>
                </c:pt>
                <c:pt idx="132">
                  <c:v>33.000278472900298</c:v>
                </c:pt>
                <c:pt idx="133">
                  <c:v>33.250026702880803</c:v>
                </c:pt>
                <c:pt idx="134">
                  <c:v>33.500026702880803</c:v>
                </c:pt>
                <c:pt idx="135">
                  <c:v>33.750057220458899</c:v>
                </c:pt>
                <c:pt idx="136">
                  <c:v>34.000194549560497</c:v>
                </c:pt>
                <c:pt idx="137">
                  <c:v>34.250556945800703</c:v>
                </c:pt>
                <c:pt idx="138">
                  <c:v>34.500167846679602</c:v>
                </c:pt>
                <c:pt idx="139">
                  <c:v>34.750110626220703</c:v>
                </c:pt>
                <c:pt idx="140">
                  <c:v>35.000331878662102</c:v>
                </c:pt>
                <c:pt idx="141">
                  <c:v>35.250221252441399</c:v>
                </c:pt>
                <c:pt idx="142">
                  <c:v>35.500110626220703</c:v>
                </c:pt>
                <c:pt idx="143">
                  <c:v>35.750110626220703</c:v>
                </c:pt>
                <c:pt idx="144">
                  <c:v>36.000083923339801</c:v>
                </c:pt>
                <c:pt idx="145">
                  <c:v>36.250026702880803</c:v>
                </c:pt>
                <c:pt idx="146">
                  <c:v>36.50044631958</c:v>
                </c:pt>
                <c:pt idx="147">
                  <c:v>36.750583648681598</c:v>
                </c:pt>
                <c:pt idx="148">
                  <c:v>37.000221252441399</c:v>
                </c:pt>
                <c:pt idx="149">
                  <c:v>37.250499725341797</c:v>
                </c:pt>
                <c:pt idx="150">
                  <c:v>37.500637054443303</c:v>
                </c:pt>
                <c:pt idx="151">
                  <c:v>37.750026702880803</c:v>
                </c:pt>
                <c:pt idx="152">
                  <c:v>38.000362396240199</c:v>
                </c:pt>
                <c:pt idx="153">
                  <c:v>38.250415802001903</c:v>
                </c:pt>
                <c:pt idx="154">
                  <c:v>38.50044631958</c:v>
                </c:pt>
                <c:pt idx="155">
                  <c:v>38.750251770019503</c:v>
                </c:pt>
                <c:pt idx="156">
                  <c:v>39.000194549560497</c:v>
                </c:pt>
                <c:pt idx="157">
                  <c:v>39.250362396240199</c:v>
                </c:pt>
                <c:pt idx="158">
                  <c:v>39.500083923339801</c:v>
                </c:pt>
                <c:pt idx="159">
                  <c:v>39.750389099121001</c:v>
                </c:pt>
                <c:pt idx="160">
                  <c:v>40.000057220458899</c:v>
                </c:pt>
                <c:pt idx="161">
                  <c:v>40.2503051757812</c:v>
                </c:pt>
                <c:pt idx="162">
                  <c:v>40.500221252441399</c:v>
                </c:pt>
                <c:pt idx="163">
                  <c:v>40.750026702880803</c:v>
                </c:pt>
                <c:pt idx="164">
                  <c:v>41.000251770019503</c:v>
                </c:pt>
                <c:pt idx="165">
                  <c:v>41.250194549560497</c:v>
                </c:pt>
                <c:pt idx="166">
                  <c:v>41.500637054443303</c:v>
                </c:pt>
                <c:pt idx="167">
                  <c:v>41.750194549560497</c:v>
                </c:pt>
                <c:pt idx="168">
                  <c:v>42.000083923339801</c:v>
                </c:pt>
                <c:pt idx="169">
                  <c:v>42.25</c:v>
                </c:pt>
                <c:pt idx="170">
                  <c:v>42.500331878662102</c:v>
                </c:pt>
                <c:pt idx="171">
                  <c:v>42.750137329101499</c:v>
                </c:pt>
                <c:pt idx="172">
                  <c:v>43.000473022460902</c:v>
                </c:pt>
                <c:pt idx="173">
                  <c:v>43.250473022460902</c:v>
                </c:pt>
                <c:pt idx="174">
                  <c:v>43.500026702880803</c:v>
                </c:pt>
                <c:pt idx="175">
                  <c:v>43.750389099121001</c:v>
                </c:pt>
                <c:pt idx="176">
                  <c:v>44.000362396240199</c:v>
                </c:pt>
                <c:pt idx="177">
                  <c:v>44.250221252441399</c:v>
                </c:pt>
                <c:pt idx="178">
                  <c:v>44.500331878662102</c:v>
                </c:pt>
                <c:pt idx="179">
                  <c:v>44.750167846679602</c:v>
                </c:pt>
                <c:pt idx="180">
                  <c:v>45.000499725341797</c:v>
                </c:pt>
                <c:pt idx="181">
                  <c:v>45.250362396240199</c:v>
                </c:pt>
                <c:pt idx="182">
                  <c:v>45.500221252441399</c:v>
                </c:pt>
                <c:pt idx="183">
                  <c:v>45.750057220458899</c:v>
                </c:pt>
                <c:pt idx="184">
                  <c:v>46.000137329101499</c:v>
                </c:pt>
                <c:pt idx="185">
                  <c:v>46.250415802001903</c:v>
                </c:pt>
                <c:pt idx="186">
                  <c:v>46.500278472900298</c:v>
                </c:pt>
                <c:pt idx="187">
                  <c:v>46.750167846679602</c:v>
                </c:pt>
                <c:pt idx="188">
                  <c:v>47.000473022460902</c:v>
                </c:pt>
                <c:pt idx="189">
                  <c:v>47.25044631958</c:v>
                </c:pt>
                <c:pt idx="190">
                  <c:v>47.500667572021399</c:v>
                </c:pt>
                <c:pt idx="191">
                  <c:v>47.75</c:v>
                </c:pt>
                <c:pt idx="192">
                  <c:v>48.000278472900298</c:v>
                </c:pt>
                <c:pt idx="193">
                  <c:v>48.250110626220703</c:v>
                </c:pt>
                <c:pt idx="194">
                  <c:v>48.500362396240199</c:v>
                </c:pt>
                <c:pt idx="195">
                  <c:v>48.750057220458899</c:v>
                </c:pt>
                <c:pt idx="196">
                  <c:v>49.000167846679602</c:v>
                </c:pt>
                <c:pt idx="197">
                  <c:v>49.250278472900298</c:v>
                </c:pt>
                <c:pt idx="198">
                  <c:v>49.500167846679602</c:v>
                </c:pt>
                <c:pt idx="199">
                  <c:v>49.750473022460902</c:v>
                </c:pt>
                <c:pt idx="200">
                  <c:v>50.000194549560497</c:v>
                </c:pt>
                <c:pt idx="201">
                  <c:v>50.250194549560497</c:v>
                </c:pt>
                <c:pt idx="202">
                  <c:v>50.500221252441399</c:v>
                </c:pt>
                <c:pt idx="203">
                  <c:v>50.750526428222599</c:v>
                </c:pt>
                <c:pt idx="204">
                  <c:v>51.000221252441399</c:v>
                </c:pt>
                <c:pt idx="205">
                  <c:v>51.250110626220703</c:v>
                </c:pt>
                <c:pt idx="206">
                  <c:v>51.500083923339801</c:v>
                </c:pt>
                <c:pt idx="207">
                  <c:v>51.750415802001903</c:v>
                </c:pt>
                <c:pt idx="208">
                  <c:v>52.000194549560497</c:v>
                </c:pt>
                <c:pt idx="209">
                  <c:v>52.250389099121001</c:v>
                </c:pt>
                <c:pt idx="210">
                  <c:v>52.500278472900298</c:v>
                </c:pt>
                <c:pt idx="211">
                  <c:v>52.750278472900298</c:v>
                </c:pt>
                <c:pt idx="212">
                  <c:v>53.000278472900298</c:v>
                </c:pt>
                <c:pt idx="213">
                  <c:v>53.250526428222599</c:v>
                </c:pt>
                <c:pt idx="214">
                  <c:v>53.500362396240199</c:v>
                </c:pt>
                <c:pt idx="215">
                  <c:v>53.750389099121001</c:v>
                </c:pt>
                <c:pt idx="216">
                  <c:v>54.000167846679602</c:v>
                </c:pt>
                <c:pt idx="217">
                  <c:v>54.250251770019503</c:v>
                </c:pt>
                <c:pt idx="218">
                  <c:v>54.500167846679602</c:v>
                </c:pt>
                <c:pt idx="219">
                  <c:v>54.750583648681598</c:v>
                </c:pt>
                <c:pt idx="220">
                  <c:v>55.0003051757812</c:v>
                </c:pt>
                <c:pt idx="221">
                  <c:v>55.250362396240199</c:v>
                </c:pt>
                <c:pt idx="222">
                  <c:v>55.500083923339801</c:v>
                </c:pt>
                <c:pt idx="223">
                  <c:v>55.750083923339801</c:v>
                </c:pt>
                <c:pt idx="224">
                  <c:v>56.00044631958</c:v>
                </c:pt>
                <c:pt idx="225">
                  <c:v>56.2503051757812</c:v>
                </c:pt>
                <c:pt idx="226">
                  <c:v>56.5003051757812</c:v>
                </c:pt>
                <c:pt idx="227">
                  <c:v>56.750278472900298</c:v>
                </c:pt>
                <c:pt idx="228">
                  <c:v>57.000473022460902</c:v>
                </c:pt>
                <c:pt idx="229">
                  <c:v>57.250831604003899</c:v>
                </c:pt>
                <c:pt idx="230">
                  <c:v>57.500026702880803</c:v>
                </c:pt>
                <c:pt idx="231">
                  <c:v>57.750057220458899</c:v>
                </c:pt>
                <c:pt idx="232">
                  <c:v>58.000110626220703</c:v>
                </c:pt>
                <c:pt idx="233">
                  <c:v>58.250415802001903</c:v>
                </c:pt>
                <c:pt idx="234">
                  <c:v>58.5003051757812</c:v>
                </c:pt>
                <c:pt idx="235">
                  <c:v>58.750362396240199</c:v>
                </c:pt>
                <c:pt idx="236">
                  <c:v>59</c:v>
                </c:pt>
                <c:pt idx="237">
                  <c:v>59.250415802001903</c:v>
                </c:pt>
                <c:pt idx="238">
                  <c:v>59.500278472900298</c:v>
                </c:pt>
                <c:pt idx="239">
                  <c:v>59.750415802001903</c:v>
                </c:pt>
                <c:pt idx="240">
                  <c:v>60.000331878662102</c:v>
                </c:pt>
                <c:pt idx="241">
                  <c:v>60.2506103515625</c:v>
                </c:pt>
                <c:pt idx="242">
                  <c:v>60.500415802001903</c:v>
                </c:pt>
                <c:pt idx="243">
                  <c:v>60.750499725341797</c:v>
                </c:pt>
                <c:pt idx="244">
                  <c:v>61.000278472900298</c:v>
                </c:pt>
                <c:pt idx="245">
                  <c:v>61.25</c:v>
                </c:pt>
                <c:pt idx="246">
                  <c:v>61.500389099121001</c:v>
                </c:pt>
                <c:pt idx="247">
                  <c:v>61.75</c:v>
                </c:pt>
                <c:pt idx="248">
                  <c:v>62.000194549560497</c:v>
                </c:pt>
                <c:pt idx="249">
                  <c:v>62.250251770019503</c:v>
                </c:pt>
                <c:pt idx="250">
                  <c:v>62.500499725341797</c:v>
                </c:pt>
                <c:pt idx="251">
                  <c:v>62.750026702880803</c:v>
                </c:pt>
                <c:pt idx="252">
                  <c:v>63.00044631958</c:v>
                </c:pt>
                <c:pt idx="253">
                  <c:v>63.250026702880803</c:v>
                </c:pt>
                <c:pt idx="254">
                  <c:v>63.5006103515625</c:v>
                </c:pt>
                <c:pt idx="255">
                  <c:v>63.75044631958</c:v>
                </c:pt>
                <c:pt idx="256">
                  <c:v>64.000831604003906</c:v>
                </c:pt>
                <c:pt idx="257">
                  <c:v>64.250190734863196</c:v>
                </c:pt>
                <c:pt idx="258">
                  <c:v>64.500419616699205</c:v>
                </c:pt>
                <c:pt idx="259">
                  <c:v>64.750053405761705</c:v>
                </c:pt>
                <c:pt idx="260">
                  <c:v>65.000335693359304</c:v>
                </c:pt>
                <c:pt idx="261">
                  <c:v>65.250114440917898</c:v>
                </c:pt>
                <c:pt idx="262">
                  <c:v>65.500335693359304</c:v>
                </c:pt>
                <c:pt idx="263">
                  <c:v>65.750335693359304</c:v>
                </c:pt>
                <c:pt idx="264">
                  <c:v>66.000083923339801</c:v>
                </c:pt>
                <c:pt idx="265">
                  <c:v>66.250419616699205</c:v>
                </c:pt>
                <c:pt idx="266">
                  <c:v>66.500030517578097</c:v>
                </c:pt>
                <c:pt idx="267">
                  <c:v>66.750389099120994</c:v>
                </c:pt>
                <c:pt idx="268">
                  <c:v>67.000778198242102</c:v>
                </c:pt>
                <c:pt idx="269">
                  <c:v>67.250442504882798</c:v>
                </c:pt>
                <c:pt idx="270">
                  <c:v>67.500137329101506</c:v>
                </c:pt>
                <c:pt idx="271">
                  <c:v>67.750305175781193</c:v>
                </c:pt>
                <c:pt idx="272">
                  <c:v>68.000221252441406</c:v>
                </c:pt>
                <c:pt idx="273">
                  <c:v>68.250030517578097</c:v>
                </c:pt>
                <c:pt idx="274">
                  <c:v>68.5</c:v>
                </c:pt>
                <c:pt idx="275">
                  <c:v>68.750335693359304</c:v>
                </c:pt>
                <c:pt idx="276">
                  <c:v>69.000083923339801</c:v>
                </c:pt>
                <c:pt idx="277">
                  <c:v>69.250221252441406</c:v>
                </c:pt>
                <c:pt idx="278">
                  <c:v>69.500083923339801</c:v>
                </c:pt>
                <c:pt idx="279">
                  <c:v>69.750503540039006</c:v>
                </c:pt>
                <c:pt idx="280">
                  <c:v>70.000526428222599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70.750358581542898</c:v>
                </c:pt>
                <c:pt idx="284">
                  <c:v>71.000389099120994</c:v>
                </c:pt>
                <c:pt idx="285">
                  <c:v>71.250083923339801</c:v>
                </c:pt>
                <c:pt idx="286">
                  <c:v>71.500030517578097</c:v>
                </c:pt>
                <c:pt idx="287">
                  <c:v>71.750221252441406</c:v>
                </c:pt>
                <c:pt idx="288">
                  <c:v>72.000335693359304</c:v>
                </c:pt>
              </c:numCache>
            </c:numRef>
          </c:xVal>
          <c:yVal>
            <c:numRef>
              <c:f>'SIM2'!$F$11:$F$299</c:f>
              <c:numCache>
                <c:formatCode>General</c:formatCode>
                <c:ptCount val="289"/>
                <c:pt idx="0">
                  <c:v>6.9760231971740696</c:v>
                </c:pt>
                <c:pt idx="1">
                  <c:v>6.1330637931823704</c:v>
                </c:pt>
                <c:pt idx="2">
                  <c:v>4.3654661178588796</c:v>
                </c:pt>
                <c:pt idx="3">
                  <c:v>5.0389199256896902</c:v>
                </c:pt>
                <c:pt idx="4">
                  <c:v>4.0400271415710396</c:v>
                </c:pt>
                <c:pt idx="5">
                  <c:v>3.1415710449218701</c:v>
                </c:pt>
                <c:pt idx="6">
                  <c:v>4.2437729835510201</c:v>
                </c:pt>
                <c:pt idx="7">
                  <c:v>3.6814160346984801</c:v>
                </c:pt>
                <c:pt idx="8">
                  <c:v>3.9479420185089098</c:v>
                </c:pt>
                <c:pt idx="9">
                  <c:v>3.7805159091949401</c:v>
                </c:pt>
                <c:pt idx="10">
                  <c:v>3.2429070472717201</c:v>
                </c:pt>
                <c:pt idx="11">
                  <c:v>4.5450878143310502</c:v>
                </c:pt>
                <c:pt idx="12">
                  <c:v>3.6211020946502601</c:v>
                </c:pt>
                <c:pt idx="13">
                  <c:v>3.50437188148498</c:v>
                </c:pt>
                <c:pt idx="14">
                  <c:v>3.8834979534149099</c:v>
                </c:pt>
                <c:pt idx="15">
                  <c:v>2.9016048908233598</c:v>
                </c:pt>
                <c:pt idx="16">
                  <c:v>5.2220568656921298</c:v>
                </c:pt>
                <c:pt idx="17">
                  <c:v>3.6660799980163499</c:v>
                </c:pt>
                <c:pt idx="18">
                  <c:v>2.19545102119445</c:v>
                </c:pt>
                <c:pt idx="19">
                  <c:v>3.6867179870605402</c:v>
                </c:pt>
                <c:pt idx="20">
                  <c:v>1.76637995243072</c:v>
                </c:pt>
                <c:pt idx="21">
                  <c:v>-2.1149630546569802</c:v>
                </c:pt>
                <c:pt idx="22">
                  <c:v>-0.36212238669395402</c:v>
                </c:pt>
                <c:pt idx="23">
                  <c:v>-2.5680730342864901</c:v>
                </c:pt>
                <c:pt idx="24">
                  <c:v>-8.0327190458774497E-2</c:v>
                </c:pt>
                <c:pt idx="25">
                  <c:v>2.69052910804748</c:v>
                </c:pt>
                <c:pt idx="26">
                  <c:v>5.5378189086914</c:v>
                </c:pt>
                <c:pt idx="27">
                  <c:v>7.1055450439453098</c:v>
                </c:pt>
                <c:pt idx="28">
                  <c:v>3.7010529041290199</c:v>
                </c:pt>
                <c:pt idx="29">
                  <c:v>1.3658930063247601</c:v>
                </c:pt>
                <c:pt idx="30">
                  <c:v>6.8068490028381303</c:v>
                </c:pt>
                <c:pt idx="31">
                  <c:v>3.2988860607147199</c:v>
                </c:pt>
                <c:pt idx="32">
                  <c:v>-0.484813392162323</c:v>
                </c:pt>
                <c:pt idx="33">
                  <c:v>-0.57428562641143799</c:v>
                </c:pt>
                <c:pt idx="34">
                  <c:v>-1.07711398601532</c:v>
                </c:pt>
                <c:pt idx="35">
                  <c:v>22.426830291748001</c:v>
                </c:pt>
                <c:pt idx="36">
                  <c:v>3.6167690753936701</c:v>
                </c:pt>
                <c:pt idx="37">
                  <c:v>7.3617272377014098</c:v>
                </c:pt>
                <c:pt idx="38">
                  <c:v>3.4536979198455802</c:v>
                </c:pt>
                <c:pt idx="39">
                  <c:v>4.2140121459960902</c:v>
                </c:pt>
                <c:pt idx="40">
                  <c:v>2.9119908809661799</c:v>
                </c:pt>
                <c:pt idx="41">
                  <c:v>0.28659281134605402</c:v>
                </c:pt>
                <c:pt idx="42">
                  <c:v>-1.9318720102310101</c:v>
                </c:pt>
                <c:pt idx="43">
                  <c:v>-0.70527178049087502</c:v>
                </c:pt>
                <c:pt idx="44">
                  <c:v>-5.1829930394887903E-2</c:v>
                </c:pt>
                <c:pt idx="45">
                  <c:v>-0.63810527324676503</c:v>
                </c:pt>
                <c:pt idx="46">
                  <c:v>-0.332208812236785</c:v>
                </c:pt>
                <c:pt idx="47">
                  <c:v>-0.19318929314613301</c:v>
                </c:pt>
                <c:pt idx="48">
                  <c:v>0.28016969561576799</c:v>
                </c:pt>
                <c:pt idx="49">
                  <c:v>1.26754101365804E-2</c:v>
                </c:pt>
                <c:pt idx="50">
                  <c:v>9.4956769943237305</c:v>
                </c:pt>
                <c:pt idx="51">
                  <c:v>3.5905849933624201</c:v>
                </c:pt>
                <c:pt idx="52">
                  <c:v>4.4796471595764098</c:v>
                </c:pt>
                <c:pt idx="53">
                  <c:v>3.0536749362945499</c:v>
                </c:pt>
                <c:pt idx="54">
                  <c:v>0.62819200754165605</c:v>
                </c:pt>
                <c:pt idx="55">
                  <c:v>0.63309639692306496</c:v>
                </c:pt>
                <c:pt idx="56">
                  <c:v>1.7760649919509801</c:v>
                </c:pt>
                <c:pt idx="57">
                  <c:v>-1.1497100591659499</c:v>
                </c:pt>
                <c:pt idx="58">
                  <c:v>-1.28058898448944</c:v>
                </c:pt>
                <c:pt idx="59">
                  <c:v>-0.75928467512130704</c:v>
                </c:pt>
                <c:pt idx="60">
                  <c:v>-0.78404730558395297</c:v>
                </c:pt>
                <c:pt idx="61">
                  <c:v>0.14442610740661599</c:v>
                </c:pt>
                <c:pt idx="62">
                  <c:v>15.480429649353001</c:v>
                </c:pt>
                <c:pt idx="63">
                  <c:v>5.8156862258911097</c:v>
                </c:pt>
                <c:pt idx="64">
                  <c:v>4.2608737945556596</c:v>
                </c:pt>
                <c:pt idx="65">
                  <c:v>3.48452591896057</c:v>
                </c:pt>
                <c:pt idx="66">
                  <c:v>1.5463720560073799</c:v>
                </c:pt>
                <c:pt idx="67">
                  <c:v>-0.53369617462158203</c:v>
                </c:pt>
                <c:pt idx="68">
                  <c:v>-0.50732612609863204</c:v>
                </c:pt>
                <c:pt idx="69">
                  <c:v>3.28612208366394</c:v>
                </c:pt>
                <c:pt idx="70">
                  <c:v>2.25915503501892</c:v>
                </c:pt>
                <c:pt idx="71">
                  <c:v>-0.77102530002593905</c:v>
                </c:pt>
                <c:pt idx="72">
                  <c:v>-1.0280139446258501</c:v>
                </c:pt>
                <c:pt idx="73">
                  <c:v>-0.56085139513015703</c:v>
                </c:pt>
                <c:pt idx="74">
                  <c:v>8.4881916046142507</c:v>
                </c:pt>
                <c:pt idx="75">
                  <c:v>6.65730381011962</c:v>
                </c:pt>
                <c:pt idx="76">
                  <c:v>7.7083401679992596</c:v>
                </c:pt>
                <c:pt idx="77">
                  <c:v>3.3728179931640598</c:v>
                </c:pt>
                <c:pt idx="78">
                  <c:v>3.9098351001739502</c:v>
                </c:pt>
                <c:pt idx="79">
                  <c:v>2.88125300407409</c:v>
                </c:pt>
                <c:pt idx="80">
                  <c:v>0.34375080466270402</c:v>
                </c:pt>
                <c:pt idx="81">
                  <c:v>-0.32468140125274603</c:v>
                </c:pt>
                <c:pt idx="82">
                  <c:v>3.62002396583557</c:v>
                </c:pt>
                <c:pt idx="83">
                  <c:v>-0.307259202003479</c:v>
                </c:pt>
                <c:pt idx="84">
                  <c:v>-1.83051598072052</c:v>
                </c:pt>
                <c:pt idx="85">
                  <c:v>-0.857061207294464</c:v>
                </c:pt>
                <c:pt idx="86">
                  <c:v>-0.29267770051956099</c:v>
                </c:pt>
                <c:pt idx="87">
                  <c:v>0.29932451248168901</c:v>
                </c:pt>
                <c:pt idx="88">
                  <c:v>-2.3280349560081898E-3</c:v>
                </c:pt>
                <c:pt idx="89">
                  <c:v>9.5187892913818306</c:v>
                </c:pt>
                <c:pt idx="90">
                  <c:v>3.63425493240356</c:v>
                </c:pt>
                <c:pt idx="91">
                  <c:v>4.4430088996887198</c:v>
                </c:pt>
                <c:pt idx="92">
                  <c:v>3.0431749820709202</c:v>
                </c:pt>
                <c:pt idx="93">
                  <c:v>0.62173789739608698</c:v>
                </c:pt>
                <c:pt idx="94">
                  <c:v>1.0931710004806501</c:v>
                </c:pt>
                <c:pt idx="95">
                  <c:v>1.358736038208</c:v>
                </c:pt>
                <c:pt idx="96">
                  <c:v>-0.83662950992584195</c:v>
                </c:pt>
                <c:pt idx="97">
                  <c:v>-0.46393039822578402</c:v>
                </c:pt>
                <c:pt idx="98">
                  <c:v>-1.0797480344772299</c:v>
                </c:pt>
                <c:pt idx="99">
                  <c:v>-0.75023609399795499</c:v>
                </c:pt>
                <c:pt idx="100">
                  <c:v>0.16971080005168901</c:v>
                </c:pt>
                <c:pt idx="101">
                  <c:v>12.1969003677368</c:v>
                </c:pt>
                <c:pt idx="102">
                  <c:v>5.2369861602783203</c:v>
                </c:pt>
                <c:pt idx="103">
                  <c:v>4.9215822219848597</c:v>
                </c:pt>
                <c:pt idx="104">
                  <c:v>3.3225998878478999</c:v>
                </c:pt>
                <c:pt idx="105">
                  <c:v>1.09833896160125</c:v>
                </c:pt>
                <c:pt idx="106">
                  <c:v>-1.99015700817108</c:v>
                </c:pt>
                <c:pt idx="107">
                  <c:v>-1.2618989944457999</c:v>
                </c:pt>
                <c:pt idx="108">
                  <c:v>11.413470268249499</c:v>
                </c:pt>
                <c:pt idx="109">
                  <c:v>2.13820004463195</c:v>
                </c:pt>
                <c:pt idx="110">
                  <c:v>-0.249944493174552</c:v>
                </c:pt>
                <c:pt idx="111">
                  <c:v>-0.330863386392593</c:v>
                </c:pt>
                <c:pt idx="112">
                  <c:v>-0.712749123573303</c:v>
                </c:pt>
                <c:pt idx="113">
                  <c:v>20.9529304504394</c:v>
                </c:pt>
                <c:pt idx="114">
                  <c:v>7.5810217857360804</c:v>
                </c:pt>
                <c:pt idx="115">
                  <c:v>7.2773799896240199</c:v>
                </c:pt>
                <c:pt idx="116">
                  <c:v>3.4671769142150799</c:v>
                </c:pt>
                <c:pt idx="117">
                  <c:v>3.8359990119934002</c:v>
                </c:pt>
                <c:pt idx="118">
                  <c:v>2.7510890960693302</c:v>
                </c:pt>
                <c:pt idx="119">
                  <c:v>0.24973179399967099</c:v>
                </c:pt>
                <c:pt idx="120">
                  <c:v>-0.65460252761840798</c:v>
                </c:pt>
                <c:pt idx="121">
                  <c:v>-1.0686229467391899</c:v>
                </c:pt>
                <c:pt idx="122">
                  <c:v>-9.9343687295913696E-2</c:v>
                </c:pt>
                <c:pt idx="123">
                  <c:v>-1.8844569921493499</c:v>
                </c:pt>
                <c:pt idx="124">
                  <c:v>-1.2643860578536901</c:v>
                </c:pt>
                <c:pt idx="125">
                  <c:v>-0.823655605316162</c:v>
                </c:pt>
                <c:pt idx="126">
                  <c:v>0.185648202896118</c:v>
                </c:pt>
                <c:pt idx="127">
                  <c:v>5.1341250538825899E-2</c:v>
                </c:pt>
                <c:pt idx="128">
                  <c:v>9.6077489852905202</c:v>
                </c:pt>
                <c:pt idx="129">
                  <c:v>3.6030800342559801</c:v>
                </c:pt>
                <c:pt idx="130">
                  <c:v>4.4709138870239196</c:v>
                </c:pt>
                <c:pt idx="131">
                  <c:v>3.0456519126892001</c:v>
                </c:pt>
                <c:pt idx="132">
                  <c:v>0.63859742879867498</c:v>
                </c:pt>
                <c:pt idx="133">
                  <c:v>1.0782099962234499</c:v>
                </c:pt>
                <c:pt idx="134">
                  <c:v>1.3915150165557799</c:v>
                </c:pt>
                <c:pt idx="135">
                  <c:v>-0.33247119188308699</c:v>
                </c:pt>
                <c:pt idx="136">
                  <c:v>-1.1497950553894001</c:v>
                </c:pt>
                <c:pt idx="137">
                  <c:v>-1.2794599533080999</c:v>
                </c:pt>
                <c:pt idx="138">
                  <c:v>-0.289752006530761</c:v>
                </c:pt>
                <c:pt idx="139">
                  <c:v>0.14189380407333299</c:v>
                </c:pt>
                <c:pt idx="140">
                  <c:v>13.072480201721101</c:v>
                </c:pt>
                <c:pt idx="141">
                  <c:v>5.47899913787841</c:v>
                </c:pt>
                <c:pt idx="142">
                  <c:v>4.7588238716125399</c:v>
                </c:pt>
                <c:pt idx="143">
                  <c:v>3.3768839836120601</c:v>
                </c:pt>
                <c:pt idx="144">
                  <c:v>1.2346600294113099</c:v>
                </c:pt>
                <c:pt idx="145">
                  <c:v>1.4061119873076599E-3</c:v>
                </c:pt>
                <c:pt idx="146">
                  <c:v>-1.3187229633331301</c:v>
                </c:pt>
                <c:pt idx="147">
                  <c:v>12.3882904052734</c:v>
                </c:pt>
                <c:pt idx="148">
                  <c:v>1.93664002418518</c:v>
                </c:pt>
                <c:pt idx="149">
                  <c:v>-0.57321208715438798</c:v>
                </c:pt>
                <c:pt idx="150">
                  <c:v>-0.64217889308929399</c:v>
                </c:pt>
                <c:pt idx="151">
                  <c:v>-1.10839295387268</c:v>
                </c:pt>
                <c:pt idx="152">
                  <c:v>17.0891094207763</c:v>
                </c:pt>
                <c:pt idx="153">
                  <c:v>7.4486560821533203</c:v>
                </c:pt>
                <c:pt idx="154">
                  <c:v>7.3626170158386204</c:v>
                </c:pt>
                <c:pt idx="155">
                  <c:v>3.43804502487182</c:v>
                </c:pt>
                <c:pt idx="156">
                  <c:v>3.85069608688354</c:v>
                </c:pt>
                <c:pt idx="157">
                  <c:v>2.7829239368438698</c:v>
                </c:pt>
                <c:pt idx="158">
                  <c:v>0.27347129583358698</c:v>
                </c:pt>
                <c:pt idx="159">
                  <c:v>-0.82690691947937001</c:v>
                </c:pt>
                <c:pt idx="160">
                  <c:v>-2.3471879959106401</c:v>
                </c:pt>
                <c:pt idx="161">
                  <c:v>7.1519252378493504E-4</c:v>
                </c:pt>
                <c:pt idx="162">
                  <c:v>-1.0483319759368901</c:v>
                </c:pt>
                <c:pt idx="163">
                  <c:v>-1.3579740524291899</c:v>
                </c:pt>
                <c:pt idx="164">
                  <c:v>-0.103025503456592</c:v>
                </c:pt>
                <c:pt idx="165">
                  <c:v>0.25073629617691001</c:v>
                </c:pt>
                <c:pt idx="166">
                  <c:v>6.4981631934642695E-2</c:v>
                </c:pt>
                <c:pt idx="167">
                  <c:v>9.5382204055786097</c:v>
                </c:pt>
                <c:pt idx="168">
                  <c:v>3.55601501464843</c:v>
                </c:pt>
                <c:pt idx="169">
                  <c:v>4.5276122093200604</c:v>
                </c:pt>
                <c:pt idx="170">
                  <c:v>3.0537040233611998</c:v>
                </c:pt>
                <c:pt idx="171">
                  <c:v>0.59050869941711404</c:v>
                </c:pt>
                <c:pt idx="172">
                  <c:v>3.4608751535415601E-2</c:v>
                </c:pt>
                <c:pt idx="173">
                  <c:v>-0.97595041990280096</c:v>
                </c:pt>
                <c:pt idx="174">
                  <c:v>4.72269207239151E-2</c:v>
                </c:pt>
                <c:pt idx="175">
                  <c:v>-0.78630882501602095</c:v>
                </c:pt>
                <c:pt idx="176">
                  <c:v>-1.1850659847259499</c:v>
                </c:pt>
                <c:pt idx="177">
                  <c:v>-0.34095230698585499</c:v>
                </c:pt>
                <c:pt idx="178">
                  <c:v>-1.89923095703125</c:v>
                </c:pt>
                <c:pt idx="179">
                  <c:v>0.27951988577842701</c:v>
                </c:pt>
                <c:pt idx="180">
                  <c:v>12.361319541931101</c:v>
                </c:pt>
                <c:pt idx="181">
                  <c:v>4.75829601287841</c:v>
                </c:pt>
                <c:pt idx="182">
                  <c:v>5.2048711776733398</c:v>
                </c:pt>
                <c:pt idx="183">
                  <c:v>3.1959640979766801</c:v>
                </c:pt>
                <c:pt idx="184">
                  <c:v>1.0381319522857599</c:v>
                </c:pt>
                <c:pt idx="185">
                  <c:v>0.49678841233253401</c:v>
                </c:pt>
                <c:pt idx="186">
                  <c:v>2.3242731094360298</c:v>
                </c:pt>
                <c:pt idx="187">
                  <c:v>-0.75119227170944203</c:v>
                </c:pt>
                <c:pt idx="188">
                  <c:v>-1.1637990474700901</c:v>
                </c:pt>
                <c:pt idx="189">
                  <c:v>-1.42764496803283</c:v>
                </c:pt>
                <c:pt idx="190">
                  <c:v>-0.44220021367072998</c:v>
                </c:pt>
                <c:pt idx="191">
                  <c:v>0.28237929940223599</c:v>
                </c:pt>
                <c:pt idx="192">
                  <c:v>9.6006193161010707</c:v>
                </c:pt>
                <c:pt idx="193">
                  <c:v>6.44594383239746</c:v>
                </c:pt>
                <c:pt idx="194">
                  <c:v>3.5178849697113002</c:v>
                </c:pt>
                <c:pt idx="195">
                  <c:v>3.6901190280914302</c:v>
                </c:pt>
                <c:pt idx="196">
                  <c:v>2.23333311080932</c:v>
                </c:pt>
                <c:pt idx="197">
                  <c:v>-0.24486780166625899</c:v>
                </c:pt>
                <c:pt idx="198">
                  <c:v>-0.75332272052764804</c:v>
                </c:pt>
                <c:pt idx="199">
                  <c:v>-1.4401429891586299</c:v>
                </c:pt>
                <c:pt idx="200">
                  <c:v>1.9173979759216302E-2</c:v>
                </c:pt>
                <c:pt idx="201">
                  <c:v>-0.10992269963026</c:v>
                </c:pt>
                <c:pt idx="202">
                  <c:v>-0.806465923786163</c:v>
                </c:pt>
                <c:pt idx="203">
                  <c:v>-0.40038210153579701</c:v>
                </c:pt>
                <c:pt idx="204">
                  <c:v>0.350165694952011</c:v>
                </c:pt>
                <c:pt idx="205">
                  <c:v>4.6109671592712402</c:v>
                </c:pt>
                <c:pt idx="206">
                  <c:v>8.78558254241943</c:v>
                </c:pt>
                <c:pt idx="207">
                  <c:v>3.4758429527282702</c:v>
                </c:pt>
                <c:pt idx="208">
                  <c:v>4.2501049041748002</c:v>
                </c:pt>
                <c:pt idx="209">
                  <c:v>3.01330089569091</c:v>
                </c:pt>
                <c:pt idx="210">
                  <c:v>0.49090871214866599</c:v>
                </c:pt>
                <c:pt idx="211">
                  <c:v>-1.2907420396804801</c:v>
                </c:pt>
                <c:pt idx="212">
                  <c:v>-2.0995349884033199</c:v>
                </c:pt>
                <c:pt idx="213">
                  <c:v>2.1024340763688001E-2</c:v>
                </c:pt>
                <c:pt idx="214">
                  <c:v>-1.15739905834198</c:v>
                </c:pt>
                <c:pt idx="215">
                  <c:v>-1.6570620536804199</c:v>
                </c:pt>
                <c:pt idx="216">
                  <c:v>-0.91634428501129095</c:v>
                </c:pt>
                <c:pt idx="217">
                  <c:v>-4.6925950050354004</c:v>
                </c:pt>
                <c:pt idx="218">
                  <c:v>0.32273089885711598</c:v>
                </c:pt>
                <c:pt idx="219">
                  <c:v>11.797360420226999</c:v>
                </c:pt>
                <c:pt idx="220">
                  <c:v>4.40508604049682</c:v>
                </c:pt>
                <c:pt idx="221">
                  <c:v>5.1536870002746502</c:v>
                </c:pt>
                <c:pt idx="222">
                  <c:v>3.1354410648345898</c:v>
                </c:pt>
                <c:pt idx="223">
                  <c:v>0.937902212142944</c:v>
                </c:pt>
                <c:pt idx="224">
                  <c:v>0.654410719871521</c:v>
                </c:pt>
                <c:pt idx="225">
                  <c:v>2.0910220146179199</c:v>
                </c:pt>
                <c:pt idx="226">
                  <c:v>-0.343462795019149</c:v>
                </c:pt>
                <c:pt idx="227">
                  <c:v>-1.0672709941864</c:v>
                </c:pt>
                <c:pt idx="228">
                  <c:v>-0.27230489253997803</c:v>
                </c:pt>
                <c:pt idx="229">
                  <c:v>-0.21726180613040899</c:v>
                </c:pt>
                <c:pt idx="230">
                  <c:v>0.16446229815482999</c:v>
                </c:pt>
                <c:pt idx="231">
                  <c:v>14.154150009155201</c:v>
                </c:pt>
                <c:pt idx="232">
                  <c:v>6.0911870002746502</c:v>
                </c:pt>
                <c:pt idx="233">
                  <c:v>3.9094309806823699</c:v>
                </c:pt>
                <c:pt idx="234">
                  <c:v>3.5708439350128098</c:v>
                </c:pt>
                <c:pt idx="235">
                  <c:v>1.78351497650146</c:v>
                </c:pt>
                <c:pt idx="236">
                  <c:v>-0.50201338529586703</c:v>
                </c:pt>
                <c:pt idx="237">
                  <c:v>-0.91560649871826105</c:v>
                </c:pt>
                <c:pt idx="238">
                  <c:v>-2.46510505676269</c:v>
                </c:pt>
                <c:pt idx="239">
                  <c:v>-7.0870213210582705E-2</c:v>
                </c:pt>
                <c:pt idx="240">
                  <c:v>-0.727217197418212</c:v>
                </c:pt>
                <c:pt idx="241">
                  <c:v>-0.89439052343368497</c:v>
                </c:pt>
                <c:pt idx="242">
                  <c:v>-0.21989619731903001</c:v>
                </c:pt>
                <c:pt idx="243">
                  <c:v>1.62354099750518</c:v>
                </c:pt>
                <c:pt idx="244">
                  <c:v>6.02898693084716</c:v>
                </c:pt>
                <c:pt idx="245">
                  <c:v>8.2726802825927699</c:v>
                </c:pt>
                <c:pt idx="246">
                  <c:v>3.3745529651641801</c:v>
                </c:pt>
                <c:pt idx="247">
                  <c:v>4.0550980567932102</c:v>
                </c:pt>
                <c:pt idx="248">
                  <c:v>2.9682240486145002</c:v>
                </c:pt>
                <c:pt idx="249">
                  <c:v>0.42011269927024802</c:v>
                </c:pt>
                <c:pt idx="250">
                  <c:v>-1.6022419929504299</c:v>
                </c:pt>
                <c:pt idx="251">
                  <c:v>-0.26313939690589899</c:v>
                </c:pt>
                <c:pt idx="252">
                  <c:v>3.2744478434324202E-2</c:v>
                </c:pt>
                <c:pt idx="253">
                  <c:v>-0.58947831392288197</c:v>
                </c:pt>
                <c:pt idx="254">
                  <c:v>-1.1045900583267201</c:v>
                </c:pt>
                <c:pt idx="255">
                  <c:v>-0.21417960524558999</c:v>
                </c:pt>
                <c:pt idx="256">
                  <c:v>-2.6391060352325399</c:v>
                </c:pt>
                <c:pt idx="257">
                  <c:v>0.34263008832931502</c:v>
                </c:pt>
                <c:pt idx="258">
                  <c:v>11.175539970397899</c:v>
                </c:pt>
                <c:pt idx="259">
                  <c:v>4.0906119346618599</c:v>
                </c:pt>
                <c:pt idx="260">
                  <c:v>5.1022372245788503</c:v>
                </c:pt>
                <c:pt idx="261">
                  <c:v>3.1187899112701398</c:v>
                </c:pt>
                <c:pt idx="262">
                  <c:v>0.83910679817199696</c:v>
                </c:pt>
                <c:pt idx="263">
                  <c:v>0.124824896454811</c:v>
                </c:pt>
                <c:pt idx="264">
                  <c:v>4.1455039978027299</c:v>
                </c:pt>
                <c:pt idx="265">
                  <c:v>0.138096198439598</c:v>
                </c:pt>
                <c:pt idx="266">
                  <c:v>-1.43557500839233</c:v>
                </c:pt>
                <c:pt idx="267">
                  <c:v>-1.11921894550323</c:v>
                </c:pt>
                <c:pt idx="268">
                  <c:v>-0.68859130144119196</c:v>
                </c:pt>
                <c:pt idx="269">
                  <c:v>17.9133396148681</c:v>
                </c:pt>
                <c:pt idx="270">
                  <c:v>6.2018570899963299</c:v>
                </c:pt>
                <c:pt idx="271">
                  <c:v>7.3719720840454102</c:v>
                </c:pt>
                <c:pt idx="272">
                  <c:v>3.2692830562591499</c:v>
                </c:pt>
                <c:pt idx="273">
                  <c:v>3.8544330596923801</c:v>
                </c:pt>
                <c:pt idx="274">
                  <c:v>2.83577108383178</c:v>
                </c:pt>
                <c:pt idx="275">
                  <c:v>0.17369270324707001</c:v>
                </c:pt>
                <c:pt idx="276">
                  <c:v>-1.3410880565643299</c:v>
                </c:pt>
                <c:pt idx="277">
                  <c:v>-0.99553412199020297</c:v>
                </c:pt>
                <c:pt idx="278">
                  <c:v>3.2031878829002297E-2</c:v>
                </c:pt>
                <c:pt idx="279">
                  <c:v>-1.9045950174331601</c:v>
                </c:pt>
                <c:pt idx="280">
                  <c:v>-0.222909301519393</c:v>
                </c:pt>
                <c:pt idx="281">
                  <c:v>-0.32990169525146401</c:v>
                </c:pt>
                <c:pt idx="282">
                  <c:v>-0.44900581240653897</c:v>
                </c:pt>
                <c:pt idx="283">
                  <c:v>0.23655299842357599</c:v>
                </c:pt>
                <c:pt idx="284">
                  <c:v>10.292989730834901</c:v>
                </c:pt>
                <c:pt idx="285">
                  <c:v>3.6849811077117902</c:v>
                </c:pt>
                <c:pt idx="286">
                  <c:v>4.7789249420165998</c:v>
                </c:pt>
                <c:pt idx="287">
                  <c:v>3.0791230201721098</c:v>
                </c:pt>
                <c:pt idx="288">
                  <c:v>0.70497339963912897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7-47D0-BB31-D0952D2E4E4B}"/>
            </c:ext>
          </c:extLst>
        </c:ser>
        <c:ser>
          <c:idx val="2"/>
          <c:order val="2"/>
          <c:tx>
            <c:strRef>
              <c:f>Legends!$B$4</c:f>
              <c:strCache>
                <c:ptCount val="1"/>
                <c:pt idx="0">
                  <c:v>Gas Velocity</c:v>
                </c:pt>
              </c:strCache>
            </c:strRef>
          </c:tx>
          <c:marker>
            <c:symbol val="none"/>
          </c:marker>
          <c:xVal>
            <c:numRef>
              <c:f>'SIM2'!$C$11:$C$299</c:f>
              <c:numCache>
                <c:formatCode>General</c:formatCode>
                <c:ptCount val="289"/>
                <c:pt idx="0">
                  <c:v>0</c:v>
                </c:pt>
                <c:pt idx="1">
                  <c:v>0.25023770332336398</c:v>
                </c:pt>
                <c:pt idx="2">
                  <c:v>0.50013446807861295</c:v>
                </c:pt>
                <c:pt idx="3">
                  <c:v>0.75021666288375799</c:v>
                </c:pt>
                <c:pt idx="4">
                  <c:v>1.0002969503402701</c:v>
                </c:pt>
                <c:pt idx="5">
                  <c:v>1.2500705718994101</c:v>
                </c:pt>
                <c:pt idx="6">
                  <c:v>1.50002884864807</c:v>
                </c:pt>
                <c:pt idx="7">
                  <c:v>1.7500077486038199</c:v>
                </c:pt>
                <c:pt idx="8">
                  <c:v>2.0003316402435298</c:v>
                </c:pt>
                <c:pt idx="9">
                  <c:v>2.25025415420532</c:v>
                </c:pt>
                <c:pt idx="10">
                  <c:v>2.5001766681671098</c:v>
                </c:pt>
                <c:pt idx="11">
                  <c:v>2.7500991821289</c:v>
                </c:pt>
                <c:pt idx="12">
                  <c:v>3.0000221729278498</c:v>
                </c:pt>
                <c:pt idx="13">
                  <c:v>3.2503445148468</c:v>
                </c:pt>
                <c:pt idx="14">
                  <c:v>3.5002694129943799</c:v>
                </c:pt>
                <c:pt idx="15">
                  <c:v>3.7501916885375901</c:v>
                </c:pt>
                <c:pt idx="16">
                  <c:v>4.0001139640808097</c:v>
                </c:pt>
                <c:pt idx="17">
                  <c:v>4.2500362396240199</c:v>
                </c:pt>
                <c:pt idx="18">
                  <c:v>4.5003581047058097</c:v>
                </c:pt>
                <c:pt idx="19">
                  <c:v>4.7503056526184002</c:v>
                </c:pt>
                <c:pt idx="20">
                  <c:v>5.00006103515625</c:v>
                </c:pt>
                <c:pt idx="21">
                  <c:v>5.2504858970642001</c:v>
                </c:pt>
                <c:pt idx="22">
                  <c:v>5.5004582405090297</c:v>
                </c:pt>
                <c:pt idx="23">
                  <c:v>5.7507166862487704</c:v>
                </c:pt>
                <c:pt idx="24">
                  <c:v>6.0005640983581499</c:v>
                </c:pt>
                <c:pt idx="25">
                  <c:v>6.2506027221679599</c:v>
                </c:pt>
                <c:pt idx="26">
                  <c:v>6.5001525878906197</c:v>
                </c:pt>
                <c:pt idx="27">
                  <c:v>6.7502026557922301</c:v>
                </c:pt>
                <c:pt idx="28">
                  <c:v>7.0003890991210902</c:v>
                </c:pt>
                <c:pt idx="29">
                  <c:v>7.2500557899475098</c:v>
                </c:pt>
                <c:pt idx="30">
                  <c:v>7.5003914833068803</c:v>
                </c:pt>
                <c:pt idx="31">
                  <c:v>7.7502470016479403</c:v>
                </c:pt>
                <c:pt idx="32">
                  <c:v>8.0002527236938406</c:v>
                </c:pt>
                <c:pt idx="33">
                  <c:v>8.2500829696655202</c:v>
                </c:pt>
                <c:pt idx="34">
                  <c:v>8.50056648254394</c:v>
                </c:pt>
                <c:pt idx="35">
                  <c:v>8.7500801086425692</c:v>
                </c:pt>
                <c:pt idx="36">
                  <c:v>9.0003747940063406</c:v>
                </c:pt>
                <c:pt idx="37">
                  <c:v>9.2501363754272408</c:v>
                </c:pt>
                <c:pt idx="38">
                  <c:v>9.5003442764282209</c:v>
                </c:pt>
                <c:pt idx="39">
                  <c:v>9.7503252029418892</c:v>
                </c:pt>
                <c:pt idx="40">
                  <c:v>10.000319480896</c:v>
                </c:pt>
                <c:pt idx="41">
                  <c:v>10.250200271606399</c:v>
                </c:pt>
                <c:pt idx="42">
                  <c:v>10.500033378601</c:v>
                </c:pt>
                <c:pt idx="43">
                  <c:v>10.750124931335399</c:v>
                </c:pt>
                <c:pt idx="44">
                  <c:v>11.0005111694335</c:v>
                </c:pt>
                <c:pt idx="45">
                  <c:v>11.250474929809499</c:v>
                </c:pt>
                <c:pt idx="46">
                  <c:v>11.500144004821699</c:v>
                </c:pt>
                <c:pt idx="47">
                  <c:v>11.7502746582031</c:v>
                </c:pt>
                <c:pt idx="48">
                  <c:v>12.0000305175781</c:v>
                </c:pt>
                <c:pt idx="49">
                  <c:v>12.250641822814901</c:v>
                </c:pt>
                <c:pt idx="50">
                  <c:v>12.5005025863647</c:v>
                </c:pt>
                <c:pt idx="51">
                  <c:v>12.750319480896</c:v>
                </c:pt>
                <c:pt idx="52">
                  <c:v>13.000347137451101</c:v>
                </c:pt>
                <c:pt idx="53">
                  <c:v>13.250124931335399</c:v>
                </c:pt>
                <c:pt idx="54">
                  <c:v>13.5002336502075</c:v>
                </c:pt>
                <c:pt idx="55">
                  <c:v>13.7500553131103</c:v>
                </c:pt>
                <c:pt idx="56">
                  <c:v>14.000383377075201</c:v>
                </c:pt>
                <c:pt idx="57">
                  <c:v>14.2503004074096</c:v>
                </c:pt>
                <c:pt idx="58">
                  <c:v>14.5004892349243</c:v>
                </c:pt>
                <c:pt idx="59">
                  <c:v>14.750580787658601</c:v>
                </c:pt>
                <c:pt idx="60">
                  <c:v>15.000205993652299</c:v>
                </c:pt>
                <c:pt idx="61">
                  <c:v>15.2500190734863</c:v>
                </c:pt>
                <c:pt idx="62">
                  <c:v>15.500438690185501</c:v>
                </c:pt>
                <c:pt idx="63">
                  <c:v>15.750094413757299</c:v>
                </c:pt>
                <c:pt idx="64">
                  <c:v>16.0000190734863</c:v>
                </c:pt>
                <c:pt idx="65">
                  <c:v>16.250097274780199</c:v>
                </c:pt>
                <c:pt idx="66">
                  <c:v>16.5001335144043</c:v>
                </c:pt>
                <c:pt idx="67">
                  <c:v>16.750207901000898</c:v>
                </c:pt>
                <c:pt idx="68">
                  <c:v>17.000288009643501</c:v>
                </c:pt>
                <c:pt idx="69">
                  <c:v>17.2501525878906</c:v>
                </c:pt>
                <c:pt idx="70">
                  <c:v>17.5003662109375</c:v>
                </c:pt>
                <c:pt idx="71">
                  <c:v>17.750024795532202</c:v>
                </c:pt>
                <c:pt idx="72">
                  <c:v>18.000467300415</c:v>
                </c:pt>
                <c:pt idx="73">
                  <c:v>18.250591278076101</c:v>
                </c:pt>
                <c:pt idx="74">
                  <c:v>18.500062942504801</c:v>
                </c:pt>
                <c:pt idx="75">
                  <c:v>18.750097274780199</c:v>
                </c:pt>
                <c:pt idx="76">
                  <c:v>19.000097274780199</c:v>
                </c:pt>
                <c:pt idx="77">
                  <c:v>19.250114440917901</c:v>
                </c:pt>
                <c:pt idx="78">
                  <c:v>19.500127792358398</c:v>
                </c:pt>
                <c:pt idx="79">
                  <c:v>19.750299453735298</c:v>
                </c:pt>
                <c:pt idx="80">
                  <c:v>20.0000495910644</c:v>
                </c:pt>
                <c:pt idx="81">
                  <c:v>20.250165939331001</c:v>
                </c:pt>
                <c:pt idx="82">
                  <c:v>20.500303268432599</c:v>
                </c:pt>
                <c:pt idx="83">
                  <c:v>20.750108718871999</c:v>
                </c:pt>
                <c:pt idx="84">
                  <c:v>21.000127792358398</c:v>
                </c:pt>
                <c:pt idx="85">
                  <c:v>21.2502422332763</c:v>
                </c:pt>
                <c:pt idx="86">
                  <c:v>21.5003337860107</c:v>
                </c:pt>
                <c:pt idx="87">
                  <c:v>21.750389099121001</c:v>
                </c:pt>
                <c:pt idx="88">
                  <c:v>22.000238418579102</c:v>
                </c:pt>
                <c:pt idx="89">
                  <c:v>22.250032424926701</c:v>
                </c:pt>
                <c:pt idx="90">
                  <c:v>22.5002937316894</c:v>
                </c:pt>
                <c:pt idx="91">
                  <c:v>22.750350952148398</c:v>
                </c:pt>
                <c:pt idx="92">
                  <c:v>23.0001201629638</c:v>
                </c:pt>
                <c:pt idx="93">
                  <c:v>23.2501525878906</c:v>
                </c:pt>
                <c:pt idx="94">
                  <c:v>23.500278472900298</c:v>
                </c:pt>
                <c:pt idx="95">
                  <c:v>23.7503948211669</c:v>
                </c:pt>
                <c:pt idx="96">
                  <c:v>24.000318527221602</c:v>
                </c:pt>
                <c:pt idx="97">
                  <c:v>24.250114440917901</c:v>
                </c:pt>
                <c:pt idx="98">
                  <c:v>24.500473022460898</c:v>
                </c:pt>
                <c:pt idx="99">
                  <c:v>24.7501201629638</c:v>
                </c:pt>
                <c:pt idx="100">
                  <c:v>25.0001201629638</c:v>
                </c:pt>
                <c:pt idx="101">
                  <c:v>25.250083923339801</c:v>
                </c:pt>
                <c:pt idx="102">
                  <c:v>25.500383377075199</c:v>
                </c:pt>
                <c:pt idx="103">
                  <c:v>25.750299453735298</c:v>
                </c:pt>
                <c:pt idx="104">
                  <c:v>26.0003852844238</c:v>
                </c:pt>
                <c:pt idx="105">
                  <c:v>26.250186920166001</c:v>
                </c:pt>
                <c:pt idx="106">
                  <c:v>26.5003967285156</c:v>
                </c:pt>
                <c:pt idx="107">
                  <c:v>26.7504558563232</c:v>
                </c:pt>
                <c:pt idx="108">
                  <c:v>27.000513076782202</c:v>
                </c:pt>
                <c:pt idx="109">
                  <c:v>27.250005722045898</c:v>
                </c:pt>
                <c:pt idx="110">
                  <c:v>27.500522613525298</c:v>
                </c:pt>
                <c:pt idx="111">
                  <c:v>27.750062942504801</c:v>
                </c:pt>
                <c:pt idx="112">
                  <c:v>28.0003337860107</c:v>
                </c:pt>
                <c:pt idx="113">
                  <c:v>28.250139236450199</c:v>
                </c:pt>
                <c:pt idx="114">
                  <c:v>28.5000286102294</c:v>
                </c:pt>
                <c:pt idx="115">
                  <c:v>28.750360488891602</c:v>
                </c:pt>
                <c:pt idx="116">
                  <c:v>29.0003337860107</c:v>
                </c:pt>
                <c:pt idx="117">
                  <c:v>29.250278472900298</c:v>
                </c:pt>
                <c:pt idx="118">
                  <c:v>29.50022315979</c:v>
                </c:pt>
                <c:pt idx="119">
                  <c:v>29.7503051757812</c:v>
                </c:pt>
                <c:pt idx="120">
                  <c:v>30.000389099121001</c:v>
                </c:pt>
                <c:pt idx="121">
                  <c:v>30.250473022460898</c:v>
                </c:pt>
                <c:pt idx="122">
                  <c:v>30.5</c:v>
                </c:pt>
                <c:pt idx="123">
                  <c:v>30.7504158020019</c:v>
                </c:pt>
                <c:pt idx="124">
                  <c:v>31.0003051757812</c:v>
                </c:pt>
                <c:pt idx="125">
                  <c:v>31.2506103515625</c:v>
                </c:pt>
                <c:pt idx="126">
                  <c:v>31.500694274902301</c:v>
                </c:pt>
                <c:pt idx="127">
                  <c:v>31.750194549560501</c:v>
                </c:pt>
                <c:pt idx="128">
                  <c:v>32.000473022460902</c:v>
                </c:pt>
                <c:pt idx="129">
                  <c:v>32.250389099121001</c:v>
                </c:pt>
                <c:pt idx="130">
                  <c:v>32.5</c:v>
                </c:pt>
                <c:pt idx="131">
                  <c:v>32.750251770019503</c:v>
                </c:pt>
                <c:pt idx="132">
                  <c:v>33.000278472900298</c:v>
                </c:pt>
                <c:pt idx="133">
                  <c:v>33.250026702880803</c:v>
                </c:pt>
                <c:pt idx="134">
                  <c:v>33.500026702880803</c:v>
                </c:pt>
                <c:pt idx="135">
                  <c:v>33.750057220458899</c:v>
                </c:pt>
                <c:pt idx="136">
                  <c:v>34.000194549560497</c:v>
                </c:pt>
                <c:pt idx="137">
                  <c:v>34.250556945800703</c:v>
                </c:pt>
                <c:pt idx="138">
                  <c:v>34.500167846679602</c:v>
                </c:pt>
                <c:pt idx="139">
                  <c:v>34.750110626220703</c:v>
                </c:pt>
                <c:pt idx="140">
                  <c:v>35.000331878662102</c:v>
                </c:pt>
                <c:pt idx="141">
                  <c:v>35.250221252441399</c:v>
                </c:pt>
                <c:pt idx="142">
                  <c:v>35.500110626220703</c:v>
                </c:pt>
                <c:pt idx="143">
                  <c:v>35.750110626220703</c:v>
                </c:pt>
                <c:pt idx="144">
                  <c:v>36.000083923339801</c:v>
                </c:pt>
                <c:pt idx="145">
                  <c:v>36.250026702880803</c:v>
                </c:pt>
                <c:pt idx="146">
                  <c:v>36.50044631958</c:v>
                </c:pt>
                <c:pt idx="147">
                  <c:v>36.750583648681598</c:v>
                </c:pt>
                <c:pt idx="148">
                  <c:v>37.000221252441399</c:v>
                </c:pt>
                <c:pt idx="149">
                  <c:v>37.250499725341797</c:v>
                </c:pt>
                <c:pt idx="150">
                  <c:v>37.500637054443303</c:v>
                </c:pt>
                <c:pt idx="151">
                  <c:v>37.750026702880803</c:v>
                </c:pt>
                <c:pt idx="152">
                  <c:v>38.000362396240199</c:v>
                </c:pt>
                <c:pt idx="153">
                  <c:v>38.250415802001903</c:v>
                </c:pt>
                <c:pt idx="154">
                  <c:v>38.50044631958</c:v>
                </c:pt>
                <c:pt idx="155">
                  <c:v>38.750251770019503</c:v>
                </c:pt>
                <c:pt idx="156">
                  <c:v>39.000194549560497</c:v>
                </c:pt>
                <c:pt idx="157">
                  <c:v>39.250362396240199</c:v>
                </c:pt>
                <c:pt idx="158">
                  <c:v>39.500083923339801</c:v>
                </c:pt>
                <c:pt idx="159">
                  <c:v>39.750389099121001</c:v>
                </c:pt>
                <c:pt idx="160">
                  <c:v>40.000057220458899</c:v>
                </c:pt>
                <c:pt idx="161">
                  <c:v>40.2503051757812</c:v>
                </c:pt>
                <c:pt idx="162">
                  <c:v>40.500221252441399</c:v>
                </c:pt>
                <c:pt idx="163">
                  <c:v>40.750026702880803</c:v>
                </c:pt>
                <c:pt idx="164">
                  <c:v>41.000251770019503</c:v>
                </c:pt>
                <c:pt idx="165">
                  <c:v>41.250194549560497</c:v>
                </c:pt>
                <c:pt idx="166">
                  <c:v>41.500637054443303</c:v>
                </c:pt>
                <c:pt idx="167">
                  <c:v>41.750194549560497</c:v>
                </c:pt>
                <c:pt idx="168">
                  <c:v>42.000083923339801</c:v>
                </c:pt>
                <c:pt idx="169">
                  <c:v>42.25</c:v>
                </c:pt>
                <c:pt idx="170">
                  <c:v>42.500331878662102</c:v>
                </c:pt>
                <c:pt idx="171">
                  <c:v>42.750137329101499</c:v>
                </c:pt>
                <c:pt idx="172">
                  <c:v>43.000473022460902</c:v>
                </c:pt>
                <c:pt idx="173">
                  <c:v>43.250473022460902</c:v>
                </c:pt>
                <c:pt idx="174">
                  <c:v>43.500026702880803</c:v>
                </c:pt>
                <c:pt idx="175">
                  <c:v>43.750389099121001</c:v>
                </c:pt>
                <c:pt idx="176">
                  <c:v>44.000362396240199</c:v>
                </c:pt>
                <c:pt idx="177">
                  <c:v>44.250221252441399</c:v>
                </c:pt>
                <c:pt idx="178">
                  <c:v>44.500331878662102</c:v>
                </c:pt>
                <c:pt idx="179">
                  <c:v>44.750167846679602</c:v>
                </c:pt>
                <c:pt idx="180">
                  <c:v>45.000499725341797</c:v>
                </c:pt>
                <c:pt idx="181">
                  <c:v>45.250362396240199</c:v>
                </c:pt>
                <c:pt idx="182">
                  <c:v>45.500221252441399</c:v>
                </c:pt>
                <c:pt idx="183">
                  <c:v>45.750057220458899</c:v>
                </c:pt>
                <c:pt idx="184">
                  <c:v>46.000137329101499</c:v>
                </c:pt>
                <c:pt idx="185">
                  <c:v>46.250415802001903</c:v>
                </c:pt>
                <c:pt idx="186">
                  <c:v>46.500278472900298</c:v>
                </c:pt>
                <c:pt idx="187">
                  <c:v>46.750167846679602</c:v>
                </c:pt>
                <c:pt idx="188">
                  <c:v>47.000473022460902</c:v>
                </c:pt>
                <c:pt idx="189">
                  <c:v>47.25044631958</c:v>
                </c:pt>
                <c:pt idx="190">
                  <c:v>47.500667572021399</c:v>
                </c:pt>
                <c:pt idx="191">
                  <c:v>47.75</c:v>
                </c:pt>
                <c:pt idx="192">
                  <c:v>48.000278472900298</c:v>
                </c:pt>
                <c:pt idx="193">
                  <c:v>48.250110626220703</c:v>
                </c:pt>
                <c:pt idx="194">
                  <c:v>48.500362396240199</c:v>
                </c:pt>
                <c:pt idx="195">
                  <c:v>48.750057220458899</c:v>
                </c:pt>
                <c:pt idx="196">
                  <c:v>49.000167846679602</c:v>
                </c:pt>
                <c:pt idx="197">
                  <c:v>49.250278472900298</c:v>
                </c:pt>
                <c:pt idx="198">
                  <c:v>49.500167846679602</c:v>
                </c:pt>
                <c:pt idx="199">
                  <c:v>49.750473022460902</c:v>
                </c:pt>
                <c:pt idx="200">
                  <c:v>50.000194549560497</c:v>
                </c:pt>
                <c:pt idx="201">
                  <c:v>50.250194549560497</c:v>
                </c:pt>
                <c:pt idx="202">
                  <c:v>50.500221252441399</c:v>
                </c:pt>
                <c:pt idx="203">
                  <c:v>50.750526428222599</c:v>
                </c:pt>
                <c:pt idx="204">
                  <c:v>51.000221252441399</c:v>
                </c:pt>
                <c:pt idx="205">
                  <c:v>51.250110626220703</c:v>
                </c:pt>
                <c:pt idx="206">
                  <c:v>51.500083923339801</c:v>
                </c:pt>
                <c:pt idx="207">
                  <c:v>51.750415802001903</c:v>
                </c:pt>
                <c:pt idx="208">
                  <c:v>52.000194549560497</c:v>
                </c:pt>
                <c:pt idx="209">
                  <c:v>52.250389099121001</c:v>
                </c:pt>
                <c:pt idx="210">
                  <c:v>52.500278472900298</c:v>
                </c:pt>
                <c:pt idx="211">
                  <c:v>52.750278472900298</c:v>
                </c:pt>
                <c:pt idx="212">
                  <c:v>53.000278472900298</c:v>
                </c:pt>
                <c:pt idx="213">
                  <c:v>53.250526428222599</c:v>
                </c:pt>
                <c:pt idx="214">
                  <c:v>53.500362396240199</c:v>
                </c:pt>
                <c:pt idx="215">
                  <c:v>53.750389099121001</c:v>
                </c:pt>
                <c:pt idx="216">
                  <c:v>54.000167846679602</c:v>
                </c:pt>
                <c:pt idx="217">
                  <c:v>54.250251770019503</c:v>
                </c:pt>
                <c:pt idx="218">
                  <c:v>54.500167846679602</c:v>
                </c:pt>
                <c:pt idx="219">
                  <c:v>54.750583648681598</c:v>
                </c:pt>
                <c:pt idx="220">
                  <c:v>55.0003051757812</c:v>
                </c:pt>
                <c:pt idx="221">
                  <c:v>55.250362396240199</c:v>
                </c:pt>
                <c:pt idx="222">
                  <c:v>55.500083923339801</c:v>
                </c:pt>
                <c:pt idx="223">
                  <c:v>55.750083923339801</c:v>
                </c:pt>
                <c:pt idx="224">
                  <c:v>56.00044631958</c:v>
                </c:pt>
                <c:pt idx="225">
                  <c:v>56.2503051757812</c:v>
                </c:pt>
                <c:pt idx="226">
                  <c:v>56.5003051757812</c:v>
                </c:pt>
                <c:pt idx="227">
                  <c:v>56.750278472900298</c:v>
                </c:pt>
                <c:pt idx="228">
                  <c:v>57.000473022460902</c:v>
                </c:pt>
                <c:pt idx="229">
                  <c:v>57.250831604003899</c:v>
                </c:pt>
                <c:pt idx="230">
                  <c:v>57.500026702880803</c:v>
                </c:pt>
                <c:pt idx="231">
                  <c:v>57.750057220458899</c:v>
                </c:pt>
                <c:pt idx="232">
                  <c:v>58.000110626220703</c:v>
                </c:pt>
                <c:pt idx="233">
                  <c:v>58.250415802001903</c:v>
                </c:pt>
                <c:pt idx="234">
                  <c:v>58.5003051757812</c:v>
                </c:pt>
                <c:pt idx="235">
                  <c:v>58.750362396240199</c:v>
                </c:pt>
                <c:pt idx="236">
                  <c:v>59</c:v>
                </c:pt>
                <c:pt idx="237">
                  <c:v>59.250415802001903</c:v>
                </c:pt>
                <c:pt idx="238">
                  <c:v>59.500278472900298</c:v>
                </c:pt>
                <c:pt idx="239">
                  <c:v>59.750415802001903</c:v>
                </c:pt>
                <c:pt idx="240">
                  <c:v>60.000331878662102</c:v>
                </c:pt>
                <c:pt idx="241">
                  <c:v>60.2506103515625</c:v>
                </c:pt>
                <c:pt idx="242">
                  <c:v>60.500415802001903</c:v>
                </c:pt>
                <c:pt idx="243">
                  <c:v>60.750499725341797</c:v>
                </c:pt>
                <c:pt idx="244">
                  <c:v>61.000278472900298</c:v>
                </c:pt>
                <c:pt idx="245">
                  <c:v>61.25</c:v>
                </c:pt>
                <c:pt idx="246">
                  <c:v>61.500389099121001</c:v>
                </c:pt>
                <c:pt idx="247">
                  <c:v>61.75</c:v>
                </c:pt>
                <c:pt idx="248">
                  <c:v>62.000194549560497</c:v>
                </c:pt>
                <c:pt idx="249">
                  <c:v>62.250251770019503</c:v>
                </c:pt>
                <c:pt idx="250">
                  <c:v>62.500499725341797</c:v>
                </c:pt>
                <c:pt idx="251">
                  <c:v>62.750026702880803</c:v>
                </c:pt>
                <c:pt idx="252">
                  <c:v>63.00044631958</c:v>
                </c:pt>
                <c:pt idx="253">
                  <c:v>63.250026702880803</c:v>
                </c:pt>
                <c:pt idx="254">
                  <c:v>63.5006103515625</c:v>
                </c:pt>
                <c:pt idx="255">
                  <c:v>63.75044631958</c:v>
                </c:pt>
                <c:pt idx="256">
                  <c:v>64.000831604003906</c:v>
                </c:pt>
                <c:pt idx="257">
                  <c:v>64.250190734863196</c:v>
                </c:pt>
                <c:pt idx="258">
                  <c:v>64.500419616699205</c:v>
                </c:pt>
                <c:pt idx="259">
                  <c:v>64.750053405761705</c:v>
                </c:pt>
                <c:pt idx="260">
                  <c:v>65.000335693359304</c:v>
                </c:pt>
                <c:pt idx="261">
                  <c:v>65.250114440917898</c:v>
                </c:pt>
                <c:pt idx="262">
                  <c:v>65.500335693359304</c:v>
                </c:pt>
                <c:pt idx="263">
                  <c:v>65.750335693359304</c:v>
                </c:pt>
                <c:pt idx="264">
                  <c:v>66.000083923339801</c:v>
                </c:pt>
                <c:pt idx="265">
                  <c:v>66.250419616699205</c:v>
                </c:pt>
                <c:pt idx="266">
                  <c:v>66.500030517578097</c:v>
                </c:pt>
                <c:pt idx="267">
                  <c:v>66.750389099120994</c:v>
                </c:pt>
                <c:pt idx="268">
                  <c:v>67.000778198242102</c:v>
                </c:pt>
                <c:pt idx="269">
                  <c:v>67.250442504882798</c:v>
                </c:pt>
                <c:pt idx="270">
                  <c:v>67.500137329101506</c:v>
                </c:pt>
                <c:pt idx="271">
                  <c:v>67.750305175781193</c:v>
                </c:pt>
                <c:pt idx="272">
                  <c:v>68.000221252441406</c:v>
                </c:pt>
                <c:pt idx="273">
                  <c:v>68.250030517578097</c:v>
                </c:pt>
                <c:pt idx="274">
                  <c:v>68.5</c:v>
                </c:pt>
                <c:pt idx="275">
                  <c:v>68.750335693359304</c:v>
                </c:pt>
                <c:pt idx="276">
                  <c:v>69.000083923339801</c:v>
                </c:pt>
                <c:pt idx="277">
                  <c:v>69.250221252441406</c:v>
                </c:pt>
                <c:pt idx="278">
                  <c:v>69.500083923339801</c:v>
                </c:pt>
                <c:pt idx="279">
                  <c:v>69.750503540039006</c:v>
                </c:pt>
                <c:pt idx="280">
                  <c:v>70.000526428222599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70.750358581542898</c:v>
                </c:pt>
                <c:pt idx="284">
                  <c:v>71.000389099120994</c:v>
                </c:pt>
                <c:pt idx="285">
                  <c:v>71.250083923339801</c:v>
                </c:pt>
                <c:pt idx="286">
                  <c:v>71.500030517578097</c:v>
                </c:pt>
                <c:pt idx="287">
                  <c:v>71.750221252441406</c:v>
                </c:pt>
                <c:pt idx="288">
                  <c:v>72.000335693359304</c:v>
                </c:pt>
              </c:numCache>
            </c:numRef>
          </c:xVal>
          <c:yVal>
            <c:numRef>
              <c:f>'SIM2'!$G$11:$G$299</c:f>
              <c:numCache>
                <c:formatCode>General</c:formatCode>
                <c:ptCount val="289"/>
                <c:pt idx="0">
                  <c:v>9.8774652481079102</c:v>
                </c:pt>
                <c:pt idx="1">
                  <c:v>10.4192600250244</c:v>
                </c:pt>
                <c:pt idx="2">
                  <c:v>8.8045520782470703</c:v>
                </c:pt>
                <c:pt idx="3">
                  <c:v>8.4278707504272408</c:v>
                </c:pt>
                <c:pt idx="4">
                  <c:v>8.2078981399536097</c:v>
                </c:pt>
                <c:pt idx="5">
                  <c:v>6.7733168601989702</c:v>
                </c:pt>
                <c:pt idx="6">
                  <c:v>8.7228879928588796</c:v>
                </c:pt>
                <c:pt idx="7">
                  <c:v>7.7950711250305096</c:v>
                </c:pt>
                <c:pt idx="8">
                  <c:v>6.9944338798522896</c:v>
                </c:pt>
                <c:pt idx="9">
                  <c:v>8.3531465530395508</c:v>
                </c:pt>
                <c:pt idx="10">
                  <c:v>6.9101867675781197</c:v>
                </c:pt>
                <c:pt idx="11">
                  <c:v>8.6721210479736293</c:v>
                </c:pt>
                <c:pt idx="12">
                  <c:v>7.8609452247619602</c:v>
                </c:pt>
                <c:pt idx="13">
                  <c:v>6.1930332183837802</c:v>
                </c:pt>
                <c:pt idx="14">
                  <c:v>8.4540910720825195</c:v>
                </c:pt>
                <c:pt idx="15">
                  <c:v>6.7207560539245597</c:v>
                </c:pt>
                <c:pt idx="16">
                  <c:v>9.4492340087890607</c:v>
                </c:pt>
                <c:pt idx="17">
                  <c:v>8.0949411392211896</c:v>
                </c:pt>
                <c:pt idx="18">
                  <c:v>4.2831830978393501</c:v>
                </c:pt>
                <c:pt idx="19">
                  <c:v>9.0380811691284109</c:v>
                </c:pt>
                <c:pt idx="20">
                  <c:v>5.1072440147399902</c:v>
                </c:pt>
                <c:pt idx="21">
                  <c:v>0.51234340667724598</c:v>
                </c:pt>
                <c:pt idx="22">
                  <c:v>2.0595219135284402</c:v>
                </c:pt>
                <c:pt idx="23">
                  <c:v>1.2446060180664</c:v>
                </c:pt>
                <c:pt idx="24">
                  <c:v>7.3038887977600098</c:v>
                </c:pt>
                <c:pt idx="25">
                  <c:v>3.07029700279235</c:v>
                </c:pt>
                <c:pt idx="26">
                  <c:v>10.955430030822701</c:v>
                </c:pt>
                <c:pt idx="27">
                  <c:v>10.1106395721435</c:v>
                </c:pt>
                <c:pt idx="28">
                  <c:v>9.2607946395874006</c:v>
                </c:pt>
                <c:pt idx="29">
                  <c:v>4.7402877807617099</c:v>
                </c:pt>
                <c:pt idx="30">
                  <c:v>11.7178697586059</c:v>
                </c:pt>
                <c:pt idx="31">
                  <c:v>7.9092369079589799</c:v>
                </c:pt>
                <c:pt idx="32">
                  <c:v>0.81056171655654896</c:v>
                </c:pt>
                <c:pt idx="33">
                  <c:v>-2.9623739719390798</c:v>
                </c:pt>
                <c:pt idx="34">
                  <c:v>-0.58332991600036599</c:v>
                </c:pt>
                <c:pt idx="35">
                  <c:v>23.962020874023398</c:v>
                </c:pt>
                <c:pt idx="36">
                  <c:v>4.3120059967040998</c:v>
                </c:pt>
                <c:pt idx="37">
                  <c:v>14.1406698226928</c:v>
                </c:pt>
                <c:pt idx="38">
                  <c:v>6.9768052101135201</c:v>
                </c:pt>
                <c:pt idx="39">
                  <c:v>9.1445646286010707</c:v>
                </c:pt>
                <c:pt idx="40">
                  <c:v>8.3823194503784109</c:v>
                </c:pt>
                <c:pt idx="41">
                  <c:v>2.3557250499725302</c:v>
                </c:pt>
                <c:pt idx="42">
                  <c:v>0.69606858491897505</c:v>
                </c:pt>
                <c:pt idx="43">
                  <c:v>1.83864402770996</c:v>
                </c:pt>
                <c:pt idx="44">
                  <c:v>7.3838768005370996</c:v>
                </c:pt>
                <c:pt idx="45">
                  <c:v>-0.67428159713745095</c:v>
                </c:pt>
                <c:pt idx="46">
                  <c:v>0.82192832231521595</c:v>
                </c:pt>
                <c:pt idx="47">
                  <c:v>-0.18775899708270999</c:v>
                </c:pt>
                <c:pt idx="48">
                  <c:v>0.51788258552551203</c:v>
                </c:pt>
                <c:pt idx="49">
                  <c:v>7.9558978080749503</c:v>
                </c:pt>
                <c:pt idx="50">
                  <c:v>15.819959640502899</c:v>
                </c:pt>
                <c:pt idx="51">
                  <c:v>9.1489458084106392</c:v>
                </c:pt>
                <c:pt idx="52">
                  <c:v>8.9302701950073207</c:v>
                </c:pt>
                <c:pt idx="53">
                  <c:v>8.2460966110229403</c:v>
                </c:pt>
                <c:pt idx="54">
                  <c:v>3.1271619796752899</c:v>
                </c:pt>
                <c:pt idx="55">
                  <c:v>1.9778089523315401</c:v>
                </c:pt>
                <c:pt idx="56">
                  <c:v>10.9381103515625</c:v>
                </c:pt>
                <c:pt idx="57">
                  <c:v>1.99179995059967</c:v>
                </c:pt>
                <c:pt idx="58">
                  <c:v>0.84703522920608498</c:v>
                </c:pt>
                <c:pt idx="59">
                  <c:v>2.5406301021575901</c:v>
                </c:pt>
                <c:pt idx="60">
                  <c:v>0.32950699329376198</c:v>
                </c:pt>
                <c:pt idx="61">
                  <c:v>27.239040374755799</c:v>
                </c:pt>
                <c:pt idx="62">
                  <c:v>18.942089080810501</c:v>
                </c:pt>
                <c:pt idx="63">
                  <c:v>12.2244100570678</c:v>
                </c:pt>
                <c:pt idx="64">
                  <c:v>6.7981572151184002</c:v>
                </c:pt>
                <c:pt idx="65">
                  <c:v>8.6503162384033203</c:v>
                </c:pt>
                <c:pt idx="66">
                  <c:v>5.5326042175292898</c:v>
                </c:pt>
                <c:pt idx="67">
                  <c:v>1.35956394672393</c:v>
                </c:pt>
                <c:pt idx="68">
                  <c:v>-1.9388719797134399</c:v>
                </c:pt>
                <c:pt idx="69">
                  <c:v>3.44827008247375</c:v>
                </c:pt>
                <c:pt idx="70">
                  <c:v>4.7515068054199201</c:v>
                </c:pt>
                <c:pt idx="71">
                  <c:v>1.3580789566039999</c:v>
                </c:pt>
                <c:pt idx="72">
                  <c:v>-0.254233509302139</c:v>
                </c:pt>
                <c:pt idx="73">
                  <c:v>0.406901895999908</c:v>
                </c:pt>
                <c:pt idx="74">
                  <c:v>8.7416248321533203</c:v>
                </c:pt>
                <c:pt idx="75">
                  <c:v>7.0884861946105904</c:v>
                </c:pt>
                <c:pt idx="76">
                  <c:v>13.942099571228001</c:v>
                </c:pt>
                <c:pt idx="77">
                  <c:v>6.7424178123474103</c:v>
                </c:pt>
                <c:pt idx="78">
                  <c:v>8.6245660781860298</c:v>
                </c:pt>
                <c:pt idx="79">
                  <c:v>8.0654964447021396</c:v>
                </c:pt>
                <c:pt idx="80">
                  <c:v>2.4172780513763401</c:v>
                </c:pt>
                <c:pt idx="81">
                  <c:v>0.60437327623367298</c:v>
                </c:pt>
                <c:pt idx="82">
                  <c:v>3.7908270359039302</c:v>
                </c:pt>
                <c:pt idx="83">
                  <c:v>5.60597419738769</c:v>
                </c:pt>
                <c:pt idx="84">
                  <c:v>2.4875719547271702</c:v>
                </c:pt>
                <c:pt idx="85">
                  <c:v>0.27997550368308999</c:v>
                </c:pt>
                <c:pt idx="86">
                  <c:v>-0.36192831397056502</c:v>
                </c:pt>
                <c:pt idx="87">
                  <c:v>0.38055750727653498</c:v>
                </c:pt>
                <c:pt idx="88">
                  <c:v>7.8119578361511204</c:v>
                </c:pt>
                <c:pt idx="89">
                  <c:v>15.8573198318481</c:v>
                </c:pt>
                <c:pt idx="90">
                  <c:v>9.0349836349487305</c:v>
                </c:pt>
                <c:pt idx="91">
                  <c:v>8.9138078689575195</c:v>
                </c:pt>
                <c:pt idx="92">
                  <c:v>8.22737216949462</c:v>
                </c:pt>
                <c:pt idx="93">
                  <c:v>3.1046390533447199</c:v>
                </c:pt>
                <c:pt idx="94">
                  <c:v>2.3278839588165199</c:v>
                </c:pt>
                <c:pt idx="95">
                  <c:v>9.4375715255737305</c:v>
                </c:pt>
                <c:pt idx="96">
                  <c:v>0.94962900876998901</c:v>
                </c:pt>
                <c:pt idx="97">
                  <c:v>-2.5129311084747301</c:v>
                </c:pt>
                <c:pt idx="98">
                  <c:v>0.951571285724639</c:v>
                </c:pt>
                <c:pt idx="99">
                  <c:v>0.479404807090759</c:v>
                </c:pt>
                <c:pt idx="100">
                  <c:v>18.650880813598601</c:v>
                </c:pt>
                <c:pt idx="101">
                  <c:v>17.210109710693299</c:v>
                </c:pt>
                <c:pt idx="102">
                  <c:v>11.9092998504638</c:v>
                </c:pt>
                <c:pt idx="103">
                  <c:v>7.6067438125610298</c:v>
                </c:pt>
                <c:pt idx="104">
                  <c:v>8.5980119705200195</c:v>
                </c:pt>
                <c:pt idx="105">
                  <c:v>4.4956378936767498</c:v>
                </c:pt>
                <c:pt idx="106">
                  <c:v>1.0953220129012999</c:v>
                </c:pt>
                <c:pt idx="107">
                  <c:v>2.0777850151061998</c:v>
                </c:pt>
                <c:pt idx="108">
                  <c:v>11.8790397644043</c:v>
                </c:pt>
                <c:pt idx="109">
                  <c:v>3.7950599193572998</c:v>
                </c:pt>
                <c:pt idx="110">
                  <c:v>-1.0746910572052</c:v>
                </c:pt>
                <c:pt idx="111">
                  <c:v>-0.91827857494354204</c:v>
                </c:pt>
                <c:pt idx="112">
                  <c:v>0.45335140824317899</c:v>
                </c:pt>
                <c:pt idx="113">
                  <c:v>21.666049957275298</c:v>
                </c:pt>
                <c:pt idx="114">
                  <c:v>8.0183582305908203</c:v>
                </c:pt>
                <c:pt idx="115">
                  <c:v>13.534970283508301</c:v>
                </c:pt>
                <c:pt idx="116">
                  <c:v>6.4737191200256303</c:v>
                </c:pt>
                <c:pt idx="117">
                  <c:v>8.6007080078125</c:v>
                </c:pt>
                <c:pt idx="118">
                  <c:v>7.9187898635864196</c:v>
                </c:pt>
                <c:pt idx="119">
                  <c:v>2.2227790355682302</c:v>
                </c:pt>
                <c:pt idx="120">
                  <c:v>-1.10392105579376</c:v>
                </c:pt>
                <c:pt idx="121">
                  <c:v>1.7798500061035101</c:v>
                </c:pt>
                <c:pt idx="122">
                  <c:v>6.67545318603515</c:v>
                </c:pt>
                <c:pt idx="123">
                  <c:v>1.8266240358352599</c:v>
                </c:pt>
                <c:pt idx="124">
                  <c:v>0.77775830030441195</c:v>
                </c:pt>
                <c:pt idx="125">
                  <c:v>0.30217289924621499</c:v>
                </c:pt>
                <c:pt idx="126">
                  <c:v>0.25374490022659302</c:v>
                </c:pt>
                <c:pt idx="127">
                  <c:v>8.8083553314208896</c:v>
                </c:pt>
                <c:pt idx="128">
                  <c:v>15.976030349731399</c:v>
                </c:pt>
                <c:pt idx="129">
                  <c:v>9.1770105361938406</c:v>
                </c:pt>
                <c:pt idx="130">
                  <c:v>8.9123811721801705</c:v>
                </c:pt>
                <c:pt idx="131">
                  <c:v>8.2362394332885707</c:v>
                </c:pt>
                <c:pt idx="132">
                  <c:v>3.1474969387054399</c:v>
                </c:pt>
                <c:pt idx="133">
                  <c:v>2.3286499977111799</c:v>
                </c:pt>
                <c:pt idx="134">
                  <c:v>9.4967098236083896</c:v>
                </c:pt>
                <c:pt idx="135">
                  <c:v>-2.3766679763793901</c:v>
                </c:pt>
                <c:pt idx="136">
                  <c:v>3.9485659599304199</c:v>
                </c:pt>
                <c:pt idx="137">
                  <c:v>0.26024809479713401</c:v>
                </c:pt>
                <c:pt idx="138">
                  <c:v>0.20640629529953</c:v>
                </c:pt>
                <c:pt idx="139">
                  <c:v>21.3166904449462</c:v>
                </c:pt>
                <c:pt idx="140">
                  <c:v>18.219730377197202</c:v>
                </c:pt>
                <c:pt idx="141">
                  <c:v>12.068539619445801</c:v>
                </c:pt>
                <c:pt idx="142">
                  <c:v>7.3910961151123002</c:v>
                </c:pt>
                <c:pt idx="143">
                  <c:v>8.6198959350585902</c:v>
                </c:pt>
                <c:pt idx="144">
                  <c:v>4.8091979026794398</c:v>
                </c:pt>
                <c:pt idx="145">
                  <c:v>1.3373939990997299</c:v>
                </c:pt>
                <c:pt idx="146">
                  <c:v>1.2259600162506099</c:v>
                </c:pt>
                <c:pt idx="147">
                  <c:v>12.962180137634199</c:v>
                </c:pt>
                <c:pt idx="148">
                  <c:v>3.6093471050262398</c:v>
                </c:pt>
                <c:pt idx="149">
                  <c:v>-1.5116440057754501</c:v>
                </c:pt>
                <c:pt idx="150">
                  <c:v>-0.37610340118408198</c:v>
                </c:pt>
                <c:pt idx="151">
                  <c:v>0.47688901424407898</c:v>
                </c:pt>
                <c:pt idx="152">
                  <c:v>17.591829299926701</c:v>
                </c:pt>
                <c:pt idx="153">
                  <c:v>7.8837962150573704</c:v>
                </c:pt>
                <c:pt idx="154">
                  <c:v>13.6156196594238</c:v>
                </c:pt>
                <c:pt idx="155">
                  <c:v>6.5106601715087802</c:v>
                </c:pt>
                <c:pt idx="156">
                  <c:v>8.6015930175781197</c:v>
                </c:pt>
                <c:pt idx="157">
                  <c:v>7.9542031288146902</c:v>
                </c:pt>
                <c:pt idx="158">
                  <c:v>2.2671749591827299</c:v>
                </c:pt>
                <c:pt idx="159">
                  <c:v>1.09833395481109</c:v>
                </c:pt>
                <c:pt idx="160">
                  <c:v>1.38607597351074</c:v>
                </c:pt>
                <c:pt idx="161">
                  <c:v>8.5191469192504794</c:v>
                </c:pt>
                <c:pt idx="162">
                  <c:v>-0.22051909565925601</c:v>
                </c:pt>
                <c:pt idx="163">
                  <c:v>0.17330540716648099</c:v>
                </c:pt>
                <c:pt idx="164">
                  <c:v>-0.27999129891395502</c:v>
                </c:pt>
                <c:pt idx="165">
                  <c:v>0.56594830751419001</c:v>
                </c:pt>
                <c:pt idx="166">
                  <c:v>8.9338331222534109</c:v>
                </c:pt>
                <c:pt idx="167">
                  <c:v>15.8211297988891</c:v>
                </c:pt>
                <c:pt idx="168">
                  <c:v>9.2427387237548793</c:v>
                </c:pt>
                <c:pt idx="169">
                  <c:v>8.9529285430908203</c:v>
                </c:pt>
                <c:pt idx="170">
                  <c:v>8.2410736083984304</c:v>
                </c:pt>
                <c:pt idx="171">
                  <c:v>3.0954000949859601</c:v>
                </c:pt>
                <c:pt idx="172">
                  <c:v>1.6059149503707799</c:v>
                </c:pt>
                <c:pt idx="173">
                  <c:v>0.55344027280807495</c:v>
                </c:pt>
                <c:pt idx="174">
                  <c:v>11.207400321960399</c:v>
                </c:pt>
                <c:pt idx="175">
                  <c:v>-0.116939298808574</c:v>
                </c:pt>
                <c:pt idx="176">
                  <c:v>1.03428602218627</c:v>
                </c:pt>
                <c:pt idx="177">
                  <c:v>0.30242151021957397</c:v>
                </c:pt>
                <c:pt idx="178">
                  <c:v>0.87873667478561401</c:v>
                </c:pt>
                <c:pt idx="179">
                  <c:v>19.845199584960898</c:v>
                </c:pt>
                <c:pt idx="180">
                  <c:v>17.480249404907202</c:v>
                </c:pt>
                <c:pt idx="181">
                  <c:v>11.9841299057006</c:v>
                </c:pt>
                <c:pt idx="182">
                  <c:v>8.5701398849487305</c:v>
                </c:pt>
                <c:pt idx="183">
                  <c:v>8.4466819763183505</c:v>
                </c:pt>
                <c:pt idx="184">
                  <c:v>4.2521791458129803</c:v>
                </c:pt>
                <c:pt idx="185">
                  <c:v>2.0540969371795601</c:v>
                </c:pt>
                <c:pt idx="186">
                  <c:v>12.0496397018432</c:v>
                </c:pt>
                <c:pt idx="187">
                  <c:v>1.3015650510787899</c:v>
                </c:pt>
                <c:pt idx="188">
                  <c:v>1.8254649639129601</c:v>
                </c:pt>
                <c:pt idx="189">
                  <c:v>-0.28858360648155201</c:v>
                </c:pt>
                <c:pt idx="190">
                  <c:v>-6.9363512098789201E-2</c:v>
                </c:pt>
                <c:pt idx="191">
                  <c:v>41.738868713378899</c:v>
                </c:pt>
                <c:pt idx="192">
                  <c:v>10.1650295257568</c:v>
                </c:pt>
                <c:pt idx="193">
                  <c:v>12.379920005798301</c:v>
                </c:pt>
                <c:pt idx="194">
                  <c:v>6.11858701705932</c:v>
                </c:pt>
                <c:pt idx="195">
                  <c:v>8.66127204895019</c:v>
                </c:pt>
                <c:pt idx="196">
                  <c:v>7.0277647972106898</c:v>
                </c:pt>
                <c:pt idx="197">
                  <c:v>1.6262569427490201</c:v>
                </c:pt>
                <c:pt idx="198">
                  <c:v>-0.49881181120872498</c:v>
                </c:pt>
                <c:pt idx="199">
                  <c:v>0.80224442481994596</c:v>
                </c:pt>
                <c:pt idx="200">
                  <c:v>9.0981874465942294</c:v>
                </c:pt>
                <c:pt idx="201">
                  <c:v>-0.44475528597831698</c:v>
                </c:pt>
                <c:pt idx="202">
                  <c:v>0.68512660264968805</c:v>
                </c:pt>
                <c:pt idx="203">
                  <c:v>-9.4035960733890506E-2</c:v>
                </c:pt>
                <c:pt idx="204">
                  <c:v>0.44369331002235401</c:v>
                </c:pt>
                <c:pt idx="205">
                  <c:v>7.3160481452941797</c:v>
                </c:pt>
                <c:pt idx="206">
                  <c:v>15.091340065002401</c:v>
                </c:pt>
                <c:pt idx="207">
                  <c:v>8.2965011596679599</c:v>
                </c:pt>
                <c:pt idx="208">
                  <c:v>8.8247756958007795</c:v>
                </c:pt>
                <c:pt idx="209">
                  <c:v>8.1858711242675692</c:v>
                </c:pt>
                <c:pt idx="210">
                  <c:v>2.8464369773864702</c:v>
                </c:pt>
                <c:pt idx="211">
                  <c:v>1.19061803817749</c:v>
                </c:pt>
                <c:pt idx="212">
                  <c:v>0.84331142902374201</c:v>
                </c:pt>
                <c:pt idx="213">
                  <c:v>9.5131845474243093</c:v>
                </c:pt>
                <c:pt idx="214">
                  <c:v>0.772360980510711</c:v>
                </c:pt>
                <c:pt idx="215">
                  <c:v>0.82254278659820501</c:v>
                </c:pt>
                <c:pt idx="216">
                  <c:v>0.34434169530868503</c:v>
                </c:pt>
                <c:pt idx="217">
                  <c:v>2.9958078861236501</c:v>
                </c:pt>
                <c:pt idx="218">
                  <c:v>17.068260192871001</c:v>
                </c:pt>
                <c:pt idx="219">
                  <c:v>17.229270935058501</c:v>
                </c:pt>
                <c:pt idx="220">
                  <c:v>11.6264696121215</c:v>
                </c:pt>
                <c:pt idx="221">
                  <c:v>8.8210067749023402</c:v>
                </c:pt>
                <c:pt idx="222">
                  <c:v>8.3780431747436506</c:v>
                </c:pt>
                <c:pt idx="223">
                  <c:v>3.9428539276122998</c:v>
                </c:pt>
                <c:pt idx="224">
                  <c:v>2.1362559795379599</c:v>
                </c:pt>
                <c:pt idx="225">
                  <c:v>11.0584001541137</c:v>
                </c:pt>
                <c:pt idx="226">
                  <c:v>-8.6896397173404596E-2</c:v>
                </c:pt>
                <c:pt idx="227">
                  <c:v>1.8684279918670601</c:v>
                </c:pt>
                <c:pt idx="228">
                  <c:v>-2.9754819869995099</c:v>
                </c:pt>
                <c:pt idx="229">
                  <c:v>-0.102550603449344</c:v>
                </c:pt>
                <c:pt idx="230">
                  <c:v>31.260839462280199</c:v>
                </c:pt>
                <c:pt idx="231">
                  <c:v>15.361350059509199</c:v>
                </c:pt>
                <c:pt idx="232">
                  <c:v>12.216489791870099</c:v>
                </c:pt>
                <c:pt idx="233">
                  <c:v>6.4099311828613201</c:v>
                </c:pt>
                <c:pt idx="234">
                  <c:v>8.6694726943969709</c:v>
                </c:pt>
                <c:pt idx="235">
                  <c:v>6.0754938125610298</c:v>
                </c:pt>
                <c:pt idx="236">
                  <c:v>1.4151020050048799</c:v>
                </c:pt>
                <c:pt idx="237">
                  <c:v>-0.17774580419063499</c:v>
                </c:pt>
                <c:pt idx="238">
                  <c:v>1.48394894599914</c:v>
                </c:pt>
                <c:pt idx="239">
                  <c:v>7.0597729682922301</c:v>
                </c:pt>
                <c:pt idx="240">
                  <c:v>1.3047080039978001</c:v>
                </c:pt>
                <c:pt idx="241">
                  <c:v>0.84771317243576005</c:v>
                </c:pt>
                <c:pt idx="242">
                  <c:v>0.34293270111083901</c:v>
                </c:pt>
                <c:pt idx="243">
                  <c:v>1.76891505718231</c:v>
                </c:pt>
                <c:pt idx="244">
                  <c:v>6.8721208572387704</c:v>
                </c:pt>
                <c:pt idx="245">
                  <c:v>14.5569400787353</c:v>
                </c:pt>
                <c:pt idx="246">
                  <c:v>7.4155540466308496</c:v>
                </c:pt>
                <c:pt idx="247">
                  <c:v>8.7057142257690394</c:v>
                </c:pt>
                <c:pt idx="248">
                  <c:v>8.1443223953246999</c:v>
                </c:pt>
                <c:pt idx="249">
                  <c:v>2.6304299831390301</c:v>
                </c:pt>
                <c:pt idx="250">
                  <c:v>-0.15542240440845401</c:v>
                </c:pt>
                <c:pt idx="251">
                  <c:v>0.37069511413574202</c:v>
                </c:pt>
                <c:pt idx="252">
                  <c:v>9.9893798828125</c:v>
                </c:pt>
                <c:pt idx="253">
                  <c:v>-0.25238409638404802</c:v>
                </c:pt>
                <c:pt idx="254">
                  <c:v>-0.27762758731842002</c:v>
                </c:pt>
                <c:pt idx="255">
                  <c:v>-0.29764458537101701</c:v>
                </c:pt>
                <c:pt idx="256">
                  <c:v>2.3693990707397399</c:v>
                </c:pt>
                <c:pt idx="257">
                  <c:v>15.095939636230399</c:v>
                </c:pt>
                <c:pt idx="258">
                  <c:v>16.926679611206001</c:v>
                </c:pt>
                <c:pt idx="259">
                  <c:v>11.151470184326101</c:v>
                </c:pt>
                <c:pt idx="260">
                  <c:v>9.0142774581909109</c:v>
                </c:pt>
                <c:pt idx="261">
                  <c:v>8.3557138442993093</c:v>
                </c:pt>
                <c:pt idx="262">
                  <c:v>3.6786749362945499</c:v>
                </c:pt>
                <c:pt idx="263">
                  <c:v>1.61141598224639</c:v>
                </c:pt>
                <c:pt idx="264">
                  <c:v>18.443189620971602</c:v>
                </c:pt>
                <c:pt idx="265">
                  <c:v>2.2161910533904998</c:v>
                </c:pt>
                <c:pt idx="266">
                  <c:v>-4.4242650270462001E-2</c:v>
                </c:pt>
                <c:pt idx="267">
                  <c:v>-0.31225240230560303</c:v>
                </c:pt>
                <c:pt idx="268">
                  <c:v>8.1605613231658894E-2</c:v>
                </c:pt>
                <c:pt idx="269">
                  <c:v>18.498949050903299</c:v>
                </c:pt>
                <c:pt idx="270">
                  <c:v>6.5805802345275799</c:v>
                </c:pt>
                <c:pt idx="271">
                  <c:v>13.283729553222599</c:v>
                </c:pt>
                <c:pt idx="272">
                  <c:v>6.4494109153747496</c:v>
                </c:pt>
                <c:pt idx="273">
                  <c:v>8.6288080215454102</c:v>
                </c:pt>
                <c:pt idx="274">
                  <c:v>8.0254144668579102</c:v>
                </c:pt>
                <c:pt idx="275">
                  <c:v>2.1668999195098801</c:v>
                </c:pt>
                <c:pt idx="276">
                  <c:v>1.9857029914855899</c:v>
                </c:pt>
                <c:pt idx="277">
                  <c:v>0.48251950740814198</c:v>
                </c:pt>
                <c:pt idx="278">
                  <c:v>9.9307394027709908</c:v>
                </c:pt>
                <c:pt idx="279">
                  <c:v>0.41018021106719899</c:v>
                </c:pt>
                <c:pt idx="280">
                  <c:v>-0.16811980307102201</c:v>
                </c:pt>
                <c:pt idx="281">
                  <c:v>-0.38545998930931002</c:v>
                </c:pt>
                <c:pt idx="282">
                  <c:v>3.0339500904083199</c:v>
                </c:pt>
                <c:pt idx="283">
                  <c:v>11.355990409851</c:v>
                </c:pt>
                <c:pt idx="284">
                  <c:v>16.4292907714843</c:v>
                </c:pt>
                <c:pt idx="285">
                  <c:v>10.1972103118896</c:v>
                </c:pt>
                <c:pt idx="286">
                  <c:v>9.0098237991333008</c:v>
                </c:pt>
                <c:pt idx="287">
                  <c:v>8.2818269729614205</c:v>
                </c:pt>
                <c:pt idx="288">
                  <c:v>3.3657801151275599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07-47D0-BB31-D0952D2E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GB"/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b="0" i="0" u="none" strike="noStrike">
                <a:latin typeface="Calibri"/>
              </a:rPr>
              <a:t>Report-2031_Oil_4500bopd_Liquid_4773blpd_No_GL_TD_Only_OP2.genkey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Legends!$B$2</c:f>
              <c:strCache>
                <c:ptCount val="1"/>
                <c:pt idx="0">
                  <c:v>Liquid at Outlet</c:v>
                </c:pt>
              </c:strCache>
            </c:strRef>
          </c:tx>
          <c:marker>
            <c:symbol val="none"/>
          </c:marker>
          <c:xVal>
            <c:numRef>
              <c:f>'SIM3'!$A$11:$A$299</c:f>
              <c:numCache>
                <c:formatCode>General</c:formatCode>
                <c:ptCount val="289"/>
                <c:pt idx="0">
                  <c:v>0</c:v>
                </c:pt>
                <c:pt idx="1">
                  <c:v>0.25001123547553999</c:v>
                </c:pt>
                <c:pt idx="2">
                  <c:v>0.50012111663818304</c:v>
                </c:pt>
                <c:pt idx="3">
                  <c:v>0.750061094760894</c:v>
                </c:pt>
                <c:pt idx="4">
                  <c:v>1.00013864040374</c:v>
                </c:pt>
                <c:pt idx="5">
                  <c:v>1.2504644393920901</c:v>
                </c:pt>
                <c:pt idx="6">
                  <c:v>1.50049471855163</c:v>
                </c:pt>
                <c:pt idx="7">
                  <c:v>1.7500041723251301</c:v>
                </c:pt>
                <c:pt idx="8">
                  <c:v>2.0004205703735298</c:v>
                </c:pt>
                <c:pt idx="9">
                  <c:v>2.2502241134643501</c:v>
                </c:pt>
                <c:pt idx="10">
                  <c:v>2.5003690719604399</c:v>
                </c:pt>
                <c:pt idx="11">
                  <c:v>2.7500240802764799</c:v>
                </c:pt>
                <c:pt idx="12">
                  <c:v>3.0002083778381299</c:v>
                </c:pt>
                <c:pt idx="13">
                  <c:v>3.2501139640808101</c:v>
                </c:pt>
                <c:pt idx="14">
                  <c:v>3.5004527568817099</c:v>
                </c:pt>
                <c:pt idx="15">
                  <c:v>3.75038337707519</c:v>
                </c:pt>
                <c:pt idx="16">
                  <c:v>4.00034427642822</c:v>
                </c:pt>
                <c:pt idx="17">
                  <c:v>4.2504944801330504</c:v>
                </c:pt>
                <c:pt idx="18">
                  <c:v>4.5004611015319798</c:v>
                </c:pt>
                <c:pt idx="19">
                  <c:v>4.7502636909484801</c:v>
                </c:pt>
                <c:pt idx="20">
                  <c:v>5.0005307197570801</c:v>
                </c:pt>
                <c:pt idx="21">
                  <c:v>5.2500834465026802</c:v>
                </c:pt>
                <c:pt idx="22">
                  <c:v>5.5001416206359801</c:v>
                </c:pt>
                <c:pt idx="23">
                  <c:v>5.7502164840698198</c:v>
                </c:pt>
                <c:pt idx="24">
                  <c:v>6.0005497932434002</c:v>
                </c:pt>
                <c:pt idx="25">
                  <c:v>6.2500915527343697</c:v>
                </c:pt>
                <c:pt idx="26">
                  <c:v>6.5003418922424299</c:v>
                </c:pt>
                <c:pt idx="27">
                  <c:v>6.7501168251037598</c:v>
                </c:pt>
                <c:pt idx="28">
                  <c:v>7.0002055168151802</c:v>
                </c:pt>
                <c:pt idx="29">
                  <c:v>7.2502446174621502</c:v>
                </c:pt>
                <c:pt idx="30">
                  <c:v>7.5001358985900799</c:v>
                </c:pt>
                <c:pt idx="31">
                  <c:v>7.7503390312194798</c:v>
                </c:pt>
                <c:pt idx="32">
                  <c:v>8.0003385543823207</c:v>
                </c:pt>
                <c:pt idx="33">
                  <c:v>8.2504558563232404</c:v>
                </c:pt>
                <c:pt idx="34">
                  <c:v>8.5005445480346609</c:v>
                </c:pt>
                <c:pt idx="35">
                  <c:v>8.75</c:v>
                </c:pt>
                <c:pt idx="36">
                  <c:v>9.0004720687866193</c:v>
                </c:pt>
                <c:pt idx="37">
                  <c:v>9.2501115798950195</c:v>
                </c:pt>
                <c:pt idx="38">
                  <c:v>9.5006837844848597</c:v>
                </c:pt>
                <c:pt idx="39">
                  <c:v>9.7504301071166903</c:v>
                </c:pt>
                <c:pt idx="40">
                  <c:v>10.000164031982401</c:v>
                </c:pt>
                <c:pt idx="41">
                  <c:v>10.2501277923584</c:v>
                </c:pt>
                <c:pt idx="42">
                  <c:v>10.5003356933593</c:v>
                </c:pt>
                <c:pt idx="43">
                  <c:v>10.7501611709594</c:v>
                </c:pt>
                <c:pt idx="44">
                  <c:v>11.000271797180099</c:v>
                </c:pt>
                <c:pt idx="45">
                  <c:v>11.2506999969482</c:v>
                </c:pt>
                <c:pt idx="46">
                  <c:v>11.500541687011699</c:v>
                </c:pt>
                <c:pt idx="47">
                  <c:v>11.7501306533813</c:v>
                </c:pt>
                <c:pt idx="48">
                  <c:v>12.000302314758301</c:v>
                </c:pt>
                <c:pt idx="49">
                  <c:v>12.2502031326293</c:v>
                </c:pt>
                <c:pt idx="50">
                  <c:v>12.500341415405201</c:v>
                </c:pt>
                <c:pt idx="51">
                  <c:v>12.750216484069799</c:v>
                </c:pt>
                <c:pt idx="52">
                  <c:v>13.0002279281616</c:v>
                </c:pt>
                <c:pt idx="53">
                  <c:v>13.2505941390991</c:v>
                </c:pt>
                <c:pt idx="54">
                  <c:v>13.500550270080501</c:v>
                </c:pt>
                <c:pt idx="55">
                  <c:v>13.7501220703125</c:v>
                </c:pt>
                <c:pt idx="56">
                  <c:v>14.0000667572021</c:v>
                </c:pt>
                <c:pt idx="57">
                  <c:v>14.250555992126399</c:v>
                </c:pt>
                <c:pt idx="58">
                  <c:v>14.500463485717701</c:v>
                </c:pt>
                <c:pt idx="59">
                  <c:v>14.750280380249</c:v>
                </c:pt>
                <c:pt idx="60">
                  <c:v>15.0000610351562</c:v>
                </c:pt>
                <c:pt idx="61">
                  <c:v>15.250452995300201</c:v>
                </c:pt>
                <c:pt idx="62">
                  <c:v>15.500016212463301</c:v>
                </c:pt>
                <c:pt idx="63">
                  <c:v>15.750358581542899</c:v>
                </c:pt>
                <c:pt idx="64">
                  <c:v>16.000005722045898</c:v>
                </c:pt>
                <c:pt idx="65">
                  <c:v>16.2501716613769</c:v>
                </c:pt>
                <c:pt idx="66">
                  <c:v>16.500280380248999</c:v>
                </c:pt>
                <c:pt idx="67">
                  <c:v>16.750341415405199</c:v>
                </c:pt>
                <c:pt idx="68">
                  <c:v>17.000381469726499</c:v>
                </c:pt>
                <c:pt idx="69">
                  <c:v>17.25022315979</c:v>
                </c:pt>
                <c:pt idx="70">
                  <c:v>17.500278472900298</c:v>
                </c:pt>
                <c:pt idx="71">
                  <c:v>17.7501831054687</c:v>
                </c:pt>
                <c:pt idx="72">
                  <c:v>18.000625610351499</c:v>
                </c:pt>
                <c:pt idx="73">
                  <c:v>18.2503757476806</c:v>
                </c:pt>
                <c:pt idx="74">
                  <c:v>18.500074386596602</c:v>
                </c:pt>
                <c:pt idx="75">
                  <c:v>18.750339508056602</c:v>
                </c:pt>
                <c:pt idx="76">
                  <c:v>19.000413894653299</c:v>
                </c:pt>
                <c:pt idx="77">
                  <c:v>19.2500896453857</c:v>
                </c:pt>
                <c:pt idx="78">
                  <c:v>19.500411987304599</c:v>
                </c:pt>
                <c:pt idx="79">
                  <c:v>19.750341415405199</c:v>
                </c:pt>
                <c:pt idx="80">
                  <c:v>20.000358581542901</c:v>
                </c:pt>
                <c:pt idx="81">
                  <c:v>20.250114440917901</c:v>
                </c:pt>
                <c:pt idx="82">
                  <c:v>20.500539779663001</c:v>
                </c:pt>
                <c:pt idx="83">
                  <c:v>20.750328063964801</c:v>
                </c:pt>
                <c:pt idx="84">
                  <c:v>21.0003051757812</c:v>
                </c:pt>
                <c:pt idx="85">
                  <c:v>21.250169754028299</c:v>
                </c:pt>
                <c:pt idx="86">
                  <c:v>21.500055313110298</c:v>
                </c:pt>
                <c:pt idx="87">
                  <c:v>21.750352859496999</c:v>
                </c:pt>
                <c:pt idx="88">
                  <c:v>22.000339508056602</c:v>
                </c:pt>
                <c:pt idx="89">
                  <c:v>22.250328063964801</c:v>
                </c:pt>
                <c:pt idx="90">
                  <c:v>22.500108718871999</c:v>
                </c:pt>
                <c:pt idx="91">
                  <c:v>22.750602722167901</c:v>
                </c:pt>
                <c:pt idx="92">
                  <c:v>23.0000495910644</c:v>
                </c:pt>
                <c:pt idx="93">
                  <c:v>23.250181198120099</c:v>
                </c:pt>
                <c:pt idx="94">
                  <c:v>23.500041961669901</c:v>
                </c:pt>
                <c:pt idx="95">
                  <c:v>23.750261306762699</c:v>
                </c:pt>
                <c:pt idx="96">
                  <c:v>24.0000915527343</c:v>
                </c:pt>
                <c:pt idx="97">
                  <c:v>24.250116348266602</c:v>
                </c:pt>
                <c:pt idx="98">
                  <c:v>24.500308990478501</c:v>
                </c:pt>
                <c:pt idx="99">
                  <c:v>24.7503356933593</c:v>
                </c:pt>
                <c:pt idx="100">
                  <c:v>25.000158309936499</c:v>
                </c:pt>
                <c:pt idx="101">
                  <c:v>25.250217437744102</c:v>
                </c:pt>
                <c:pt idx="102">
                  <c:v>25.500738143920898</c:v>
                </c:pt>
                <c:pt idx="103">
                  <c:v>25.750768661498999</c:v>
                </c:pt>
                <c:pt idx="104">
                  <c:v>26.000236511230401</c:v>
                </c:pt>
                <c:pt idx="105">
                  <c:v>26.250280380248999</c:v>
                </c:pt>
                <c:pt idx="106">
                  <c:v>26.500442504882798</c:v>
                </c:pt>
                <c:pt idx="107">
                  <c:v>26.750169754028299</c:v>
                </c:pt>
                <c:pt idx="108">
                  <c:v>27.000032424926701</c:v>
                </c:pt>
                <c:pt idx="109">
                  <c:v>27.250413894653299</c:v>
                </c:pt>
                <c:pt idx="110">
                  <c:v>27.5003643035888</c:v>
                </c:pt>
                <c:pt idx="111">
                  <c:v>27.750165939331001</c:v>
                </c:pt>
                <c:pt idx="112">
                  <c:v>28.000694274902301</c:v>
                </c:pt>
                <c:pt idx="113">
                  <c:v>28.2506103515625</c:v>
                </c:pt>
                <c:pt idx="114">
                  <c:v>28.500083923339801</c:v>
                </c:pt>
                <c:pt idx="115">
                  <c:v>28.750555038452099</c:v>
                </c:pt>
                <c:pt idx="116">
                  <c:v>29.000139236450199</c:v>
                </c:pt>
                <c:pt idx="117">
                  <c:v>29.250194549560501</c:v>
                </c:pt>
                <c:pt idx="118">
                  <c:v>29.500194549560501</c:v>
                </c:pt>
                <c:pt idx="119">
                  <c:v>29.750389099121001</c:v>
                </c:pt>
                <c:pt idx="120">
                  <c:v>30.00022315979</c:v>
                </c:pt>
                <c:pt idx="121">
                  <c:v>30.2503051757812</c:v>
                </c:pt>
                <c:pt idx="122">
                  <c:v>30.500778198242099</c:v>
                </c:pt>
                <c:pt idx="123">
                  <c:v>30.7503051757812</c:v>
                </c:pt>
                <c:pt idx="124">
                  <c:v>31.0001106262207</c:v>
                </c:pt>
                <c:pt idx="125">
                  <c:v>31.25022315979</c:v>
                </c:pt>
                <c:pt idx="126">
                  <c:v>31.500139236450199</c:v>
                </c:pt>
                <c:pt idx="127">
                  <c:v>31.7500286102294</c:v>
                </c:pt>
                <c:pt idx="128">
                  <c:v>32.000556945800703</c:v>
                </c:pt>
                <c:pt idx="129">
                  <c:v>32.250331878662102</c:v>
                </c:pt>
                <c:pt idx="130">
                  <c:v>32.500389099121001</c:v>
                </c:pt>
                <c:pt idx="131">
                  <c:v>32.750194549560497</c:v>
                </c:pt>
                <c:pt idx="132">
                  <c:v>33.000720977783203</c:v>
                </c:pt>
                <c:pt idx="133">
                  <c:v>33.250083923339801</c:v>
                </c:pt>
                <c:pt idx="134">
                  <c:v>33.500026702880803</c:v>
                </c:pt>
                <c:pt idx="135">
                  <c:v>33.750331878662102</c:v>
                </c:pt>
                <c:pt idx="136">
                  <c:v>34.000331878662102</c:v>
                </c:pt>
                <c:pt idx="137">
                  <c:v>34.250473022460902</c:v>
                </c:pt>
                <c:pt idx="138">
                  <c:v>34.500137329101499</c:v>
                </c:pt>
                <c:pt idx="139">
                  <c:v>34.7506103515625</c:v>
                </c:pt>
                <c:pt idx="140">
                  <c:v>35.000194549560497</c:v>
                </c:pt>
                <c:pt idx="141">
                  <c:v>35.250667572021399</c:v>
                </c:pt>
                <c:pt idx="142">
                  <c:v>35.500137329101499</c:v>
                </c:pt>
                <c:pt idx="143">
                  <c:v>35.75</c:v>
                </c:pt>
                <c:pt idx="144">
                  <c:v>36.000499725341797</c:v>
                </c:pt>
                <c:pt idx="145">
                  <c:v>36.250026702880803</c:v>
                </c:pt>
                <c:pt idx="146">
                  <c:v>36.500194549560497</c:v>
                </c:pt>
                <c:pt idx="147">
                  <c:v>36.750473022460902</c:v>
                </c:pt>
                <c:pt idx="148">
                  <c:v>37.000251770019503</c:v>
                </c:pt>
                <c:pt idx="149">
                  <c:v>37.250110626220703</c:v>
                </c:pt>
                <c:pt idx="150">
                  <c:v>37.500026702880803</c:v>
                </c:pt>
                <c:pt idx="151">
                  <c:v>37.750831604003899</c:v>
                </c:pt>
                <c:pt idx="152">
                  <c:v>38.000526428222599</c:v>
                </c:pt>
                <c:pt idx="153">
                  <c:v>38.250221252441399</c:v>
                </c:pt>
                <c:pt idx="154">
                  <c:v>38.500137329101499</c:v>
                </c:pt>
                <c:pt idx="155">
                  <c:v>38.7503051757812</c:v>
                </c:pt>
                <c:pt idx="156">
                  <c:v>39.000278472900298</c:v>
                </c:pt>
                <c:pt idx="157">
                  <c:v>39.250278472900298</c:v>
                </c:pt>
                <c:pt idx="158">
                  <c:v>39.500556945800703</c:v>
                </c:pt>
                <c:pt idx="159">
                  <c:v>39.750415802001903</c:v>
                </c:pt>
                <c:pt idx="160">
                  <c:v>40.000720977783203</c:v>
                </c:pt>
                <c:pt idx="161">
                  <c:v>40.250057220458899</c:v>
                </c:pt>
                <c:pt idx="162">
                  <c:v>40.500473022460902</c:v>
                </c:pt>
                <c:pt idx="163">
                  <c:v>40.750110626220703</c:v>
                </c:pt>
                <c:pt idx="164">
                  <c:v>41.000389099121001</c:v>
                </c:pt>
                <c:pt idx="165">
                  <c:v>41.250221252441399</c:v>
                </c:pt>
                <c:pt idx="166">
                  <c:v>41.500278472900298</c:v>
                </c:pt>
                <c:pt idx="167">
                  <c:v>41.750110626220703</c:v>
                </c:pt>
                <c:pt idx="168">
                  <c:v>42.000389099121001</c:v>
                </c:pt>
                <c:pt idx="169">
                  <c:v>42.250499725341797</c:v>
                </c:pt>
                <c:pt idx="170">
                  <c:v>42.500862121582003</c:v>
                </c:pt>
                <c:pt idx="171">
                  <c:v>42.750083923339801</c:v>
                </c:pt>
                <c:pt idx="172">
                  <c:v>43.000362396240199</c:v>
                </c:pt>
                <c:pt idx="173">
                  <c:v>43.250167846679602</c:v>
                </c:pt>
                <c:pt idx="174">
                  <c:v>43.500278472900298</c:v>
                </c:pt>
                <c:pt idx="175">
                  <c:v>43.750389099121001</c:v>
                </c:pt>
                <c:pt idx="176">
                  <c:v>44.000583648681598</c:v>
                </c:pt>
                <c:pt idx="177">
                  <c:v>44.250057220458899</c:v>
                </c:pt>
                <c:pt idx="178">
                  <c:v>44.500556945800703</c:v>
                </c:pt>
                <c:pt idx="179">
                  <c:v>44.750415802001903</c:v>
                </c:pt>
                <c:pt idx="180">
                  <c:v>45.000167846679602</c:v>
                </c:pt>
                <c:pt idx="181">
                  <c:v>45.250026702880803</c:v>
                </c:pt>
                <c:pt idx="182">
                  <c:v>45.500137329101499</c:v>
                </c:pt>
                <c:pt idx="183">
                  <c:v>45.750137329101499</c:v>
                </c:pt>
                <c:pt idx="184">
                  <c:v>46.000057220458899</c:v>
                </c:pt>
                <c:pt idx="185">
                  <c:v>46.250415802001903</c:v>
                </c:pt>
                <c:pt idx="186">
                  <c:v>46.500499725341797</c:v>
                </c:pt>
                <c:pt idx="187">
                  <c:v>46.750499725341797</c:v>
                </c:pt>
                <c:pt idx="188">
                  <c:v>47.000499725341797</c:v>
                </c:pt>
                <c:pt idx="189">
                  <c:v>47.250694274902301</c:v>
                </c:pt>
                <c:pt idx="190">
                  <c:v>47.5006103515625</c:v>
                </c:pt>
                <c:pt idx="191">
                  <c:v>47.750110626220703</c:v>
                </c:pt>
                <c:pt idx="192">
                  <c:v>48.000110626220703</c:v>
                </c:pt>
                <c:pt idx="193">
                  <c:v>48.2503051757812</c:v>
                </c:pt>
                <c:pt idx="194">
                  <c:v>48.500167846679602</c:v>
                </c:pt>
                <c:pt idx="195">
                  <c:v>48.750473022460902</c:v>
                </c:pt>
                <c:pt idx="196">
                  <c:v>49.000331878662102</c:v>
                </c:pt>
                <c:pt idx="197">
                  <c:v>49.250415802001903</c:v>
                </c:pt>
                <c:pt idx="198">
                  <c:v>49.500167846679602</c:v>
                </c:pt>
                <c:pt idx="199">
                  <c:v>49.750888824462798</c:v>
                </c:pt>
                <c:pt idx="200">
                  <c:v>50.000194549560497</c:v>
                </c:pt>
                <c:pt idx="201">
                  <c:v>50.250251770019503</c:v>
                </c:pt>
                <c:pt idx="202">
                  <c:v>50.5003051757812</c:v>
                </c:pt>
                <c:pt idx="203">
                  <c:v>50.750137329101499</c:v>
                </c:pt>
                <c:pt idx="204">
                  <c:v>51.000556945800703</c:v>
                </c:pt>
                <c:pt idx="205">
                  <c:v>51.250278472900298</c:v>
                </c:pt>
                <c:pt idx="206">
                  <c:v>51.500473022460902</c:v>
                </c:pt>
                <c:pt idx="207">
                  <c:v>51.750473022460902</c:v>
                </c:pt>
                <c:pt idx="208">
                  <c:v>52.000251770019503</c:v>
                </c:pt>
                <c:pt idx="209">
                  <c:v>52.250026702880803</c:v>
                </c:pt>
                <c:pt idx="210">
                  <c:v>52.50044631958</c:v>
                </c:pt>
                <c:pt idx="211">
                  <c:v>52.750137329101499</c:v>
                </c:pt>
                <c:pt idx="212">
                  <c:v>53.000362396240199</c:v>
                </c:pt>
                <c:pt idx="213">
                  <c:v>53.250362396240199</c:v>
                </c:pt>
                <c:pt idx="214">
                  <c:v>53.500110626220703</c:v>
                </c:pt>
                <c:pt idx="215">
                  <c:v>53.750026702880803</c:v>
                </c:pt>
                <c:pt idx="216">
                  <c:v>54.000583648681598</c:v>
                </c:pt>
                <c:pt idx="217">
                  <c:v>54.2503051757812</c:v>
                </c:pt>
                <c:pt idx="218">
                  <c:v>54.500831604003899</c:v>
                </c:pt>
                <c:pt idx="219">
                  <c:v>54.750526428222599</c:v>
                </c:pt>
                <c:pt idx="220">
                  <c:v>55.000221252441399</c:v>
                </c:pt>
                <c:pt idx="221">
                  <c:v>55.250167846679602</c:v>
                </c:pt>
                <c:pt idx="222">
                  <c:v>55.500251770019503</c:v>
                </c:pt>
                <c:pt idx="223">
                  <c:v>55.750026702880803</c:v>
                </c:pt>
                <c:pt idx="224">
                  <c:v>56.000499725341797</c:v>
                </c:pt>
                <c:pt idx="225">
                  <c:v>56.25044631958</c:v>
                </c:pt>
                <c:pt idx="226">
                  <c:v>56.500499725341797</c:v>
                </c:pt>
                <c:pt idx="227">
                  <c:v>56.750888824462798</c:v>
                </c:pt>
                <c:pt idx="228">
                  <c:v>57.000415802001903</c:v>
                </c:pt>
                <c:pt idx="229">
                  <c:v>57.250278472900298</c:v>
                </c:pt>
                <c:pt idx="230">
                  <c:v>57.500167846679602</c:v>
                </c:pt>
                <c:pt idx="231">
                  <c:v>57.750110626220703</c:v>
                </c:pt>
                <c:pt idx="232">
                  <c:v>58.000057220458899</c:v>
                </c:pt>
                <c:pt idx="233">
                  <c:v>58.250057220458899</c:v>
                </c:pt>
                <c:pt idx="234">
                  <c:v>58.500251770019503</c:v>
                </c:pt>
                <c:pt idx="235">
                  <c:v>58.750415802001903</c:v>
                </c:pt>
                <c:pt idx="236">
                  <c:v>59.000583648681598</c:v>
                </c:pt>
                <c:pt idx="237">
                  <c:v>59.250331878662102</c:v>
                </c:pt>
                <c:pt idx="238">
                  <c:v>59.500637054443303</c:v>
                </c:pt>
                <c:pt idx="239">
                  <c:v>59.750499725341797</c:v>
                </c:pt>
                <c:pt idx="240">
                  <c:v>60.000278472900298</c:v>
                </c:pt>
                <c:pt idx="241">
                  <c:v>60.250331878662102</c:v>
                </c:pt>
                <c:pt idx="242">
                  <c:v>60.500278472900298</c:v>
                </c:pt>
                <c:pt idx="243">
                  <c:v>60.750167846679602</c:v>
                </c:pt>
                <c:pt idx="244">
                  <c:v>61.000137329101499</c:v>
                </c:pt>
                <c:pt idx="245">
                  <c:v>61.250331878662102</c:v>
                </c:pt>
                <c:pt idx="246">
                  <c:v>61.5007514953613</c:v>
                </c:pt>
                <c:pt idx="247">
                  <c:v>61.750251770019503</c:v>
                </c:pt>
                <c:pt idx="248">
                  <c:v>62.000331878662102</c:v>
                </c:pt>
                <c:pt idx="249">
                  <c:v>62.250194549560497</c:v>
                </c:pt>
                <c:pt idx="250">
                  <c:v>62.500137329101499</c:v>
                </c:pt>
                <c:pt idx="251">
                  <c:v>62.750083923339801</c:v>
                </c:pt>
                <c:pt idx="252">
                  <c:v>63.000331878662102</c:v>
                </c:pt>
                <c:pt idx="253">
                  <c:v>63.250556945800703</c:v>
                </c:pt>
                <c:pt idx="254">
                  <c:v>63.500720977783203</c:v>
                </c:pt>
                <c:pt idx="255">
                  <c:v>63.750667572021399</c:v>
                </c:pt>
                <c:pt idx="256">
                  <c:v>64.000274658203097</c:v>
                </c:pt>
                <c:pt idx="257">
                  <c:v>64.250305175781193</c:v>
                </c:pt>
                <c:pt idx="258">
                  <c:v>64.500114440917898</c:v>
                </c:pt>
                <c:pt idx="259">
                  <c:v>64.750274658203097</c:v>
                </c:pt>
                <c:pt idx="260">
                  <c:v>65.000251770019503</c:v>
                </c:pt>
                <c:pt idx="261">
                  <c:v>65.250167846679602</c:v>
                </c:pt>
                <c:pt idx="262">
                  <c:v>65.5</c:v>
                </c:pt>
                <c:pt idx="263">
                  <c:v>65.750053405761705</c:v>
                </c:pt>
                <c:pt idx="264">
                  <c:v>66.000030517578097</c:v>
                </c:pt>
                <c:pt idx="265">
                  <c:v>66.250556945800696</c:v>
                </c:pt>
                <c:pt idx="266">
                  <c:v>66.500503540039006</c:v>
                </c:pt>
                <c:pt idx="267">
                  <c:v>66.750419616699205</c:v>
                </c:pt>
                <c:pt idx="268">
                  <c:v>67.000335693359304</c:v>
                </c:pt>
                <c:pt idx="269">
                  <c:v>67.250190734863196</c:v>
                </c:pt>
                <c:pt idx="270">
                  <c:v>67.500274658203097</c:v>
                </c:pt>
                <c:pt idx="271">
                  <c:v>67.750526428222599</c:v>
                </c:pt>
                <c:pt idx="272">
                  <c:v>68.000251770019503</c:v>
                </c:pt>
                <c:pt idx="273">
                  <c:v>68.250419616699205</c:v>
                </c:pt>
                <c:pt idx="274">
                  <c:v>68.500579833984304</c:v>
                </c:pt>
                <c:pt idx="275">
                  <c:v>68.750221252441406</c:v>
                </c:pt>
                <c:pt idx="276">
                  <c:v>69.000167846679602</c:v>
                </c:pt>
                <c:pt idx="277">
                  <c:v>69.250335693359304</c:v>
                </c:pt>
                <c:pt idx="278">
                  <c:v>69.500083923339801</c:v>
                </c:pt>
                <c:pt idx="279">
                  <c:v>69.75</c:v>
                </c:pt>
                <c:pt idx="280">
                  <c:v>70.000335693359304</c:v>
                </c:pt>
                <c:pt idx="281">
                  <c:v>70.250167846679602</c:v>
                </c:pt>
                <c:pt idx="282">
                  <c:v>70.500473022460895</c:v>
                </c:pt>
                <c:pt idx="283">
                  <c:v>70.750694274902301</c:v>
                </c:pt>
                <c:pt idx="284">
                  <c:v>71.000778198242102</c:v>
                </c:pt>
                <c:pt idx="285">
                  <c:v>71.250694274902301</c:v>
                </c:pt>
                <c:pt idx="286">
                  <c:v>71.5006103515625</c:v>
                </c:pt>
                <c:pt idx="287">
                  <c:v>71.750114440917898</c:v>
                </c:pt>
                <c:pt idx="288">
                  <c:v>72.000358581542898</c:v>
                </c:pt>
              </c:numCache>
            </c:numRef>
          </c:xVal>
          <c:yVal>
            <c:numRef>
              <c:f>'SIM3'!$E$11:$E$299</c:f>
              <c:numCache>
                <c:formatCode>General</c:formatCode>
                <c:ptCount val="289"/>
                <c:pt idx="0">
                  <c:v>0</c:v>
                </c:pt>
                <c:pt idx="1">
                  <c:v>3240145.6117629986</c:v>
                </c:pt>
                <c:pt idx="2">
                  <c:v>6481569.6716308519</c:v>
                </c:pt>
                <c:pt idx="3">
                  <c:v>9720791.788101187</c:v>
                </c:pt>
                <c:pt idx="4">
                  <c:v>12961796.77963247</c:v>
                </c:pt>
                <c:pt idx="5">
                  <c:v>16206019.134521488</c:v>
                </c:pt>
                <c:pt idx="6">
                  <c:v>19446411.552429125</c:v>
                </c:pt>
                <c:pt idx="7">
                  <c:v>22680054.073333684</c:v>
                </c:pt>
                <c:pt idx="8">
                  <c:v>25925450.592040949</c:v>
                </c:pt>
                <c:pt idx="9">
                  <c:v>29162904.51049798</c:v>
                </c:pt>
                <c:pt idx="10">
                  <c:v>32404783.172607303</c:v>
                </c:pt>
                <c:pt idx="11">
                  <c:v>35640312.080383182</c:v>
                </c:pt>
                <c:pt idx="12">
                  <c:v>38882700.57678216</c:v>
                </c:pt>
                <c:pt idx="13">
                  <c:v>42121476.974487297</c:v>
                </c:pt>
                <c:pt idx="14">
                  <c:v>45365867.72918696</c:v>
                </c:pt>
                <c:pt idx="15">
                  <c:v>48604968.566894457</c:v>
                </c:pt>
                <c:pt idx="16">
                  <c:v>51844461.822509736</c:v>
                </c:pt>
                <c:pt idx="17">
                  <c:v>55086408.462524332</c:v>
                </c:pt>
                <c:pt idx="18">
                  <c:v>58325975.875854462</c:v>
                </c:pt>
                <c:pt idx="19">
                  <c:v>61563417.434692301</c:v>
                </c:pt>
                <c:pt idx="20">
                  <c:v>64806878.128051758</c:v>
                </c:pt>
                <c:pt idx="21">
                  <c:v>68041081.466674745</c:v>
                </c:pt>
                <c:pt idx="22">
                  <c:v>71281835.403442308</c:v>
                </c:pt>
                <c:pt idx="23">
                  <c:v>74522805.633544862</c:v>
                </c:pt>
                <c:pt idx="24">
                  <c:v>77767125.320434466</c:v>
                </c:pt>
                <c:pt idx="25">
                  <c:v>81001186.52343744</c:v>
                </c:pt>
                <c:pt idx="26">
                  <c:v>84244430.923461884</c:v>
                </c:pt>
                <c:pt idx="27">
                  <c:v>87481514.053344727</c:v>
                </c:pt>
                <c:pt idx="28">
                  <c:v>90722663.497924745</c:v>
                </c:pt>
                <c:pt idx="29">
                  <c:v>93963170.242309466</c:v>
                </c:pt>
                <c:pt idx="30">
                  <c:v>97201761.245727435</c:v>
                </c:pt>
                <c:pt idx="31">
                  <c:v>100444393.84460445</c:v>
                </c:pt>
                <c:pt idx="32">
                  <c:v>103684387.66479486</c:v>
                </c:pt>
                <c:pt idx="33">
                  <c:v>106925907.89794919</c:v>
                </c:pt>
                <c:pt idx="34">
                  <c:v>110167057.34252921</c:v>
                </c:pt>
                <c:pt idx="35">
                  <c:v>113400000</c:v>
                </c:pt>
                <c:pt idx="36">
                  <c:v>116646118.01147458</c:v>
                </c:pt>
                <c:pt idx="37">
                  <c:v>119881446.07543945</c:v>
                </c:pt>
                <c:pt idx="38">
                  <c:v>123128861.84692377</c:v>
                </c:pt>
                <c:pt idx="39">
                  <c:v>126365574.18823232</c:v>
                </c:pt>
                <c:pt idx="40">
                  <c:v>129602125.8544919</c:v>
                </c:pt>
                <c:pt idx="41">
                  <c:v>132841656.18896487</c:v>
                </c:pt>
                <c:pt idx="42">
                  <c:v>136084350.58593652</c:v>
                </c:pt>
                <c:pt idx="43">
                  <c:v>139322088.77563381</c:v>
                </c:pt>
                <c:pt idx="44">
                  <c:v>142563522.49145409</c:v>
                </c:pt>
                <c:pt idx="45">
                  <c:v>145809071.96044868</c:v>
                </c:pt>
                <c:pt idx="46">
                  <c:v>149047020.26367161</c:v>
                </c:pt>
                <c:pt idx="47">
                  <c:v>152281693.26782164</c:v>
                </c:pt>
                <c:pt idx="48">
                  <c:v>155523917.99926758</c:v>
                </c:pt>
                <c:pt idx="49">
                  <c:v>158762632.59887573</c:v>
                </c:pt>
                <c:pt idx="50">
                  <c:v>162004424.74365139</c:v>
                </c:pt>
                <c:pt idx="51">
                  <c:v>165242805.63354459</c:v>
                </c:pt>
                <c:pt idx="52">
                  <c:v>168482953.94897431</c:v>
                </c:pt>
                <c:pt idx="53">
                  <c:v>171727700.04272431</c:v>
                </c:pt>
                <c:pt idx="54">
                  <c:v>174967131.50024328</c:v>
                </c:pt>
                <c:pt idx="55">
                  <c:v>178201582.03125</c:v>
                </c:pt>
                <c:pt idx="56">
                  <c:v>181440865.17333922</c:v>
                </c:pt>
                <c:pt idx="57">
                  <c:v>184687205.65795812</c:v>
                </c:pt>
                <c:pt idx="58">
                  <c:v>187926006.77490139</c:v>
                </c:pt>
                <c:pt idx="59">
                  <c:v>191163633.72802705</c:v>
                </c:pt>
                <c:pt idx="60">
                  <c:v>194400791.01562434</c:v>
                </c:pt>
                <c:pt idx="61">
                  <c:v>197645870.8190906</c:v>
                </c:pt>
                <c:pt idx="62">
                  <c:v>200880210.11352438</c:v>
                </c:pt>
                <c:pt idx="63">
                  <c:v>204124647.21679598</c:v>
                </c:pt>
                <c:pt idx="64">
                  <c:v>207360074.15771484</c:v>
                </c:pt>
                <c:pt idx="65">
                  <c:v>210602224.73144463</c:v>
                </c:pt>
                <c:pt idx="66">
                  <c:v>213843633.72802702</c:v>
                </c:pt>
                <c:pt idx="67">
                  <c:v>217084424.74365136</c:v>
                </c:pt>
                <c:pt idx="68">
                  <c:v>220324943.84765542</c:v>
                </c:pt>
                <c:pt idx="69">
                  <c:v>223562892.1508784</c:v>
                </c:pt>
                <c:pt idx="70">
                  <c:v>226803609.00878787</c:v>
                </c:pt>
                <c:pt idx="71">
                  <c:v>230042373.04687434</c:v>
                </c:pt>
                <c:pt idx="72">
                  <c:v>233288107.91015542</c:v>
                </c:pt>
                <c:pt idx="73">
                  <c:v>236524869.68994057</c:v>
                </c:pt>
                <c:pt idx="74">
                  <c:v>239760964.05029199</c:v>
                </c:pt>
                <c:pt idx="75">
                  <c:v>243004400.02441353</c:v>
                </c:pt>
                <c:pt idx="76">
                  <c:v>246245364.07470676</c:v>
                </c:pt>
                <c:pt idx="77">
                  <c:v>249481161.80419865</c:v>
                </c:pt>
                <c:pt idx="78">
                  <c:v>252725339.35546759</c:v>
                </c:pt>
                <c:pt idx="79">
                  <c:v>255964424.74365139</c:v>
                </c:pt>
                <c:pt idx="80">
                  <c:v>259204647.21679598</c:v>
                </c:pt>
                <c:pt idx="81">
                  <c:v>262441483.15429598</c:v>
                </c:pt>
                <c:pt idx="82">
                  <c:v>265686995.54443249</c:v>
                </c:pt>
                <c:pt idx="83">
                  <c:v>268924251.70898378</c:v>
                </c:pt>
                <c:pt idx="84">
                  <c:v>272163955.07812434</c:v>
                </c:pt>
                <c:pt idx="85">
                  <c:v>275402200.01220679</c:v>
                </c:pt>
                <c:pt idx="86">
                  <c:v>278640716.8579095</c:v>
                </c:pt>
                <c:pt idx="87">
                  <c:v>281884573.05908108</c:v>
                </c:pt>
                <c:pt idx="88">
                  <c:v>285124400.02441353</c:v>
                </c:pt>
                <c:pt idx="89">
                  <c:v>288364251.70898378</c:v>
                </c:pt>
                <c:pt idx="90">
                  <c:v>291601408.99658108</c:v>
                </c:pt>
                <c:pt idx="91">
                  <c:v>294847811.27929598</c:v>
                </c:pt>
                <c:pt idx="92">
                  <c:v>298080642.70019466</c:v>
                </c:pt>
                <c:pt idx="93">
                  <c:v>301322348.32763648</c:v>
                </c:pt>
                <c:pt idx="94">
                  <c:v>304560543.82324195</c:v>
                </c:pt>
                <c:pt idx="95">
                  <c:v>307803386.53564459</c:v>
                </c:pt>
                <c:pt idx="96">
                  <c:v>311041186.52343655</c:v>
                </c:pt>
                <c:pt idx="97">
                  <c:v>314281507.87353516</c:v>
                </c:pt>
                <c:pt idx="98">
                  <c:v>317524004.51660132</c:v>
                </c:pt>
                <c:pt idx="99">
                  <c:v>320764350.58593655</c:v>
                </c:pt>
                <c:pt idx="100">
                  <c:v>324002051.69677705</c:v>
                </c:pt>
                <c:pt idx="101">
                  <c:v>327242817.99316353</c:v>
                </c:pt>
                <c:pt idx="102">
                  <c:v>330489566.34521484</c:v>
                </c:pt>
                <c:pt idx="103">
                  <c:v>333729961.85302705</c:v>
                </c:pt>
                <c:pt idx="104">
                  <c:v>336963065.18554598</c:v>
                </c:pt>
                <c:pt idx="105">
                  <c:v>340203633.72802705</c:v>
                </c:pt>
                <c:pt idx="106">
                  <c:v>343445734.86328101</c:v>
                </c:pt>
                <c:pt idx="107">
                  <c:v>346682200.01220679</c:v>
                </c:pt>
                <c:pt idx="108">
                  <c:v>349920420.22705007</c:v>
                </c:pt>
                <c:pt idx="109">
                  <c:v>353165364.07470679</c:v>
                </c:pt>
                <c:pt idx="110">
                  <c:v>356404721.37451082</c:v>
                </c:pt>
                <c:pt idx="111">
                  <c:v>359642150.57372981</c:v>
                </c:pt>
                <c:pt idx="112">
                  <c:v>362888997.80273378</c:v>
                </c:pt>
                <c:pt idx="113">
                  <c:v>366127910.15625</c:v>
                </c:pt>
                <c:pt idx="114">
                  <c:v>369361087.64648378</c:v>
                </c:pt>
                <c:pt idx="115">
                  <c:v>372607193.29833919</c:v>
                </c:pt>
                <c:pt idx="116">
                  <c:v>375841804.50439459</c:v>
                </c:pt>
                <c:pt idx="117">
                  <c:v>379082521.36230409</c:v>
                </c:pt>
                <c:pt idx="118">
                  <c:v>382322521.36230409</c:v>
                </c:pt>
                <c:pt idx="119">
                  <c:v>385565042.72460818</c:v>
                </c:pt>
                <c:pt idx="120">
                  <c:v>388802892.15087837</c:v>
                </c:pt>
                <c:pt idx="121">
                  <c:v>392043955.07812434</c:v>
                </c:pt>
                <c:pt idx="122">
                  <c:v>395290085.44921762</c:v>
                </c:pt>
                <c:pt idx="123">
                  <c:v>398523955.07812434</c:v>
                </c:pt>
                <c:pt idx="124">
                  <c:v>401761433.71582025</c:v>
                </c:pt>
                <c:pt idx="125">
                  <c:v>405002892.15087837</c:v>
                </c:pt>
                <c:pt idx="126">
                  <c:v>408241804.50439459</c:v>
                </c:pt>
                <c:pt idx="127">
                  <c:v>411480370.78857303</c:v>
                </c:pt>
                <c:pt idx="128">
                  <c:v>414727218.01757711</c:v>
                </c:pt>
                <c:pt idx="129">
                  <c:v>417964301.14746082</c:v>
                </c:pt>
                <c:pt idx="130">
                  <c:v>421205042.72460818</c:v>
                </c:pt>
                <c:pt idx="131">
                  <c:v>424442521.36230403</c:v>
                </c:pt>
                <c:pt idx="132">
                  <c:v>427689343.87207031</c:v>
                </c:pt>
                <c:pt idx="133">
                  <c:v>430921087.64648378</c:v>
                </c:pt>
                <c:pt idx="134">
                  <c:v>434160346.06933522</c:v>
                </c:pt>
                <c:pt idx="135">
                  <c:v>437404301.14746082</c:v>
                </c:pt>
                <c:pt idx="136">
                  <c:v>440644301.14746082</c:v>
                </c:pt>
                <c:pt idx="137">
                  <c:v>443886130.37109327</c:v>
                </c:pt>
                <c:pt idx="138">
                  <c:v>447121779.78515542</c:v>
                </c:pt>
                <c:pt idx="139">
                  <c:v>450367910.15625</c:v>
                </c:pt>
                <c:pt idx="140">
                  <c:v>453602521.36230403</c:v>
                </c:pt>
                <c:pt idx="141">
                  <c:v>456848651.73339736</c:v>
                </c:pt>
                <c:pt idx="142">
                  <c:v>460081779.78515542</c:v>
                </c:pt>
                <c:pt idx="143">
                  <c:v>463320000</c:v>
                </c:pt>
                <c:pt idx="144">
                  <c:v>466566476.44042969</c:v>
                </c:pt>
                <c:pt idx="145">
                  <c:v>469800346.06933522</c:v>
                </c:pt>
                <c:pt idx="146">
                  <c:v>473042521.36230403</c:v>
                </c:pt>
                <c:pt idx="147">
                  <c:v>476286130.37109333</c:v>
                </c:pt>
                <c:pt idx="148">
                  <c:v>479523262.93945271</c:v>
                </c:pt>
                <c:pt idx="149">
                  <c:v>482761433.71582031</c:v>
                </c:pt>
                <c:pt idx="150">
                  <c:v>486000346.06933522</c:v>
                </c:pt>
                <c:pt idx="151">
                  <c:v>489250777.58789051</c:v>
                </c:pt>
                <c:pt idx="152">
                  <c:v>492486822.50976491</c:v>
                </c:pt>
                <c:pt idx="153">
                  <c:v>495722867.43164051</c:v>
                </c:pt>
                <c:pt idx="154">
                  <c:v>498961779.78515542</c:v>
                </c:pt>
                <c:pt idx="155">
                  <c:v>502203955.07812434</c:v>
                </c:pt>
                <c:pt idx="156">
                  <c:v>505443609.00878793</c:v>
                </c:pt>
                <c:pt idx="157">
                  <c:v>508683609.00878793</c:v>
                </c:pt>
                <c:pt idx="158">
                  <c:v>511927218.01757705</c:v>
                </c:pt>
                <c:pt idx="159">
                  <c:v>515165388.79394466</c:v>
                </c:pt>
                <c:pt idx="160">
                  <c:v>518409343.87207031</c:v>
                </c:pt>
                <c:pt idx="161">
                  <c:v>521640741.57714731</c:v>
                </c:pt>
                <c:pt idx="162">
                  <c:v>524886130.37109333</c:v>
                </c:pt>
                <c:pt idx="163">
                  <c:v>528121433.71582031</c:v>
                </c:pt>
                <c:pt idx="164">
                  <c:v>531365042.72460824</c:v>
                </c:pt>
                <c:pt idx="165">
                  <c:v>534602867.43164051</c:v>
                </c:pt>
                <c:pt idx="166">
                  <c:v>537843609.00878787</c:v>
                </c:pt>
                <c:pt idx="167">
                  <c:v>541081433.71582031</c:v>
                </c:pt>
                <c:pt idx="168">
                  <c:v>544325042.72460818</c:v>
                </c:pt>
                <c:pt idx="169">
                  <c:v>547566476.44042969</c:v>
                </c:pt>
                <c:pt idx="170">
                  <c:v>550811173.09570265</c:v>
                </c:pt>
                <c:pt idx="171">
                  <c:v>554041087.6464839</c:v>
                </c:pt>
                <c:pt idx="172">
                  <c:v>557284696.65527296</c:v>
                </c:pt>
                <c:pt idx="173">
                  <c:v>560522175.29296756</c:v>
                </c:pt>
                <c:pt idx="174">
                  <c:v>563763609.00878787</c:v>
                </c:pt>
                <c:pt idx="175">
                  <c:v>567005042.72460818</c:v>
                </c:pt>
                <c:pt idx="176">
                  <c:v>570247564.08691359</c:v>
                </c:pt>
                <c:pt idx="177">
                  <c:v>573480741.57714725</c:v>
                </c:pt>
                <c:pt idx="178">
                  <c:v>576727218.01757705</c:v>
                </c:pt>
                <c:pt idx="179">
                  <c:v>579965388.79394472</c:v>
                </c:pt>
                <c:pt idx="180">
                  <c:v>583202175.29296756</c:v>
                </c:pt>
                <c:pt idx="181">
                  <c:v>586440346.06933522</c:v>
                </c:pt>
                <c:pt idx="182">
                  <c:v>589681779.78515542</c:v>
                </c:pt>
                <c:pt idx="183">
                  <c:v>592921779.78515542</c:v>
                </c:pt>
                <c:pt idx="184">
                  <c:v>596160741.57714725</c:v>
                </c:pt>
                <c:pt idx="185">
                  <c:v>599405388.79394472</c:v>
                </c:pt>
                <c:pt idx="186">
                  <c:v>602646476.44042969</c:v>
                </c:pt>
                <c:pt idx="187">
                  <c:v>605886476.44042969</c:v>
                </c:pt>
                <c:pt idx="188">
                  <c:v>609126476.44042969</c:v>
                </c:pt>
                <c:pt idx="189">
                  <c:v>612368997.8027339</c:v>
                </c:pt>
                <c:pt idx="190">
                  <c:v>615607910.15625</c:v>
                </c:pt>
                <c:pt idx="191">
                  <c:v>618841433.71582031</c:v>
                </c:pt>
                <c:pt idx="192">
                  <c:v>622081433.71582031</c:v>
                </c:pt>
                <c:pt idx="193">
                  <c:v>625323955.0781244</c:v>
                </c:pt>
                <c:pt idx="194">
                  <c:v>628562175.29296756</c:v>
                </c:pt>
                <c:pt idx="195">
                  <c:v>631806130.37109327</c:v>
                </c:pt>
                <c:pt idx="196">
                  <c:v>635044301.14746082</c:v>
                </c:pt>
                <c:pt idx="197">
                  <c:v>638285388.79394472</c:v>
                </c:pt>
                <c:pt idx="198">
                  <c:v>641522175.29296756</c:v>
                </c:pt>
                <c:pt idx="199">
                  <c:v>644771519.16503787</c:v>
                </c:pt>
                <c:pt idx="200">
                  <c:v>648002521.36230409</c:v>
                </c:pt>
                <c:pt idx="201">
                  <c:v>651243262.93945265</c:v>
                </c:pt>
                <c:pt idx="202">
                  <c:v>654483955.0781244</c:v>
                </c:pt>
                <c:pt idx="203">
                  <c:v>657721779.78515542</c:v>
                </c:pt>
                <c:pt idx="204">
                  <c:v>660967218.01757705</c:v>
                </c:pt>
                <c:pt idx="205">
                  <c:v>664203609.00878787</c:v>
                </c:pt>
                <c:pt idx="206">
                  <c:v>667446130.37109327</c:v>
                </c:pt>
                <c:pt idx="207">
                  <c:v>670686130.37109327</c:v>
                </c:pt>
                <c:pt idx="208">
                  <c:v>673923262.93945265</c:v>
                </c:pt>
                <c:pt idx="209">
                  <c:v>677160346.06933522</c:v>
                </c:pt>
                <c:pt idx="210">
                  <c:v>680405784.30175674</c:v>
                </c:pt>
                <c:pt idx="211">
                  <c:v>683641779.78515542</c:v>
                </c:pt>
                <c:pt idx="212">
                  <c:v>686884696.65527296</c:v>
                </c:pt>
                <c:pt idx="213">
                  <c:v>690124696.65527296</c:v>
                </c:pt>
                <c:pt idx="214">
                  <c:v>693361433.71582031</c:v>
                </c:pt>
                <c:pt idx="215">
                  <c:v>696600346.06933522</c:v>
                </c:pt>
                <c:pt idx="216">
                  <c:v>699847564.08691359</c:v>
                </c:pt>
                <c:pt idx="217">
                  <c:v>703083955.0781244</c:v>
                </c:pt>
                <c:pt idx="218">
                  <c:v>706330777.58789051</c:v>
                </c:pt>
                <c:pt idx="219">
                  <c:v>709566822.50976491</c:v>
                </c:pt>
                <c:pt idx="220">
                  <c:v>712802867.43164051</c:v>
                </c:pt>
                <c:pt idx="221">
                  <c:v>716042175.29296756</c:v>
                </c:pt>
                <c:pt idx="222">
                  <c:v>719283262.93945265</c:v>
                </c:pt>
                <c:pt idx="223">
                  <c:v>722520346.06933522</c:v>
                </c:pt>
                <c:pt idx="224">
                  <c:v>725766476.44042969</c:v>
                </c:pt>
                <c:pt idx="225">
                  <c:v>729005784.30175674</c:v>
                </c:pt>
                <c:pt idx="226">
                  <c:v>732246476.44042969</c:v>
                </c:pt>
                <c:pt idx="227">
                  <c:v>735491519.16503787</c:v>
                </c:pt>
                <c:pt idx="228">
                  <c:v>738725388.79394472</c:v>
                </c:pt>
                <c:pt idx="229">
                  <c:v>741963609.00878787</c:v>
                </c:pt>
                <c:pt idx="230">
                  <c:v>745202175.29296756</c:v>
                </c:pt>
                <c:pt idx="231">
                  <c:v>748441433.71582031</c:v>
                </c:pt>
                <c:pt idx="232">
                  <c:v>751680741.57714725</c:v>
                </c:pt>
                <c:pt idx="233">
                  <c:v>754920741.57714725</c:v>
                </c:pt>
                <c:pt idx="234">
                  <c:v>758163262.93945265</c:v>
                </c:pt>
                <c:pt idx="235">
                  <c:v>761405388.79394472</c:v>
                </c:pt>
                <c:pt idx="236">
                  <c:v>764647564.08691359</c:v>
                </c:pt>
                <c:pt idx="237">
                  <c:v>767884301.14746082</c:v>
                </c:pt>
                <c:pt idx="238">
                  <c:v>771128256.22558522</c:v>
                </c:pt>
                <c:pt idx="239">
                  <c:v>774366476.44042969</c:v>
                </c:pt>
                <c:pt idx="240">
                  <c:v>777603609.00878787</c:v>
                </c:pt>
                <c:pt idx="241">
                  <c:v>780844301.14746082</c:v>
                </c:pt>
                <c:pt idx="242">
                  <c:v>784083609.00878787</c:v>
                </c:pt>
                <c:pt idx="243">
                  <c:v>787322175.29296756</c:v>
                </c:pt>
                <c:pt idx="244">
                  <c:v>790561779.78515542</c:v>
                </c:pt>
                <c:pt idx="245">
                  <c:v>793804301.14746082</c:v>
                </c:pt>
                <c:pt idx="246">
                  <c:v>797049739.37988234</c:v>
                </c:pt>
                <c:pt idx="247">
                  <c:v>800283262.93945265</c:v>
                </c:pt>
                <c:pt idx="248">
                  <c:v>803524301.14746082</c:v>
                </c:pt>
                <c:pt idx="249">
                  <c:v>806762521.36230409</c:v>
                </c:pt>
                <c:pt idx="250">
                  <c:v>810001779.78515542</c:v>
                </c:pt>
                <c:pt idx="251">
                  <c:v>813241087.6464839</c:v>
                </c:pt>
                <c:pt idx="252">
                  <c:v>816484301.14746082</c:v>
                </c:pt>
                <c:pt idx="253">
                  <c:v>819727218.01757705</c:v>
                </c:pt>
                <c:pt idx="254">
                  <c:v>822969343.87207031</c:v>
                </c:pt>
                <c:pt idx="255">
                  <c:v>826208651.73339725</c:v>
                </c:pt>
                <c:pt idx="256">
                  <c:v>829443559.57031202</c:v>
                </c:pt>
                <c:pt idx="257">
                  <c:v>832683955.07812428</c:v>
                </c:pt>
                <c:pt idx="258">
                  <c:v>835921483.15429592</c:v>
                </c:pt>
                <c:pt idx="259">
                  <c:v>839163559.57031202</c:v>
                </c:pt>
                <c:pt idx="260">
                  <c:v>842403262.93945265</c:v>
                </c:pt>
                <c:pt idx="261">
                  <c:v>845642175.29296756</c:v>
                </c:pt>
                <c:pt idx="262">
                  <c:v>848880000</c:v>
                </c:pt>
                <c:pt idx="263">
                  <c:v>852120692.13867164</c:v>
                </c:pt>
                <c:pt idx="264">
                  <c:v>855360395.50781202</c:v>
                </c:pt>
                <c:pt idx="265">
                  <c:v>858607218.01757693</c:v>
                </c:pt>
                <c:pt idx="266">
                  <c:v>861846525.87890553</c:v>
                </c:pt>
                <c:pt idx="267">
                  <c:v>865085438.23242164</c:v>
                </c:pt>
                <c:pt idx="268">
                  <c:v>868324350.58593655</c:v>
                </c:pt>
                <c:pt idx="269">
                  <c:v>871562471.92382693</c:v>
                </c:pt>
                <c:pt idx="270">
                  <c:v>874803559.57031202</c:v>
                </c:pt>
                <c:pt idx="271">
                  <c:v>878046822.50976491</c:v>
                </c:pt>
                <c:pt idx="272">
                  <c:v>881283262.93945265</c:v>
                </c:pt>
                <c:pt idx="273">
                  <c:v>884525438.23242164</c:v>
                </c:pt>
                <c:pt idx="274">
                  <c:v>887767514.64843655</c:v>
                </c:pt>
                <c:pt idx="275">
                  <c:v>891002867.43164063</c:v>
                </c:pt>
                <c:pt idx="276">
                  <c:v>894242175.29296756</c:v>
                </c:pt>
                <c:pt idx="277">
                  <c:v>897484350.58593655</c:v>
                </c:pt>
                <c:pt idx="278">
                  <c:v>900721087.6464839</c:v>
                </c:pt>
                <c:pt idx="279">
                  <c:v>903960000</c:v>
                </c:pt>
                <c:pt idx="280">
                  <c:v>907204350.58593655</c:v>
                </c:pt>
                <c:pt idx="281">
                  <c:v>910442175.29296756</c:v>
                </c:pt>
                <c:pt idx="282">
                  <c:v>913686130.37109327</c:v>
                </c:pt>
                <c:pt idx="283">
                  <c:v>916928997.8027339</c:v>
                </c:pt>
                <c:pt idx="284">
                  <c:v>920170085.44921756</c:v>
                </c:pt>
                <c:pt idx="285">
                  <c:v>923408997.8027339</c:v>
                </c:pt>
                <c:pt idx="286">
                  <c:v>926647910.15625</c:v>
                </c:pt>
                <c:pt idx="287">
                  <c:v>929881483.15429592</c:v>
                </c:pt>
                <c:pt idx="288">
                  <c:v>933124647.21679592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E-47BF-8CB6-BC6AF2B54FCE}"/>
            </c:ext>
          </c:extLst>
        </c:ser>
        <c:ser>
          <c:idx val="1"/>
          <c:order val="1"/>
          <c:tx>
            <c:strRef>
              <c:f>Legends!$B$3</c:f>
              <c:strCache>
                <c:ptCount val="1"/>
                <c:pt idx="0">
                  <c:v>Liquid Velocity</c:v>
                </c:pt>
              </c:strCache>
            </c:strRef>
          </c:tx>
          <c:marker>
            <c:symbol val="none"/>
          </c:marker>
          <c:xVal>
            <c:numRef>
              <c:f>'SIM3'!$B$11:$B$299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0.25001123547553999</c:v>
                </c:pt>
                <c:pt idx="2">
                  <c:v>0.50012111663818304</c:v>
                </c:pt>
                <c:pt idx="3">
                  <c:v>0.750061094760894</c:v>
                </c:pt>
                <c:pt idx="4">
                  <c:v>1.00013864040374</c:v>
                </c:pt>
                <c:pt idx="5">
                  <c:v>1.2504644393920901</c:v>
                </c:pt>
                <c:pt idx="6">
                  <c:v>1.50049471855163</c:v>
                </c:pt>
                <c:pt idx="7">
                  <c:v>1.7500041723251301</c:v>
                </c:pt>
                <c:pt idx="8">
                  <c:v>2.0004205703735298</c:v>
                </c:pt>
                <c:pt idx="9">
                  <c:v>2.2502241134643501</c:v>
                </c:pt>
                <c:pt idx="10">
                  <c:v>2.5003690719604399</c:v>
                </c:pt>
                <c:pt idx="11">
                  <c:v>2.7500240802764799</c:v>
                </c:pt>
                <c:pt idx="12">
                  <c:v>3.0002083778381299</c:v>
                </c:pt>
                <c:pt idx="13">
                  <c:v>3.2501139640808101</c:v>
                </c:pt>
                <c:pt idx="14">
                  <c:v>3.5004527568817099</c:v>
                </c:pt>
                <c:pt idx="15">
                  <c:v>3.75038337707519</c:v>
                </c:pt>
                <c:pt idx="16">
                  <c:v>4.00034427642822</c:v>
                </c:pt>
                <c:pt idx="17">
                  <c:v>4.2504944801330504</c:v>
                </c:pt>
                <c:pt idx="18">
                  <c:v>4.5004611015319798</c:v>
                </c:pt>
                <c:pt idx="19">
                  <c:v>4.7502636909484801</c:v>
                </c:pt>
                <c:pt idx="20">
                  <c:v>5.0005307197570801</c:v>
                </c:pt>
                <c:pt idx="21">
                  <c:v>5.2500834465026802</c:v>
                </c:pt>
                <c:pt idx="22">
                  <c:v>5.5001416206359801</c:v>
                </c:pt>
                <c:pt idx="23">
                  <c:v>5.7502164840698198</c:v>
                </c:pt>
                <c:pt idx="24">
                  <c:v>6.0005497932434002</c:v>
                </c:pt>
                <c:pt idx="25">
                  <c:v>6.2500915527343697</c:v>
                </c:pt>
                <c:pt idx="26">
                  <c:v>6.5003418922424299</c:v>
                </c:pt>
                <c:pt idx="27">
                  <c:v>6.7501168251037598</c:v>
                </c:pt>
                <c:pt idx="28">
                  <c:v>7.0002055168151802</c:v>
                </c:pt>
                <c:pt idx="29">
                  <c:v>7.2502446174621502</c:v>
                </c:pt>
                <c:pt idx="30">
                  <c:v>7.5001358985900799</c:v>
                </c:pt>
                <c:pt idx="31">
                  <c:v>7.7503390312194798</c:v>
                </c:pt>
                <c:pt idx="32">
                  <c:v>8.0003385543823207</c:v>
                </c:pt>
                <c:pt idx="33">
                  <c:v>8.2504558563232404</c:v>
                </c:pt>
                <c:pt idx="34">
                  <c:v>8.5005445480346609</c:v>
                </c:pt>
                <c:pt idx="35">
                  <c:v>8.75</c:v>
                </c:pt>
                <c:pt idx="36">
                  <c:v>9.0004720687866193</c:v>
                </c:pt>
                <c:pt idx="37">
                  <c:v>9.2501115798950195</c:v>
                </c:pt>
                <c:pt idx="38">
                  <c:v>9.5006837844848597</c:v>
                </c:pt>
                <c:pt idx="39">
                  <c:v>9.7504301071166903</c:v>
                </c:pt>
                <c:pt idx="40">
                  <c:v>10.000164031982401</c:v>
                </c:pt>
                <c:pt idx="41">
                  <c:v>10.2501277923584</c:v>
                </c:pt>
                <c:pt idx="42">
                  <c:v>10.5003356933593</c:v>
                </c:pt>
                <c:pt idx="43">
                  <c:v>10.7501611709594</c:v>
                </c:pt>
                <c:pt idx="44">
                  <c:v>11.000271797180099</c:v>
                </c:pt>
                <c:pt idx="45">
                  <c:v>11.2506999969482</c:v>
                </c:pt>
                <c:pt idx="46">
                  <c:v>11.500541687011699</c:v>
                </c:pt>
                <c:pt idx="47">
                  <c:v>11.7501306533813</c:v>
                </c:pt>
                <c:pt idx="48">
                  <c:v>12.000302314758301</c:v>
                </c:pt>
                <c:pt idx="49">
                  <c:v>12.2502031326293</c:v>
                </c:pt>
                <c:pt idx="50">
                  <c:v>12.500341415405201</c:v>
                </c:pt>
                <c:pt idx="51">
                  <c:v>12.750216484069799</c:v>
                </c:pt>
                <c:pt idx="52">
                  <c:v>13.0002279281616</c:v>
                </c:pt>
                <c:pt idx="53">
                  <c:v>13.2505941390991</c:v>
                </c:pt>
                <c:pt idx="54">
                  <c:v>13.500550270080501</c:v>
                </c:pt>
                <c:pt idx="55">
                  <c:v>13.7501220703125</c:v>
                </c:pt>
                <c:pt idx="56">
                  <c:v>14.0000667572021</c:v>
                </c:pt>
                <c:pt idx="57">
                  <c:v>14.250555992126399</c:v>
                </c:pt>
                <c:pt idx="58">
                  <c:v>14.500463485717701</c:v>
                </c:pt>
                <c:pt idx="59">
                  <c:v>14.750280380249</c:v>
                </c:pt>
                <c:pt idx="60">
                  <c:v>15.0000610351562</c:v>
                </c:pt>
                <c:pt idx="61">
                  <c:v>15.250452995300201</c:v>
                </c:pt>
                <c:pt idx="62">
                  <c:v>15.500016212463301</c:v>
                </c:pt>
                <c:pt idx="63">
                  <c:v>15.750358581542899</c:v>
                </c:pt>
                <c:pt idx="64">
                  <c:v>16.000005722045898</c:v>
                </c:pt>
                <c:pt idx="65">
                  <c:v>16.2501716613769</c:v>
                </c:pt>
                <c:pt idx="66">
                  <c:v>16.500280380248999</c:v>
                </c:pt>
                <c:pt idx="67">
                  <c:v>16.750341415405199</c:v>
                </c:pt>
                <c:pt idx="68">
                  <c:v>17.000381469726499</c:v>
                </c:pt>
                <c:pt idx="69">
                  <c:v>17.25022315979</c:v>
                </c:pt>
                <c:pt idx="70">
                  <c:v>17.500278472900298</c:v>
                </c:pt>
                <c:pt idx="71">
                  <c:v>17.7501831054687</c:v>
                </c:pt>
                <c:pt idx="72">
                  <c:v>18.000625610351499</c:v>
                </c:pt>
                <c:pt idx="73">
                  <c:v>18.2503757476806</c:v>
                </c:pt>
                <c:pt idx="74">
                  <c:v>18.500074386596602</c:v>
                </c:pt>
                <c:pt idx="75">
                  <c:v>18.750339508056602</c:v>
                </c:pt>
                <c:pt idx="76">
                  <c:v>19.000413894653299</c:v>
                </c:pt>
                <c:pt idx="77">
                  <c:v>19.2500896453857</c:v>
                </c:pt>
                <c:pt idx="78">
                  <c:v>19.500411987304599</c:v>
                </c:pt>
                <c:pt idx="79">
                  <c:v>19.750341415405199</c:v>
                </c:pt>
                <c:pt idx="80">
                  <c:v>20.000358581542901</c:v>
                </c:pt>
                <c:pt idx="81">
                  <c:v>20.250114440917901</c:v>
                </c:pt>
                <c:pt idx="82">
                  <c:v>20.500539779663001</c:v>
                </c:pt>
                <c:pt idx="83">
                  <c:v>20.750328063964801</c:v>
                </c:pt>
                <c:pt idx="84">
                  <c:v>21.0003051757812</c:v>
                </c:pt>
                <c:pt idx="85">
                  <c:v>21.250169754028299</c:v>
                </c:pt>
                <c:pt idx="86">
                  <c:v>21.500055313110298</c:v>
                </c:pt>
                <c:pt idx="87">
                  <c:v>21.750352859496999</c:v>
                </c:pt>
                <c:pt idx="88">
                  <c:v>22.000339508056602</c:v>
                </c:pt>
                <c:pt idx="89">
                  <c:v>22.250328063964801</c:v>
                </c:pt>
                <c:pt idx="90">
                  <c:v>22.500108718871999</c:v>
                </c:pt>
                <c:pt idx="91">
                  <c:v>22.750602722167901</c:v>
                </c:pt>
                <c:pt idx="92">
                  <c:v>23.0000495910644</c:v>
                </c:pt>
                <c:pt idx="93">
                  <c:v>23.250181198120099</c:v>
                </c:pt>
                <c:pt idx="94">
                  <c:v>23.500041961669901</c:v>
                </c:pt>
                <c:pt idx="95">
                  <c:v>23.750261306762699</c:v>
                </c:pt>
                <c:pt idx="96">
                  <c:v>24.0000915527343</c:v>
                </c:pt>
                <c:pt idx="97">
                  <c:v>24.250116348266602</c:v>
                </c:pt>
                <c:pt idx="98">
                  <c:v>24.500308990478501</c:v>
                </c:pt>
                <c:pt idx="99">
                  <c:v>24.7503356933593</c:v>
                </c:pt>
                <c:pt idx="100">
                  <c:v>25.000158309936499</c:v>
                </c:pt>
                <c:pt idx="101">
                  <c:v>25.250217437744102</c:v>
                </c:pt>
                <c:pt idx="102">
                  <c:v>25.500738143920898</c:v>
                </c:pt>
                <c:pt idx="103">
                  <c:v>25.750768661498999</c:v>
                </c:pt>
                <c:pt idx="104">
                  <c:v>26.000236511230401</c:v>
                </c:pt>
                <c:pt idx="105">
                  <c:v>26.250280380248999</c:v>
                </c:pt>
                <c:pt idx="106">
                  <c:v>26.500442504882798</c:v>
                </c:pt>
                <c:pt idx="107">
                  <c:v>26.750169754028299</c:v>
                </c:pt>
                <c:pt idx="108">
                  <c:v>27.000032424926701</c:v>
                </c:pt>
                <c:pt idx="109">
                  <c:v>27.250413894653299</c:v>
                </c:pt>
                <c:pt idx="110">
                  <c:v>27.5003643035888</c:v>
                </c:pt>
                <c:pt idx="111">
                  <c:v>27.750165939331001</c:v>
                </c:pt>
                <c:pt idx="112">
                  <c:v>28.000694274902301</c:v>
                </c:pt>
                <c:pt idx="113">
                  <c:v>28.2506103515625</c:v>
                </c:pt>
                <c:pt idx="114">
                  <c:v>28.500083923339801</c:v>
                </c:pt>
                <c:pt idx="115">
                  <c:v>28.750555038452099</c:v>
                </c:pt>
                <c:pt idx="116">
                  <c:v>29.000139236450199</c:v>
                </c:pt>
                <c:pt idx="117">
                  <c:v>29.250194549560501</c:v>
                </c:pt>
                <c:pt idx="118">
                  <c:v>29.500194549560501</c:v>
                </c:pt>
                <c:pt idx="119">
                  <c:v>29.750389099121001</c:v>
                </c:pt>
                <c:pt idx="120">
                  <c:v>30.00022315979</c:v>
                </c:pt>
                <c:pt idx="121">
                  <c:v>30.2503051757812</c:v>
                </c:pt>
                <c:pt idx="122">
                  <c:v>30.500778198242099</c:v>
                </c:pt>
                <c:pt idx="123">
                  <c:v>30.7503051757812</c:v>
                </c:pt>
                <c:pt idx="124">
                  <c:v>31.0001106262207</c:v>
                </c:pt>
                <c:pt idx="125">
                  <c:v>31.25022315979</c:v>
                </c:pt>
                <c:pt idx="126">
                  <c:v>31.500139236450199</c:v>
                </c:pt>
                <c:pt idx="127">
                  <c:v>31.7500286102294</c:v>
                </c:pt>
                <c:pt idx="128">
                  <c:v>32.000556945800703</c:v>
                </c:pt>
                <c:pt idx="129">
                  <c:v>32.250331878662102</c:v>
                </c:pt>
                <c:pt idx="130">
                  <c:v>32.500389099121001</c:v>
                </c:pt>
                <c:pt idx="131">
                  <c:v>32.750194549560497</c:v>
                </c:pt>
                <c:pt idx="132">
                  <c:v>33.000720977783203</c:v>
                </c:pt>
                <c:pt idx="133">
                  <c:v>33.250083923339801</c:v>
                </c:pt>
                <c:pt idx="134">
                  <c:v>33.500026702880803</c:v>
                </c:pt>
                <c:pt idx="135">
                  <c:v>33.750331878662102</c:v>
                </c:pt>
                <c:pt idx="136">
                  <c:v>34.000331878662102</c:v>
                </c:pt>
                <c:pt idx="137">
                  <c:v>34.250473022460902</c:v>
                </c:pt>
                <c:pt idx="138">
                  <c:v>34.500137329101499</c:v>
                </c:pt>
                <c:pt idx="139">
                  <c:v>34.7506103515625</c:v>
                </c:pt>
                <c:pt idx="140">
                  <c:v>35.000194549560497</c:v>
                </c:pt>
                <c:pt idx="141">
                  <c:v>35.250667572021399</c:v>
                </c:pt>
                <c:pt idx="142">
                  <c:v>35.500137329101499</c:v>
                </c:pt>
                <c:pt idx="143">
                  <c:v>35.75</c:v>
                </c:pt>
                <c:pt idx="144">
                  <c:v>36.000499725341797</c:v>
                </c:pt>
                <c:pt idx="145">
                  <c:v>36.250026702880803</c:v>
                </c:pt>
                <c:pt idx="146">
                  <c:v>36.500194549560497</c:v>
                </c:pt>
                <c:pt idx="147">
                  <c:v>36.750473022460902</c:v>
                </c:pt>
                <c:pt idx="148">
                  <c:v>37.000251770019503</c:v>
                </c:pt>
                <c:pt idx="149">
                  <c:v>37.250110626220703</c:v>
                </c:pt>
                <c:pt idx="150">
                  <c:v>37.500026702880803</c:v>
                </c:pt>
                <c:pt idx="151">
                  <c:v>37.750831604003899</c:v>
                </c:pt>
                <c:pt idx="152">
                  <c:v>38.000526428222599</c:v>
                </c:pt>
                <c:pt idx="153">
                  <c:v>38.250221252441399</c:v>
                </c:pt>
                <c:pt idx="154">
                  <c:v>38.500137329101499</c:v>
                </c:pt>
                <c:pt idx="155">
                  <c:v>38.7503051757812</c:v>
                </c:pt>
                <c:pt idx="156">
                  <c:v>39.000278472900298</c:v>
                </c:pt>
                <c:pt idx="157">
                  <c:v>39.250278472900298</c:v>
                </c:pt>
                <c:pt idx="158">
                  <c:v>39.500556945800703</c:v>
                </c:pt>
                <c:pt idx="159">
                  <c:v>39.750415802001903</c:v>
                </c:pt>
                <c:pt idx="160">
                  <c:v>40.000720977783203</c:v>
                </c:pt>
                <c:pt idx="161">
                  <c:v>40.250057220458899</c:v>
                </c:pt>
                <c:pt idx="162">
                  <c:v>40.500473022460902</c:v>
                </c:pt>
                <c:pt idx="163">
                  <c:v>40.750110626220703</c:v>
                </c:pt>
                <c:pt idx="164">
                  <c:v>41.000389099121001</c:v>
                </c:pt>
                <c:pt idx="165">
                  <c:v>41.250221252441399</c:v>
                </c:pt>
                <c:pt idx="166">
                  <c:v>41.500278472900298</c:v>
                </c:pt>
                <c:pt idx="167">
                  <c:v>41.750110626220703</c:v>
                </c:pt>
                <c:pt idx="168">
                  <c:v>42.000389099121001</c:v>
                </c:pt>
                <c:pt idx="169">
                  <c:v>42.250499725341797</c:v>
                </c:pt>
                <c:pt idx="170">
                  <c:v>42.500862121582003</c:v>
                </c:pt>
                <c:pt idx="171">
                  <c:v>42.750083923339801</c:v>
                </c:pt>
                <c:pt idx="172">
                  <c:v>43.000362396240199</c:v>
                </c:pt>
                <c:pt idx="173">
                  <c:v>43.250167846679602</c:v>
                </c:pt>
                <c:pt idx="174">
                  <c:v>43.500278472900298</c:v>
                </c:pt>
                <c:pt idx="175">
                  <c:v>43.750389099121001</c:v>
                </c:pt>
                <c:pt idx="176">
                  <c:v>44.000583648681598</c:v>
                </c:pt>
                <c:pt idx="177">
                  <c:v>44.250057220458899</c:v>
                </c:pt>
                <c:pt idx="178">
                  <c:v>44.500556945800703</c:v>
                </c:pt>
                <c:pt idx="179">
                  <c:v>44.750415802001903</c:v>
                </c:pt>
                <c:pt idx="180">
                  <c:v>45.000167846679602</c:v>
                </c:pt>
                <c:pt idx="181">
                  <c:v>45.250026702880803</c:v>
                </c:pt>
                <c:pt idx="182">
                  <c:v>45.500137329101499</c:v>
                </c:pt>
                <c:pt idx="183">
                  <c:v>45.750137329101499</c:v>
                </c:pt>
                <c:pt idx="184">
                  <c:v>46.000057220458899</c:v>
                </c:pt>
                <c:pt idx="185">
                  <c:v>46.250415802001903</c:v>
                </c:pt>
                <c:pt idx="186">
                  <c:v>46.500499725341797</c:v>
                </c:pt>
                <c:pt idx="187">
                  <c:v>46.750499725341797</c:v>
                </c:pt>
                <c:pt idx="188">
                  <c:v>47.000499725341797</c:v>
                </c:pt>
                <c:pt idx="189">
                  <c:v>47.250694274902301</c:v>
                </c:pt>
                <c:pt idx="190">
                  <c:v>47.5006103515625</c:v>
                </c:pt>
                <c:pt idx="191">
                  <c:v>47.750110626220703</c:v>
                </c:pt>
                <c:pt idx="192">
                  <c:v>48.000110626220703</c:v>
                </c:pt>
                <c:pt idx="193">
                  <c:v>48.2503051757812</c:v>
                </c:pt>
                <c:pt idx="194">
                  <c:v>48.500167846679602</c:v>
                </c:pt>
                <c:pt idx="195">
                  <c:v>48.750473022460902</c:v>
                </c:pt>
                <c:pt idx="196">
                  <c:v>49.000331878662102</c:v>
                </c:pt>
                <c:pt idx="197">
                  <c:v>49.250415802001903</c:v>
                </c:pt>
                <c:pt idx="198">
                  <c:v>49.500167846679602</c:v>
                </c:pt>
                <c:pt idx="199">
                  <c:v>49.750888824462798</c:v>
                </c:pt>
                <c:pt idx="200">
                  <c:v>50.000194549560497</c:v>
                </c:pt>
                <c:pt idx="201">
                  <c:v>50.250251770019503</c:v>
                </c:pt>
                <c:pt idx="202">
                  <c:v>50.5003051757812</c:v>
                </c:pt>
                <c:pt idx="203">
                  <c:v>50.750137329101499</c:v>
                </c:pt>
                <c:pt idx="204">
                  <c:v>51.000556945800703</c:v>
                </c:pt>
                <c:pt idx="205">
                  <c:v>51.250278472900298</c:v>
                </c:pt>
                <c:pt idx="206">
                  <c:v>51.500473022460902</c:v>
                </c:pt>
                <c:pt idx="207">
                  <c:v>51.750473022460902</c:v>
                </c:pt>
                <c:pt idx="208">
                  <c:v>52.000251770019503</c:v>
                </c:pt>
                <c:pt idx="209">
                  <c:v>52.250026702880803</c:v>
                </c:pt>
                <c:pt idx="210">
                  <c:v>52.50044631958</c:v>
                </c:pt>
                <c:pt idx="211">
                  <c:v>52.750137329101499</c:v>
                </c:pt>
                <c:pt idx="212">
                  <c:v>53.000362396240199</c:v>
                </c:pt>
                <c:pt idx="213">
                  <c:v>53.250362396240199</c:v>
                </c:pt>
                <c:pt idx="214">
                  <c:v>53.500110626220703</c:v>
                </c:pt>
                <c:pt idx="215">
                  <c:v>53.750026702880803</c:v>
                </c:pt>
                <c:pt idx="216">
                  <c:v>54.000583648681598</c:v>
                </c:pt>
                <c:pt idx="217">
                  <c:v>54.2503051757812</c:v>
                </c:pt>
                <c:pt idx="218">
                  <c:v>54.500831604003899</c:v>
                </c:pt>
                <c:pt idx="219">
                  <c:v>54.750526428222599</c:v>
                </c:pt>
                <c:pt idx="220">
                  <c:v>55.000221252441399</c:v>
                </c:pt>
                <c:pt idx="221">
                  <c:v>55.250167846679602</c:v>
                </c:pt>
                <c:pt idx="222">
                  <c:v>55.500251770019503</c:v>
                </c:pt>
                <c:pt idx="223">
                  <c:v>55.750026702880803</c:v>
                </c:pt>
                <c:pt idx="224">
                  <c:v>56.000499725341797</c:v>
                </c:pt>
                <c:pt idx="225">
                  <c:v>56.25044631958</c:v>
                </c:pt>
                <c:pt idx="226">
                  <c:v>56.500499725341797</c:v>
                </c:pt>
                <c:pt idx="227">
                  <c:v>56.750888824462798</c:v>
                </c:pt>
                <c:pt idx="228">
                  <c:v>57.000415802001903</c:v>
                </c:pt>
                <c:pt idx="229">
                  <c:v>57.250278472900298</c:v>
                </c:pt>
                <c:pt idx="230">
                  <c:v>57.500167846679602</c:v>
                </c:pt>
                <c:pt idx="231">
                  <c:v>57.750110626220703</c:v>
                </c:pt>
                <c:pt idx="232">
                  <c:v>58.000057220458899</c:v>
                </c:pt>
                <c:pt idx="233">
                  <c:v>58.250057220458899</c:v>
                </c:pt>
                <c:pt idx="234">
                  <c:v>58.500251770019503</c:v>
                </c:pt>
                <c:pt idx="235">
                  <c:v>58.750415802001903</c:v>
                </c:pt>
                <c:pt idx="236">
                  <c:v>59.000583648681598</c:v>
                </c:pt>
                <c:pt idx="237">
                  <c:v>59.250331878662102</c:v>
                </c:pt>
                <c:pt idx="238">
                  <c:v>59.500637054443303</c:v>
                </c:pt>
                <c:pt idx="239">
                  <c:v>59.750499725341797</c:v>
                </c:pt>
                <c:pt idx="240">
                  <c:v>60.000278472900298</c:v>
                </c:pt>
                <c:pt idx="241">
                  <c:v>60.250331878662102</c:v>
                </c:pt>
                <c:pt idx="242">
                  <c:v>60.500278472900298</c:v>
                </c:pt>
                <c:pt idx="243">
                  <c:v>60.750167846679602</c:v>
                </c:pt>
                <c:pt idx="244">
                  <c:v>61.000137329101499</c:v>
                </c:pt>
                <c:pt idx="245">
                  <c:v>61.250331878662102</c:v>
                </c:pt>
                <c:pt idx="246">
                  <c:v>61.5007514953613</c:v>
                </c:pt>
                <c:pt idx="247">
                  <c:v>61.750251770019503</c:v>
                </c:pt>
                <c:pt idx="248">
                  <c:v>62.000331878662102</c:v>
                </c:pt>
                <c:pt idx="249">
                  <c:v>62.250194549560497</c:v>
                </c:pt>
                <c:pt idx="250">
                  <c:v>62.500137329101499</c:v>
                </c:pt>
                <c:pt idx="251">
                  <c:v>62.750083923339801</c:v>
                </c:pt>
                <c:pt idx="252">
                  <c:v>63.000331878662102</c:v>
                </c:pt>
                <c:pt idx="253">
                  <c:v>63.250556945800703</c:v>
                </c:pt>
                <c:pt idx="254">
                  <c:v>63.500720977783203</c:v>
                </c:pt>
                <c:pt idx="255">
                  <c:v>63.750667572021399</c:v>
                </c:pt>
                <c:pt idx="256">
                  <c:v>64.000274658203097</c:v>
                </c:pt>
                <c:pt idx="257">
                  <c:v>64.250305175781193</c:v>
                </c:pt>
                <c:pt idx="258">
                  <c:v>64.500114440917898</c:v>
                </c:pt>
                <c:pt idx="259">
                  <c:v>64.750274658203097</c:v>
                </c:pt>
                <c:pt idx="260">
                  <c:v>65.000251770019503</c:v>
                </c:pt>
                <c:pt idx="261">
                  <c:v>65.250167846679602</c:v>
                </c:pt>
                <c:pt idx="262">
                  <c:v>65.5</c:v>
                </c:pt>
                <c:pt idx="263">
                  <c:v>65.750053405761705</c:v>
                </c:pt>
                <c:pt idx="264">
                  <c:v>66.000030517578097</c:v>
                </c:pt>
                <c:pt idx="265">
                  <c:v>66.250556945800696</c:v>
                </c:pt>
                <c:pt idx="266">
                  <c:v>66.500503540039006</c:v>
                </c:pt>
                <c:pt idx="267">
                  <c:v>66.750419616699205</c:v>
                </c:pt>
                <c:pt idx="268">
                  <c:v>67.000335693359304</c:v>
                </c:pt>
                <c:pt idx="269">
                  <c:v>67.250190734863196</c:v>
                </c:pt>
                <c:pt idx="270">
                  <c:v>67.500274658203097</c:v>
                </c:pt>
                <c:pt idx="271">
                  <c:v>67.750526428222599</c:v>
                </c:pt>
                <c:pt idx="272">
                  <c:v>68.000251770019503</c:v>
                </c:pt>
                <c:pt idx="273">
                  <c:v>68.250419616699205</c:v>
                </c:pt>
                <c:pt idx="274">
                  <c:v>68.500579833984304</c:v>
                </c:pt>
                <c:pt idx="275">
                  <c:v>68.750221252441406</c:v>
                </c:pt>
                <c:pt idx="276">
                  <c:v>69.000167846679602</c:v>
                </c:pt>
                <c:pt idx="277">
                  <c:v>69.250335693359304</c:v>
                </c:pt>
                <c:pt idx="278">
                  <c:v>69.500083923339801</c:v>
                </c:pt>
                <c:pt idx="279">
                  <c:v>69.75</c:v>
                </c:pt>
                <c:pt idx="280">
                  <c:v>70.000335693359304</c:v>
                </c:pt>
                <c:pt idx="281">
                  <c:v>70.250167846679602</c:v>
                </c:pt>
                <c:pt idx="282">
                  <c:v>70.500473022460895</c:v>
                </c:pt>
                <c:pt idx="283">
                  <c:v>70.750694274902301</c:v>
                </c:pt>
                <c:pt idx="284">
                  <c:v>71.000778198242102</c:v>
                </c:pt>
                <c:pt idx="285">
                  <c:v>71.250694274902301</c:v>
                </c:pt>
                <c:pt idx="286">
                  <c:v>71.5006103515625</c:v>
                </c:pt>
                <c:pt idx="287">
                  <c:v>71.750114440917898</c:v>
                </c:pt>
                <c:pt idx="288">
                  <c:v>72.000358581542898</c:v>
                </c:pt>
              </c:numCache>
            </c:numRef>
          </c:xVal>
          <c:yVal>
            <c:numRef>
              <c:f>'SIM3'!$F$11:$F$299</c:f>
              <c:numCache>
                <c:formatCode>General</c:formatCode>
                <c:ptCount val="289"/>
                <c:pt idx="0">
                  <c:v>0</c:v>
                </c:pt>
                <c:pt idx="1">
                  <c:v>3240145.6117629986</c:v>
                </c:pt>
                <c:pt idx="2">
                  <c:v>6481569.6716308519</c:v>
                </c:pt>
                <c:pt idx="3">
                  <c:v>9720791.788101187</c:v>
                </c:pt>
                <c:pt idx="4">
                  <c:v>12961796.77963247</c:v>
                </c:pt>
                <c:pt idx="5">
                  <c:v>16206019.134521488</c:v>
                </c:pt>
                <c:pt idx="6">
                  <c:v>19446411.552429125</c:v>
                </c:pt>
                <c:pt idx="7">
                  <c:v>22680054.073333684</c:v>
                </c:pt>
                <c:pt idx="8">
                  <c:v>25925450.592040949</c:v>
                </c:pt>
                <c:pt idx="9">
                  <c:v>29162904.51049798</c:v>
                </c:pt>
                <c:pt idx="10">
                  <c:v>32404783.172607303</c:v>
                </c:pt>
                <c:pt idx="11">
                  <c:v>35640312.080383182</c:v>
                </c:pt>
                <c:pt idx="12">
                  <c:v>38882700.57678216</c:v>
                </c:pt>
                <c:pt idx="13">
                  <c:v>42121476.974487297</c:v>
                </c:pt>
                <c:pt idx="14">
                  <c:v>45365867.72918696</c:v>
                </c:pt>
                <c:pt idx="15">
                  <c:v>48604968.566894457</c:v>
                </c:pt>
                <c:pt idx="16">
                  <c:v>51844461.822509736</c:v>
                </c:pt>
                <c:pt idx="17">
                  <c:v>55086408.462524332</c:v>
                </c:pt>
                <c:pt idx="18">
                  <c:v>58325975.875854462</c:v>
                </c:pt>
                <c:pt idx="19">
                  <c:v>61563417.434692301</c:v>
                </c:pt>
                <c:pt idx="20">
                  <c:v>64806878.128051758</c:v>
                </c:pt>
                <c:pt idx="21">
                  <c:v>68041081.466674745</c:v>
                </c:pt>
                <c:pt idx="22">
                  <c:v>71281835.403442308</c:v>
                </c:pt>
                <c:pt idx="23">
                  <c:v>74522805.633544862</c:v>
                </c:pt>
                <c:pt idx="24">
                  <c:v>77767125.320434466</c:v>
                </c:pt>
                <c:pt idx="25">
                  <c:v>81001186.52343744</c:v>
                </c:pt>
                <c:pt idx="26">
                  <c:v>84244430.923461884</c:v>
                </c:pt>
                <c:pt idx="27">
                  <c:v>87481514.053344727</c:v>
                </c:pt>
                <c:pt idx="28">
                  <c:v>90722663.497924745</c:v>
                </c:pt>
                <c:pt idx="29">
                  <c:v>93963170.242309466</c:v>
                </c:pt>
                <c:pt idx="30">
                  <c:v>97201761.245727435</c:v>
                </c:pt>
                <c:pt idx="31">
                  <c:v>100444393.84460445</c:v>
                </c:pt>
                <c:pt idx="32">
                  <c:v>103684387.66479486</c:v>
                </c:pt>
                <c:pt idx="33">
                  <c:v>106925907.89794919</c:v>
                </c:pt>
                <c:pt idx="34">
                  <c:v>110167057.34252921</c:v>
                </c:pt>
                <c:pt idx="35">
                  <c:v>113400000</c:v>
                </c:pt>
                <c:pt idx="36">
                  <c:v>116646118.01147458</c:v>
                </c:pt>
                <c:pt idx="37">
                  <c:v>119881446.07543945</c:v>
                </c:pt>
                <c:pt idx="38">
                  <c:v>123128861.84692377</c:v>
                </c:pt>
                <c:pt idx="39">
                  <c:v>126365574.18823232</c:v>
                </c:pt>
                <c:pt idx="40">
                  <c:v>129602125.8544919</c:v>
                </c:pt>
                <c:pt idx="41">
                  <c:v>132841656.18896487</c:v>
                </c:pt>
                <c:pt idx="42">
                  <c:v>136084350.58593652</c:v>
                </c:pt>
                <c:pt idx="43">
                  <c:v>139322088.77563381</c:v>
                </c:pt>
                <c:pt idx="44">
                  <c:v>142563522.49145409</c:v>
                </c:pt>
                <c:pt idx="45">
                  <c:v>145809071.96044868</c:v>
                </c:pt>
                <c:pt idx="46">
                  <c:v>149047020.26367161</c:v>
                </c:pt>
                <c:pt idx="47">
                  <c:v>152281693.26782164</c:v>
                </c:pt>
                <c:pt idx="48">
                  <c:v>155523917.99926758</c:v>
                </c:pt>
                <c:pt idx="49">
                  <c:v>158762632.59887573</c:v>
                </c:pt>
                <c:pt idx="50">
                  <c:v>162004424.74365139</c:v>
                </c:pt>
                <c:pt idx="51">
                  <c:v>165242805.63354459</c:v>
                </c:pt>
                <c:pt idx="52">
                  <c:v>168482953.94897431</c:v>
                </c:pt>
                <c:pt idx="53">
                  <c:v>171727700.04272431</c:v>
                </c:pt>
                <c:pt idx="54">
                  <c:v>174967131.50024328</c:v>
                </c:pt>
                <c:pt idx="55">
                  <c:v>178201582.03125</c:v>
                </c:pt>
                <c:pt idx="56">
                  <c:v>181440865.17333922</c:v>
                </c:pt>
                <c:pt idx="57">
                  <c:v>184687205.65795812</c:v>
                </c:pt>
                <c:pt idx="58">
                  <c:v>187926006.77490139</c:v>
                </c:pt>
                <c:pt idx="59">
                  <c:v>191163633.72802705</c:v>
                </c:pt>
                <c:pt idx="60">
                  <c:v>194400791.01562434</c:v>
                </c:pt>
                <c:pt idx="61">
                  <c:v>197645870.8190906</c:v>
                </c:pt>
                <c:pt idx="62">
                  <c:v>200880210.11352438</c:v>
                </c:pt>
                <c:pt idx="63">
                  <c:v>204124647.21679598</c:v>
                </c:pt>
                <c:pt idx="64">
                  <c:v>207360074.15771484</c:v>
                </c:pt>
                <c:pt idx="65">
                  <c:v>210602224.73144463</c:v>
                </c:pt>
                <c:pt idx="66">
                  <c:v>213843633.72802702</c:v>
                </c:pt>
                <c:pt idx="67">
                  <c:v>217084424.74365136</c:v>
                </c:pt>
                <c:pt idx="68">
                  <c:v>220324943.84765542</c:v>
                </c:pt>
                <c:pt idx="69">
                  <c:v>223562892.1508784</c:v>
                </c:pt>
                <c:pt idx="70">
                  <c:v>226803609.00878787</c:v>
                </c:pt>
                <c:pt idx="71">
                  <c:v>230042373.04687434</c:v>
                </c:pt>
                <c:pt idx="72">
                  <c:v>233288107.91015542</c:v>
                </c:pt>
                <c:pt idx="73">
                  <c:v>236524869.68994057</c:v>
                </c:pt>
                <c:pt idx="74">
                  <c:v>239760964.05029199</c:v>
                </c:pt>
                <c:pt idx="75">
                  <c:v>243004400.02441353</c:v>
                </c:pt>
                <c:pt idx="76">
                  <c:v>246245364.07470676</c:v>
                </c:pt>
                <c:pt idx="77">
                  <c:v>249481161.80419865</c:v>
                </c:pt>
                <c:pt idx="78">
                  <c:v>252725339.35546759</c:v>
                </c:pt>
                <c:pt idx="79">
                  <c:v>255964424.74365139</c:v>
                </c:pt>
                <c:pt idx="80">
                  <c:v>259204647.21679598</c:v>
                </c:pt>
                <c:pt idx="81">
                  <c:v>262441483.15429598</c:v>
                </c:pt>
                <c:pt idx="82">
                  <c:v>265686995.54443249</c:v>
                </c:pt>
                <c:pt idx="83">
                  <c:v>268924251.70898378</c:v>
                </c:pt>
                <c:pt idx="84">
                  <c:v>272163955.07812434</c:v>
                </c:pt>
                <c:pt idx="85">
                  <c:v>275402200.01220679</c:v>
                </c:pt>
                <c:pt idx="86">
                  <c:v>278640716.8579095</c:v>
                </c:pt>
                <c:pt idx="87">
                  <c:v>281884573.05908108</c:v>
                </c:pt>
                <c:pt idx="88">
                  <c:v>285124400.02441353</c:v>
                </c:pt>
                <c:pt idx="89">
                  <c:v>288364251.70898378</c:v>
                </c:pt>
                <c:pt idx="90">
                  <c:v>291601408.99658108</c:v>
                </c:pt>
                <c:pt idx="91">
                  <c:v>294847811.27929598</c:v>
                </c:pt>
                <c:pt idx="92">
                  <c:v>298080642.70019466</c:v>
                </c:pt>
                <c:pt idx="93">
                  <c:v>301322348.32763648</c:v>
                </c:pt>
                <c:pt idx="94">
                  <c:v>304560543.82324195</c:v>
                </c:pt>
                <c:pt idx="95">
                  <c:v>307803386.53564459</c:v>
                </c:pt>
                <c:pt idx="96">
                  <c:v>311041186.52343655</c:v>
                </c:pt>
                <c:pt idx="97">
                  <c:v>314281507.87353516</c:v>
                </c:pt>
                <c:pt idx="98">
                  <c:v>317524004.51660132</c:v>
                </c:pt>
                <c:pt idx="99">
                  <c:v>320764350.58593655</c:v>
                </c:pt>
                <c:pt idx="100">
                  <c:v>324002051.69677705</c:v>
                </c:pt>
                <c:pt idx="101">
                  <c:v>327242817.99316353</c:v>
                </c:pt>
                <c:pt idx="102">
                  <c:v>330489566.34521484</c:v>
                </c:pt>
                <c:pt idx="103">
                  <c:v>333729961.85302705</c:v>
                </c:pt>
                <c:pt idx="104">
                  <c:v>336963065.18554598</c:v>
                </c:pt>
                <c:pt idx="105">
                  <c:v>340203633.72802705</c:v>
                </c:pt>
                <c:pt idx="106">
                  <c:v>343445734.86328101</c:v>
                </c:pt>
                <c:pt idx="107">
                  <c:v>346682200.01220679</c:v>
                </c:pt>
                <c:pt idx="108">
                  <c:v>349920420.22705007</c:v>
                </c:pt>
                <c:pt idx="109">
                  <c:v>353165364.07470679</c:v>
                </c:pt>
                <c:pt idx="110">
                  <c:v>356404721.37451082</c:v>
                </c:pt>
                <c:pt idx="111">
                  <c:v>359642150.57372981</c:v>
                </c:pt>
                <c:pt idx="112">
                  <c:v>362888997.80273378</c:v>
                </c:pt>
                <c:pt idx="113">
                  <c:v>366127910.15625</c:v>
                </c:pt>
                <c:pt idx="114">
                  <c:v>369361087.64648378</c:v>
                </c:pt>
                <c:pt idx="115">
                  <c:v>372607193.29833919</c:v>
                </c:pt>
                <c:pt idx="116">
                  <c:v>375841804.50439459</c:v>
                </c:pt>
                <c:pt idx="117">
                  <c:v>379082521.36230409</c:v>
                </c:pt>
                <c:pt idx="118">
                  <c:v>382322521.36230409</c:v>
                </c:pt>
                <c:pt idx="119">
                  <c:v>385565042.72460818</c:v>
                </c:pt>
                <c:pt idx="120">
                  <c:v>388802892.15087837</c:v>
                </c:pt>
                <c:pt idx="121">
                  <c:v>392043955.07812434</c:v>
                </c:pt>
                <c:pt idx="122">
                  <c:v>395290085.44921762</c:v>
                </c:pt>
                <c:pt idx="123">
                  <c:v>398523955.07812434</c:v>
                </c:pt>
                <c:pt idx="124">
                  <c:v>401761433.71582025</c:v>
                </c:pt>
                <c:pt idx="125">
                  <c:v>405002892.15087837</c:v>
                </c:pt>
                <c:pt idx="126">
                  <c:v>408241804.50439459</c:v>
                </c:pt>
                <c:pt idx="127">
                  <c:v>411480370.78857303</c:v>
                </c:pt>
                <c:pt idx="128">
                  <c:v>414727218.01757711</c:v>
                </c:pt>
                <c:pt idx="129">
                  <c:v>417964301.14746082</c:v>
                </c:pt>
                <c:pt idx="130">
                  <c:v>421205042.72460818</c:v>
                </c:pt>
                <c:pt idx="131">
                  <c:v>424442521.36230403</c:v>
                </c:pt>
                <c:pt idx="132">
                  <c:v>427689343.87207031</c:v>
                </c:pt>
                <c:pt idx="133">
                  <c:v>430921087.64648378</c:v>
                </c:pt>
                <c:pt idx="134">
                  <c:v>434160346.06933522</c:v>
                </c:pt>
                <c:pt idx="135">
                  <c:v>437404301.14746082</c:v>
                </c:pt>
                <c:pt idx="136">
                  <c:v>440644301.14746082</c:v>
                </c:pt>
                <c:pt idx="137">
                  <c:v>443886130.37109327</c:v>
                </c:pt>
                <c:pt idx="138">
                  <c:v>447121779.78515542</c:v>
                </c:pt>
                <c:pt idx="139">
                  <c:v>450367910.15625</c:v>
                </c:pt>
                <c:pt idx="140">
                  <c:v>453602521.36230403</c:v>
                </c:pt>
                <c:pt idx="141">
                  <c:v>456848651.73339736</c:v>
                </c:pt>
                <c:pt idx="142">
                  <c:v>460081779.78515542</c:v>
                </c:pt>
                <c:pt idx="143">
                  <c:v>463320000</c:v>
                </c:pt>
                <c:pt idx="144">
                  <c:v>466566476.44042969</c:v>
                </c:pt>
                <c:pt idx="145">
                  <c:v>469800346.06933522</c:v>
                </c:pt>
                <c:pt idx="146">
                  <c:v>473042521.36230403</c:v>
                </c:pt>
                <c:pt idx="147">
                  <c:v>476286130.37109333</c:v>
                </c:pt>
                <c:pt idx="148">
                  <c:v>479523262.93945271</c:v>
                </c:pt>
                <c:pt idx="149">
                  <c:v>482761433.71582031</c:v>
                </c:pt>
                <c:pt idx="150">
                  <c:v>486000346.06933522</c:v>
                </c:pt>
                <c:pt idx="151">
                  <c:v>489250777.58789051</c:v>
                </c:pt>
                <c:pt idx="152">
                  <c:v>492486822.50976491</c:v>
                </c:pt>
                <c:pt idx="153">
                  <c:v>495722867.43164051</c:v>
                </c:pt>
                <c:pt idx="154">
                  <c:v>498961779.78515542</c:v>
                </c:pt>
                <c:pt idx="155">
                  <c:v>502203955.07812434</c:v>
                </c:pt>
                <c:pt idx="156">
                  <c:v>505443609.00878793</c:v>
                </c:pt>
                <c:pt idx="157">
                  <c:v>508683609.00878793</c:v>
                </c:pt>
                <c:pt idx="158">
                  <c:v>511927218.01757705</c:v>
                </c:pt>
                <c:pt idx="159">
                  <c:v>515165388.79394466</c:v>
                </c:pt>
                <c:pt idx="160">
                  <c:v>518409343.87207031</c:v>
                </c:pt>
                <c:pt idx="161">
                  <c:v>521640741.57714731</c:v>
                </c:pt>
                <c:pt idx="162">
                  <c:v>524886130.37109333</c:v>
                </c:pt>
                <c:pt idx="163">
                  <c:v>528121433.71582031</c:v>
                </c:pt>
                <c:pt idx="164">
                  <c:v>531365042.72460824</c:v>
                </c:pt>
                <c:pt idx="165">
                  <c:v>534602867.43164051</c:v>
                </c:pt>
                <c:pt idx="166">
                  <c:v>537843609.00878787</c:v>
                </c:pt>
                <c:pt idx="167">
                  <c:v>541081433.71582031</c:v>
                </c:pt>
                <c:pt idx="168">
                  <c:v>544325042.72460818</c:v>
                </c:pt>
                <c:pt idx="169">
                  <c:v>547566476.44042969</c:v>
                </c:pt>
                <c:pt idx="170">
                  <c:v>550811173.09570265</c:v>
                </c:pt>
                <c:pt idx="171">
                  <c:v>554041087.6464839</c:v>
                </c:pt>
                <c:pt idx="172">
                  <c:v>557284696.65527296</c:v>
                </c:pt>
                <c:pt idx="173">
                  <c:v>560522175.29296756</c:v>
                </c:pt>
                <c:pt idx="174">
                  <c:v>563763609.00878787</c:v>
                </c:pt>
                <c:pt idx="175">
                  <c:v>567005042.72460818</c:v>
                </c:pt>
                <c:pt idx="176">
                  <c:v>570247564.08691359</c:v>
                </c:pt>
                <c:pt idx="177">
                  <c:v>573480741.57714725</c:v>
                </c:pt>
                <c:pt idx="178">
                  <c:v>576727218.01757705</c:v>
                </c:pt>
                <c:pt idx="179">
                  <c:v>579965388.79394472</c:v>
                </c:pt>
                <c:pt idx="180">
                  <c:v>583202175.29296756</c:v>
                </c:pt>
                <c:pt idx="181">
                  <c:v>586440346.06933522</c:v>
                </c:pt>
                <c:pt idx="182">
                  <c:v>589681779.78515542</c:v>
                </c:pt>
                <c:pt idx="183">
                  <c:v>592921779.78515542</c:v>
                </c:pt>
                <c:pt idx="184">
                  <c:v>596160741.57714725</c:v>
                </c:pt>
                <c:pt idx="185">
                  <c:v>599405388.79394472</c:v>
                </c:pt>
                <c:pt idx="186">
                  <c:v>602646476.44042969</c:v>
                </c:pt>
                <c:pt idx="187">
                  <c:v>605886476.44042969</c:v>
                </c:pt>
                <c:pt idx="188">
                  <c:v>609126476.44042969</c:v>
                </c:pt>
                <c:pt idx="189">
                  <c:v>612368997.8027339</c:v>
                </c:pt>
                <c:pt idx="190">
                  <c:v>615607910.15625</c:v>
                </c:pt>
                <c:pt idx="191">
                  <c:v>618841433.71582031</c:v>
                </c:pt>
                <c:pt idx="192">
                  <c:v>622081433.71582031</c:v>
                </c:pt>
                <c:pt idx="193">
                  <c:v>625323955.0781244</c:v>
                </c:pt>
                <c:pt idx="194">
                  <c:v>628562175.29296756</c:v>
                </c:pt>
                <c:pt idx="195">
                  <c:v>631806130.37109327</c:v>
                </c:pt>
                <c:pt idx="196">
                  <c:v>635044301.14746082</c:v>
                </c:pt>
                <c:pt idx="197">
                  <c:v>638285388.79394472</c:v>
                </c:pt>
                <c:pt idx="198">
                  <c:v>641522175.29296756</c:v>
                </c:pt>
                <c:pt idx="199">
                  <c:v>644771519.16503787</c:v>
                </c:pt>
                <c:pt idx="200">
                  <c:v>648002521.36230409</c:v>
                </c:pt>
                <c:pt idx="201">
                  <c:v>651243262.93945265</c:v>
                </c:pt>
                <c:pt idx="202">
                  <c:v>654483955.0781244</c:v>
                </c:pt>
                <c:pt idx="203">
                  <c:v>657721779.78515542</c:v>
                </c:pt>
                <c:pt idx="204">
                  <c:v>660967218.01757705</c:v>
                </c:pt>
                <c:pt idx="205">
                  <c:v>664203609.00878787</c:v>
                </c:pt>
                <c:pt idx="206">
                  <c:v>667446130.37109327</c:v>
                </c:pt>
                <c:pt idx="207">
                  <c:v>670686130.37109327</c:v>
                </c:pt>
                <c:pt idx="208">
                  <c:v>673923262.93945265</c:v>
                </c:pt>
                <c:pt idx="209">
                  <c:v>677160346.06933522</c:v>
                </c:pt>
                <c:pt idx="210">
                  <c:v>680405784.30175674</c:v>
                </c:pt>
                <c:pt idx="211">
                  <c:v>683641779.78515542</c:v>
                </c:pt>
                <c:pt idx="212">
                  <c:v>686884696.65527296</c:v>
                </c:pt>
                <c:pt idx="213">
                  <c:v>690124696.65527296</c:v>
                </c:pt>
                <c:pt idx="214">
                  <c:v>693361433.71582031</c:v>
                </c:pt>
                <c:pt idx="215">
                  <c:v>696600346.06933522</c:v>
                </c:pt>
                <c:pt idx="216">
                  <c:v>699847564.08691359</c:v>
                </c:pt>
                <c:pt idx="217">
                  <c:v>703083955.0781244</c:v>
                </c:pt>
                <c:pt idx="218">
                  <c:v>706330777.58789051</c:v>
                </c:pt>
                <c:pt idx="219">
                  <c:v>709566822.50976491</c:v>
                </c:pt>
                <c:pt idx="220">
                  <c:v>712802867.43164051</c:v>
                </c:pt>
                <c:pt idx="221">
                  <c:v>716042175.29296756</c:v>
                </c:pt>
                <c:pt idx="222">
                  <c:v>719283262.93945265</c:v>
                </c:pt>
                <c:pt idx="223">
                  <c:v>722520346.06933522</c:v>
                </c:pt>
                <c:pt idx="224">
                  <c:v>725766476.44042969</c:v>
                </c:pt>
                <c:pt idx="225">
                  <c:v>729005784.30175674</c:v>
                </c:pt>
                <c:pt idx="226">
                  <c:v>732246476.44042969</c:v>
                </c:pt>
                <c:pt idx="227">
                  <c:v>735491519.16503787</c:v>
                </c:pt>
                <c:pt idx="228">
                  <c:v>738725388.79394472</c:v>
                </c:pt>
                <c:pt idx="229">
                  <c:v>741963609.00878787</c:v>
                </c:pt>
                <c:pt idx="230">
                  <c:v>745202175.29296756</c:v>
                </c:pt>
                <c:pt idx="231">
                  <c:v>748441433.71582031</c:v>
                </c:pt>
                <c:pt idx="232">
                  <c:v>751680741.57714725</c:v>
                </c:pt>
                <c:pt idx="233">
                  <c:v>754920741.57714725</c:v>
                </c:pt>
                <c:pt idx="234">
                  <c:v>758163262.93945265</c:v>
                </c:pt>
                <c:pt idx="235">
                  <c:v>761405388.79394472</c:v>
                </c:pt>
                <c:pt idx="236">
                  <c:v>764647564.08691359</c:v>
                </c:pt>
                <c:pt idx="237">
                  <c:v>767884301.14746082</c:v>
                </c:pt>
                <c:pt idx="238">
                  <c:v>771128256.22558522</c:v>
                </c:pt>
                <c:pt idx="239">
                  <c:v>774366476.44042969</c:v>
                </c:pt>
                <c:pt idx="240">
                  <c:v>777603609.00878787</c:v>
                </c:pt>
                <c:pt idx="241">
                  <c:v>780844301.14746082</c:v>
                </c:pt>
                <c:pt idx="242">
                  <c:v>784083609.00878787</c:v>
                </c:pt>
                <c:pt idx="243">
                  <c:v>787322175.29296756</c:v>
                </c:pt>
                <c:pt idx="244">
                  <c:v>790561779.78515542</c:v>
                </c:pt>
                <c:pt idx="245">
                  <c:v>793804301.14746082</c:v>
                </c:pt>
                <c:pt idx="246">
                  <c:v>797049739.37988234</c:v>
                </c:pt>
                <c:pt idx="247">
                  <c:v>800283262.93945265</c:v>
                </c:pt>
                <c:pt idx="248">
                  <c:v>803524301.14746082</c:v>
                </c:pt>
                <c:pt idx="249">
                  <c:v>806762521.36230409</c:v>
                </c:pt>
                <c:pt idx="250">
                  <c:v>810001779.78515542</c:v>
                </c:pt>
                <c:pt idx="251">
                  <c:v>813241087.6464839</c:v>
                </c:pt>
                <c:pt idx="252">
                  <c:v>816484301.14746082</c:v>
                </c:pt>
                <c:pt idx="253">
                  <c:v>819727218.01757705</c:v>
                </c:pt>
                <c:pt idx="254">
                  <c:v>822969343.87207031</c:v>
                </c:pt>
                <c:pt idx="255">
                  <c:v>826208651.73339725</c:v>
                </c:pt>
                <c:pt idx="256">
                  <c:v>829443559.57031202</c:v>
                </c:pt>
                <c:pt idx="257">
                  <c:v>832683955.07812428</c:v>
                </c:pt>
                <c:pt idx="258">
                  <c:v>835921483.15429592</c:v>
                </c:pt>
                <c:pt idx="259">
                  <c:v>839163559.57031202</c:v>
                </c:pt>
                <c:pt idx="260">
                  <c:v>842403262.93945265</c:v>
                </c:pt>
                <c:pt idx="261">
                  <c:v>845642175.29296756</c:v>
                </c:pt>
                <c:pt idx="262">
                  <c:v>848880000</c:v>
                </c:pt>
                <c:pt idx="263">
                  <c:v>852120692.13867164</c:v>
                </c:pt>
                <c:pt idx="264">
                  <c:v>855360395.50781202</c:v>
                </c:pt>
                <c:pt idx="265">
                  <c:v>858607218.01757693</c:v>
                </c:pt>
                <c:pt idx="266">
                  <c:v>861846525.87890553</c:v>
                </c:pt>
                <c:pt idx="267">
                  <c:v>865085438.23242164</c:v>
                </c:pt>
                <c:pt idx="268">
                  <c:v>868324350.58593655</c:v>
                </c:pt>
                <c:pt idx="269">
                  <c:v>871562471.92382693</c:v>
                </c:pt>
                <c:pt idx="270">
                  <c:v>874803559.57031202</c:v>
                </c:pt>
                <c:pt idx="271">
                  <c:v>878046822.50976491</c:v>
                </c:pt>
                <c:pt idx="272">
                  <c:v>881283262.93945265</c:v>
                </c:pt>
                <c:pt idx="273">
                  <c:v>884525438.23242164</c:v>
                </c:pt>
                <c:pt idx="274">
                  <c:v>887767514.64843655</c:v>
                </c:pt>
                <c:pt idx="275">
                  <c:v>891002867.43164063</c:v>
                </c:pt>
                <c:pt idx="276">
                  <c:v>894242175.29296756</c:v>
                </c:pt>
                <c:pt idx="277">
                  <c:v>897484350.58593655</c:v>
                </c:pt>
                <c:pt idx="278">
                  <c:v>900721087.6464839</c:v>
                </c:pt>
                <c:pt idx="279">
                  <c:v>903960000</c:v>
                </c:pt>
                <c:pt idx="280">
                  <c:v>907204350.58593655</c:v>
                </c:pt>
                <c:pt idx="281">
                  <c:v>910442175.29296756</c:v>
                </c:pt>
                <c:pt idx="282">
                  <c:v>913686130.37109327</c:v>
                </c:pt>
                <c:pt idx="283">
                  <c:v>916928997.8027339</c:v>
                </c:pt>
                <c:pt idx="284">
                  <c:v>920170085.44921756</c:v>
                </c:pt>
                <c:pt idx="285">
                  <c:v>923408997.8027339</c:v>
                </c:pt>
                <c:pt idx="286">
                  <c:v>926647910.15625</c:v>
                </c:pt>
                <c:pt idx="287">
                  <c:v>929881483.15429592</c:v>
                </c:pt>
                <c:pt idx="288">
                  <c:v>933124647.21679592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E-47BF-8CB6-BC6AF2B54FCE}"/>
            </c:ext>
          </c:extLst>
        </c:ser>
        <c:ser>
          <c:idx val="2"/>
          <c:order val="2"/>
          <c:tx>
            <c:strRef>
              <c:f>Legends!$B$4</c:f>
              <c:strCache>
                <c:ptCount val="1"/>
                <c:pt idx="0">
                  <c:v>Gas Velocity</c:v>
                </c:pt>
              </c:strCache>
            </c:strRef>
          </c:tx>
          <c:marker>
            <c:symbol val="none"/>
          </c:marker>
          <c:xVal>
            <c:numRef>
              <c:f>'SIM3'!$C$11:$C$299</c:f>
              <c:numCache>
                <c:formatCode>General</c:formatCode>
                <c:ptCount val="289"/>
                <c:pt idx="0">
                  <c:v>0</c:v>
                </c:pt>
                <c:pt idx="1">
                  <c:v>0.25001123547553999</c:v>
                </c:pt>
                <c:pt idx="2">
                  <c:v>0.50012111663818304</c:v>
                </c:pt>
                <c:pt idx="3">
                  <c:v>0.750061094760894</c:v>
                </c:pt>
                <c:pt idx="4">
                  <c:v>1.00013864040374</c:v>
                </c:pt>
                <c:pt idx="5">
                  <c:v>1.2504644393920901</c:v>
                </c:pt>
                <c:pt idx="6">
                  <c:v>1.50049471855163</c:v>
                </c:pt>
                <c:pt idx="7">
                  <c:v>1.7500041723251301</c:v>
                </c:pt>
                <c:pt idx="8">
                  <c:v>2.0004205703735298</c:v>
                </c:pt>
                <c:pt idx="9">
                  <c:v>2.2502241134643501</c:v>
                </c:pt>
                <c:pt idx="10">
                  <c:v>2.5003690719604399</c:v>
                </c:pt>
                <c:pt idx="11">
                  <c:v>2.7500240802764799</c:v>
                </c:pt>
                <c:pt idx="12">
                  <c:v>3.0002083778381299</c:v>
                </c:pt>
                <c:pt idx="13">
                  <c:v>3.2501139640808101</c:v>
                </c:pt>
                <c:pt idx="14">
                  <c:v>3.5004527568817099</c:v>
                </c:pt>
                <c:pt idx="15">
                  <c:v>3.75038337707519</c:v>
                </c:pt>
                <c:pt idx="16">
                  <c:v>4.00034427642822</c:v>
                </c:pt>
                <c:pt idx="17">
                  <c:v>4.2504944801330504</c:v>
                </c:pt>
                <c:pt idx="18">
                  <c:v>4.5004611015319798</c:v>
                </c:pt>
                <c:pt idx="19">
                  <c:v>4.7502636909484801</c:v>
                </c:pt>
                <c:pt idx="20">
                  <c:v>5.0005307197570801</c:v>
                </c:pt>
                <c:pt idx="21">
                  <c:v>5.2500834465026802</c:v>
                </c:pt>
                <c:pt idx="22">
                  <c:v>5.5001416206359801</c:v>
                </c:pt>
                <c:pt idx="23">
                  <c:v>5.7502164840698198</c:v>
                </c:pt>
                <c:pt idx="24">
                  <c:v>6.0005497932434002</c:v>
                </c:pt>
                <c:pt idx="25">
                  <c:v>6.2500915527343697</c:v>
                </c:pt>
                <c:pt idx="26">
                  <c:v>6.5003418922424299</c:v>
                </c:pt>
                <c:pt idx="27">
                  <c:v>6.7501168251037598</c:v>
                </c:pt>
                <c:pt idx="28">
                  <c:v>7.0002055168151802</c:v>
                </c:pt>
                <c:pt idx="29">
                  <c:v>7.2502446174621502</c:v>
                </c:pt>
                <c:pt idx="30">
                  <c:v>7.5001358985900799</c:v>
                </c:pt>
                <c:pt idx="31">
                  <c:v>7.7503390312194798</c:v>
                </c:pt>
                <c:pt idx="32">
                  <c:v>8.0003385543823207</c:v>
                </c:pt>
                <c:pt idx="33">
                  <c:v>8.2504558563232404</c:v>
                </c:pt>
                <c:pt idx="34">
                  <c:v>8.5005445480346609</c:v>
                </c:pt>
                <c:pt idx="35">
                  <c:v>8.75</c:v>
                </c:pt>
                <c:pt idx="36">
                  <c:v>9.0004720687866193</c:v>
                </c:pt>
                <c:pt idx="37">
                  <c:v>9.2501115798950195</c:v>
                </c:pt>
                <c:pt idx="38">
                  <c:v>9.5006837844848597</c:v>
                </c:pt>
                <c:pt idx="39">
                  <c:v>9.7504301071166903</c:v>
                </c:pt>
                <c:pt idx="40">
                  <c:v>10.000164031982401</c:v>
                </c:pt>
                <c:pt idx="41">
                  <c:v>10.2501277923584</c:v>
                </c:pt>
                <c:pt idx="42">
                  <c:v>10.5003356933593</c:v>
                </c:pt>
                <c:pt idx="43">
                  <c:v>10.7501611709594</c:v>
                </c:pt>
                <c:pt idx="44">
                  <c:v>11.000271797180099</c:v>
                </c:pt>
                <c:pt idx="45">
                  <c:v>11.2506999969482</c:v>
                </c:pt>
                <c:pt idx="46">
                  <c:v>11.500541687011699</c:v>
                </c:pt>
                <c:pt idx="47">
                  <c:v>11.7501306533813</c:v>
                </c:pt>
                <c:pt idx="48">
                  <c:v>12.000302314758301</c:v>
                </c:pt>
                <c:pt idx="49">
                  <c:v>12.2502031326293</c:v>
                </c:pt>
                <c:pt idx="50">
                  <c:v>12.500341415405201</c:v>
                </c:pt>
                <c:pt idx="51">
                  <c:v>12.750216484069799</c:v>
                </c:pt>
                <c:pt idx="52">
                  <c:v>13.0002279281616</c:v>
                </c:pt>
                <c:pt idx="53">
                  <c:v>13.2505941390991</c:v>
                </c:pt>
                <c:pt idx="54">
                  <c:v>13.500550270080501</c:v>
                </c:pt>
                <c:pt idx="55">
                  <c:v>13.7501220703125</c:v>
                </c:pt>
                <c:pt idx="56">
                  <c:v>14.0000667572021</c:v>
                </c:pt>
                <c:pt idx="57">
                  <c:v>14.250555992126399</c:v>
                </c:pt>
                <c:pt idx="58">
                  <c:v>14.500463485717701</c:v>
                </c:pt>
                <c:pt idx="59">
                  <c:v>14.750280380249</c:v>
                </c:pt>
                <c:pt idx="60">
                  <c:v>15.0000610351562</c:v>
                </c:pt>
                <c:pt idx="61">
                  <c:v>15.250452995300201</c:v>
                </c:pt>
                <c:pt idx="62">
                  <c:v>15.500016212463301</c:v>
                </c:pt>
                <c:pt idx="63">
                  <c:v>15.750358581542899</c:v>
                </c:pt>
                <c:pt idx="64">
                  <c:v>16.000005722045898</c:v>
                </c:pt>
                <c:pt idx="65">
                  <c:v>16.2501716613769</c:v>
                </c:pt>
                <c:pt idx="66">
                  <c:v>16.500280380248999</c:v>
                </c:pt>
                <c:pt idx="67">
                  <c:v>16.750341415405199</c:v>
                </c:pt>
                <c:pt idx="68">
                  <c:v>17.000381469726499</c:v>
                </c:pt>
                <c:pt idx="69">
                  <c:v>17.25022315979</c:v>
                </c:pt>
                <c:pt idx="70">
                  <c:v>17.500278472900298</c:v>
                </c:pt>
                <c:pt idx="71">
                  <c:v>17.7501831054687</c:v>
                </c:pt>
                <c:pt idx="72">
                  <c:v>18.000625610351499</c:v>
                </c:pt>
                <c:pt idx="73">
                  <c:v>18.2503757476806</c:v>
                </c:pt>
                <c:pt idx="74">
                  <c:v>18.500074386596602</c:v>
                </c:pt>
                <c:pt idx="75">
                  <c:v>18.750339508056602</c:v>
                </c:pt>
                <c:pt idx="76">
                  <c:v>19.000413894653299</c:v>
                </c:pt>
                <c:pt idx="77">
                  <c:v>19.2500896453857</c:v>
                </c:pt>
                <c:pt idx="78">
                  <c:v>19.500411987304599</c:v>
                </c:pt>
                <c:pt idx="79">
                  <c:v>19.750341415405199</c:v>
                </c:pt>
                <c:pt idx="80">
                  <c:v>20.000358581542901</c:v>
                </c:pt>
                <c:pt idx="81">
                  <c:v>20.250114440917901</c:v>
                </c:pt>
                <c:pt idx="82">
                  <c:v>20.500539779663001</c:v>
                </c:pt>
                <c:pt idx="83">
                  <c:v>20.750328063964801</c:v>
                </c:pt>
                <c:pt idx="84">
                  <c:v>21.0003051757812</c:v>
                </c:pt>
                <c:pt idx="85">
                  <c:v>21.250169754028299</c:v>
                </c:pt>
                <c:pt idx="86">
                  <c:v>21.500055313110298</c:v>
                </c:pt>
                <c:pt idx="87">
                  <c:v>21.750352859496999</c:v>
                </c:pt>
                <c:pt idx="88">
                  <c:v>22.000339508056602</c:v>
                </c:pt>
                <c:pt idx="89">
                  <c:v>22.250328063964801</c:v>
                </c:pt>
                <c:pt idx="90">
                  <c:v>22.500108718871999</c:v>
                </c:pt>
                <c:pt idx="91">
                  <c:v>22.750602722167901</c:v>
                </c:pt>
                <c:pt idx="92">
                  <c:v>23.0000495910644</c:v>
                </c:pt>
                <c:pt idx="93">
                  <c:v>23.250181198120099</c:v>
                </c:pt>
                <c:pt idx="94">
                  <c:v>23.500041961669901</c:v>
                </c:pt>
                <c:pt idx="95">
                  <c:v>23.750261306762699</c:v>
                </c:pt>
                <c:pt idx="96">
                  <c:v>24.0000915527343</c:v>
                </c:pt>
                <c:pt idx="97">
                  <c:v>24.250116348266602</c:v>
                </c:pt>
                <c:pt idx="98">
                  <c:v>24.500308990478501</c:v>
                </c:pt>
                <c:pt idx="99">
                  <c:v>24.7503356933593</c:v>
                </c:pt>
                <c:pt idx="100">
                  <c:v>25.000158309936499</c:v>
                </c:pt>
                <c:pt idx="101">
                  <c:v>25.250217437744102</c:v>
                </c:pt>
                <c:pt idx="102">
                  <c:v>25.500738143920898</c:v>
                </c:pt>
                <c:pt idx="103">
                  <c:v>25.750768661498999</c:v>
                </c:pt>
                <c:pt idx="104">
                  <c:v>26.000236511230401</c:v>
                </c:pt>
                <c:pt idx="105">
                  <c:v>26.250280380248999</c:v>
                </c:pt>
                <c:pt idx="106">
                  <c:v>26.500442504882798</c:v>
                </c:pt>
                <c:pt idx="107">
                  <c:v>26.750169754028299</c:v>
                </c:pt>
                <c:pt idx="108">
                  <c:v>27.000032424926701</c:v>
                </c:pt>
                <c:pt idx="109">
                  <c:v>27.250413894653299</c:v>
                </c:pt>
                <c:pt idx="110">
                  <c:v>27.5003643035888</c:v>
                </c:pt>
                <c:pt idx="111">
                  <c:v>27.750165939331001</c:v>
                </c:pt>
                <c:pt idx="112">
                  <c:v>28.000694274902301</c:v>
                </c:pt>
                <c:pt idx="113">
                  <c:v>28.2506103515625</c:v>
                </c:pt>
                <c:pt idx="114">
                  <c:v>28.500083923339801</c:v>
                </c:pt>
                <c:pt idx="115">
                  <c:v>28.750555038452099</c:v>
                </c:pt>
                <c:pt idx="116">
                  <c:v>29.000139236450199</c:v>
                </c:pt>
                <c:pt idx="117">
                  <c:v>29.250194549560501</c:v>
                </c:pt>
                <c:pt idx="118">
                  <c:v>29.500194549560501</c:v>
                </c:pt>
                <c:pt idx="119">
                  <c:v>29.750389099121001</c:v>
                </c:pt>
                <c:pt idx="120">
                  <c:v>30.00022315979</c:v>
                </c:pt>
                <c:pt idx="121">
                  <c:v>30.2503051757812</c:v>
                </c:pt>
                <c:pt idx="122">
                  <c:v>30.500778198242099</c:v>
                </c:pt>
                <c:pt idx="123">
                  <c:v>30.7503051757812</c:v>
                </c:pt>
                <c:pt idx="124">
                  <c:v>31.0001106262207</c:v>
                </c:pt>
                <c:pt idx="125">
                  <c:v>31.25022315979</c:v>
                </c:pt>
                <c:pt idx="126">
                  <c:v>31.500139236450199</c:v>
                </c:pt>
                <c:pt idx="127">
                  <c:v>31.7500286102294</c:v>
                </c:pt>
                <c:pt idx="128">
                  <c:v>32.000556945800703</c:v>
                </c:pt>
                <c:pt idx="129">
                  <c:v>32.250331878662102</c:v>
                </c:pt>
                <c:pt idx="130">
                  <c:v>32.500389099121001</c:v>
                </c:pt>
                <c:pt idx="131">
                  <c:v>32.750194549560497</c:v>
                </c:pt>
                <c:pt idx="132">
                  <c:v>33.000720977783203</c:v>
                </c:pt>
                <c:pt idx="133">
                  <c:v>33.250083923339801</c:v>
                </c:pt>
                <c:pt idx="134">
                  <c:v>33.500026702880803</c:v>
                </c:pt>
                <c:pt idx="135">
                  <c:v>33.750331878662102</c:v>
                </c:pt>
                <c:pt idx="136">
                  <c:v>34.000331878662102</c:v>
                </c:pt>
                <c:pt idx="137">
                  <c:v>34.250473022460902</c:v>
                </c:pt>
                <c:pt idx="138">
                  <c:v>34.500137329101499</c:v>
                </c:pt>
                <c:pt idx="139">
                  <c:v>34.7506103515625</c:v>
                </c:pt>
                <c:pt idx="140">
                  <c:v>35.000194549560497</c:v>
                </c:pt>
                <c:pt idx="141">
                  <c:v>35.250667572021399</c:v>
                </c:pt>
                <c:pt idx="142">
                  <c:v>35.500137329101499</c:v>
                </c:pt>
                <c:pt idx="143">
                  <c:v>35.75</c:v>
                </c:pt>
                <c:pt idx="144">
                  <c:v>36.000499725341797</c:v>
                </c:pt>
                <c:pt idx="145">
                  <c:v>36.250026702880803</c:v>
                </c:pt>
                <c:pt idx="146">
                  <c:v>36.500194549560497</c:v>
                </c:pt>
                <c:pt idx="147">
                  <c:v>36.750473022460902</c:v>
                </c:pt>
                <c:pt idx="148">
                  <c:v>37.000251770019503</c:v>
                </c:pt>
                <c:pt idx="149">
                  <c:v>37.250110626220703</c:v>
                </c:pt>
                <c:pt idx="150">
                  <c:v>37.500026702880803</c:v>
                </c:pt>
                <c:pt idx="151">
                  <c:v>37.750831604003899</c:v>
                </c:pt>
                <c:pt idx="152">
                  <c:v>38.000526428222599</c:v>
                </c:pt>
                <c:pt idx="153">
                  <c:v>38.250221252441399</c:v>
                </c:pt>
                <c:pt idx="154">
                  <c:v>38.500137329101499</c:v>
                </c:pt>
                <c:pt idx="155">
                  <c:v>38.7503051757812</c:v>
                </c:pt>
                <c:pt idx="156">
                  <c:v>39.000278472900298</c:v>
                </c:pt>
                <c:pt idx="157">
                  <c:v>39.250278472900298</c:v>
                </c:pt>
                <c:pt idx="158">
                  <c:v>39.500556945800703</c:v>
                </c:pt>
                <c:pt idx="159">
                  <c:v>39.750415802001903</c:v>
                </c:pt>
                <c:pt idx="160">
                  <c:v>40.000720977783203</c:v>
                </c:pt>
                <c:pt idx="161">
                  <c:v>40.250057220458899</c:v>
                </c:pt>
                <c:pt idx="162">
                  <c:v>40.500473022460902</c:v>
                </c:pt>
                <c:pt idx="163">
                  <c:v>40.750110626220703</c:v>
                </c:pt>
                <c:pt idx="164">
                  <c:v>41.000389099121001</c:v>
                </c:pt>
                <c:pt idx="165">
                  <c:v>41.250221252441399</c:v>
                </c:pt>
                <c:pt idx="166">
                  <c:v>41.500278472900298</c:v>
                </c:pt>
                <c:pt idx="167">
                  <c:v>41.750110626220703</c:v>
                </c:pt>
                <c:pt idx="168">
                  <c:v>42.000389099121001</c:v>
                </c:pt>
                <c:pt idx="169">
                  <c:v>42.250499725341797</c:v>
                </c:pt>
                <c:pt idx="170">
                  <c:v>42.500862121582003</c:v>
                </c:pt>
                <c:pt idx="171">
                  <c:v>42.750083923339801</c:v>
                </c:pt>
                <c:pt idx="172">
                  <c:v>43.000362396240199</c:v>
                </c:pt>
                <c:pt idx="173">
                  <c:v>43.250167846679602</c:v>
                </c:pt>
                <c:pt idx="174">
                  <c:v>43.500278472900298</c:v>
                </c:pt>
                <c:pt idx="175">
                  <c:v>43.750389099121001</c:v>
                </c:pt>
                <c:pt idx="176">
                  <c:v>44.000583648681598</c:v>
                </c:pt>
                <c:pt idx="177">
                  <c:v>44.250057220458899</c:v>
                </c:pt>
                <c:pt idx="178">
                  <c:v>44.500556945800703</c:v>
                </c:pt>
                <c:pt idx="179">
                  <c:v>44.750415802001903</c:v>
                </c:pt>
                <c:pt idx="180">
                  <c:v>45.000167846679602</c:v>
                </c:pt>
                <c:pt idx="181">
                  <c:v>45.250026702880803</c:v>
                </c:pt>
                <c:pt idx="182">
                  <c:v>45.500137329101499</c:v>
                </c:pt>
                <c:pt idx="183">
                  <c:v>45.750137329101499</c:v>
                </c:pt>
                <c:pt idx="184">
                  <c:v>46.000057220458899</c:v>
                </c:pt>
                <c:pt idx="185">
                  <c:v>46.250415802001903</c:v>
                </c:pt>
                <c:pt idx="186">
                  <c:v>46.500499725341797</c:v>
                </c:pt>
                <c:pt idx="187">
                  <c:v>46.750499725341797</c:v>
                </c:pt>
                <c:pt idx="188">
                  <c:v>47.000499725341797</c:v>
                </c:pt>
                <c:pt idx="189">
                  <c:v>47.250694274902301</c:v>
                </c:pt>
                <c:pt idx="190">
                  <c:v>47.5006103515625</c:v>
                </c:pt>
                <c:pt idx="191">
                  <c:v>47.750110626220703</c:v>
                </c:pt>
                <c:pt idx="192">
                  <c:v>48.000110626220703</c:v>
                </c:pt>
                <c:pt idx="193">
                  <c:v>48.2503051757812</c:v>
                </c:pt>
                <c:pt idx="194">
                  <c:v>48.500167846679602</c:v>
                </c:pt>
                <c:pt idx="195">
                  <c:v>48.750473022460902</c:v>
                </c:pt>
                <c:pt idx="196">
                  <c:v>49.000331878662102</c:v>
                </c:pt>
                <c:pt idx="197">
                  <c:v>49.250415802001903</c:v>
                </c:pt>
                <c:pt idx="198">
                  <c:v>49.500167846679602</c:v>
                </c:pt>
                <c:pt idx="199">
                  <c:v>49.750888824462798</c:v>
                </c:pt>
                <c:pt idx="200">
                  <c:v>50.000194549560497</c:v>
                </c:pt>
                <c:pt idx="201">
                  <c:v>50.250251770019503</c:v>
                </c:pt>
                <c:pt idx="202">
                  <c:v>50.5003051757812</c:v>
                </c:pt>
                <c:pt idx="203">
                  <c:v>50.750137329101499</c:v>
                </c:pt>
                <c:pt idx="204">
                  <c:v>51.000556945800703</c:v>
                </c:pt>
                <c:pt idx="205">
                  <c:v>51.250278472900298</c:v>
                </c:pt>
                <c:pt idx="206">
                  <c:v>51.500473022460902</c:v>
                </c:pt>
                <c:pt idx="207">
                  <c:v>51.750473022460902</c:v>
                </c:pt>
                <c:pt idx="208">
                  <c:v>52.000251770019503</c:v>
                </c:pt>
                <c:pt idx="209">
                  <c:v>52.250026702880803</c:v>
                </c:pt>
                <c:pt idx="210">
                  <c:v>52.50044631958</c:v>
                </c:pt>
                <c:pt idx="211">
                  <c:v>52.750137329101499</c:v>
                </c:pt>
                <c:pt idx="212">
                  <c:v>53.000362396240199</c:v>
                </c:pt>
                <c:pt idx="213">
                  <c:v>53.250362396240199</c:v>
                </c:pt>
                <c:pt idx="214">
                  <c:v>53.500110626220703</c:v>
                </c:pt>
                <c:pt idx="215">
                  <c:v>53.750026702880803</c:v>
                </c:pt>
                <c:pt idx="216">
                  <c:v>54.000583648681598</c:v>
                </c:pt>
                <c:pt idx="217">
                  <c:v>54.2503051757812</c:v>
                </c:pt>
                <c:pt idx="218">
                  <c:v>54.500831604003899</c:v>
                </c:pt>
                <c:pt idx="219">
                  <c:v>54.750526428222599</c:v>
                </c:pt>
                <c:pt idx="220">
                  <c:v>55.000221252441399</c:v>
                </c:pt>
                <c:pt idx="221">
                  <c:v>55.250167846679602</c:v>
                </c:pt>
                <c:pt idx="222">
                  <c:v>55.500251770019503</c:v>
                </c:pt>
                <c:pt idx="223">
                  <c:v>55.750026702880803</c:v>
                </c:pt>
                <c:pt idx="224">
                  <c:v>56.000499725341797</c:v>
                </c:pt>
                <c:pt idx="225">
                  <c:v>56.25044631958</c:v>
                </c:pt>
                <c:pt idx="226">
                  <c:v>56.500499725341797</c:v>
                </c:pt>
                <c:pt idx="227">
                  <c:v>56.750888824462798</c:v>
                </c:pt>
                <c:pt idx="228">
                  <c:v>57.000415802001903</c:v>
                </c:pt>
                <c:pt idx="229">
                  <c:v>57.250278472900298</c:v>
                </c:pt>
                <c:pt idx="230">
                  <c:v>57.500167846679602</c:v>
                </c:pt>
                <c:pt idx="231">
                  <c:v>57.750110626220703</c:v>
                </c:pt>
                <c:pt idx="232">
                  <c:v>58.000057220458899</c:v>
                </c:pt>
                <c:pt idx="233">
                  <c:v>58.250057220458899</c:v>
                </c:pt>
                <c:pt idx="234">
                  <c:v>58.500251770019503</c:v>
                </c:pt>
                <c:pt idx="235">
                  <c:v>58.750415802001903</c:v>
                </c:pt>
                <c:pt idx="236">
                  <c:v>59.000583648681598</c:v>
                </c:pt>
                <c:pt idx="237">
                  <c:v>59.250331878662102</c:v>
                </c:pt>
                <c:pt idx="238">
                  <c:v>59.500637054443303</c:v>
                </c:pt>
                <c:pt idx="239">
                  <c:v>59.750499725341797</c:v>
                </c:pt>
                <c:pt idx="240">
                  <c:v>60.000278472900298</c:v>
                </c:pt>
                <c:pt idx="241">
                  <c:v>60.250331878662102</c:v>
                </c:pt>
                <c:pt idx="242">
                  <c:v>60.500278472900298</c:v>
                </c:pt>
                <c:pt idx="243">
                  <c:v>60.750167846679602</c:v>
                </c:pt>
                <c:pt idx="244">
                  <c:v>61.000137329101499</c:v>
                </c:pt>
                <c:pt idx="245">
                  <c:v>61.250331878662102</c:v>
                </c:pt>
                <c:pt idx="246">
                  <c:v>61.5007514953613</c:v>
                </c:pt>
                <c:pt idx="247">
                  <c:v>61.750251770019503</c:v>
                </c:pt>
                <c:pt idx="248">
                  <c:v>62.000331878662102</c:v>
                </c:pt>
                <c:pt idx="249">
                  <c:v>62.250194549560497</c:v>
                </c:pt>
                <c:pt idx="250">
                  <c:v>62.500137329101499</c:v>
                </c:pt>
                <c:pt idx="251">
                  <c:v>62.750083923339801</c:v>
                </c:pt>
                <c:pt idx="252">
                  <c:v>63.000331878662102</c:v>
                </c:pt>
                <c:pt idx="253">
                  <c:v>63.250556945800703</c:v>
                </c:pt>
                <c:pt idx="254">
                  <c:v>63.500720977783203</c:v>
                </c:pt>
                <c:pt idx="255">
                  <c:v>63.750667572021399</c:v>
                </c:pt>
                <c:pt idx="256">
                  <c:v>64.000274658203097</c:v>
                </c:pt>
                <c:pt idx="257">
                  <c:v>64.250305175781193</c:v>
                </c:pt>
                <c:pt idx="258">
                  <c:v>64.500114440917898</c:v>
                </c:pt>
                <c:pt idx="259">
                  <c:v>64.750274658203097</c:v>
                </c:pt>
                <c:pt idx="260">
                  <c:v>65.000251770019503</c:v>
                </c:pt>
                <c:pt idx="261">
                  <c:v>65.250167846679602</c:v>
                </c:pt>
                <c:pt idx="262">
                  <c:v>65.5</c:v>
                </c:pt>
                <c:pt idx="263">
                  <c:v>65.750053405761705</c:v>
                </c:pt>
                <c:pt idx="264">
                  <c:v>66.000030517578097</c:v>
                </c:pt>
                <c:pt idx="265">
                  <c:v>66.250556945800696</c:v>
                </c:pt>
                <c:pt idx="266">
                  <c:v>66.500503540039006</c:v>
                </c:pt>
                <c:pt idx="267">
                  <c:v>66.750419616699205</c:v>
                </c:pt>
                <c:pt idx="268">
                  <c:v>67.000335693359304</c:v>
                </c:pt>
                <c:pt idx="269">
                  <c:v>67.250190734863196</c:v>
                </c:pt>
                <c:pt idx="270">
                  <c:v>67.500274658203097</c:v>
                </c:pt>
                <c:pt idx="271">
                  <c:v>67.750526428222599</c:v>
                </c:pt>
                <c:pt idx="272">
                  <c:v>68.000251770019503</c:v>
                </c:pt>
                <c:pt idx="273">
                  <c:v>68.250419616699205</c:v>
                </c:pt>
                <c:pt idx="274">
                  <c:v>68.500579833984304</c:v>
                </c:pt>
                <c:pt idx="275">
                  <c:v>68.750221252441406</c:v>
                </c:pt>
                <c:pt idx="276">
                  <c:v>69.000167846679602</c:v>
                </c:pt>
                <c:pt idx="277">
                  <c:v>69.250335693359304</c:v>
                </c:pt>
                <c:pt idx="278">
                  <c:v>69.500083923339801</c:v>
                </c:pt>
                <c:pt idx="279">
                  <c:v>69.75</c:v>
                </c:pt>
                <c:pt idx="280">
                  <c:v>70.000335693359304</c:v>
                </c:pt>
                <c:pt idx="281">
                  <c:v>70.250167846679602</c:v>
                </c:pt>
                <c:pt idx="282">
                  <c:v>70.500473022460895</c:v>
                </c:pt>
                <c:pt idx="283">
                  <c:v>70.750694274902301</c:v>
                </c:pt>
                <c:pt idx="284">
                  <c:v>71.000778198242102</c:v>
                </c:pt>
                <c:pt idx="285">
                  <c:v>71.250694274902301</c:v>
                </c:pt>
                <c:pt idx="286">
                  <c:v>71.5006103515625</c:v>
                </c:pt>
                <c:pt idx="287">
                  <c:v>71.750114440917898</c:v>
                </c:pt>
                <c:pt idx="288">
                  <c:v>72.000358581542898</c:v>
                </c:pt>
              </c:numCache>
            </c:numRef>
          </c:xVal>
          <c:yVal>
            <c:numRef>
              <c:f>'SIM3'!$G$11:$G$299</c:f>
              <c:numCache>
                <c:formatCode>General</c:formatCode>
                <c:ptCount val="289"/>
                <c:pt idx="0">
                  <c:v>0</c:v>
                </c:pt>
                <c:pt idx="1">
                  <c:v>3240145.6117629986</c:v>
                </c:pt>
                <c:pt idx="2">
                  <c:v>6481569.6716308519</c:v>
                </c:pt>
                <c:pt idx="3">
                  <c:v>9720791.788101187</c:v>
                </c:pt>
                <c:pt idx="4">
                  <c:v>12961796.77963247</c:v>
                </c:pt>
                <c:pt idx="5">
                  <c:v>16206019.134521488</c:v>
                </c:pt>
                <c:pt idx="6">
                  <c:v>19446411.552429125</c:v>
                </c:pt>
                <c:pt idx="7">
                  <c:v>22680054.073333684</c:v>
                </c:pt>
                <c:pt idx="8">
                  <c:v>25925450.592040949</c:v>
                </c:pt>
                <c:pt idx="9">
                  <c:v>29162904.51049798</c:v>
                </c:pt>
                <c:pt idx="10">
                  <c:v>32404783.172607303</c:v>
                </c:pt>
                <c:pt idx="11">
                  <c:v>35640312.080383182</c:v>
                </c:pt>
                <c:pt idx="12">
                  <c:v>38882700.57678216</c:v>
                </c:pt>
                <c:pt idx="13">
                  <c:v>42121476.974487297</c:v>
                </c:pt>
                <c:pt idx="14">
                  <c:v>45365867.72918696</c:v>
                </c:pt>
                <c:pt idx="15">
                  <c:v>48604968.566894457</c:v>
                </c:pt>
                <c:pt idx="16">
                  <c:v>51844461.822509736</c:v>
                </c:pt>
                <c:pt idx="17">
                  <c:v>55086408.462524332</c:v>
                </c:pt>
                <c:pt idx="18">
                  <c:v>58325975.875854462</c:v>
                </c:pt>
                <c:pt idx="19">
                  <c:v>61563417.434692301</c:v>
                </c:pt>
                <c:pt idx="20">
                  <c:v>64806878.128051758</c:v>
                </c:pt>
                <c:pt idx="21">
                  <c:v>68041081.466674745</c:v>
                </c:pt>
                <c:pt idx="22">
                  <c:v>71281835.403442308</c:v>
                </c:pt>
                <c:pt idx="23">
                  <c:v>74522805.633544862</c:v>
                </c:pt>
                <c:pt idx="24">
                  <c:v>77767125.320434466</c:v>
                </c:pt>
                <c:pt idx="25">
                  <c:v>81001186.52343744</c:v>
                </c:pt>
                <c:pt idx="26">
                  <c:v>84244430.923461884</c:v>
                </c:pt>
                <c:pt idx="27">
                  <c:v>87481514.053344727</c:v>
                </c:pt>
                <c:pt idx="28">
                  <c:v>90722663.497924745</c:v>
                </c:pt>
                <c:pt idx="29">
                  <c:v>93963170.242309466</c:v>
                </c:pt>
                <c:pt idx="30">
                  <c:v>97201761.245727435</c:v>
                </c:pt>
                <c:pt idx="31">
                  <c:v>100444393.84460445</c:v>
                </c:pt>
                <c:pt idx="32">
                  <c:v>103684387.66479486</c:v>
                </c:pt>
                <c:pt idx="33">
                  <c:v>106925907.89794919</c:v>
                </c:pt>
                <c:pt idx="34">
                  <c:v>110167057.34252921</c:v>
                </c:pt>
                <c:pt idx="35">
                  <c:v>113400000</c:v>
                </c:pt>
                <c:pt idx="36">
                  <c:v>116646118.01147458</c:v>
                </c:pt>
                <c:pt idx="37">
                  <c:v>119881446.07543945</c:v>
                </c:pt>
                <c:pt idx="38">
                  <c:v>123128861.84692377</c:v>
                </c:pt>
                <c:pt idx="39">
                  <c:v>126365574.18823232</c:v>
                </c:pt>
                <c:pt idx="40">
                  <c:v>129602125.8544919</c:v>
                </c:pt>
                <c:pt idx="41">
                  <c:v>132841656.18896487</c:v>
                </c:pt>
                <c:pt idx="42">
                  <c:v>136084350.58593652</c:v>
                </c:pt>
                <c:pt idx="43">
                  <c:v>139322088.77563381</c:v>
                </c:pt>
                <c:pt idx="44">
                  <c:v>142563522.49145409</c:v>
                </c:pt>
                <c:pt idx="45">
                  <c:v>145809071.96044868</c:v>
                </c:pt>
                <c:pt idx="46">
                  <c:v>149047020.26367161</c:v>
                </c:pt>
                <c:pt idx="47">
                  <c:v>152281693.26782164</c:v>
                </c:pt>
                <c:pt idx="48">
                  <c:v>155523917.99926758</c:v>
                </c:pt>
                <c:pt idx="49">
                  <c:v>158762632.59887573</c:v>
                </c:pt>
                <c:pt idx="50">
                  <c:v>162004424.74365139</c:v>
                </c:pt>
                <c:pt idx="51">
                  <c:v>165242805.63354459</c:v>
                </c:pt>
                <c:pt idx="52">
                  <c:v>168482953.94897431</c:v>
                </c:pt>
                <c:pt idx="53">
                  <c:v>171727700.04272431</c:v>
                </c:pt>
                <c:pt idx="54">
                  <c:v>174967131.50024328</c:v>
                </c:pt>
                <c:pt idx="55">
                  <c:v>178201582.03125</c:v>
                </c:pt>
                <c:pt idx="56">
                  <c:v>181440865.17333922</c:v>
                </c:pt>
                <c:pt idx="57">
                  <c:v>184687205.65795812</c:v>
                </c:pt>
                <c:pt idx="58">
                  <c:v>187926006.77490139</c:v>
                </c:pt>
                <c:pt idx="59">
                  <c:v>191163633.72802705</c:v>
                </c:pt>
                <c:pt idx="60">
                  <c:v>194400791.01562434</c:v>
                </c:pt>
                <c:pt idx="61">
                  <c:v>197645870.8190906</c:v>
                </c:pt>
                <c:pt idx="62">
                  <c:v>200880210.11352438</c:v>
                </c:pt>
                <c:pt idx="63">
                  <c:v>204124647.21679598</c:v>
                </c:pt>
                <c:pt idx="64">
                  <c:v>207360074.15771484</c:v>
                </c:pt>
                <c:pt idx="65">
                  <c:v>210602224.73144463</c:v>
                </c:pt>
                <c:pt idx="66">
                  <c:v>213843633.72802702</c:v>
                </c:pt>
                <c:pt idx="67">
                  <c:v>217084424.74365136</c:v>
                </c:pt>
                <c:pt idx="68">
                  <c:v>220324943.84765542</c:v>
                </c:pt>
                <c:pt idx="69">
                  <c:v>223562892.1508784</c:v>
                </c:pt>
                <c:pt idx="70">
                  <c:v>226803609.00878787</c:v>
                </c:pt>
                <c:pt idx="71">
                  <c:v>230042373.04687434</c:v>
                </c:pt>
                <c:pt idx="72">
                  <c:v>233288107.91015542</c:v>
                </c:pt>
                <c:pt idx="73">
                  <c:v>236524869.68994057</c:v>
                </c:pt>
                <c:pt idx="74">
                  <c:v>239760964.05029199</c:v>
                </c:pt>
                <c:pt idx="75">
                  <c:v>243004400.02441353</c:v>
                </c:pt>
                <c:pt idx="76">
                  <c:v>246245364.07470676</c:v>
                </c:pt>
                <c:pt idx="77">
                  <c:v>249481161.80419865</c:v>
                </c:pt>
                <c:pt idx="78">
                  <c:v>252725339.35546759</c:v>
                </c:pt>
                <c:pt idx="79">
                  <c:v>255964424.74365139</c:v>
                </c:pt>
                <c:pt idx="80">
                  <c:v>259204647.21679598</c:v>
                </c:pt>
                <c:pt idx="81">
                  <c:v>262441483.15429598</c:v>
                </c:pt>
                <c:pt idx="82">
                  <c:v>265686995.54443249</c:v>
                </c:pt>
                <c:pt idx="83">
                  <c:v>268924251.70898378</c:v>
                </c:pt>
                <c:pt idx="84">
                  <c:v>272163955.07812434</c:v>
                </c:pt>
                <c:pt idx="85">
                  <c:v>275402200.01220679</c:v>
                </c:pt>
                <c:pt idx="86">
                  <c:v>278640716.8579095</c:v>
                </c:pt>
                <c:pt idx="87">
                  <c:v>281884573.05908108</c:v>
                </c:pt>
                <c:pt idx="88">
                  <c:v>285124400.02441353</c:v>
                </c:pt>
                <c:pt idx="89">
                  <c:v>288364251.70898378</c:v>
                </c:pt>
                <c:pt idx="90">
                  <c:v>291601408.99658108</c:v>
                </c:pt>
                <c:pt idx="91">
                  <c:v>294847811.27929598</c:v>
                </c:pt>
                <c:pt idx="92">
                  <c:v>298080642.70019466</c:v>
                </c:pt>
                <c:pt idx="93">
                  <c:v>301322348.32763648</c:v>
                </c:pt>
                <c:pt idx="94">
                  <c:v>304560543.82324195</c:v>
                </c:pt>
                <c:pt idx="95">
                  <c:v>307803386.53564459</c:v>
                </c:pt>
                <c:pt idx="96">
                  <c:v>311041186.52343655</c:v>
                </c:pt>
                <c:pt idx="97">
                  <c:v>314281507.87353516</c:v>
                </c:pt>
                <c:pt idx="98">
                  <c:v>317524004.51660132</c:v>
                </c:pt>
                <c:pt idx="99">
                  <c:v>320764350.58593655</c:v>
                </c:pt>
                <c:pt idx="100">
                  <c:v>324002051.69677705</c:v>
                </c:pt>
                <c:pt idx="101">
                  <c:v>327242817.99316353</c:v>
                </c:pt>
                <c:pt idx="102">
                  <c:v>330489566.34521484</c:v>
                </c:pt>
                <c:pt idx="103">
                  <c:v>333729961.85302705</c:v>
                </c:pt>
                <c:pt idx="104">
                  <c:v>336963065.18554598</c:v>
                </c:pt>
                <c:pt idx="105">
                  <c:v>340203633.72802705</c:v>
                </c:pt>
                <c:pt idx="106">
                  <c:v>343445734.86328101</c:v>
                </c:pt>
                <c:pt idx="107">
                  <c:v>346682200.01220679</c:v>
                </c:pt>
                <c:pt idx="108">
                  <c:v>349920420.22705007</c:v>
                </c:pt>
                <c:pt idx="109">
                  <c:v>353165364.07470679</c:v>
                </c:pt>
                <c:pt idx="110">
                  <c:v>356404721.37451082</c:v>
                </c:pt>
                <c:pt idx="111">
                  <c:v>359642150.57372981</c:v>
                </c:pt>
                <c:pt idx="112">
                  <c:v>362888997.80273378</c:v>
                </c:pt>
                <c:pt idx="113">
                  <c:v>366127910.15625</c:v>
                </c:pt>
                <c:pt idx="114">
                  <c:v>369361087.64648378</c:v>
                </c:pt>
                <c:pt idx="115">
                  <c:v>372607193.29833919</c:v>
                </c:pt>
                <c:pt idx="116">
                  <c:v>375841804.50439459</c:v>
                </c:pt>
                <c:pt idx="117">
                  <c:v>379082521.36230409</c:v>
                </c:pt>
                <c:pt idx="118">
                  <c:v>382322521.36230409</c:v>
                </c:pt>
                <c:pt idx="119">
                  <c:v>385565042.72460818</c:v>
                </c:pt>
                <c:pt idx="120">
                  <c:v>388802892.15087837</c:v>
                </c:pt>
                <c:pt idx="121">
                  <c:v>392043955.07812434</c:v>
                </c:pt>
                <c:pt idx="122">
                  <c:v>395290085.44921762</c:v>
                </c:pt>
                <c:pt idx="123">
                  <c:v>398523955.07812434</c:v>
                </c:pt>
                <c:pt idx="124">
                  <c:v>401761433.71582025</c:v>
                </c:pt>
                <c:pt idx="125">
                  <c:v>405002892.15087837</c:v>
                </c:pt>
                <c:pt idx="126">
                  <c:v>408241804.50439459</c:v>
                </c:pt>
                <c:pt idx="127">
                  <c:v>411480370.78857303</c:v>
                </c:pt>
                <c:pt idx="128">
                  <c:v>414727218.01757711</c:v>
                </c:pt>
                <c:pt idx="129">
                  <c:v>417964301.14746082</c:v>
                </c:pt>
                <c:pt idx="130">
                  <c:v>421205042.72460818</c:v>
                </c:pt>
                <c:pt idx="131">
                  <c:v>424442521.36230403</c:v>
                </c:pt>
                <c:pt idx="132">
                  <c:v>427689343.87207031</c:v>
                </c:pt>
                <c:pt idx="133">
                  <c:v>430921087.64648378</c:v>
                </c:pt>
                <c:pt idx="134">
                  <c:v>434160346.06933522</c:v>
                </c:pt>
                <c:pt idx="135">
                  <c:v>437404301.14746082</c:v>
                </c:pt>
                <c:pt idx="136">
                  <c:v>440644301.14746082</c:v>
                </c:pt>
                <c:pt idx="137">
                  <c:v>443886130.37109327</c:v>
                </c:pt>
                <c:pt idx="138">
                  <c:v>447121779.78515542</c:v>
                </c:pt>
                <c:pt idx="139">
                  <c:v>450367910.15625</c:v>
                </c:pt>
                <c:pt idx="140">
                  <c:v>453602521.36230403</c:v>
                </c:pt>
                <c:pt idx="141">
                  <c:v>456848651.73339736</c:v>
                </c:pt>
                <c:pt idx="142">
                  <c:v>460081779.78515542</c:v>
                </c:pt>
                <c:pt idx="143">
                  <c:v>463320000</c:v>
                </c:pt>
                <c:pt idx="144">
                  <c:v>466566476.44042969</c:v>
                </c:pt>
                <c:pt idx="145">
                  <c:v>469800346.06933522</c:v>
                </c:pt>
                <c:pt idx="146">
                  <c:v>473042521.36230403</c:v>
                </c:pt>
                <c:pt idx="147">
                  <c:v>476286130.37109333</c:v>
                </c:pt>
                <c:pt idx="148">
                  <c:v>479523262.93945271</c:v>
                </c:pt>
                <c:pt idx="149">
                  <c:v>482761433.71582031</c:v>
                </c:pt>
                <c:pt idx="150">
                  <c:v>486000346.06933522</c:v>
                </c:pt>
                <c:pt idx="151">
                  <c:v>489250777.58789051</c:v>
                </c:pt>
                <c:pt idx="152">
                  <c:v>492486822.50976491</c:v>
                </c:pt>
                <c:pt idx="153">
                  <c:v>495722867.43164051</c:v>
                </c:pt>
                <c:pt idx="154">
                  <c:v>498961779.78515542</c:v>
                </c:pt>
                <c:pt idx="155">
                  <c:v>502203955.07812434</c:v>
                </c:pt>
                <c:pt idx="156">
                  <c:v>505443609.00878793</c:v>
                </c:pt>
                <c:pt idx="157">
                  <c:v>508683609.00878793</c:v>
                </c:pt>
                <c:pt idx="158">
                  <c:v>511927218.01757705</c:v>
                </c:pt>
                <c:pt idx="159">
                  <c:v>515165388.79394466</c:v>
                </c:pt>
                <c:pt idx="160">
                  <c:v>518409343.87207031</c:v>
                </c:pt>
                <c:pt idx="161">
                  <c:v>521640741.57714731</c:v>
                </c:pt>
                <c:pt idx="162">
                  <c:v>524886130.37109333</c:v>
                </c:pt>
                <c:pt idx="163">
                  <c:v>528121433.71582031</c:v>
                </c:pt>
                <c:pt idx="164">
                  <c:v>531365042.72460824</c:v>
                </c:pt>
                <c:pt idx="165">
                  <c:v>534602867.43164051</c:v>
                </c:pt>
                <c:pt idx="166">
                  <c:v>537843609.00878787</c:v>
                </c:pt>
                <c:pt idx="167">
                  <c:v>541081433.71582031</c:v>
                </c:pt>
                <c:pt idx="168">
                  <c:v>544325042.72460818</c:v>
                </c:pt>
                <c:pt idx="169">
                  <c:v>547566476.44042969</c:v>
                </c:pt>
                <c:pt idx="170">
                  <c:v>550811173.09570265</c:v>
                </c:pt>
                <c:pt idx="171">
                  <c:v>554041087.6464839</c:v>
                </c:pt>
                <c:pt idx="172">
                  <c:v>557284696.65527296</c:v>
                </c:pt>
                <c:pt idx="173">
                  <c:v>560522175.29296756</c:v>
                </c:pt>
                <c:pt idx="174">
                  <c:v>563763609.00878787</c:v>
                </c:pt>
                <c:pt idx="175">
                  <c:v>567005042.72460818</c:v>
                </c:pt>
                <c:pt idx="176">
                  <c:v>570247564.08691359</c:v>
                </c:pt>
                <c:pt idx="177">
                  <c:v>573480741.57714725</c:v>
                </c:pt>
                <c:pt idx="178">
                  <c:v>576727218.01757705</c:v>
                </c:pt>
                <c:pt idx="179">
                  <c:v>579965388.79394472</c:v>
                </c:pt>
                <c:pt idx="180">
                  <c:v>583202175.29296756</c:v>
                </c:pt>
                <c:pt idx="181">
                  <c:v>586440346.06933522</c:v>
                </c:pt>
                <c:pt idx="182">
                  <c:v>589681779.78515542</c:v>
                </c:pt>
                <c:pt idx="183">
                  <c:v>592921779.78515542</c:v>
                </c:pt>
                <c:pt idx="184">
                  <c:v>596160741.57714725</c:v>
                </c:pt>
                <c:pt idx="185">
                  <c:v>599405388.79394472</c:v>
                </c:pt>
                <c:pt idx="186">
                  <c:v>602646476.44042969</c:v>
                </c:pt>
                <c:pt idx="187">
                  <c:v>605886476.44042969</c:v>
                </c:pt>
                <c:pt idx="188">
                  <c:v>609126476.44042969</c:v>
                </c:pt>
                <c:pt idx="189">
                  <c:v>612368997.8027339</c:v>
                </c:pt>
                <c:pt idx="190">
                  <c:v>615607910.15625</c:v>
                </c:pt>
                <c:pt idx="191">
                  <c:v>618841433.71582031</c:v>
                </c:pt>
                <c:pt idx="192">
                  <c:v>622081433.71582031</c:v>
                </c:pt>
                <c:pt idx="193">
                  <c:v>625323955.0781244</c:v>
                </c:pt>
                <c:pt idx="194">
                  <c:v>628562175.29296756</c:v>
                </c:pt>
                <c:pt idx="195">
                  <c:v>631806130.37109327</c:v>
                </c:pt>
                <c:pt idx="196">
                  <c:v>635044301.14746082</c:v>
                </c:pt>
                <c:pt idx="197">
                  <c:v>638285388.79394472</c:v>
                </c:pt>
                <c:pt idx="198">
                  <c:v>641522175.29296756</c:v>
                </c:pt>
                <c:pt idx="199">
                  <c:v>644771519.16503787</c:v>
                </c:pt>
                <c:pt idx="200">
                  <c:v>648002521.36230409</c:v>
                </c:pt>
                <c:pt idx="201">
                  <c:v>651243262.93945265</c:v>
                </c:pt>
                <c:pt idx="202">
                  <c:v>654483955.0781244</c:v>
                </c:pt>
                <c:pt idx="203">
                  <c:v>657721779.78515542</c:v>
                </c:pt>
                <c:pt idx="204">
                  <c:v>660967218.01757705</c:v>
                </c:pt>
                <c:pt idx="205">
                  <c:v>664203609.00878787</c:v>
                </c:pt>
                <c:pt idx="206">
                  <c:v>667446130.37109327</c:v>
                </c:pt>
                <c:pt idx="207">
                  <c:v>670686130.37109327</c:v>
                </c:pt>
                <c:pt idx="208">
                  <c:v>673923262.93945265</c:v>
                </c:pt>
                <c:pt idx="209">
                  <c:v>677160346.06933522</c:v>
                </c:pt>
                <c:pt idx="210">
                  <c:v>680405784.30175674</c:v>
                </c:pt>
                <c:pt idx="211">
                  <c:v>683641779.78515542</c:v>
                </c:pt>
                <c:pt idx="212">
                  <c:v>686884696.65527296</c:v>
                </c:pt>
                <c:pt idx="213">
                  <c:v>690124696.65527296</c:v>
                </c:pt>
                <c:pt idx="214">
                  <c:v>693361433.71582031</c:v>
                </c:pt>
                <c:pt idx="215">
                  <c:v>696600346.06933522</c:v>
                </c:pt>
                <c:pt idx="216">
                  <c:v>699847564.08691359</c:v>
                </c:pt>
                <c:pt idx="217">
                  <c:v>703083955.0781244</c:v>
                </c:pt>
                <c:pt idx="218">
                  <c:v>706330777.58789051</c:v>
                </c:pt>
                <c:pt idx="219">
                  <c:v>709566822.50976491</c:v>
                </c:pt>
                <c:pt idx="220">
                  <c:v>712802867.43164051</c:v>
                </c:pt>
                <c:pt idx="221">
                  <c:v>716042175.29296756</c:v>
                </c:pt>
                <c:pt idx="222">
                  <c:v>719283262.93945265</c:v>
                </c:pt>
                <c:pt idx="223">
                  <c:v>722520346.06933522</c:v>
                </c:pt>
                <c:pt idx="224">
                  <c:v>725766476.44042969</c:v>
                </c:pt>
                <c:pt idx="225">
                  <c:v>729005784.30175674</c:v>
                </c:pt>
                <c:pt idx="226">
                  <c:v>732246476.44042969</c:v>
                </c:pt>
                <c:pt idx="227">
                  <c:v>735491519.16503787</c:v>
                </c:pt>
                <c:pt idx="228">
                  <c:v>738725388.79394472</c:v>
                </c:pt>
                <c:pt idx="229">
                  <c:v>741963609.00878787</c:v>
                </c:pt>
                <c:pt idx="230">
                  <c:v>745202175.29296756</c:v>
                </c:pt>
                <c:pt idx="231">
                  <c:v>748441433.71582031</c:v>
                </c:pt>
                <c:pt idx="232">
                  <c:v>751680741.57714725</c:v>
                </c:pt>
                <c:pt idx="233">
                  <c:v>754920741.57714725</c:v>
                </c:pt>
                <c:pt idx="234">
                  <c:v>758163262.93945265</c:v>
                </c:pt>
                <c:pt idx="235">
                  <c:v>761405388.79394472</c:v>
                </c:pt>
                <c:pt idx="236">
                  <c:v>764647564.08691359</c:v>
                </c:pt>
                <c:pt idx="237">
                  <c:v>767884301.14746082</c:v>
                </c:pt>
                <c:pt idx="238">
                  <c:v>771128256.22558522</c:v>
                </c:pt>
                <c:pt idx="239">
                  <c:v>774366476.44042969</c:v>
                </c:pt>
                <c:pt idx="240">
                  <c:v>777603609.00878787</c:v>
                </c:pt>
                <c:pt idx="241">
                  <c:v>780844301.14746082</c:v>
                </c:pt>
                <c:pt idx="242">
                  <c:v>784083609.00878787</c:v>
                </c:pt>
                <c:pt idx="243">
                  <c:v>787322175.29296756</c:v>
                </c:pt>
                <c:pt idx="244">
                  <c:v>790561779.78515542</c:v>
                </c:pt>
                <c:pt idx="245">
                  <c:v>793804301.14746082</c:v>
                </c:pt>
                <c:pt idx="246">
                  <c:v>797049739.37988234</c:v>
                </c:pt>
                <c:pt idx="247">
                  <c:v>800283262.93945265</c:v>
                </c:pt>
                <c:pt idx="248">
                  <c:v>803524301.14746082</c:v>
                </c:pt>
                <c:pt idx="249">
                  <c:v>806762521.36230409</c:v>
                </c:pt>
                <c:pt idx="250">
                  <c:v>810001779.78515542</c:v>
                </c:pt>
                <c:pt idx="251">
                  <c:v>813241087.6464839</c:v>
                </c:pt>
                <c:pt idx="252">
                  <c:v>816484301.14746082</c:v>
                </c:pt>
                <c:pt idx="253">
                  <c:v>819727218.01757705</c:v>
                </c:pt>
                <c:pt idx="254">
                  <c:v>822969343.87207031</c:v>
                </c:pt>
                <c:pt idx="255">
                  <c:v>826208651.73339725</c:v>
                </c:pt>
                <c:pt idx="256">
                  <c:v>829443559.57031202</c:v>
                </c:pt>
                <c:pt idx="257">
                  <c:v>832683955.07812428</c:v>
                </c:pt>
                <c:pt idx="258">
                  <c:v>835921483.15429592</c:v>
                </c:pt>
                <c:pt idx="259">
                  <c:v>839163559.57031202</c:v>
                </c:pt>
                <c:pt idx="260">
                  <c:v>842403262.93945265</c:v>
                </c:pt>
                <c:pt idx="261">
                  <c:v>845642175.29296756</c:v>
                </c:pt>
                <c:pt idx="262">
                  <c:v>848880000</c:v>
                </c:pt>
                <c:pt idx="263">
                  <c:v>852120692.13867164</c:v>
                </c:pt>
                <c:pt idx="264">
                  <c:v>855360395.50781202</c:v>
                </c:pt>
                <c:pt idx="265">
                  <c:v>858607218.01757693</c:v>
                </c:pt>
                <c:pt idx="266">
                  <c:v>861846525.87890553</c:v>
                </c:pt>
                <c:pt idx="267">
                  <c:v>865085438.23242164</c:v>
                </c:pt>
                <c:pt idx="268">
                  <c:v>868324350.58593655</c:v>
                </c:pt>
                <c:pt idx="269">
                  <c:v>871562471.92382693</c:v>
                </c:pt>
                <c:pt idx="270">
                  <c:v>874803559.57031202</c:v>
                </c:pt>
                <c:pt idx="271">
                  <c:v>878046822.50976491</c:v>
                </c:pt>
                <c:pt idx="272">
                  <c:v>881283262.93945265</c:v>
                </c:pt>
                <c:pt idx="273">
                  <c:v>884525438.23242164</c:v>
                </c:pt>
                <c:pt idx="274">
                  <c:v>887767514.64843655</c:v>
                </c:pt>
                <c:pt idx="275">
                  <c:v>891002867.43164063</c:v>
                </c:pt>
                <c:pt idx="276">
                  <c:v>894242175.29296756</c:v>
                </c:pt>
                <c:pt idx="277">
                  <c:v>897484350.58593655</c:v>
                </c:pt>
                <c:pt idx="278">
                  <c:v>900721087.6464839</c:v>
                </c:pt>
                <c:pt idx="279">
                  <c:v>903960000</c:v>
                </c:pt>
                <c:pt idx="280">
                  <c:v>907204350.58593655</c:v>
                </c:pt>
                <c:pt idx="281">
                  <c:v>910442175.29296756</c:v>
                </c:pt>
                <c:pt idx="282">
                  <c:v>913686130.37109327</c:v>
                </c:pt>
                <c:pt idx="283">
                  <c:v>916928997.8027339</c:v>
                </c:pt>
                <c:pt idx="284">
                  <c:v>920170085.44921756</c:v>
                </c:pt>
                <c:pt idx="285">
                  <c:v>923408997.8027339</c:v>
                </c:pt>
                <c:pt idx="286">
                  <c:v>926647910.15625</c:v>
                </c:pt>
                <c:pt idx="287">
                  <c:v>929881483.15429592</c:v>
                </c:pt>
                <c:pt idx="288">
                  <c:v>933124647.21679592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AE-47BF-8CB6-BC6AF2B54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GB"/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b="0" i="0" u="none" strike="noStrike">
                <a:latin typeface="Calibri"/>
              </a:rPr>
              <a:t>Report-2031_Oil_4500bopd_Liquid_4773blpd_No_GL_TD_Only_OP2_TCV_10pc.genkey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Legends!$B$2</c:f>
              <c:strCache>
                <c:ptCount val="1"/>
                <c:pt idx="0">
                  <c:v>Liquid at Outlet</c:v>
                </c:pt>
              </c:strCache>
            </c:strRef>
          </c:tx>
          <c:marker>
            <c:symbol val="none"/>
          </c:marker>
          <c:xVal>
            <c:numRef>
              <c:f>'SIM4'!$A$11:$A$299</c:f>
              <c:numCache>
                <c:formatCode>General</c:formatCode>
                <c:ptCount val="289"/>
                <c:pt idx="0">
                  <c:v>0</c:v>
                </c:pt>
                <c:pt idx="1">
                  <c:v>0.25001123547553999</c:v>
                </c:pt>
                <c:pt idx="2">
                  <c:v>0.50012111663818304</c:v>
                </c:pt>
                <c:pt idx="3">
                  <c:v>0.750061094760894</c:v>
                </c:pt>
                <c:pt idx="4">
                  <c:v>1.00013864040374</c:v>
                </c:pt>
                <c:pt idx="5">
                  <c:v>1.2500083446502599</c:v>
                </c:pt>
                <c:pt idx="6">
                  <c:v>1.5000680685043299</c:v>
                </c:pt>
                <c:pt idx="7">
                  <c:v>1.75054419040679</c:v>
                </c:pt>
                <c:pt idx="8">
                  <c:v>2.0000450611114502</c:v>
                </c:pt>
                <c:pt idx="9">
                  <c:v>2.2506799697875901</c:v>
                </c:pt>
                <c:pt idx="10">
                  <c:v>2.5004396438598602</c:v>
                </c:pt>
                <c:pt idx="11">
                  <c:v>2.7500407695770201</c:v>
                </c:pt>
                <c:pt idx="12">
                  <c:v>3.0001862049102699</c:v>
                </c:pt>
                <c:pt idx="13">
                  <c:v>3.2500722408294598</c:v>
                </c:pt>
                <c:pt idx="14">
                  <c:v>3.5003666877746502</c:v>
                </c:pt>
                <c:pt idx="15">
                  <c:v>3.7503695487975999</c:v>
                </c:pt>
                <c:pt idx="16">
                  <c:v>4.0003695487976003</c:v>
                </c:pt>
                <c:pt idx="17">
                  <c:v>4.2504582405090297</c:v>
                </c:pt>
                <c:pt idx="18">
                  <c:v>4.50040578842163</c:v>
                </c:pt>
                <c:pt idx="19">
                  <c:v>4.7500805854797301</c:v>
                </c:pt>
                <c:pt idx="20">
                  <c:v>5.0003890991210902</c:v>
                </c:pt>
                <c:pt idx="21">
                  <c:v>5.2502555847167898</c:v>
                </c:pt>
                <c:pt idx="22">
                  <c:v>5.5006971359252903</c:v>
                </c:pt>
                <c:pt idx="23">
                  <c:v>5.75034427642822</c:v>
                </c:pt>
                <c:pt idx="24">
                  <c:v>6.0005998611450204</c:v>
                </c:pt>
                <c:pt idx="25">
                  <c:v>6.2503333091735804</c:v>
                </c:pt>
                <c:pt idx="26">
                  <c:v>6.5005331039428702</c:v>
                </c:pt>
                <c:pt idx="27">
                  <c:v>6.7502918243408203</c:v>
                </c:pt>
                <c:pt idx="28">
                  <c:v>7.0000443458557102</c:v>
                </c:pt>
                <c:pt idx="29">
                  <c:v>7.2501416206359801</c:v>
                </c:pt>
                <c:pt idx="30">
                  <c:v>7.5001888275146396</c:v>
                </c:pt>
                <c:pt idx="31">
                  <c:v>7.7502360343933097</c:v>
                </c:pt>
                <c:pt idx="32">
                  <c:v>8.0006198883056605</c:v>
                </c:pt>
                <c:pt idx="33">
                  <c:v>8.2503108978271396</c:v>
                </c:pt>
                <c:pt idx="34">
                  <c:v>8.5007448196411097</c:v>
                </c:pt>
                <c:pt idx="35">
                  <c:v>8.7503976821899396</c:v>
                </c:pt>
                <c:pt idx="36">
                  <c:v>9.0000944137573207</c:v>
                </c:pt>
                <c:pt idx="37">
                  <c:v>9.2501468658447195</c:v>
                </c:pt>
                <c:pt idx="38">
                  <c:v>9.50018310546875</c:v>
                </c:pt>
                <c:pt idx="39">
                  <c:v>9.7504472732543892</c:v>
                </c:pt>
                <c:pt idx="40">
                  <c:v>10.000286102294901</c:v>
                </c:pt>
                <c:pt idx="41">
                  <c:v>10.250463485717701</c:v>
                </c:pt>
                <c:pt idx="42">
                  <c:v>10.500200271606399</c:v>
                </c:pt>
                <c:pt idx="43">
                  <c:v>10.7500553131103</c:v>
                </c:pt>
                <c:pt idx="44">
                  <c:v>11.0001468658447</c:v>
                </c:pt>
                <c:pt idx="45">
                  <c:v>11.250119209289499</c:v>
                </c:pt>
                <c:pt idx="46">
                  <c:v>11.5000915527343</c:v>
                </c:pt>
                <c:pt idx="47">
                  <c:v>11.750169754028301</c:v>
                </c:pt>
                <c:pt idx="48">
                  <c:v>12.0004024505615</c:v>
                </c:pt>
                <c:pt idx="49">
                  <c:v>12.2501773834228</c:v>
                </c:pt>
                <c:pt idx="50">
                  <c:v>12.500633239746</c:v>
                </c:pt>
                <c:pt idx="51">
                  <c:v>12.750241279601999</c:v>
                </c:pt>
                <c:pt idx="52">
                  <c:v>13.0001277923584</c:v>
                </c:pt>
                <c:pt idx="53">
                  <c:v>13.2504663467407</c:v>
                </c:pt>
                <c:pt idx="54">
                  <c:v>13.5004558563232</c:v>
                </c:pt>
                <c:pt idx="55">
                  <c:v>13.7500858306884</c:v>
                </c:pt>
                <c:pt idx="56">
                  <c:v>14.0002136230468</c:v>
                </c:pt>
                <c:pt idx="57">
                  <c:v>14.2505226135253</c:v>
                </c:pt>
                <c:pt idx="58">
                  <c:v>14.500308036804199</c:v>
                </c:pt>
                <c:pt idx="59">
                  <c:v>14.750316619873001</c:v>
                </c:pt>
                <c:pt idx="60">
                  <c:v>15.0002031326293</c:v>
                </c:pt>
                <c:pt idx="61">
                  <c:v>15.250586509704499</c:v>
                </c:pt>
                <c:pt idx="62">
                  <c:v>15.500903129577599</c:v>
                </c:pt>
                <c:pt idx="63">
                  <c:v>15.750452995300201</c:v>
                </c:pt>
                <c:pt idx="64">
                  <c:v>16.000207901000898</c:v>
                </c:pt>
                <c:pt idx="65">
                  <c:v>16.250480651855401</c:v>
                </c:pt>
                <c:pt idx="66">
                  <c:v>16.500310897827099</c:v>
                </c:pt>
                <c:pt idx="67">
                  <c:v>16.750164031982401</c:v>
                </c:pt>
                <c:pt idx="68">
                  <c:v>17.0000896453857</c:v>
                </c:pt>
                <c:pt idx="69">
                  <c:v>17.2500286102294</c:v>
                </c:pt>
                <c:pt idx="70">
                  <c:v>17.500370025634702</c:v>
                </c:pt>
                <c:pt idx="71">
                  <c:v>17.7502841949462</c:v>
                </c:pt>
                <c:pt idx="72">
                  <c:v>18.0002727508544</c:v>
                </c:pt>
                <c:pt idx="73">
                  <c:v>18.250467300415</c:v>
                </c:pt>
                <c:pt idx="74">
                  <c:v>18.500707626342699</c:v>
                </c:pt>
                <c:pt idx="75">
                  <c:v>18.7505283355712</c:v>
                </c:pt>
                <c:pt idx="76">
                  <c:v>19.000795364379801</c:v>
                </c:pt>
                <c:pt idx="77">
                  <c:v>19.250555038452099</c:v>
                </c:pt>
                <c:pt idx="78">
                  <c:v>19.500682830810501</c:v>
                </c:pt>
                <c:pt idx="79">
                  <c:v>19.750219345092699</c:v>
                </c:pt>
                <c:pt idx="80">
                  <c:v>20.0001525878906</c:v>
                </c:pt>
                <c:pt idx="81">
                  <c:v>20.2503356933593</c:v>
                </c:pt>
                <c:pt idx="82">
                  <c:v>20.500156402587798</c:v>
                </c:pt>
                <c:pt idx="83">
                  <c:v>20.750146865844702</c:v>
                </c:pt>
                <c:pt idx="84">
                  <c:v>21.0000190734863</c:v>
                </c:pt>
                <c:pt idx="85">
                  <c:v>21.2506504058837</c:v>
                </c:pt>
                <c:pt idx="86">
                  <c:v>21.500358581542901</c:v>
                </c:pt>
                <c:pt idx="87">
                  <c:v>21.7503852844238</c:v>
                </c:pt>
                <c:pt idx="88">
                  <c:v>22.0001201629638</c:v>
                </c:pt>
                <c:pt idx="89">
                  <c:v>22.2503337860107</c:v>
                </c:pt>
                <c:pt idx="90">
                  <c:v>22.500677108764599</c:v>
                </c:pt>
                <c:pt idx="91">
                  <c:v>22.750646591186499</c:v>
                </c:pt>
                <c:pt idx="92">
                  <c:v>23.000219345092699</c:v>
                </c:pt>
                <c:pt idx="93">
                  <c:v>23.2500896453857</c:v>
                </c:pt>
                <c:pt idx="94">
                  <c:v>23.500013351440401</c:v>
                </c:pt>
                <c:pt idx="95">
                  <c:v>23.750013351440401</c:v>
                </c:pt>
                <c:pt idx="96">
                  <c:v>24.000160217285099</c:v>
                </c:pt>
                <c:pt idx="97">
                  <c:v>24.250194549560501</c:v>
                </c:pt>
                <c:pt idx="98">
                  <c:v>24.5002727508544</c:v>
                </c:pt>
                <c:pt idx="99">
                  <c:v>24.7504272460937</c:v>
                </c:pt>
                <c:pt idx="100">
                  <c:v>25.000602722167901</c:v>
                </c:pt>
                <c:pt idx="101">
                  <c:v>25.2504062652587</c:v>
                </c:pt>
                <c:pt idx="102">
                  <c:v>25.500444412231399</c:v>
                </c:pt>
                <c:pt idx="103">
                  <c:v>25.750186920166001</c:v>
                </c:pt>
                <c:pt idx="104">
                  <c:v>26.000473022460898</c:v>
                </c:pt>
                <c:pt idx="105">
                  <c:v>26.2503643035888</c:v>
                </c:pt>
                <c:pt idx="106">
                  <c:v>26.500444412231399</c:v>
                </c:pt>
                <c:pt idx="107">
                  <c:v>26.7501506805419</c:v>
                </c:pt>
                <c:pt idx="108">
                  <c:v>27.0004863739013</c:v>
                </c:pt>
                <c:pt idx="109">
                  <c:v>27.2503356933593</c:v>
                </c:pt>
                <c:pt idx="110">
                  <c:v>27.500156402587798</c:v>
                </c:pt>
                <c:pt idx="111">
                  <c:v>27.750381469726499</c:v>
                </c:pt>
                <c:pt idx="112">
                  <c:v>28.000555038452099</c:v>
                </c:pt>
                <c:pt idx="113">
                  <c:v>28.250667572021399</c:v>
                </c:pt>
                <c:pt idx="114">
                  <c:v>28.500165939331001</c:v>
                </c:pt>
                <c:pt idx="115">
                  <c:v>28.7503337860107</c:v>
                </c:pt>
                <c:pt idx="116">
                  <c:v>29.0003337860107</c:v>
                </c:pt>
                <c:pt idx="117">
                  <c:v>29.2503337860107</c:v>
                </c:pt>
                <c:pt idx="118">
                  <c:v>29.500444412231399</c:v>
                </c:pt>
                <c:pt idx="119">
                  <c:v>29.750165939331001</c:v>
                </c:pt>
                <c:pt idx="120">
                  <c:v>30.00022315979</c:v>
                </c:pt>
                <c:pt idx="121">
                  <c:v>30.2504997253418</c:v>
                </c:pt>
                <c:pt idx="122">
                  <c:v>30.500055313110298</c:v>
                </c:pt>
                <c:pt idx="123">
                  <c:v>30.750055313110298</c:v>
                </c:pt>
                <c:pt idx="124">
                  <c:v>31.0001106262207</c:v>
                </c:pt>
                <c:pt idx="125">
                  <c:v>31.25022315979</c:v>
                </c:pt>
                <c:pt idx="126">
                  <c:v>31.500055313110298</c:v>
                </c:pt>
                <c:pt idx="127">
                  <c:v>31.7501106262207</c:v>
                </c:pt>
                <c:pt idx="128">
                  <c:v>32.0003051757812</c:v>
                </c:pt>
                <c:pt idx="129">
                  <c:v>32.250110626220703</c:v>
                </c:pt>
                <c:pt idx="130">
                  <c:v>32.500251770019503</c:v>
                </c:pt>
                <c:pt idx="131">
                  <c:v>32.750499725341797</c:v>
                </c:pt>
                <c:pt idx="132">
                  <c:v>33.000221252441399</c:v>
                </c:pt>
                <c:pt idx="133">
                  <c:v>33.250362396240199</c:v>
                </c:pt>
                <c:pt idx="134">
                  <c:v>33.50044631958</c:v>
                </c:pt>
                <c:pt idx="135">
                  <c:v>33.750221252441399</c:v>
                </c:pt>
                <c:pt idx="136">
                  <c:v>34.000331878662102</c:v>
                </c:pt>
                <c:pt idx="137">
                  <c:v>34.250221252441399</c:v>
                </c:pt>
                <c:pt idx="138">
                  <c:v>34.500110626220703</c:v>
                </c:pt>
                <c:pt idx="139">
                  <c:v>34.750083923339801</c:v>
                </c:pt>
                <c:pt idx="140">
                  <c:v>35.000194549560497</c:v>
                </c:pt>
                <c:pt idx="141">
                  <c:v>35.2506103515625</c:v>
                </c:pt>
                <c:pt idx="142">
                  <c:v>35.500194549560497</c:v>
                </c:pt>
                <c:pt idx="143">
                  <c:v>35.750057220458899</c:v>
                </c:pt>
                <c:pt idx="144">
                  <c:v>36.000278472900298</c:v>
                </c:pt>
                <c:pt idx="145">
                  <c:v>36.25</c:v>
                </c:pt>
                <c:pt idx="146">
                  <c:v>36.500389099121001</c:v>
                </c:pt>
                <c:pt idx="147">
                  <c:v>36.750251770019503</c:v>
                </c:pt>
                <c:pt idx="148">
                  <c:v>37.000221252441399</c:v>
                </c:pt>
                <c:pt idx="149">
                  <c:v>37.250137329101499</c:v>
                </c:pt>
                <c:pt idx="150">
                  <c:v>37.500083923339801</c:v>
                </c:pt>
                <c:pt idx="151">
                  <c:v>37.750110626220703</c:v>
                </c:pt>
                <c:pt idx="152">
                  <c:v>38.000362396240199</c:v>
                </c:pt>
                <c:pt idx="153">
                  <c:v>38.250057220458899</c:v>
                </c:pt>
                <c:pt idx="154">
                  <c:v>38.500137329101499</c:v>
                </c:pt>
                <c:pt idx="155">
                  <c:v>38.750221252441399</c:v>
                </c:pt>
                <c:pt idx="156">
                  <c:v>39.000221252441399</c:v>
                </c:pt>
                <c:pt idx="157">
                  <c:v>39.25044631958</c:v>
                </c:pt>
                <c:pt idx="158">
                  <c:v>39.500667572021399</c:v>
                </c:pt>
                <c:pt idx="159">
                  <c:v>39.750331878662102</c:v>
                </c:pt>
                <c:pt idx="160">
                  <c:v>40.000083923339801</c:v>
                </c:pt>
                <c:pt idx="161">
                  <c:v>40.2503051757812</c:v>
                </c:pt>
                <c:pt idx="162">
                  <c:v>40.500389099121001</c:v>
                </c:pt>
                <c:pt idx="163">
                  <c:v>40.750110626220703</c:v>
                </c:pt>
                <c:pt idx="164">
                  <c:v>41.0003051757812</c:v>
                </c:pt>
                <c:pt idx="165">
                  <c:v>41.250221252441399</c:v>
                </c:pt>
                <c:pt idx="166">
                  <c:v>41.500362396240199</c:v>
                </c:pt>
                <c:pt idx="167">
                  <c:v>41.7507514953613</c:v>
                </c:pt>
                <c:pt idx="168">
                  <c:v>42.000667572021399</c:v>
                </c:pt>
                <c:pt idx="169">
                  <c:v>42.250804901122997</c:v>
                </c:pt>
                <c:pt idx="170">
                  <c:v>42.500637054443303</c:v>
                </c:pt>
                <c:pt idx="171">
                  <c:v>42.750667572021399</c:v>
                </c:pt>
                <c:pt idx="172">
                  <c:v>43.000278472900298</c:v>
                </c:pt>
                <c:pt idx="173">
                  <c:v>43.250499725341797</c:v>
                </c:pt>
                <c:pt idx="174">
                  <c:v>43.500415802001903</c:v>
                </c:pt>
                <c:pt idx="175">
                  <c:v>43.750194549560497</c:v>
                </c:pt>
                <c:pt idx="176">
                  <c:v>44.0003051757812</c:v>
                </c:pt>
                <c:pt idx="177">
                  <c:v>44.250110626220703</c:v>
                </c:pt>
                <c:pt idx="178">
                  <c:v>44.50044631958</c:v>
                </c:pt>
                <c:pt idx="179">
                  <c:v>44.75044631958</c:v>
                </c:pt>
                <c:pt idx="180">
                  <c:v>45.000499725341797</c:v>
                </c:pt>
                <c:pt idx="181">
                  <c:v>45.250415802001903</c:v>
                </c:pt>
                <c:pt idx="182">
                  <c:v>45.500026702880803</c:v>
                </c:pt>
                <c:pt idx="183">
                  <c:v>45.75</c:v>
                </c:pt>
                <c:pt idx="184">
                  <c:v>46.000057220458899</c:v>
                </c:pt>
                <c:pt idx="185">
                  <c:v>46.250221252441399</c:v>
                </c:pt>
                <c:pt idx="186">
                  <c:v>46.50044631958</c:v>
                </c:pt>
                <c:pt idx="187">
                  <c:v>46.750110626220703</c:v>
                </c:pt>
                <c:pt idx="188">
                  <c:v>47.000251770019503</c:v>
                </c:pt>
                <c:pt idx="189">
                  <c:v>47.250389099121001</c:v>
                </c:pt>
                <c:pt idx="190">
                  <c:v>47.500110626220703</c:v>
                </c:pt>
                <c:pt idx="191">
                  <c:v>47.750057220458899</c:v>
                </c:pt>
                <c:pt idx="192">
                  <c:v>48.000221252441399</c:v>
                </c:pt>
                <c:pt idx="193">
                  <c:v>48.250194549560497</c:v>
                </c:pt>
                <c:pt idx="194">
                  <c:v>48.500526428222599</c:v>
                </c:pt>
                <c:pt idx="195">
                  <c:v>48.750278472900298</c:v>
                </c:pt>
                <c:pt idx="196">
                  <c:v>49.000221252441399</c:v>
                </c:pt>
                <c:pt idx="197">
                  <c:v>49.250194549560497</c:v>
                </c:pt>
                <c:pt idx="198">
                  <c:v>49.500526428222599</c:v>
                </c:pt>
                <c:pt idx="199">
                  <c:v>49.750110626220703</c:v>
                </c:pt>
                <c:pt idx="200">
                  <c:v>50.000362396240199</c:v>
                </c:pt>
                <c:pt idx="201">
                  <c:v>50.250026702880803</c:v>
                </c:pt>
                <c:pt idx="202">
                  <c:v>50.5</c:v>
                </c:pt>
                <c:pt idx="203">
                  <c:v>50.750137329101499</c:v>
                </c:pt>
                <c:pt idx="204">
                  <c:v>51.000362396240199</c:v>
                </c:pt>
                <c:pt idx="205">
                  <c:v>51.250331878662102</c:v>
                </c:pt>
                <c:pt idx="206">
                  <c:v>51.500221252441399</c:v>
                </c:pt>
                <c:pt idx="207">
                  <c:v>51.750083923339801</c:v>
                </c:pt>
                <c:pt idx="208">
                  <c:v>52.000083923339801</c:v>
                </c:pt>
                <c:pt idx="209">
                  <c:v>52.250167846679602</c:v>
                </c:pt>
                <c:pt idx="210">
                  <c:v>52.500556945800703</c:v>
                </c:pt>
                <c:pt idx="211">
                  <c:v>52.750362396240199</c:v>
                </c:pt>
                <c:pt idx="212">
                  <c:v>53.000167846679602</c:v>
                </c:pt>
                <c:pt idx="213">
                  <c:v>53.250251770019503</c:v>
                </c:pt>
                <c:pt idx="214">
                  <c:v>53.500331878662102</c:v>
                </c:pt>
                <c:pt idx="215">
                  <c:v>53.750194549560497</c:v>
                </c:pt>
                <c:pt idx="216">
                  <c:v>54.00044631958</c:v>
                </c:pt>
                <c:pt idx="217">
                  <c:v>54.250331878662102</c:v>
                </c:pt>
                <c:pt idx="218">
                  <c:v>54.500556945800703</c:v>
                </c:pt>
                <c:pt idx="219">
                  <c:v>54.750331878662102</c:v>
                </c:pt>
                <c:pt idx="220">
                  <c:v>55.000499725341797</c:v>
                </c:pt>
                <c:pt idx="221">
                  <c:v>55.250389099121001</c:v>
                </c:pt>
                <c:pt idx="222">
                  <c:v>55.500221252441399</c:v>
                </c:pt>
                <c:pt idx="223">
                  <c:v>55.750278472900298</c:v>
                </c:pt>
                <c:pt idx="224">
                  <c:v>56.0003051757812</c:v>
                </c:pt>
                <c:pt idx="225">
                  <c:v>56.2506103515625</c:v>
                </c:pt>
                <c:pt idx="226">
                  <c:v>56.500167846679602</c:v>
                </c:pt>
                <c:pt idx="227">
                  <c:v>56.750083923339801</c:v>
                </c:pt>
                <c:pt idx="228">
                  <c:v>57.000137329101499</c:v>
                </c:pt>
                <c:pt idx="229">
                  <c:v>57.250057220458899</c:v>
                </c:pt>
                <c:pt idx="230">
                  <c:v>57.500137329101499</c:v>
                </c:pt>
                <c:pt idx="231">
                  <c:v>57.750251770019503</c:v>
                </c:pt>
                <c:pt idx="232">
                  <c:v>58.000167846679602</c:v>
                </c:pt>
                <c:pt idx="233">
                  <c:v>58.250251770019503</c:v>
                </c:pt>
                <c:pt idx="234">
                  <c:v>58.500278472900298</c:v>
                </c:pt>
                <c:pt idx="235">
                  <c:v>58.750637054443303</c:v>
                </c:pt>
                <c:pt idx="236">
                  <c:v>59.000667572021399</c:v>
                </c:pt>
                <c:pt idx="237">
                  <c:v>59.250026702880803</c:v>
                </c:pt>
                <c:pt idx="238">
                  <c:v>59.500137329101499</c:v>
                </c:pt>
                <c:pt idx="239">
                  <c:v>59.750499725341797</c:v>
                </c:pt>
                <c:pt idx="240">
                  <c:v>60.000251770019503</c:v>
                </c:pt>
                <c:pt idx="241">
                  <c:v>60.250221252441399</c:v>
                </c:pt>
                <c:pt idx="242">
                  <c:v>60.500389099121001</c:v>
                </c:pt>
                <c:pt idx="243">
                  <c:v>60.750251770019503</c:v>
                </c:pt>
                <c:pt idx="244">
                  <c:v>61.000251770019503</c:v>
                </c:pt>
                <c:pt idx="245">
                  <c:v>61.250389099121001</c:v>
                </c:pt>
                <c:pt idx="246">
                  <c:v>61.500137329101499</c:v>
                </c:pt>
                <c:pt idx="247">
                  <c:v>61.750057220458899</c:v>
                </c:pt>
                <c:pt idx="248">
                  <c:v>62.000831604003899</c:v>
                </c:pt>
                <c:pt idx="249">
                  <c:v>62.2506103515625</c:v>
                </c:pt>
                <c:pt idx="250">
                  <c:v>62.500278472900298</c:v>
                </c:pt>
                <c:pt idx="251">
                  <c:v>62.750526428222599</c:v>
                </c:pt>
                <c:pt idx="252">
                  <c:v>63.000110626220703</c:v>
                </c:pt>
                <c:pt idx="253">
                  <c:v>63.250194549560497</c:v>
                </c:pt>
                <c:pt idx="254">
                  <c:v>63.500167846679602</c:v>
                </c:pt>
                <c:pt idx="255">
                  <c:v>63.750026702880803</c:v>
                </c:pt>
                <c:pt idx="256">
                  <c:v>64.000305175781193</c:v>
                </c:pt>
                <c:pt idx="257">
                  <c:v>64.250114440917898</c:v>
                </c:pt>
                <c:pt idx="258">
                  <c:v>64.500389099120994</c:v>
                </c:pt>
                <c:pt idx="259">
                  <c:v>64.7506103515625</c:v>
                </c:pt>
                <c:pt idx="260">
                  <c:v>65.000114440917898</c:v>
                </c:pt>
                <c:pt idx="261">
                  <c:v>65.250305175781193</c:v>
                </c:pt>
                <c:pt idx="262">
                  <c:v>65.500114440917898</c:v>
                </c:pt>
                <c:pt idx="263">
                  <c:v>65.750358581542898</c:v>
                </c:pt>
                <c:pt idx="264">
                  <c:v>66.000190734863196</c:v>
                </c:pt>
                <c:pt idx="265">
                  <c:v>66.250083923339801</c:v>
                </c:pt>
                <c:pt idx="266">
                  <c:v>66.500167846679602</c:v>
                </c:pt>
                <c:pt idx="267">
                  <c:v>66.750473022460895</c:v>
                </c:pt>
                <c:pt idx="268">
                  <c:v>67.000114440917898</c:v>
                </c:pt>
                <c:pt idx="269">
                  <c:v>67.250030517578097</c:v>
                </c:pt>
                <c:pt idx="270">
                  <c:v>67.500030517578097</c:v>
                </c:pt>
                <c:pt idx="271">
                  <c:v>67.750274658203097</c:v>
                </c:pt>
                <c:pt idx="272">
                  <c:v>68.000663757324205</c:v>
                </c:pt>
                <c:pt idx="273">
                  <c:v>68.250724792480398</c:v>
                </c:pt>
                <c:pt idx="274">
                  <c:v>68.500473022460895</c:v>
                </c:pt>
                <c:pt idx="275">
                  <c:v>68.750778198242102</c:v>
                </c:pt>
                <c:pt idx="276">
                  <c:v>69.000305175781193</c:v>
                </c:pt>
                <c:pt idx="277">
                  <c:v>69.250389099120994</c:v>
                </c:pt>
                <c:pt idx="278">
                  <c:v>69.500556945800696</c:v>
                </c:pt>
                <c:pt idx="279">
                  <c:v>69.750526428222599</c:v>
                </c:pt>
                <c:pt idx="280">
                  <c:v>70.000083923339801</c:v>
                </c:pt>
                <c:pt idx="281">
                  <c:v>70.250221252441406</c:v>
                </c:pt>
                <c:pt idx="282">
                  <c:v>70.500190734863196</c:v>
                </c:pt>
                <c:pt idx="283">
                  <c:v>70.750274658203097</c:v>
                </c:pt>
                <c:pt idx="284">
                  <c:v>71.000473022460895</c:v>
                </c:pt>
                <c:pt idx="285">
                  <c:v>71.250221252441406</c:v>
                </c:pt>
                <c:pt idx="286">
                  <c:v>71.500274658203097</c:v>
                </c:pt>
                <c:pt idx="287">
                  <c:v>71.750305175781193</c:v>
                </c:pt>
                <c:pt idx="288">
                  <c:v>72.000030517578097</c:v>
                </c:pt>
              </c:numCache>
            </c:numRef>
          </c:xVal>
          <c:yVal>
            <c:numRef>
              <c:f>'SIM4'!$E$11:$E$299</c:f>
              <c:numCache>
                <c:formatCode>General</c:formatCode>
                <c:ptCount val="289"/>
                <c:pt idx="0">
                  <c:v>68.364505469798999</c:v>
                </c:pt>
                <c:pt idx="1">
                  <c:v>47.710620984434762</c:v>
                </c:pt>
                <c:pt idx="2">
                  <c:v>33.244559168815584</c:v>
                </c:pt>
                <c:pt idx="3">
                  <c:v>18.107981979846947</c:v>
                </c:pt>
                <c:pt idx="4">
                  <c:v>-4.0957453195005602</c:v>
                </c:pt>
                <c:pt idx="5">
                  <c:v>-5.9376345947384754</c:v>
                </c:pt>
                <c:pt idx="6">
                  <c:v>-0.42975539399776319</c:v>
                </c:pt>
                <c:pt idx="7">
                  <c:v>-0.99574233172461346</c:v>
                </c:pt>
                <c:pt idx="8">
                  <c:v>-2.8001386206597059</c:v>
                </c:pt>
                <c:pt idx="9">
                  <c:v>24.26324430853127</c:v>
                </c:pt>
                <c:pt idx="10">
                  <c:v>19.765131175518011</c:v>
                </c:pt>
                <c:pt idx="11">
                  <c:v>110.15913560986513</c:v>
                </c:pt>
                <c:pt idx="12">
                  <c:v>52.675021067261405</c:v>
                </c:pt>
                <c:pt idx="13">
                  <c:v>33.574340119957917</c:v>
                </c:pt>
                <c:pt idx="14">
                  <c:v>52.085448056459157</c:v>
                </c:pt>
                <c:pt idx="15">
                  <c:v>26.53406616300343</c:v>
                </c:pt>
                <c:pt idx="16">
                  <c:v>16.122912615537626</c:v>
                </c:pt>
                <c:pt idx="17">
                  <c:v>-0.83366676117293403</c:v>
                </c:pt>
                <c:pt idx="18">
                  <c:v>-3.2607543747872088</c:v>
                </c:pt>
                <c:pt idx="19">
                  <c:v>0.26781228370964522</c:v>
                </c:pt>
                <c:pt idx="20">
                  <c:v>-6.4819222781807158</c:v>
                </c:pt>
                <c:pt idx="21">
                  <c:v>-2.1623749053105707</c:v>
                </c:pt>
                <c:pt idx="22">
                  <c:v>41.334262490272323</c:v>
                </c:pt>
                <c:pt idx="23">
                  <c:v>2.5579835521057226</c:v>
                </c:pt>
                <c:pt idx="24">
                  <c:v>107.53894597291921</c:v>
                </c:pt>
                <c:pt idx="25">
                  <c:v>68.268422037362768</c:v>
                </c:pt>
                <c:pt idx="26">
                  <c:v>34.84299145638942</c:v>
                </c:pt>
                <c:pt idx="27">
                  <c:v>48.339793458580679</c:v>
                </c:pt>
                <c:pt idx="28">
                  <c:v>33.858134597539873</c:v>
                </c:pt>
                <c:pt idx="29">
                  <c:v>19.690253958106005</c:v>
                </c:pt>
                <c:pt idx="30">
                  <c:v>-3.722003800794468</c:v>
                </c:pt>
                <c:pt idx="31">
                  <c:v>-5.0277169793844001</c:v>
                </c:pt>
                <c:pt idx="32">
                  <c:v>-1.7814467428252092</c:v>
                </c:pt>
                <c:pt idx="33">
                  <c:v>-1.4893099665641785</c:v>
                </c:pt>
                <c:pt idx="34">
                  <c:v>-2.1497972309589382</c:v>
                </c:pt>
                <c:pt idx="35">
                  <c:v>-11.524323932826515</c:v>
                </c:pt>
                <c:pt idx="36">
                  <c:v>6.4470313489437006</c:v>
                </c:pt>
                <c:pt idx="37">
                  <c:v>104.56768870353683</c:v>
                </c:pt>
                <c:pt idx="38">
                  <c:v>93.06709393858884</c:v>
                </c:pt>
                <c:pt idx="39">
                  <c:v>39.043367654084996</c:v>
                </c:pt>
                <c:pt idx="40">
                  <c:v>42.775128409266358</c:v>
                </c:pt>
                <c:pt idx="41">
                  <c:v>47.161800786852716</c:v>
                </c:pt>
                <c:pt idx="42">
                  <c:v>20.954519882798184</c:v>
                </c:pt>
                <c:pt idx="43">
                  <c:v>-6.3234070781618161</c:v>
                </c:pt>
                <c:pt idx="44">
                  <c:v>-3.5635602660477153</c:v>
                </c:pt>
                <c:pt idx="45">
                  <c:v>-2.6487168157473189</c:v>
                </c:pt>
                <c:pt idx="46">
                  <c:v>-3.3553508576005693</c:v>
                </c:pt>
                <c:pt idx="47">
                  <c:v>-2.6415119413286425</c:v>
                </c:pt>
                <c:pt idx="48">
                  <c:v>-2.7178945485502464</c:v>
                </c:pt>
                <c:pt idx="49">
                  <c:v>299.33801293373097</c:v>
                </c:pt>
                <c:pt idx="50">
                  <c:v>100.0199161469934</c:v>
                </c:pt>
                <c:pt idx="51">
                  <c:v>130.14928400516496</c:v>
                </c:pt>
                <c:pt idx="52">
                  <c:v>42.535727843641922</c:v>
                </c:pt>
                <c:pt idx="53">
                  <c:v>41.963579133152763</c:v>
                </c:pt>
                <c:pt idx="54">
                  <c:v>57.600324600934684</c:v>
                </c:pt>
                <c:pt idx="55">
                  <c:v>20.862722955644099</c:v>
                </c:pt>
                <c:pt idx="56">
                  <c:v>-1.1474304716102759</c:v>
                </c:pt>
                <c:pt idx="57">
                  <c:v>-3.0948486411944014</c:v>
                </c:pt>
                <c:pt idx="58">
                  <c:v>-7.1526995860039921</c:v>
                </c:pt>
                <c:pt idx="59">
                  <c:v>-3.1969004077836862</c:v>
                </c:pt>
                <c:pt idx="60">
                  <c:v>-3.4724588273093087</c:v>
                </c:pt>
                <c:pt idx="61">
                  <c:v>-1.4643201604485492</c:v>
                </c:pt>
                <c:pt idx="62">
                  <c:v>54.272484406828802</c:v>
                </c:pt>
                <c:pt idx="63">
                  <c:v>18.871513009071336</c:v>
                </c:pt>
                <c:pt idx="64">
                  <c:v>113.38624209165553</c:v>
                </c:pt>
                <c:pt idx="65">
                  <c:v>53.169982507824841</c:v>
                </c:pt>
                <c:pt idx="66">
                  <c:v>34.777897596359246</c:v>
                </c:pt>
                <c:pt idx="67">
                  <c:v>49.917418509721678</c:v>
                </c:pt>
                <c:pt idx="68">
                  <c:v>27.309251390397517</c:v>
                </c:pt>
                <c:pt idx="69">
                  <c:v>12.260012794286004</c:v>
                </c:pt>
                <c:pt idx="70">
                  <c:v>1.4488682267256048</c:v>
                </c:pt>
                <c:pt idx="71">
                  <c:v>-3.9929613936692396</c:v>
                </c:pt>
                <c:pt idx="72">
                  <c:v>-1.9337723264470681</c:v>
                </c:pt>
                <c:pt idx="73">
                  <c:v>-3.1539462972432371</c:v>
                </c:pt>
                <c:pt idx="74">
                  <c:v>-2.1011111559346318</c:v>
                </c:pt>
                <c:pt idx="75">
                  <c:v>-1.0296137072145923</c:v>
                </c:pt>
                <c:pt idx="76">
                  <c:v>221.72680646181109</c:v>
                </c:pt>
                <c:pt idx="77">
                  <c:v>109.44532603025424</c:v>
                </c:pt>
                <c:pt idx="78">
                  <c:v>113.68184834718684</c:v>
                </c:pt>
                <c:pt idx="79">
                  <c:v>41.249772906303235</c:v>
                </c:pt>
                <c:pt idx="80">
                  <c:v>43.835221230983642</c:v>
                </c:pt>
                <c:pt idx="81">
                  <c:v>50.516748055815476</c:v>
                </c:pt>
                <c:pt idx="82">
                  <c:v>21.652293205261223</c:v>
                </c:pt>
                <c:pt idx="83">
                  <c:v>-2.1569107426330429</c:v>
                </c:pt>
                <c:pt idx="84">
                  <c:v>-7.7900687232613564</c:v>
                </c:pt>
                <c:pt idx="85">
                  <c:v>-2.4054976645857074</c:v>
                </c:pt>
                <c:pt idx="86">
                  <c:v>-4.7144270036369527</c:v>
                </c:pt>
                <c:pt idx="87">
                  <c:v>-0.19819727749563731</c:v>
                </c:pt>
                <c:pt idx="88">
                  <c:v>-4.5133451465516998</c:v>
                </c:pt>
                <c:pt idx="89">
                  <c:v>256.60323500633211</c:v>
                </c:pt>
                <c:pt idx="90">
                  <c:v>91.741029918193803</c:v>
                </c:pt>
                <c:pt idx="91">
                  <c:v>127.36908048391307</c:v>
                </c:pt>
                <c:pt idx="92">
                  <c:v>43.3371584862468</c:v>
                </c:pt>
                <c:pt idx="93">
                  <c:v>41.39762297272668</c:v>
                </c:pt>
                <c:pt idx="94">
                  <c:v>57.300011068582435</c:v>
                </c:pt>
                <c:pt idx="95">
                  <c:v>21.073643490672108</c:v>
                </c:pt>
                <c:pt idx="96">
                  <c:v>-12.157073803245996</c:v>
                </c:pt>
                <c:pt idx="97">
                  <c:v>2.5311895413324228</c:v>
                </c:pt>
                <c:pt idx="98">
                  <c:v>-2.1785936783999187</c:v>
                </c:pt>
                <c:pt idx="99">
                  <c:v>-1.9804693758487666</c:v>
                </c:pt>
                <c:pt idx="100">
                  <c:v>-2.4005800019949657</c:v>
                </c:pt>
                <c:pt idx="101">
                  <c:v>-0.99793912377208316</c:v>
                </c:pt>
                <c:pt idx="102">
                  <c:v>95.981253683567033</c:v>
                </c:pt>
                <c:pt idx="103">
                  <c:v>7.0821650326251948</c:v>
                </c:pt>
                <c:pt idx="104">
                  <c:v>111.1736878752708</c:v>
                </c:pt>
                <c:pt idx="105">
                  <c:v>51.41278691589816</c:v>
                </c:pt>
                <c:pt idx="106">
                  <c:v>35.647566989064188</c:v>
                </c:pt>
                <c:pt idx="107">
                  <c:v>49.38497990369784</c:v>
                </c:pt>
                <c:pt idx="108">
                  <c:v>26.741808280348774</c:v>
                </c:pt>
                <c:pt idx="109">
                  <c:v>10.806166660040605</c:v>
                </c:pt>
                <c:pt idx="110">
                  <c:v>-1.804773160256443</c:v>
                </c:pt>
                <c:pt idx="111">
                  <c:v>-5.6644633412360994</c:v>
                </c:pt>
                <c:pt idx="112">
                  <c:v>-4.9636872019618563</c:v>
                </c:pt>
                <c:pt idx="113">
                  <c:v>-3.4306262154132119</c:v>
                </c:pt>
                <c:pt idx="114">
                  <c:v>-1.9768276484683129</c:v>
                </c:pt>
                <c:pt idx="115">
                  <c:v>51.006958633661036</c:v>
                </c:pt>
                <c:pt idx="116">
                  <c:v>47.037815675139242</c:v>
                </c:pt>
                <c:pt idx="117">
                  <c:v>103.31589505076388</c:v>
                </c:pt>
                <c:pt idx="118">
                  <c:v>75.464205443858873</c:v>
                </c:pt>
                <c:pt idx="119">
                  <c:v>36.262510344385923</c:v>
                </c:pt>
                <c:pt idx="120">
                  <c:v>43.873234838247242</c:v>
                </c:pt>
                <c:pt idx="121">
                  <c:v>40.038551017641723</c:v>
                </c:pt>
                <c:pt idx="122">
                  <c:v>19.533455371856665</c:v>
                </c:pt>
                <c:pt idx="123">
                  <c:v>-3.4126537386327946</c:v>
                </c:pt>
                <c:pt idx="124">
                  <c:v>-3.5250667948275805</c:v>
                </c:pt>
                <c:pt idx="125">
                  <c:v>-4.4692668132483959</c:v>
                </c:pt>
                <c:pt idx="126">
                  <c:v>-3.8924602791666838</c:v>
                </c:pt>
                <c:pt idx="127">
                  <c:v>-2.9425748158246248</c:v>
                </c:pt>
                <c:pt idx="128">
                  <c:v>-0.12518207367975254</c:v>
                </c:pt>
                <c:pt idx="129">
                  <c:v>237.58412003517131</c:v>
                </c:pt>
                <c:pt idx="130">
                  <c:v>93.736010044812957</c:v>
                </c:pt>
                <c:pt idx="131">
                  <c:v>130.9351712465286</c:v>
                </c:pt>
                <c:pt idx="132">
                  <c:v>45.151019096374441</c:v>
                </c:pt>
                <c:pt idx="133">
                  <c:v>42.657047510146917</c:v>
                </c:pt>
                <c:pt idx="134">
                  <c:v>56.471617519855201</c:v>
                </c:pt>
                <c:pt idx="135">
                  <c:v>21.856776438653458</c:v>
                </c:pt>
                <c:pt idx="136">
                  <c:v>-11.215533781796687</c:v>
                </c:pt>
                <c:pt idx="137">
                  <c:v>-2.5257107103243444</c:v>
                </c:pt>
                <c:pt idx="138">
                  <c:v>-3.6302651278674478</c:v>
                </c:pt>
                <c:pt idx="139">
                  <c:v>-8.020353969186516</c:v>
                </c:pt>
                <c:pt idx="140">
                  <c:v>-3.1429735478013741</c:v>
                </c:pt>
                <c:pt idx="141">
                  <c:v>-2.7854223037138546</c:v>
                </c:pt>
                <c:pt idx="142">
                  <c:v>63.941435515880286</c:v>
                </c:pt>
                <c:pt idx="143">
                  <c:v>6.1063597910106004</c:v>
                </c:pt>
                <c:pt idx="144">
                  <c:v>110.57486459612831</c:v>
                </c:pt>
                <c:pt idx="145">
                  <c:v>51.870492473244482</c:v>
                </c:pt>
                <c:pt idx="146">
                  <c:v>35.161916166543961</c:v>
                </c:pt>
                <c:pt idx="147">
                  <c:v>48.578003793954721</c:v>
                </c:pt>
                <c:pt idx="148">
                  <c:v>27.605105750262709</c:v>
                </c:pt>
                <c:pt idx="149">
                  <c:v>12.119900062680216</c:v>
                </c:pt>
                <c:pt idx="150">
                  <c:v>0.39068171172402483</c:v>
                </c:pt>
                <c:pt idx="151">
                  <c:v>-4.5729429926722922</c:v>
                </c:pt>
                <c:pt idx="152">
                  <c:v>-2.1110799629241215</c:v>
                </c:pt>
                <c:pt idx="153">
                  <c:v>-4.4541504699736674</c:v>
                </c:pt>
                <c:pt idx="154">
                  <c:v>-2.1062224404886356</c:v>
                </c:pt>
                <c:pt idx="155">
                  <c:v>216.22791588306407</c:v>
                </c:pt>
                <c:pt idx="156">
                  <c:v>142.82797873020158</c:v>
                </c:pt>
                <c:pt idx="157">
                  <c:v>108.31348747014984</c:v>
                </c:pt>
                <c:pt idx="158">
                  <c:v>105.09702935814828</c:v>
                </c:pt>
                <c:pt idx="159">
                  <c:v>39.897215366363284</c:v>
                </c:pt>
                <c:pt idx="160">
                  <c:v>43.180165439844117</c:v>
                </c:pt>
                <c:pt idx="161">
                  <c:v>49.42522644996636</c:v>
                </c:pt>
                <c:pt idx="162">
                  <c:v>21.178730763494965</c:v>
                </c:pt>
                <c:pt idx="163">
                  <c:v>-0.53502913797274076</c:v>
                </c:pt>
                <c:pt idx="164">
                  <c:v>-4.3772687204181846</c:v>
                </c:pt>
                <c:pt idx="165">
                  <c:v>-3.8230090867728004</c:v>
                </c:pt>
                <c:pt idx="166">
                  <c:v>-5.2663426380604443</c:v>
                </c:pt>
                <c:pt idx="167">
                  <c:v>-3.4153818385675536</c:v>
                </c:pt>
                <c:pt idx="168">
                  <c:v>-1.5006639878265529</c:v>
                </c:pt>
                <c:pt idx="169">
                  <c:v>171.61934673786155</c:v>
                </c:pt>
                <c:pt idx="170">
                  <c:v>75.009852647781116</c:v>
                </c:pt>
                <c:pt idx="171">
                  <c:v>123.70475381612761</c:v>
                </c:pt>
                <c:pt idx="172">
                  <c:v>46.489464864134639</c:v>
                </c:pt>
                <c:pt idx="173">
                  <c:v>40.669054538011558</c:v>
                </c:pt>
                <c:pt idx="174">
                  <c:v>54.580787569284119</c:v>
                </c:pt>
                <c:pt idx="175">
                  <c:v>22.812447510659663</c:v>
                </c:pt>
                <c:pt idx="176">
                  <c:v>0.35100935201626271</c:v>
                </c:pt>
                <c:pt idx="177">
                  <c:v>-3.0927326297387472</c:v>
                </c:pt>
                <c:pt idx="178">
                  <c:v>-2.3684316314756866</c:v>
                </c:pt>
                <c:pt idx="179">
                  <c:v>-4.7614214010536635</c:v>
                </c:pt>
                <c:pt idx="180">
                  <c:v>-1.2525674072094253</c:v>
                </c:pt>
                <c:pt idx="181">
                  <c:v>-1.3260365696623897</c:v>
                </c:pt>
                <c:pt idx="182">
                  <c:v>25.25446135550736</c:v>
                </c:pt>
                <c:pt idx="183">
                  <c:v>22.234989702701554</c:v>
                </c:pt>
                <c:pt idx="184">
                  <c:v>105.50019890069927</c:v>
                </c:pt>
                <c:pt idx="185">
                  <c:v>60.234770178794527</c:v>
                </c:pt>
                <c:pt idx="186">
                  <c:v>33.63122642040252</c:v>
                </c:pt>
                <c:pt idx="187">
                  <c:v>45.915911346673802</c:v>
                </c:pt>
                <c:pt idx="188">
                  <c:v>32.88317173719404</c:v>
                </c:pt>
                <c:pt idx="189">
                  <c:v>17.055907286703587</c:v>
                </c:pt>
                <c:pt idx="190">
                  <c:v>-6.7832102067768361</c:v>
                </c:pt>
                <c:pt idx="191">
                  <c:v>2.5047104805707905</c:v>
                </c:pt>
                <c:pt idx="192">
                  <c:v>0.61209177947602922</c:v>
                </c:pt>
                <c:pt idx="193">
                  <c:v>-2.9533128719776851</c:v>
                </c:pt>
                <c:pt idx="194">
                  <c:v>-2.2664102492853972</c:v>
                </c:pt>
                <c:pt idx="195">
                  <c:v>16.543799825012673</c:v>
                </c:pt>
                <c:pt idx="196">
                  <c:v>306.06075525283813</c:v>
                </c:pt>
                <c:pt idx="197">
                  <c:v>106.75000771880148</c:v>
                </c:pt>
                <c:pt idx="198">
                  <c:v>126.81244164705264</c:v>
                </c:pt>
                <c:pt idx="199">
                  <c:v>41.705460101365915</c:v>
                </c:pt>
                <c:pt idx="200">
                  <c:v>42.739488556980838</c:v>
                </c:pt>
                <c:pt idx="201">
                  <c:v>54.633060470223356</c:v>
                </c:pt>
                <c:pt idx="202">
                  <c:v>21.190215647220587</c:v>
                </c:pt>
                <c:pt idx="203">
                  <c:v>-2.4185179034247994</c:v>
                </c:pt>
                <c:pt idx="204">
                  <c:v>-1.4734645024873283</c:v>
                </c:pt>
                <c:pt idx="205">
                  <c:v>-7.6609832234680431</c:v>
                </c:pt>
                <c:pt idx="206">
                  <c:v>-2.8854414587840438</c:v>
                </c:pt>
                <c:pt idx="207">
                  <c:v>-3.9738276042044038</c:v>
                </c:pt>
                <c:pt idx="208">
                  <c:v>-1.0365576948970523</c:v>
                </c:pt>
                <c:pt idx="209">
                  <c:v>104.40964624285692</c:v>
                </c:pt>
                <c:pt idx="210">
                  <c:v>45.817812904715282</c:v>
                </c:pt>
                <c:pt idx="211">
                  <c:v>116.9170215725898</c:v>
                </c:pt>
                <c:pt idx="212">
                  <c:v>50.840423628687724</c:v>
                </c:pt>
                <c:pt idx="213">
                  <c:v>37.071504816412684</c:v>
                </c:pt>
                <c:pt idx="214">
                  <c:v>51.544909179210599</c:v>
                </c:pt>
                <c:pt idx="215">
                  <c:v>25.32669492065904</c:v>
                </c:pt>
                <c:pt idx="216">
                  <c:v>8.3309579640626765</c:v>
                </c:pt>
                <c:pt idx="217">
                  <c:v>-5.2007617894559761</c:v>
                </c:pt>
                <c:pt idx="218">
                  <c:v>-2.7548273093998428</c:v>
                </c:pt>
                <c:pt idx="219">
                  <c:v>-2.8375225374475117</c:v>
                </c:pt>
                <c:pt idx="220">
                  <c:v>-3.263021679595111</c:v>
                </c:pt>
                <c:pt idx="221">
                  <c:v>-1.4413762721233045</c:v>
                </c:pt>
                <c:pt idx="222">
                  <c:v>-13.830509036779381</c:v>
                </c:pt>
                <c:pt idx="223">
                  <c:v>3.8843386340886363</c:v>
                </c:pt>
                <c:pt idx="224">
                  <c:v>104.1608177125452</c:v>
                </c:pt>
                <c:pt idx="225">
                  <c:v>71.347101777791636</c:v>
                </c:pt>
                <c:pt idx="226">
                  <c:v>35.433530062437029</c:v>
                </c:pt>
                <c:pt idx="227">
                  <c:v>44.47080083191392</c:v>
                </c:pt>
                <c:pt idx="228">
                  <c:v>38.233618810772761</c:v>
                </c:pt>
                <c:pt idx="229">
                  <c:v>19.262664578855016</c:v>
                </c:pt>
                <c:pt idx="230">
                  <c:v>-3.3396911574527595</c:v>
                </c:pt>
                <c:pt idx="231">
                  <c:v>-7.8641965985298121</c:v>
                </c:pt>
                <c:pt idx="232">
                  <c:v>-4.2823872528969957</c:v>
                </c:pt>
                <c:pt idx="233">
                  <c:v>-1.7880900297313898</c:v>
                </c:pt>
                <c:pt idx="234">
                  <c:v>-1.4604112599045014</c:v>
                </c:pt>
                <c:pt idx="235">
                  <c:v>3.9247666485607438</c:v>
                </c:pt>
                <c:pt idx="236">
                  <c:v>289.90138471126528</c:v>
                </c:pt>
                <c:pt idx="237">
                  <c:v>99.555230140685993</c:v>
                </c:pt>
                <c:pt idx="238">
                  <c:v>131.94460719823826</c:v>
                </c:pt>
                <c:pt idx="239">
                  <c:v>43.5698267072436</c:v>
                </c:pt>
                <c:pt idx="240">
                  <c:v>42.858286947011877</c:v>
                </c:pt>
                <c:pt idx="241">
                  <c:v>57.139775902032838</c:v>
                </c:pt>
                <c:pt idx="242">
                  <c:v>21.329003199934945</c:v>
                </c:pt>
                <c:pt idx="243">
                  <c:v>-2.6486304821446534</c:v>
                </c:pt>
                <c:pt idx="244">
                  <c:v>-4.3032058048993314</c:v>
                </c:pt>
                <c:pt idx="245">
                  <c:v>1.7979574156925073</c:v>
                </c:pt>
                <c:pt idx="246">
                  <c:v>-3.6497413180768317</c:v>
                </c:pt>
                <c:pt idx="247">
                  <c:v>-3.5279002971947162</c:v>
                </c:pt>
                <c:pt idx="248">
                  <c:v>-5.132491188123816</c:v>
                </c:pt>
                <c:pt idx="249">
                  <c:v>147.57562279701216</c:v>
                </c:pt>
                <c:pt idx="250">
                  <c:v>55.152647942304597</c:v>
                </c:pt>
                <c:pt idx="251">
                  <c:v>115.65600782632812</c:v>
                </c:pt>
                <c:pt idx="252">
                  <c:v>47.46355265378952</c:v>
                </c:pt>
                <c:pt idx="253">
                  <c:v>38.237471133470279</c:v>
                </c:pt>
                <c:pt idx="254">
                  <c:v>51.260004937648439</c:v>
                </c:pt>
                <c:pt idx="255">
                  <c:v>24.415952526032903</c:v>
                </c:pt>
                <c:pt idx="256">
                  <c:v>5.9908177703619003</c:v>
                </c:pt>
                <c:pt idx="257">
                  <c:v>1.3425591867417073</c:v>
                </c:pt>
                <c:pt idx="258">
                  <c:v>2.0964571041986315</c:v>
                </c:pt>
                <c:pt idx="259">
                  <c:v>-4.2501634452491759</c:v>
                </c:pt>
                <c:pt idx="260">
                  <c:v>-5.0160204526036685</c:v>
                </c:pt>
                <c:pt idx="261">
                  <c:v>-1.7399645992554698</c:v>
                </c:pt>
                <c:pt idx="262">
                  <c:v>19.977778382599332</c:v>
                </c:pt>
                <c:pt idx="263">
                  <c:v>34.889953583478921</c:v>
                </c:pt>
                <c:pt idx="264">
                  <c:v>104.42339926958051</c:v>
                </c:pt>
                <c:pt idx="265">
                  <c:v>67.051295936107564</c:v>
                </c:pt>
                <c:pt idx="266">
                  <c:v>34.689485281705849</c:v>
                </c:pt>
                <c:pt idx="267">
                  <c:v>45.034919679164759</c:v>
                </c:pt>
                <c:pt idx="268">
                  <c:v>36.194184422492761</c:v>
                </c:pt>
                <c:pt idx="269">
                  <c:v>18.618263863027092</c:v>
                </c:pt>
                <c:pt idx="270">
                  <c:v>1.6737411729991427</c:v>
                </c:pt>
                <c:pt idx="271">
                  <c:v>-2.5521642062813017</c:v>
                </c:pt>
                <c:pt idx="272">
                  <c:v>-2.696358505636451</c:v>
                </c:pt>
                <c:pt idx="273">
                  <c:v>-5.0886718556284807</c:v>
                </c:pt>
                <c:pt idx="274">
                  <c:v>-2.308474830351769</c:v>
                </c:pt>
                <c:pt idx="275">
                  <c:v>-10.268345195800057</c:v>
                </c:pt>
                <c:pt idx="276">
                  <c:v>322.3906874656675</c:v>
                </c:pt>
                <c:pt idx="277">
                  <c:v>105.5561028420924</c:v>
                </c:pt>
                <c:pt idx="278">
                  <c:v>128.40418517589538</c:v>
                </c:pt>
                <c:pt idx="279">
                  <c:v>42.43467561900588</c:v>
                </c:pt>
                <c:pt idx="280">
                  <c:v>42.71803088486184</c:v>
                </c:pt>
                <c:pt idx="281">
                  <c:v>55.415772646665481</c:v>
                </c:pt>
                <c:pt idx="282">
                  <c:v>21.288845501840086</c:v>
                </c:pt>
                <c:pt idx="283">
                  <c:v>-1.6785266110673545</c:v>
                </c:pt>
                <c:pt idx="284">
                  <c:v>-1.2657603132538489</c:v>
                </c:pt>
                <c:pt idx="285">
                  <c:v>-0.39280463824979878</c:v>
                </c:pt>
                <c:pt idx="286">
                  <c:v>-3.8593546953051963</c:v>
                </c:pt>
                <c:pt idx="287">
                  <c:v>-6.3771732151508163</c:v>
                </c:pt>
                <c:pt idx="288">
                  <c:v>-3.41502372175455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9-498A-A9E7-67C7AD1D7016}"/>
            </c:ext>
          </c:extLst>
        </c:ser>
        <c:ser>
          <c:idx val="1"/>
          <c:order val="1"/>
          <c:tx>
            <c:strRef>
              <c:f>Legends!$B$3</c:f>
              <c:strCache>
                <c:ptCount val="1"/>
                <c:pt idx="0">
                  <c:v>Liquid Velocity</c:v>
                </c:pt>
              </c:strCache>
            </c:strRef>
          </c:tx>
          <c:marker>
            <c:symbol val="none"/>
          </c:marker>
          <c:xVal>
            <c:numRef>
              <c:f>'SIM4'!$B$11:$B$299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0.25001123547553999</c:v>
                </c:pt>
                <c:pt idx="2">
                  <c:v>0.50012111663818304</c:v>
                </c:pt>
                <c:pt idx="3">
                  <c:v>0.750061094760894</c:v>
                </c:pt>
                <c:pt idx="4">
                  <c:v>1.00013864040374</c:v>
                </c:pt>
                <c:pt idx="5">
                  <c:v>1.2500083446502599</c:v>
                </c:pt>
                <c:pt idx="6">
                  <c:v>1.5000680685043299</c:v>
                </c:pt>
                <c:pt idx="7">
                  <c:v>1.75054419040679</c:v>
                </c:pt>
                <c:pt idx="8">
                  <c:v>2.0000450611114502</c:v>
                </c:pt>
                <c:pt idx="9">
                  <c:v>2.2506799697875901</c:v>
                </c:pt>
                <c:pt idx="10">
                  <c:v>2.5004396438598602</c:v>
                </c:pt>
                <c:pt idx="11">
                  <c:v>2.7500407695770201</c:v>
                </c:pt>
                <c:pt idx="12">
                  <c:v>3.0001862049102699</c:v>
                </c:pt>
                <c:pt idx="13">
                  <c:v>3.2500722408294598</c:v>
                </c:pt>
                <c:pt idx="14">
                  <c:v>3.5003666877746502</c:v>
                </c:pt>
                <c:pt idx="15">
                  <c:v>3.7503695487975999</c:v>
                </c:pt>
                <c:pt idx="16">
                  <c:v>4.0003695487976003</c:v>
                </c:pt>
                <c:pt idx="17">
                  <c:v>4.2504582405090297</c:v>
                </c:pt>
                <c:pt idx="18">
                  <c:v>4.50040578842163</c:v>
                </c:pt>
                <c:pt idx="19">
                  <c:v>4.7500805854797301</c:v>
                </c:pt>
                <c:pt idx="20">
                  <c:v>5.0003890991210902</c:v>
                </c:pt>
                <c:pt idx="21">
                  <c:v>5.2502555847167898</c:v>
                </c:pt>
                <c:pt idx="22">
                  <c:v>5.5006971359252903</c:v>
                </c:pt>
                <c:pt idx="23">
                  <c:v>5.75034427642822</c:v>
                </c:pt>
                <c:pt idx="24">
                  <c:v>6.0005998611450204</c:v>
                </c:pt>
                <c:pt idx="25">
                  <c:v>6.2503333091735804</c:v>
                </c:pt>
                <c:pt idx="26">
                  <c:v>6.5005331039428702</c:v>
                </c:pt>
                <c:pt idx="27">
                  <c:v>6.7502918243408203</c:v>
                </c:pt>
                <c:pt idx="28">
                  <c:v>7.0000443458557102</c:v>
                </c:pt>
                <c:pt idx="29">
                  <c:v>7.2501416206359801</c:v>
                </c:pt>
                <c:pt idx="30">
                  <c:v>7.5001888275146396</c:v>
                </c:pt>
                <c:pt idx="31">
                  <c:v>7.7502360343933097</c:v>
                </c:pt>
                <c:pt idx="32">
                  <c:v>8.0006198883056605</c:v>
                </c:pt>
                <c:pt idx="33">
                  <c:v>8.2503108978271396</c:v>
                </c:pt>
                <c:pt idx="34">
                  <c:v>8.5007448196411097</c:v>
                </c:pt>
                <c:pt idx="35">
                  <c:v>8.7503976821899396</c:v>
                </c:pt>
                <c:pt idx="36">
                  <c:v>9.0000944137573207</c:v>
                </c:pt>
                <c:pt idx="37">
                  <c:v>9.2501468658447195</c:v>
                </c:pt>
                <c:pt idx="38">
                  <c:v>9.50018310546875</c:v>
                </c:pt>
                <c:pt idx="39">
                  <c:v>9.7504472732543892</c:v>
                </c:pt>
                <c:pt idx="40">
                  <c:v>10.000286102294901</c:v>
                </c:pt>
                <c:pt idx="41">
                  <c:v>10.250463485717701</c:v>
                </c:pt>
                <c:pt idx="42">
                  <c:v>10.500200271606399</c:v>
                </c:pt>
                <c:pt idx="43">
                  <c:v>10.7500553131103</c:v>
                </c:pt>
                <c:pt idx="44">
                  <c:v>11.0001468658447</c:v>
                </c:pt>
                <c:pt idx="45">
                  <c:v>11.250119209289499</c:v>
                </c:pt>
                <c:pt idx="46">
                  <c:v>11.5000915527343</c:v>
                </c:pt>
                <c:pt idx="47">
                  <c:v>11.750169754028301</c:v>
                </c:pt>
                <c:pt idx="48">
                  <c:v>12.0004024505615</c:v>
                </c:pt>
                <c:pt idx="49">
                  <c:v>12.2501773834228</c:v>
                </c:pt>
                <c:pt idx="50">
                  <c:v>12.500633239746</c:v>
                </c:pt>
                <c:pt idx="51">
                  <c:v>12.750241279601999</c:v>
                </c:pt>
                <c:pt idx="52">
                  <c:v>13.0001277923584</c:v>
                </c:pt>
                <c:pt idx="53">
                  <c:v>13.2504663467407</c:v>
                </c:pt>
                <c:pt idx="54">
                  <c:v>13.5004558563232</c:v>
                </c:pt>
                <c:pt idx="55">
                  <c:v>13.7500858306884</c:v>
                </c:pt>
                <c:pt idx="56">
                  <c:v>14.0002136230468</c:v>
                </c:pt>
                <c:pt idx="57">
                  <c:v>14.2505226135253</c:v>
                </c:pt>
                <c:pt idx="58">
                  <c:v>14.500308036804199</c:v>
                </c:pt>
                <c:pt idx="59">
                  <c:v>14.750316619873001</c:v>
                </c:pt>
                <c:pt idx="60">
                  <c:v>15.0002031326293</c:v>
                </c:pt>
                <c:pt idx="61">
                  <c:v>15.250586509704499</c:v>
                </c:pt>
                <c:pt idx="62">
                  <c:v>15.500903129577599</c:v>
                </c:pt>
                <c:pt idx="63">
                  <c:v>15.750452995300201</c:v>
                </c:pt>
                <c:pt idx="64">
                  <c:v>16.000207901000898</c:v>
                </c:pt>
                <c:pt idx="65">
                  <c:v>16.250480651855401</c:v>
                </c:pt>
                <c:pt idx="66">
                  <c:v>16.500310897827099</c:v>
                </c:pt>
                <c:pt idx="67">
                  <c:v>16.750164031982401</c:v>
                </c:pt>
                <c:pt idx="68">
                  <c:v>17.0000896453857</c:v>
                </c:pt>
                <c:pt idx="69">
                  <c:v>17.2500286102294</c:v>
                </c:pt>
                <c:pt idx="70">
                  <c:v>17.500370025634702</c:v>
                </c:pt>
                <c:pt idx="71">
                  <c:v>17.7502841949462</c:v>
                </c:pt>
                <c:pt idx="72">
                  <c:v>18.0002727508544</c:v>
                </c:pt>
                <c:pt idx="73">
                  <c:v>18.250467300415</c:v>
                </c:pt>
                <c:pt idx="74">
                  <c:v>18.500707626342699</c:v>
                </c:pt>
                <c:pt idx="75">
                  <c:v>18.7505283355712</c:v>
                </c:pt>
                <c:pt idx="76">
                  <c:v>19.000795364379801</c:v>
                </c:pt>
                <c:pt idx="77">
                  <c:v>19.250555038452099</c:v>
                </c:pt>
                <c:pt idx="78">
                  <c:v>19.500682830810501</c:v>
                </c:pt>
                <c:pt idx="79">
                  <c:v>19.750219345092699</c:v>
                </c:pt>
                <c:pt idx="80">
                  <c:v>20.0001525878906</c:v>
                </c:pt>
                <c:pt idx="81">
                  <c:v>20.2503356933593</c:v>
                </c:pt>
                <c:pt idx="82">
                  <c:v>20.500156402587798</c:v>
                </c:pt>
                <c:pt idx="83">
                  <c:v>20.750146865844702</c:v>
                </c:pt>
                <c:pt idx="84">
                  <c:v>21.0000190734863</c:v>
                </c:pt>
                <c:pt idx="85">
                  <c:v>21.2506504058837</c:v>
                </c:pt>
                <c:pt idx="86">
                  <c:v>21.500358581542901</c:v>
                </c:pt>
                <c:pt idx="87">
                  <c:v>21.7503852844238</c:v>
                </c:pt>
                <c:pt idx="88">
                  <c:v>22.0001201629638</c:v>
                </c:pt>
                <c:pt idx="89">
                  <c:v>22.2503337860107</c:v>
                </c:pt>
                <c:pt idx="90">
                  <c:v>22.500677108764599</c:v>
                </c:pt>
                <c:pt idx="91">
                  <c:v>22.750646591186499</c:v>
                </c:pt>
                <c:pt idx="92">
                  <c:v>23.000219345092699</c:v>
                </c:pt>
                <c:pt idx="93">
                  <c:v>23.2500896453857</c:v>
                </c:pt>
                <c:pt idx="94">
                  <c:v>23.500013351440401</c:v>
                </c:pt>
                <c:pt idx="95">
                  <c:v>23.750013351440401</c:v>
                </c:pt>
                <c:pt idx="96">
                  <c:v>24.000160217285099</c:v>
                </c:pt>
                <c:pt idx="97">
                  <c:v>24.250194549560501</c:v>
                </c:pt>
                <c:pt idx="98">
                  <c:v>24.5002727508544</c:v>
                </c:pt>
                <c:pt idx="99">
                  <c:v>24.7504272460937</c:v>
                </c:pt>
                <c:pt idx="100">
                  <c:v>25.000602722167901</c:v>
                </c:pt>
                <c:pt idx="101">
                  <c:v>25.2504062652587</c:v>
                </c:pt>
                <c:pt idx="102">
                  <c:v>25.500444412231399</c:v>
                </c:pt>
                <c:pt idx="103">
                  <c:v>25.750186920166001</c:v>
                </c:pt>
                <c:pt idx="104">
                  <c:v>26.000473022460898</c:v>
                </c:pt>
                <c:pt idx="105">
                  <c:v>26.2503643035888</c:v>
                </c:pt>
                <c:pt idx="106">
                  <c:v>26.500444412231399</c:v>
                </c:pt>
                <c:pt idx="107">
                  <c:v>26.7501506805419</c:v>
                </c:pt>
                <c:pt idx="108">
                  <c:v>27.0004863739013</c:v>
                </c:pt>
                <c:pt idx="109">
                  <c:v>27.2503356933593</c:v>
                </c:pt>
                <c:pt idx="110">
                  <c:v>27.500156402587798</c:v>
                </c:pt>
                <c:pt idx="111">
                  <c:v>27.750381469726499</c:v>
                </c:pt>
                <c:pt idx="112">
                  <c:v>28.000555038452099</c:v>
                </c:pt>
                <c:pt idx="113">
                  <c:v>28.250667572021399</c:v>
                </c:pt>
                <c:pt idx="114">
                  <c:v>28.500165939331001</c:v>
                </c:pt>
                <c:pt idx="115">
                  <c:v>28.7503337860107</c:v>
                </c:pt>
                <c:pt idx="116">
                  <c:v>29.0003337860107</c:v>
                </c:pt>
                <c:pt idx="117">
                  <c:v>29.2503337860107</c:v>
                </c:pt>
                <c:pt idx="118">
                  <c:v>29.500444412231399</c:v>
                </c:pt>
                <c:pt idx="119">
                  <c:v>29.750165939331001</c:v>
                </c:pt>
                <c:pt idx="120">
                  <c:v>30.00022315979</c:v>
                </c:pt>
                <c:pt idx="121">
                  <c:v>30.2504997253418</c:v>
                </c:pt>
                <c:pt idx="122">
                  <c:v>30.500055313110298</c:v>
                </c:pt>
                <c:pt idx="123">
                  <c:v>30.750055313110298</c:v>
                </c:pt>
                <c:pt idx="124">
                  <c:v>31.0001106262207</c:v>
                </c:pt>
                <c:pt idx="125">
                  <c:v>31.25022315979</c:v>
                </c:pt>
                <c:pt idx="126">
                  <c:v>31.500055313110298</c:v>
                </c:pt>
                <c:pt idx="127">
                  <c:v>31.7501106262207</c:v>
                </c:pt>
                <c:pt idx="128">
                  <c:v>32.0003051757812</c:v>
                </c:pt>
                <c:pt idx="129">
                  <c:v>32.250110626220703</c:v>
                </c:pt>
                <c:pt idx="130">
                  <c:v>32.500251770019503</c:v>
                </c:pt>
                <c:pt idx="131">
                  <c:v>32.750499725341797</c:v>
                </c:pt>
                <c:pt idx="132">
                  <c:v>33.000221252441399</c:v>
                </c:pt>
                <c:pt idx="133">
                  <c:v>33.250362396240199</c:v>
                </c:pt>
                <c:pt idx="134">
                  <c:v>33.50044631958</c:v>
                </c:pt>
                <c:pt idx="135">
                  <c:v>33.750221252441399</c:v>
                </c:pt>
                <c:pt idx="136">
                  <c:v>34.000331878662102</c:v>
                </c:pt>
                <c:pt idx="137">
                  <c:v>34.250221252441399</c:v>
                </c:pt>
                <c:pt idx="138">
                  <c:v>34.500110626220703</c:v>
                </c:pt>
                <c:pt idx="139">
                  <c:v>34.750083923339801</c:v>
                </c:pt>
                <c:pt idx="140">
                  <c:v>35.000194549560497</c:v>
                </c:pt>
                <c:pt idx="141">
                  <c:v>35.2506103515625</c:v>
                </c:pt>
                <c:pt idx="142">
                  <c:v>35.500194549560497</c:v>
                </c:pt>
                <c:pt idx="143">
                  <c:v>35.750057220458899</c:v>
                </c:pt>
                <c:pt idx="144">
                  <c:v>36.000278472900298</c:v>
                </c:pt>
                <c:pt idx="145">
                  <c:v>36.25</c:v>
                </c:pt>
                <c:pt idx="146">
                  <c:v>36.500389099121001</c:v>
                </c:pt>
                <c:pt idx="147">
                  <c:v>36.750251770019503</c:v>
                </c:pt>
                <c:pt idx="148">
                  <c:v>37.000221252441399</c:v>
                </c:pt>
                <c:pt idx="149">
                  <c:v>37.250137329101499</c:v>
                </c:pt>
                <c:pt idx="150">
                  <c:v>37.500083923339801</c:v>
                </c:pt>
                <c:pt idx="151">
                  <c:v>37.750110626220703</c:v>
                </c:pt>
                <c:pt idx="152">
                  <c:v>38.000362396240199</c:v>
                </c:pt>
                <c:pt idx="153">
                  <c:v>38.250057220458899</c:v>
                </c:pt>
                <c:pt idx="154">
                  <c:v>38.500137329101499</c:v>
                </c:pt>
                <c:pt idx="155">
                  <c:v>38.750221252441399</c:v>
                </c:pt>
                <c:pt idx="156">
                  <c:v>39.000221252441399</c:v>
                </c:pt>
                <c:pt idx="157">
                  <c:v>39.25044631958</c:v>
                </c:pt>
                <c:pt idx="158">
                  <c:v>39.500667572021399</c:v>
                </c:pt>
                <c:pt idx="159">
                  <c:v>39.750331878662102</c:v>
                </c:pt>
                <c:pt idx="160">
                  <c:v>40.000083923339801</c:v>
                </c:pt>
                <c:pt idx="161">
                  <c:v>40.2503051757812</c:v>
                </c:pt>
                <c:pt idx="162">
                  <c:v>40.500389099121001</c:v>
                </c:pt>
                <c:pt idx="163">
                  <c:v>40.750110626220703</c:v>
                </c:pt>
                <c:pt idx="164">
                  <c:v>41.0003051757812</c:v>
                </c:pt>
                <c:pt idx="165">
                  <c:v>41.250221252441399</c:v>
                </c:pt>
                <c:pt idx="166">
                  <c:v>41.500362396240199</c:v>
                </c:pt>
                <c:pt idx="167">
                  <c:v>41.7507514953613</c:v>
                </c:pt>
                <c:pt idx="168">
                  <c:v>42.000667572021399</c:v>
                </c:pt>
                <c:pt idx="169">
                  <c:v>42.250804901122997</c:v>
                </c:pt>
                <c:pt idx="170">
                  <c:v>42.500637054443303</c:v>
                </c:pt>
                <c:pt idx="171">
                  <c:v>42.750667572021399</c:v>
                </c:pt>
                <c:pt idx="172">
                  <c:v>43.000278472900298</c:v>
                </c:pt>
                <c:pt idx="173">
                  <c:v>43.250499725341797</c:v>
                </c:pt>
                <c:pt idx="174">
                  <c:v>43.500415802001903</c:v>
                </c:pt>
                <c:pt idx="175">
                  <c:v>43.750194549560497</c:v>
                </c:pt>
                <c:pt idx="176">
                  <c:v>44.0003051757812</c:v>
                </c:pt>
                <c:pt idx="177">
                  <c:v>44.250110626220703</c:v>
                </c:pt>
                <c:pt idx="178">
                  <c:v>44.50044631958</c:v>
                </c:pt>
                <c:pt idx="179">
                  <c:v>44.75044631958</c:v>
                </c:pt>
                <c:pt idx="180">
                  <c:v>45.000499725341797</c:v>
                </c:pt>
                <c:pt idx="181">
                  <c:v>45.250415802001903</c:v>
                </c:pt>
                <c:pt idx="182">
                  <c:v>45.500026702880803</c:v>
                </c:pt>
                <c:pt idx="183">
                  <c:v>45.75</c:v>
                </c:pt>
                <c:pt idx="184">
                  <c:v>46.000057220458899</c:v>
                </c:pt>
                <c:pt idx="185">
                  <c:v>46.250221252441399</c:v>
                </c:pt>
                <c:pt idx="186">
                  <c:v>46.50044631958</c:v>
                </c:pt>
                <c:pt idx="187">
                  <c:v>46.750110626220703</c:v>
                </c:pt>
                <c:pt idx="188">
                  <c:v>47.000251770019503</c:v>
                </c:pt>
                <c:pt idx="189">
                  <c:v>47.250389099121001</c:v>
                </c:pt>
                <c:pt idx="190">
                  <c:v>47.500110626220703</c:v>
                </c:pt>
                <c:pt idx="191">
                  <c:v>47.750057220458899</c:v>
                </c:pt>
                <c:pt idx="192">
                  <c:v>48.000221252441399</c:v>
                </c:pt>
                <c:pt idx="193">
                  <c:v>48.250194549560497</c:v>
                </c:pt>
                <c:pt idx="194">
                  <c:v>48.500526428222599</c:v>
                </c:pt>
                <c:pt idx="195">
                  <c:v>48.750278472900298</c:v>
                </c:pt>
                <c:pt idx="196">
                  <c:v>49.000221252441399</c:v>
                </c:pt>
                <c:pt idx="197">
                  <c:v>49.250194549560497</c:v>
                </c:pt>
                <c:pt idx="198">
                  <c:v>49.500526428222599</c:v>
                </c:pt>
                <c:pt idx="199">
                  <c:v>49.750110626220703</c:v>
                </c:pt>
                <c:pt idx="200">
                  <c:v>50.000362396240199</c:v>
                </c:pt>
                <c:pt idx="201">
                  <c:v>50.250026702880803</c:v>
                </c:pt>
                <c:pt idx="202">
                  <c:v>50.5</c:v>
                </c:pt>
                <c:pt idx="203">
                  <c:v>50.750137329101499</c:v>
                </c:pt>
                <c:pt idx="204">
                  <c:v>51.000362396240199</c:v>
                </c:pt>
                <c:pt idx="205">
                  <c:v>51.250331878662102</c:v>
                </c:pt>
                <c:pt idx="206">
                  <c:v>51.500221252441399</c:v>
                </c:pt>
                <c:pt idx="207">
                  <c:v>51.750083923339801</c:v>
                </c:pt>
                <c:pt idx="208">
                  <c:v>52.000083923339801</c:v>
                </c:pt>
                <c:pt idx="209">
                  <c:v>52.250167846679602</c:v>
                </c:pt>
                <c:pt idx="210">
                  <c:v>52.500556945800703</c:v>
                </c:pt>
                <c:pt idx="211">
                  <c:v>52.750362396240199</c:v>
                </c:pt>
                <c:pt idx="212">
                  <c:v>53.000167846679602</c:v>
                </c:pt>
                <c:pt idx="213">
                  <c:v>53.250251770019503</c:v>
                </c:pt>
                <c:pt idx="214">
                  <c:v>53.500331878662102</c:v>
                </c:pt>
                <c:pt idx="215">
                  <c:v>53.750194549560497</c:v>
                </c:pt>
                <c:pt idx="216">
                  <c:v>54.00044631958</c:v>
                </c:pt>
                <c:pt idx="217">
                  <c:v>54.250331878662102</c:v>
                </c:pt>
                <c:pt idx="218">
                  <c:v>54.500556945800703</c:v>
                </c:pt>
                <c:pt idx="219">
                  <c:v>54.750331878662102</c:v>
                </c:pt>
                <c:pt idx="220">
                  <c:v>55.000499725341797</c:v>
                </c:pt>
                <c:pt idx="221">
                  <c:v>55.250389099121001</c:v>
                </c:pt>
                <c:pt idx="222">
                  <c:v>55.500221252441399</c:v>
                </c:pt>
                <c:pt idx="223">
                  <c:v>55.750278472900298</c:v>
                </c:pt>
                <c:pt idx="224">
                  <c:v>56.0003051757812</c:v>
                </c:pt>
                <c:pt idx="225">
                  <c:v>56.2506103515625</c:v>
                </c:pt>
                <c:pt idx="226">
                  <c:v>56.500167846679602</c:v>
                </c:pt>
                <c:pt idx="227">
                  <c:v>56.750083923339801</c:v>
                </c:pt>
                <c:pt idx="228">
                  <c:v>57.000137329101499</c:v>
                </c:pt>
                <c:pt idx="229">
                  <c:v>57.250057220458899</c:v>
                </c:pt>
                <c:pt idx="230">
                  <c:v>57.500137329101499</c:v>
                </c:pt>
                <c:pt idx="231">
                  <c:v>57.750251770019503</c:v>
                </c:pt>
                <c:pt idx="232">
                  <c:v>58.000167846679602</c:v>
                </c:pt>
                <c:pt idx="233">
                  <c:v>58.250251770019503</c:v>
                </c:pt>
                <c:pt idx="234">
                  <c:v>58.500278472900298</c:v>
                </c:pt>
                <c:pt idx="235">
                  <c:v>58.750637054443303</c:v>
                </c:pt>
                <c:pt idx="236">
                  <c:v>59.000667572021399</c:v>
                </c:pt>
                <c:pt idx="237">
                  <c:v>59.250026702880803</c:v>
                </c:pt>
                <c:pt idx="238">
                  <c:v>59.500137329101499</c:v>
                </c:pt>
                <c:pt idx="239">
                  <c:v>59.750499725341797</c:v>
                </c:pt>
                <c:pt idx="240">
                  <c:v>60.000251770019503</c:v>
                </c:pt>
                <c:pt idx="241">
                  <c:v>60.250221252441399</c:v>
                </c:pt>
                <c:pt idx="242">
                  <c:v>60.500389099121001</c:v>
                </c:pt>
                <c:pt idx="243">
                  <c:v>60.750251770019503</c:v>
                </c:pt>
                <c:pt idx="244">
                  <c:v>61.000251770019503</c:v>
                </c:pt>
                <c:pt idx="245">
                  <c:v>61.250389099121001</c:v>
                </c:pt>
                <c:pt idx="246">
                  <c:v>61.500137329101499</c:v>
                </c:pt>
                <c:pt idx="247">
                  <c:v>61.750057220458899</c:v>
                </c:pt>
                <c:pt idx="248">
                  <c:v>62.000831604003899</c:v>
                </c:pt>
                <c:pt idx="249">
                  <c:v>62.2506103515625</c:v>
                </c:pt>
                <c:pt idx="250">
                  <c:v>62.500278472900298</c:v>
                </c:pt>
                <c:pt idx="251">
                  <c:v>62.750526428222599</c:v>
                </c:pt>
                <c:pt idx="252">
                  <c:v>63.000110626220703</c:v>
                </c:pt>
                <c:pt idx="253">
                  <c:v>63.250194549560497</c:v>
                </c:pt>
                <c:pt idx="254">
                  <c:v>63.500167846679602</c:v>
                </c:pt>
                <c:pt idx="255">
                  <c:v>63.750026702880803</c:v>
                </c:pt>
                <c:pt idx="256">
                  <c:v>64.000305175781193</c:v>
                </c:pt>
                <c:pt idx="257">
                  <c:v>64.250114440917898</c:v>
                </c:pt>
                <c:pt idx="258">
                  <c:v>64.500389099120994</c:v>
                </c:pt>
                <c:pt idx="259">
                  <c:v>64.7506103515625</c:v>
                </c:pt>
                <c:pt idx="260">
                  <c:v>65.000114440917898</c:v>
                </c:pt>
                <c:pt idx="261">
                  <c:v>65.250305175781193</c:v>
                </c:pt>
                <c:pt idx="262">
                  <c:v>65.500114440917898</c:v>
                </c:pt>
                <c:pt idx="263">
                  <c:v>65.750358581542898</c:v>
                </c:pt>
                <c:pt idx="264">
                  <c:v>66.000190734863196</c:v>
                </c:pt>
                <c:pt idx="265">
                  <c:v>66.250083923339801</c:v>
                </c:pt>
                <c:pt idx="266">
                  <c:v>66.500167846679602</c:v>
                </c:pt>
                <c:pt idx="267">
                  <c:v>66.750473022460895</c:v>
                </c:pt>
                <c:pt idx="268">
                  <c:v>67.000114440917898</c:v>
                </c:pt>
                <c:pt idx="269">
                  <c:v>67.250030517578097</c:v>
                </c:pt>
                <c:pt idx="270">
                  <c:v>67.500030517578097</c:v>
                </c:pt>
                <c:pt idx="271">
                  <c:v>67.750274658203097</c:v>
                </c:pt>
                <c:pt idx="272">
                  <c:v>68.000663757324205</c:v>
                </c:pt>
                <c:pt idx="273">
                  <c:v>68.250724792480398</c:v>
                </c:pt>
                <c:pt idx="274">
                  <c:v>68.500473022460895</c:v>
                </c:pt>
                <c:pt idx="275">
                  <c:v>68.750778198242102</c:v>
                </c:pt>
                <c:pt idx="276">
                  <c:v>69.000305175781193</c:v>
                </c:pt>
                <c:pt idx="277">
                  <c:v>69.250389099120994</c:v>
                </c:pt>
                <c:pt idx="278">
                  <c:v>69.500556945800696</c:v>
                </c:pt>
                <c:pt idx="279">
                  <c:v>69.750526428222599</c:v>
                </c:pt>
                <c:pt idx="280">
                  <c:v>70.000083923339801</c:v>
                </c:pt>
                <c:pt idx="281">
                  <c:v>70.250221252441406</c:v>
                </c:pt>
                <c:pt idx="282">
                  <c:v>70.500190734863196</c:v>
                </c:pt>
                <c:pt idx="283">
                  <c:v>70.750274658203097</c:v>
                </c:pt>
                <c:pt idx="284">
                  <c:v>71.000473022460895</c:v>
                </c:pt>
                <c:pt idx="285">
                  <c:v>71.250221252441406</c:v>
                </c:pt>
                <c:pt idx="286">
                  <c:v>71.500274658203097</c:v>
                </c:pt>
                <c:pt idx="287">
                  <c:v>71.750305175781193</c:v>
                </c:pt>
                <c:pt idx="288">
                  <c:v>72.000030517578097</c:v>
                </c:pt>
              </c:numCache>
            </c:numRef>
          </c:xVal>
          <c:yVal>
            <c:numRef>
              <c:f>'SIM4'!$F$11:$F$299</c:f>
              <c:numCache>
                <c:formatCode>General</c:formatCode>
                <c:ptCount val="289"/>
                <c:pt idx="0">
                  <c:v>25113.683509826649</c:v>
                </c:pt>
                <c:pt idx="1">
                  <c:v>15272.293853759758</c:v>
                </c:pt>
                <c:pt idx="2">
                  <c:v>10486.6021156311</c:v>
                </c:pt>
                <c:pt idx="3">
                  <c:v>4070.8439826965277</c:v>
                </c:pt>
                <c:pt idx="4">
                  <c:v>-5484.2938899993724</c:v>
                </c:pt>
                <c:pt idx="5">
                  <c:v>-2056.8354606628418</c:v>
                </c:pt>
                <c:pt idx="6">
                  <c:v>-5318.8093185424559</c:v>
                </c:pt>
                <c:pt idx="7">
                  <c:v>-2507.4540853500348</c:v>
                </c:pt>
                <c:pt idx="8">
                  <c:v>-1156.7541360855096</c:v>
                </c:pt>
                <c:pt idx="9">
                  <c:v>755.8282613754252</c:v>
                </c:pt>
                <c:pt idx="10">
                  <c:v>12534.321498870817</c:v>
                </c:pt>
                <c:pt idx="11">
                  <c:v>11546.524429321284</c:v>
                </c:pt>
                <c:pt idx="12">
                  <c:v>16680.279350280744</c:v>
                </c:pt>
                <c:pt idx="13">
                  <c:v>12291.96567535398</c:v>
                </c:pt>
                <c:pt idx="14">
                  <c:v>9764.4999504089155</c:v>
                </c:pt>
                <c:pt idx="15">
                  <c:v>10370.962429046604</c:v>
                </c:pt>
                <c:pt idx="16">
                  <c:v>4219.7113037109239</c:v>
                </c:pt>
                <c:pt idx="17">
                  <c:v>-4375.627040863008</c:v>
                </c:pt>
                <c:pt idx="18">
                  <c:v>-2739.9003267288203</c:v>
                </c:pt>
                <c:pt idx="19">
                  <c:v>-4059.5005989074525</c:v>
                </c:pt>
                <c:pt idx="20">
                  <c:v>-998.33761453628517</c:v>
                </c:pt>
                <c:pt idx="21">
                  <c:v>-636.18516325950486</c:v>
                </c:pt>
                <c:pt idx="22">
                  <c:v>1381.537091732022</c:v>
                </c:pt>
                <c:pt idx="23">
                  <c:v>984.51941013335886</c:v>
                </c:pt>
                <c:pt idx="24">
                  <c:v>11939.857292175264</c:v>
                </c:pt>
                <c:pt idx="25">
                  <c:v>17401.251983642567</c:v>
                </c:pt>
                <c:pt idx="26">
                  <c:v>13471.128273010247</c:v>
                </c:pt>
                <c:pt idx="27">
                  <c:v>8371.5082168578847</c:v>
                </c:pt>
                <c:pt idx="28">
                  <c:v>11917.4614906311</c:v>
                </c:pt>
                <c:pt idx="29">
                  <c:v>6547.4065303802281</c:v>
                </c:pt>
                <c:pt idx="30">
                  <c:v>-2272.5644588470441</c:v>
                </c:pt>
                <c:pt idx="31">
                  <c:v>-3232.8270435333238</c:v>
                </c:pt>
                <c:pt idx="32">
                  <c:v>-2178.4766435623151</c:v>
                </c:pt>
                <c:pt idx="33">
                  <c:v>-3498.9635467529279</c:v>
                </c:pt>
                <c:pt idx="34">
                  <c:v>-708.03290605544998</c:v>
                </c:pt>
                <c:pt idx="35">
                  <c:v>-5546.0267543792515</c:v>
                </c:pt>
                <c:pt idx="36">
                  <c:v>1624.4175553321825</c:v>
                </c:pt>
                <c:pt idx="37">
                  <c:v>12591.071891784648</c:v>
                </c:pt>
                <c:pt idx="38">
                  <c:v>16976.973724365202</c:v>
                </c:pt>
                <c:pt idx="39">
                  <c:v>14128.239440917945</c:v>
                </c:pt>
                <c:pt idx="40">
                  <c:v>7346.232318878172</c:v>
                </c:pt>
                <c:pt idx="41">
                  <c:v>12706.631755828848</c:v>
                </c:pt>
                <c:pt idx="42">
                  <c:v>8001.237201690672</c:v>
                </c:pt>
                <c:pt idx="43">
                  <c:v>-3985.2647781371998</c:v>
                </c:pt>
                <c:pt idx="44">
                  <c:v>-4111.3762378692481</c:v>
                </c:pt>
                <c:pt idx="45">
                  <c:v>-1890.591502189633</c:v>
                </c:pt>
                <c:pt idx="46">
                  <c:v>-4527.9396057128761</c:v>
                </c:pt>
                <c:pt idx="47">
                  <c:v>-1929.0481567382808</c:v>
                </c:pt>
                <c:pt idx="48">
                  <c:v>-1835.330700874327</c:v>
                </c:pt>
                <c:pt idx="49">
                  <c:v>12896.017169952385</c:v>
                </c:pt>
                <c:pt idx="50">
                  <c:v>15008.201408386223</c:v>
                </c:pt>
                <c:pt idx="51">
                  <c:v>13744.825172424287</c:v>
                </c:pt>
                <c:pt idx="52">
                  <c:v>15003.504753112764</c:v>
                </c:pt>
                <c:pt idx="53">
                  <c:v>8249.3780136108126</c:v>
                </c:pt>
                <c:pt idx="54">
                  <c:v>11091.787433624268</c:v>
                </c:pt>
                <c:pt idx="55">
                  <c:v>8616.1497116088594</c:v>
                </c:pt>
                <c:pt idx="56">
                  <c:v>-2391.1290407180768</c:v>
                </c:pt>
                <c:pt idx="57">
                  <c:v>-2353.0219316482535</c:v>
                </c:pt>
                <c:pt idx="58">
                  <c:v>-2079.4286727905255</c:v>
                </c:pt>
                <c:pt idx="59">
                  <c:v>-3220.400905609129</c:v>
                </c:pt>
                <c:pt idx="60">
                  <c:v>-2819.0229177474971</c:v>
                </c:pt>
                <c:pt idx="61">
                  <c:v>-1462.5428080558752</c:v>
                </c:pt>
                <c:pt idx="62">
                  <c:v>1752.9404282569872</c:v>
                </c:pt>
                <c:pt idx="63">
                  <c:v>10648.519134521472</c:v>
                </c:pt>
                <c:pt idx="64">
                  <c:v>11341.87231063842</c:v>
                </c:pt>
                <c:pt idx="65">
                  <c:v>16752.088737487764</c:v>
                </c:pt>
                <c:pt idx="66">
                  <c:v>11944.123077392569</c:v>
                </c:pt>
                <c:pt idx="67">
                  <c:v>8321.7238426208169</c:v>
                </c:pt>
                <c:pt idx="68">
                  <c:v>10906.095314025864</c:v>
                </c:pt>
                <c:pt idx="69">
                  <c:v>3211.2665891647307</c:v>
                </c:pt>
                <c:pt idx="70">
                  <c:v>-3460.2313756942731</c:v>
                </c:pt>
                <c:pt idx="71">
                  <c:v>-3014.5583152770982</c:v>
                </c:pt>
                <c:pt idx="72">
                  <c:v>-1138.6248707771279</c:v>
                </c:pt>
                <c:pt idx="73">
                  <c:v>-1502.6267051696771</c:v>
                </c:pt>
                <c:pt idx="74">
                  <c:v>-864.35279846191077</c:v>
                </c:pt>
                <c:pt idx="75">
                  <c:v>-5331.2363147735286</c:v>
                </c:pt>
                <c:pt idx="76">
                  <c:v>17968.906974792455</c:v>
                </c:pt>
                <c:pt idx="77">
                  <c:v>14244.904804229713</c:v>
                </c:pt>
                <c:pt idx="78">
                  <c:v>16370.906066894519</c:v>
                </c:pt>
                <c:pt idx="79">
                  <c:v>14636.008644103982</c:v>
                </c:pt>
                <c:pt idx="80">
                  <c:v>7850.9450912475604</c:v>
                </c:pt>
                <c:pt idx="81">
                  <c:v>12385.194969177215</c:v>
                </c:pt>
                <c:pt idx="82">
                  <c:v>8301.6823768615432</c:v>
                </c:pt>
                <c:pt idx="83">
                  <c:v>-1047.713434696195</c:v>
                </c:pt>
                <c:pt idx="84">
                  <c:v>-1327.8899073600755</c:v>
                </c:pt>
                <c:pt idx="85">
                  <c:v>-4005.7306766509682</c:v>
                </c:pt>
                <c:pt idx="86">
                  <c:v>-1936.917757987974</c:v>
                </c:pt>
                <c:pt idx="87">
                  <c:v>-1376.566958427426</c:v>
                </c:pt>
                <c:pt idx="88">
                  <c:v>-1734.9516034126273</c:v>
                </c:pt>
                <c:pt idx="89">
                  <c:v>10575.306415557829</c:v>
                </c:pt>
                <c:pt idx="90">
                  <c:v>15523.753738403304</c:v>
                </c:pt>
                <c:pt idx="91">
                  <c:v>12713.691329956044</c:v>
                </c:pt>
                <c:pt idx="92">
                  <c:v>15278.169822692867</c:v>
                </c:pt>
                <c:pt idx="93">
                  <c:v>8766.327667236299</c:v>
                </c:pt>
                <c:pt idx="94">
                  <c:v>9997.0418930053675</c:v>
                </c:pt>
                <c:pt idx="95">
                  <c:v>8978.4075736999439</c:v>
                </c:pt>
                <c:pt idx="96">
                  <c:v>-3247.3302841186523</c:v>
                </c:pt>
                <c:pt idx="97">
                  <c:v>-1509.0397596359244</c:v>
                </c:pt>
                <c:pt idx="98">
                  <c:v>-3882.1606636047122</c:v>
                </c:pt>
                <c:pt idx="99">
                  <c:v>-5279.7924041747756</c:v>
                </c:pt>
                <c:pt idx="100">
                  <c:v>-4764.4344806671079</c:v>
                </c:pt>
                <c:pt idx="101">
                  <c:v>-2324.8003721237169</c:v>
                </c:pt>
                <c:pt idx="102">
                  <c:v>3241.2747144699074</c:v>
                </c:pt>
                <c:pt idx="103">
                  <c:v>1054.4598340988148</c:v>
                </c:pt>
                <c:pt idx="104">
                  <c:v>11044.123077392569</c:v>
                </c:pt>
                <c:pt idx="105">
                  <c:v>16798.947143554655</c:v>
                </c:pt>
                <c:pt idx="106">
                  <c:v>11616.033554077141</c:v>
                </c:pt>
                <c:pt idx="107">
                  <c:v>8053.8548469543357</c:v>
                </c:pt>
                <c:pt idx="108">
                  <c:v>10884.801578521716</c:v>
                </c:pt>
                <c:pt idx="109">
                  <c:v>2756.0246944427458</c:v>
                </c:pt>
                <c:pt idx="110">
                  <c:v>-3909.6359252929442</c:v>
                </c:pt>
                <c:pt idx="111">
                  <c:v>-1943.9586639404281</c:v>
                </c:pt>
                <c:pt idx="112">
                  <c:v>-3984.0442657470721</c:v>
                </c:pt>
                <c:pt idx="113">
                  <c:v>-3375.3958940505963</c:v>
                </c:pt>
                <c:pt idx="114">
                  <c:v>-969.78453397750798</c:v>
                </c:pt>
                <c:pt idx="115">
                  <c:v>1767.6874279975859</c:v>
                </c:pt>
                <c:pt idx="116">
                  <c:v>23019.430160522446</c:v>
                </c:pt>
                <c:pt idx="117">
                  <c:v>11348.24008941648</c:v>
                </c:pt>
                <c:pt idx="118">
                  <c:v>17480.224800109834</c:v>
                </c:pt>
                <c:pt idx="119">
                  <c:v>13600.087165832509</c:v>
                </c:pt>
                <c:pt idx="120">
                  <c:v>7233.4010124206288</c:v>
                </c:pt>
                <c:pt idx="121">
                  <c:v>12697.815227508539</c:v>
                </c:pt>
                <c:pt idx="122">
                  <c:v>7036.9414329528718</c:v>
                </c:pt>
                <c:pt idx="123">
                  <c:v>-3020.8136558532697</c:v>
                </c:pt>
                <c:pt idx="124">
                  <c:v>-3486.8303060531616</c:v>
                </c:pt>
                <c:pt idx="125">
                  <c:v>-4057.5239181518405</c:v>
                </c:pt>
                <c:pt idx="126">
                  <c:v>-4904.5105934142839</c:v>
                </c:pt>
                <c:pt idx="127">
                  <c:v>-2090.409421920775</c:v>
                </c:pt>
                <c:pt idx="128">
                  <c:v>-1834.4123125076269</c:v>
                </c:pt>
                <c:pt idx="129">
                  <c:v>9501.4760971069081</c:v>
                </c:pt>
                <c:pt idx="130">
                  <c:v>16101.885223388665</c:v>
                </c:pt>
                <c:pt idx="131">
                  <c:v>13085.053253173799</c:v>
                </c:pt>
                <c:pt idx="132">
                  <c:v>15569.716072082507</c:v>
                </c:pt>
                <c:pt idx="133">
                  <c:v>9214.0522956848163</c:v>
                </c:pt>
                <c:pt idx="134">
                  <c:v>10647.273731231664</c:v>
                </c:pt>
                <c:pt idx="135">
                  <c:v>8946.4716911315882</c:v>
                </c:pt>
                <c:pt idx="136">
                  <c:v>-2845.9718227386466</c:v>
                </c:pt>
                <c:pt idx="137">
                  <c:v>-5986.4832401275444</c:v>
                </c:pt>
                <c:pt idx="138">
                  <c:v>-4397.835731506344</c:v>
                </c:pt>
                <c:pt idx="139">
                  <c:v>-1039.5737886428819</c:v>
                </c:pt>
                <c:pt idx="140">
                  <c:v>-3744.1294670104917</c:v>
                </c:pt>
                <c:pt idx="141">
                  <c:v>-2025.6688356399504</c:v>
                </c:pt>
                <c:pt idx="142">
                  <c:v>2097.3621368408185</c:v>
                </c:pt>
                <c:pt idx="143">
                  <c:v>784.2139184474928</c:v>
                </c:pt>
                <c:pt idx="144">
                  <c:v>11071.522808074944</c:v>
                </c:pt>
                <c:pt idx="145">
                  <c:v>16660.361480712876</c:v>
                </c:pt>
                <c:pt idx="146">
                  <c:v>11757.693672180143</c:v>
                </c:pt>
                <c:pt idx="147">
                  <c:v>7864.3363952636637</c:v>
                </c:pt>
                <c:pt idx="148">
                  <c:v>11108.995628356908</c:v>
                </c:pt>
                <c:pt idx="149">
                  <c:v>3192.9138422012306</c:v>
                </c:pt>
                <c:pt idx="150">
                  <c:v>-3778.6102294921561</c:v>
                </c:pt>
                <c:pt idx="151">
                  <c:v>-4533.7499141693042</c:v>
                </c:pt>
                <c:pt idx="152">
                  <c:v>-3302.5859355926486</c:v>
                </c:pt>
                <c:pt idx="153">
                  <c:v>-2869.29931640625</c:v>
                </c:pt>
                <c:pt idx="154">
                  <c:v>-1505.6409716606124</c:v>
                </c:pt>
                <c:pt idx="155">
                  <c:v>7355.408477783184</c:v>
                </c:pt>
                <c:pt idx="156">
                  <c:v>21466.825103759758</c:v>
                </c:pt>
                <c:pt idx="157">
                  <c:v>13516.750717163064</c:v>
                </c:pt>
                <c:pt idx="158">
                  <c:v>16761.08894348142</c:v>
                </c:pt>
                <c:pt idx="159">
                  <c:v>14381.736946105932</c:v>
                </c:pt>
                <c:pt idx="160">
                  <c:v>7532.3304176330521</c:v>
                </c:pt>
                <c:pt idx="161">
                  <c:v>12558.46309661862</c:v>
                </c:pt>
                <c:pt idx="162">
                  <c:v>8126.6684532165364</c:v>
                </c:pt>
                <c:pt idx="163">
                  <c:v>-3503.6318778991667</c:v>
                </c:pt>
                <c:pt idx="164">
                  <c:v>-1606.3030958175648</c:v>
                </c:pt>
                <c:pt idx="165">
                  <c:v>-3148.6784219741808</c:v>
                </c:pt>
                <c:pt idx="166">
                  <c:v>-717.2801971435548</c:v>
                </c:pt>
                <c:pt idx="167">
                  <c:v>-1274.6660828590368</c:v>
                </c:pt>
                <c:pt idx="168">
                  <c:v>-2811.6637945175157</c:v>
                </c:pt>
                <c:pt idx="169">
                  <c:v>6675.6023883819353</c:v>
                </c:pt>
                <c:pt idx="170">
                  <c:v>16590.394020080555</c:v>
                </c:pt>
                <c:pt idx="171">
                  <c:v>11948.400020599345</c:v>
                </c:pt>
                <c:pt idx="172">
                  <c:v>15992.708587646472</c:v>
                </c:pt>
                <c:pt idx="173">
                  <c:v>10141.311264038064</c:v>
                </c:pt>
                <c:pt idx="174">
                  <c:v>9411.0191345214716</c:v>
                </c:pt>
                <c:pt idx="175">
                  <c:v>9586.0982894897152</c:v>
                </c:pt>
                <c:pt idx="176">
                  <c:v>74.750255048274838</c:v>
                </c:pt>
                <c:pt idx="177">
                  <c:v>-3380.2448987960784</c:v>
                </c:pt>
                <c:pt idx="178">
                  <c:v>-3127.6771545410138</c:v>
                </c:pt>
                <c:pt idx="179">
                  <c:v>-1553.8975596427895</c:v>
                </c:pt>
                <c:pt idx="180">
                  <c:v>-2871.2206363677947</c:v>
                </c:pt>
                <c:pt idx="181">
                  <c:v>-3445.3800916671744</c:v>
                </c:pt>
                <c:pt idx="182">
                  <c:v>794.76513862609806</c:v>
                </c:pt>
                <c:pt idx="183">
                  <c:v>14984.028053283671</c:v>
                </c:pt>
                <c:pt idx="184">
                  <c:v>11055.434703826897</c:v>
                </c:pt>
                <c:pt idx="185">
                  <c:v>17212.082862853982</c:v>
                </c:pt>
                <c:pt idx="186">
                  <c:v>12735.716342925996</c:v>
                </c:pt>
                <c:pt idx="187">
                  <c:v>7443.5763359069633</c:v>
                </c:pt>
                <c:pt idx="188">
                  <c:v>12043.281555175752</c:v>
                </c:pt>
                <c:pt idx="189">
                  <c:v>5325.1522064208721</c:v>
                </c:pt>
                <c:pt idx="190">
                  <c:v>-4596.1415290832401</c:v>
                </c:pt>
                <c:pt idx="191">
                  <c:v>-2720.3328609466535</c:v>
                </c:pt>
                <c:pt idx="192">
                  <c:v>-4346.7407226562318</c:v>
                </c:pt>
                <c:pt idx="193">
                  <c:v>-2008.4273815155013</c:v>
                </c:pt>
                <c:pt idx="194">
                  <c:v>-1388.7579202651943</c:v>
                </c:pt>
                <c:pt idx="195">
                  <c:v>-9549.5000839233126</c:v>
                </c:pt>
                <c:pt idx="196">
                  <c:v>15185.088157653792</c:v>
                </c:pt>
                <c:pt idx="197">
                  <c:v>14593.870925903304</c:v>
                </c:pt>
                <c:pt idx="198">
                  <c:v>15201.442337036111</c:v>
                </c:pt>
                <c:pt idx="199">
                  <c:v>14768.62907409666</c:v>
                </c:pt>
                <c:pt idx="200">
                  <c:v>7844.6270942687879</c:v>
                </c:pt>
                <c:pt idx="201">
                  <c:v>11997.677135467511</c:v>
                </c:pt>
                <c:pt idx="202">
                  <c:v>8386.2865447997756</c:v>
                </c:pt>
                <c:pt idx="203">
                  <c:v>-3412.3708963394138</c:v>
                </c:pt>
                <c:pt idx="204">
                  <c:v>-5404.5249938964726</c:v>
                </c:pt>
                <c:pt idx="205">
                  <c:v>-7118.8273429870314</c:v>
                </c:pt>
                <c:pt idx="206">
                  <c:v>-1233.0029010772691</c:v>
                </c:pt>
                <c:pt idx="207">
                  <c:v>-4811.9434833526566</c:v>
                </c:pt>
                <c:pt idx="208">
                  <c:v>-3012.5277757644626</c:v>
                </c:pt>
                <c:pt idx="209">
                  <c:v>3575.5942583084075</c:v>
                </c:pt>
                <c:pt idx="210">
                  <c:v>16097.284698486299</c:v>
                </c:pt>
                <c:pt idx="211">
                  <c:v>11426.273918151839</c:v>
                </c:pt>
                <c:pt idx="212">
                  <c:v>16713.688087463364</c:v>
                </c:pt>
                <c:pt idx="213">
                  <c:v>11346.105480194088</c:v>
                </c:pt>
                <c:pt idx="214">
                  <c:v>8631.4893722534161</c:v>
                </c:pt>
                <c:pt idx="215">
                  <c:v>10415.214157104469</c:v>
                </c:pt>
                <c:pt idx="216">
                  <c:v>1994.9822187423695</c:v>
                </c:pt>
                <c:pt idx="217">
                  <c:v>-491.5487051010108</c:v>
                </c:pt>
                <c:pt idx="218">
                  <c:v>-4694.4073677062879</c:v>
                </c:pt>
                <c:pt idx="219">
                  <c:v>-1078.8059234619109</c:v>
                </c:pt>
                <c:pt idx="220">
                  <c:v>-1465.1920795440672</c:v>
                </c:pt>
                <c:pt idx="221">
                  <c:v>-2542.2176599502545</c:v>
                </c:pt>
                <c:pt idx="222">
                  <c:v>-4337.5825881957962</c:v>
                </c:pt>
                <c:pt idx="223">
                  <c:v>1841.494631767272</c:v>
                </c:pt>
                <c:pt idx="224">
                  <c:v>11399.932479858371</c:v>
                </c:pt>
                <c:pt idx="225">
                  <c:v>17457.958602905259</c:v>
                </c:pt>
                <c:pt idx="226">
                  <c:v>13426.480865478492</c:v>
                </c:pt>
                <c:pt idx="227">
                  <c:v>7327.5512695312327</c:v>
                </c:pt>
                <c:pt idx="228">
                  <c:v>12553.542423248293</c:v>
                </c:pt>
                <c:pt idx="229">
                  <c:v>6752.091693878172</c:v>
                </c:pt>
                <c:pt idx="230">
                  <c:v>-2907.2991371154767</c:v>
                </c:pt>
                <c:pt idx="231">
                  <c:v>-2657.5839757919302</c:v>
                </c:pt>
                <c:pt idx="232">
                  <c:v>-3764.1602039336999</c:v>
                </c:pt>
                <c:pt idx="233">
                  <c:v>-995.87556123733441</c:v>
                </c:pt>
                <c:pt idx="234">
                  <c:v>-2805.093455314633</c:v>
                </c:pt>
                <c:pt idx="235">
                  <c:v>-3692.267990112276</c:v>
                </c:pt>
                <c:pt idx="236">
                  <c:v>11710.231018066404</c:v>
                </c:pt>
                <c:pt idx="237">
                  <c:v>15639.537620544408</c:v>
                </c:pt>
                <c:pt idx="238">
                  <c:v>13535.363101959216</c:v>
                </c:pt>
                <c:pt idx="239">
                  <c:v>15256.137084960925</c:v>
                </c:pt>
                <c:pt idx="240">
                  <c:v>8617.4242973327528</c:v>
                </c:pt>
                <c:pt idx="241">
                  <c:v>11060.643768310549</c:v>
                </c:pt>
                <c:pt idx="242">
                  <c:v>8709.1052055358687</c:v>
                </c:pt>
                <c:pt idx="243">
                  <c:v>-4416.5266513824236</c:v>
                </c:pt>
                <c:pt idx="244">
                  <c:v>-4303.4399986267081</c:v>
                </c:pt>
                <c:pt idx="245">
                  <c:v>-3660.649251937848</c:v>
                </c:pt>
                <c:pt idx="246">
                  <c:v>-4048.2142925262124</c:v>
                </c:pt>
                <c:pt idx="247">
                  <c:v>-4365.7522201537922</c:v>
                </c:pt>
                <c:pt idx="248">
                  <c:v>-4086.3780498504598</c:v>
                </c:pt>
                <c:pt idx="249">
                  <c:v>5408.1933975219599</c:v>
                </c:pt>
                <c:pt idx="250">
                  <c:v>16282.385444641104</c:v>
                </c:pt>
                <c:pt idx="251">
                  <c:v>11302.79788970946</c:v>
                </c:pt>
                <c:pt idx="252">
                  <c:v>16189.78271484373</c:v>
                </c:pt>
                <c:pt idx="253">
                  <c:v>10760.216617584216</c:v>
                </c:pt>
                <c:pt idx="254">
                  <c:v>8393.2053565978804</c:v>
                </c:pt>
                <c:pt idx="255">
                  <c:v>10285.289669036845</c:v>
                </c:pt>
                <c:pt idx="256">
                  <c:v>1387.2131824493376</c:v>
                </c:pt>
                <c:pt idx="257">
                  <c:v>-1367.563319206236</c:v>
                </c:pt>
                <c:pt idx="258">
                  <c:v>-3970.0800418853519</c:v>
                </c:pt>
                <c:pt idx="259">
                  <c:v>-4189.1942024230675</c:v>
                </c:pt>
                <c:pt idx="260">
                  <c:v>-2588.9559030532837</c:v>
                </c:pt>
                <c:pt idx="261">
                  <c:v>-496.14842534065195</c:v>
                </c:pt>
                <c:pt idx="262">
                  <c:v>617.74631738662674</c:v>
                </c:pt>
                <c:pt idx="263">
                  <c:v>19885.945701599099</c:v>
                </c:pt>
                <c:pt idx="264">
                  <c:v>11219.428825378416</c:v>
                </c:pt>
                <c:pt idx="265">
                  <c:v>17413.944625854467</c:v>
                </c:pt>
                <c:pt idx="266">
                  <c:v>13217.911434173555</c:v>
                </c:pt>
                <c:pt idx="267">
                  <c:v>7371.7343330383073</c:v>
                </c:pt>
                <c:pt idx="268">
                  <c:v>12401.838397979713</c:v>
                </c:pt>
                <c:pt idx="269">
                  <c:v>6295.791721343976</c:v>
                </c:pt>
                <c:pt idx="270">
                  <c:v>-2245.975828170775</c:v>
                </c:pt>
                <c:pt idx="271">
                  <c:v>-1906.9167137145985</c:v>
                </c:pt>
                <c:pt idx="272">
                  <c:v>-3070.7855701446529</c:v>
                </c:pt>
                <c:pt idx="273">
                  <c:v>-558.38592052459558</c:v>
                </c:pt>
                <c:pt idx="274">
                  <c:v>-2669.1945075988742</c:v>
                </c:pt>
                <c:pt idx="275">
                  <c:v>-17865.467262268055</c:v>
                </c:pt>
                <c:pt idx="276">
                  <c:v>14884.515953063965</c:v>
                </c:pt>
                <c:pt idx="277">
                  <c:v>14794.022941589339</c:v>
                </c:pt>
                <c:pt idx="278">
                  <c:v>14850.429153442379</c:v>
                </c:pt>
                <c:pt idx="279">
                  <c:v>14860.299682617155</c:v>
                </c:pt>
                <c:pt idx="280">
                  <c:v>8001.5616416931116</c:v>
                </c:pt>
                <c:pt idx="281">
                  <c:v>11809.148311614959</c:v>
                </c:pt>
                <c:pt idx="282">
                  <c:v>8459.13963317868</c:v>
                </c:pt>
                <c:pt idx="283">
                  <c:v>-3600.8316993713042</c:v>
                </c:pt>
                <c:pt idx="284">
                  <c:v>-2635.2263689041133</c:v>
                </c:pt>
                <c:pt idx="285">
                  <c:v>-1249.873888492584</c:v>
                </c:pt>
                <c:pt idx="286">
                  <c:v>-3050.5284547805768</c:v>
                </c:pt>
                <c:pt idx="287">
                  <c:v>-429.01487946510122</c:v>
                </c:pt>
                <c:pt idx="288">
                  <c:v>-1237.0081901550266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19-498A-A9E7-67C7AD1D7016}"/>
            </c:ext>
          </c:extLst>
        </c:ser>
        <c:ser>
          <c:idx val="2"/>
          <c:order val="2"/>
          <c:tx>
            <c:strRef>
              <c:f>Legends!$B$4</c:f>
              <c:strCache>
                <c:ptCount val="1"/>
                <c:pt idx="0">
                  <c:v>Gas Velocity</c:v>
                </c:pt>
              </c:strCache>
            </c:strRef>
          </c:tx>
          <c:marker>
            <c:symbol val="none"/>
          </c:marker>
          <c:xVal>
            <c:numRef>
              <c:f>'SIM4'!$C$11:$C$299</c:f>
              <c:numCache>
                <c:formatCode>General</c:formatCode>
                <c:ptCount val="289"/>
                <c:pt idx="0">
                  <c:v>0</c:v>
                </c:pt>
                <c:pt idx="1">
                  <c:v>0.25001123547553999</c:v>
                </c:pt>
                <c:pt idx="2">
                  <c:v>0.50012111663818304</c:v>
                </c:pt>
                <c:pt idx="3">
                  <c:v>0.750061094760894</c:v>
                </c:pt>
                <c:pt idx="4">
                  <c:v>1.00013864040374</c:v>
                </c:pt>
                <c:pt idx="5">
                  <c:v>1.2500083446502599</c:v>
                </c:pt>
                <c:pt idx="6">
                  <c:v>1.5000680685043299</c:v>
                </c:pt>
                <c:pt idx="7">
                  <c:v>1.75054419040679</c:v>
                </c:pt>
                <c:pt idx="8">
                  <c:v>2.0000450611114502</c:v>
                </c:pt>
                <c:pt idx="9">
                  <c:v>2.2506799697875901</c:v>
                </c:pt>
                <c:pt idx="10">
                  <c:v>2.5004396438598602</c:v>
                </c:pt>
                <c:pt idx="11">
                  <c:v>2.7500407695770201</c:v>
                </c:pt>
                <c:pt idx="12">
                  <c:v>3.0001862049102699</c:v>
                </c:pt>
                <c:pt idx="13">
                  <c:v>3.2500722408294598</c:v>
                </c:pt>
                <c:pt idx="14">
                  <c:v>3.5003666877746502</c:v>
                </c:pt>
                <c:pt idx="15">
                  <c:v>3.7503695487975999</c:v>
                </c:pt>
                <c:pt idx="16">
                  <c:v>4.0003695487976003</c:v>
                </c:pt>
                <c:pt idx="17">
                  <c:v>4.2504582405090297</c:v>
                </c:pt>
                <c:pt idx="18">
                  <c:v>4.50040578842163</c:v>
                </c:pt>
                <c:pt idx="19">
                  <c:v>4.7500805854797301</c:v>
                </c:pt>
                <c:pt idx="20">
                  <c:v>5.0003890991210902</c:v>
                </c:pt>
                <c:pt idx="21">
                  <c:v>5.2502555847167898</c:v>
                </c:pt>
                <c:pt idx="22">
                  <c:v>5.5006971359252903</c:v>
                </c:pt>
                <c:pt idx="23">
                  <c:v>5.75034427642822</c:v>
                </c:pt>
                <c:pt idx="24">
                  <c:v>6.0005998611450204</c:v>
                </c:pt>
                <c:pt idx="25">
                  <c:v>6.2503333091735804</c:v>
                </c:pt>
                <c:pt idx="26">
                  <c:v>6.5005331039428702</c:v>
                </c:pt>
                <c:pt idx="27">
                  <c:v>6.7502918243408203</c:v>
                </c:pt>
                <c:pt idx="28">
                  <c:v>7.0000443458557102</c:v>
                </c:pt>
                <c:pt idx="29">
                  <c:v>7.2501416206359801</c:v>
                </c:pt>
                <c:pt idx="30">
                  <c:v>7.5001888275146396</c:v>
                </c:pt>
                <c:pt idx="31">
                  <c:v>7.7502360343933097</c:v>
                </c:pt>
                <c:pt idx="32">
                  <c:v>8.0006198883056605</c:v>
                </c:pt>
                <c:pt idx="33">
                  <c:v>8.2503108978271396</c:v>
                </c:pt>
                <c:pt idx="34">
                  <c:v>8.5007448196411097</c:v>
                </c:pt>
                <c:pt idx="35">
                  <c:v>8.7503976821899396</c:v>
                </c:pt>
                <c:pt idx="36">
                  <c:v>9.0000944137573207</c:v>
                </c:pt>
                <c:pt idx="37">
                  <c:v>9.2501468658447195</c:v>
                </c:pt>
                <c:pt idx="38">
                  <c:v>9.50018310546875</c:v>
                </c:pt>
                <c:pt idx="39">
                  <c:v>9.7504472732543892</c:v>
                </c:pt>
                <c:pt idx="40">
                  <c:v>10.000286102294901</c:v>
                </c:pt>
                <c:pt idx="41">
                  <c:v>10.250463485717701</c:v>
                </c:pt>
                <c:pt idx="42">
                  <c:v>10.500200271606399</c:v>
                </c:pt>
                <c:pt idx="43">
                  <c:v>10.7500553131103</c:v>
                </c:pt>
                <c:pt idx="44">
                  <c:v>11.0001468658447</c:v>
                </c:pt>
                <c:pt idx="45">
                  <c:v>11.250119209289499</c:v>
                </c:pt>
                <c:pt idx="46">
                  <c:v>11.5000915527343</c:v>
                </c:pt>
                <c:pt idx="47">
                  <c:v>11.750169754028301</c:v>
                </c:pt>
                <c:pt idx="48">
                  <c:v>12.0004024505615</c:v>
                </c:pt>
                <c:pt idx="49">
                  <c:v>12.2501773834228</c:v>
                </c:pt>
                <c:pt idx="50">
                  <c:v>12.500633239746</c:v>
                </c:pt>
                <c:pt idx="51">
                  <c:v>12.750241279601999</c:v>
                </c:pt>
                <c:pt idx="52">
                  <c:v>13.0001277923584</c:v>
                </c:pt>
                <c:pt idx="53">
                  <c:v>13.2504663467407</c:v>
                </c:pt>
                <c:pt idx="54">
                  <c:v>13.5004558563232</c:v>
                </c:pt>
                <c:pt idx="55">
                  <c:v>13.7500858306884</c:v>
                </c:pt>
                <c:pt idx="56">
                  <c:v>14.0002136230468</c:v>
                </c:pt>
                <c:pt idx="57">
                  <c:v>14.2505226135253</c:v>
                </c:pt>
                <c:pt idx="58">
                  <c:v>14.500308036804199</c:v>
                </c:pt>
                <c:pt idx="59">
                  <c:v>14.750316619873001</c:v>
                </c:pt>
                <c:pt idx="60">
                  <c:v>15.0002031326293</c:v>
                </c:pt>
                <c:pt idx="61">
                  <c:v>15.250586509704499</c:v>
                </c:pt>
                <c:pt idx="62">
                  <c:v>15.500903129577599</c:v>
                </c:pt>
                <c:pt idx="63">
                  <c:v>15.750452995300201</c:v>
                </c:pt>
                <c:pt idx="64">
                  <c:v>16.000207901000898</c:v>
                </c:pt>
                <c:pt idx="65">
                  <c:v>16.250480651855401</c:v>
                </c:pt>
                <c:pt idx="66">
                  <c:v>16.500310897827099</c:v>
                </c:pt>
                <c:pt idx="67">
                  <c:v>16.750164031982401</c:v>
                </c:pt>
                <c:pt idx="68">
                  <c:v>17.0000896453857</c:v>
                </c:pt>
                <c:pt idx="69">
                  <c:v>17.2500286102294</c:v>
                </c:pt>
                <c:pt idx="70">
                  <c:v>17.500370025634702</c:v>
                </c:pt>
                <c:pt idx="71">
                  <c:v>17.7502841949462</c:v>
                </c:pt>
                <c:pt idx="72">
                  <c:v>18.0002727508544</c:v>
                </c:pt>
                <c:pt idx="73">
                  <c:v>18.250467300415</c:v>
                </c:pt>
                <c:pt idx="74">
                  <c:v>18.500707626342699</c:v>
                </c:pt>
                <c:pt idx="75">
                  <c:v>18.7505283355712</c:v>
                </c:pt>
                <c:pt idx="76">
                  <c:v>19.000795364379801</c:v>
                </c:pt>
                <c:pt idx="77">
                  <c:v>19.250555038452099</c:v>
                </c:pt>
                <c:pt idx="78">
                  <c:v>19.500682830810501</c:v>
                </c:pt>
                <c:pt idx="79">
                  <c:v>19.750219345092699</c:v>
                </c:pt>
                <c:pt idx="80">
                  <c:v>20.0001525878906</c:v>
                </c:pt>
                <c:pt idx="81">
                  <c:v>20.2503356933593</c:v>
                </c:pt>
                <c:pt idx="82">
                  <c:v>20.500156402587798</c:v>
                </c:pt>
                <c:pt idx="83">
                  <c:v>20.750146865844702</c:v>
                </c:pt>
                <c:pt idx="84">
                  <c:v>21.0000190734863</c:v>
                </c:pt>
                <c:pt idx="85">
                  <c:v>21.2506504058837</c:v>
                </c:pt>
                <c:pt idx="86">
                  <c:v>21.500358581542901</c:v>
                </c:pt>
                <c:pt idx="87">
                  <c:v>21.7503852844238</c:v>
                </c:pt>
                <c:pt idx="88">
                  <c:v>22.0001201629638</c:v>
                </c:pt>
                <c:pt idx="89">
                  <c:v>22.2503337860107</c:v>
                </c:pt>
                <c:pt idx="90">
                  <c:v>22.500677108764599</c:v>
                </c:pt>
                <c:pt idx="91">
                  <c:v>22.750646591186499</c:v>
                </c:pt>
                <c:pt idx="92">
                  <c:v>23.000219345092699</c:v>
                </c:pt>
                <c:pt idx="93">
                  <c:v>23.2500896453857</c:v>
                </c:pt>
                <c:pt idx="94">
                  <c:v>23.500013351440401</c:v>
                </c:pt>
                <c:pt idx="95">
                  <c:v>23.750013351440401</c:v>
                </c:pt>
                <c:pt idx="96">
                  <c:v>24.000160217285099</c:v>
                </c:pt>
                <c:pt idx="97">
                  <c:v>24.250194549560501</c:v>
                </c:pt>
                <c:pt idx="98">
                  <c:v>24.5002727508544</c:v>
                </c:pt>
                <c:pt idx="99">
                  <c:v>24.7504272460937</c:v>
                </c:pt>
                <c:pt idx="100">
                  <c:v>25.000602722167901</c:v>
                </c:pt>
                <c:pt idx="101">
                  <c:v>25.2504062652587</c:v>
                </c:pt>
                <c:pt idx="102">
                  <c:v>25.500444412231399</c:v>
                </c:pt>
                <c:pt idx="103">
                  <c:v>25.750186920166001</c:v>
                </c:pt>
                <c:pt idx="104">
                  <c:v>26.000473022460898</c:v>
                </c:pt>
                <c:pt idx="105">
                  <c:v>26.2503643035888</c:v>
                </c:pt>
                <c:pt idx="106">
                  <c:v>26.500444412231399</c:v>
                </c:pt>
                <c:pt idx="107">
                  <c:v>26.7501506805419</c:v>
                </c:pt>
                <c:pt idx="108">
                  <c:v>27.0004863739013</c:v>
                </c:pt>
                <c:pt idx="109">
                  <c:v>27.2503356933593</c:v>
                </c:pt>
                <c:pt idx="110">
                  <c:v>27.500156402587798</c:v>
                </c:pt>
                <c:pt idx="111">
                  <c:v>27.750381469726499</c:v>
                </c:pt>
                <c:pt idx="112">
                  <c:v>28.000555038452099</c:v>
                </c:pt>
                <c:pt idx="113">
                  <c:v>28.250667572021399</c:v>
                </c:pt>
                <c:pt idx="114">
                  <c:v>28.500165939331001</c:v>
                </c:pt>
                <c:pt idx="115">
                  <c:v>28.7503337860107</c:v>
                </c:pt>
                <c:pt idx="116">
                  <c:v>29.0003337860107</c:v>
                </c:pt>
                <c:pt idx="117">
                  <c:v>29.2503337860107</c:v>
                </c:pt>
                <c:pt idx="118">
                  <c:v>29.500444412231399</c:v>
                </c:pt>
                <c:pt idx="119">
                  <c:v>29.750165939331001</c:v>
                </c:pt>
                <c:pt idx="120">
                  <c:v>30.00022315979</c:v>
                </c:pt>
                <c:pt idx="121">
                  <c:v>30.2504997253418</c:v>
                </c:pt>
                <c:pt idx="122">
                  <c:v>30.500055313110298</c:v>
                </c:pt>
                <c:pt idx="123">
                  <c:v>30.750055313110298</c:v>
                </c:pt>
                <c:pt idx="124">
                  <c:v>31.0001106262207</c:v>
                </c:pt>
                <c:pt idx="125">
                  <c:v>31.25022315979</c:v>
                </c:pt>
                <c:pt idx="126">
                  <c:v>31.500055313110298</c:v>
                </c:pt>
                <c:pt idx="127">
                  <c:v>31.7501106262207</c:v>
                </c:pt>
                <c:pt idx="128">
                  <c:v>32.0003051757812</c:v>
                </c:pt>
                <c:pt idx="129">
                  <c:v>32.250110626220703</c:v>
                </c:pt>
                <c:pt idx="130">
                  <c:v>32.500251770019503</c:v>
                </c:pt>
                <c:pt idx="131">
                  <c:v>32.750499725341797</c:v>
                </c:pt>
                <c:pt idx="132">
                  <c:v>33.000221252441399</c:v>
                </c:pt>
                <c:pt idx="133">
                  <c:v>33.250362396240199</c:v>
                </c:pt>
                <c:pt idx="134">
                  <c:v>33.50044631958</c:v>
                </c:pt>
                <c:pt idx="135">
                  <c:v>33.750221252441399</c:v>
                </c:pt>
                <c:pt idx="136">
                  <c:v>34.000331878662102</c:v>
                </c:pt>
                <c:pt idx="137">
                  <c:v>34.250221252441399</c:v>
                </c:pt>
                <c:pt idx="138">
                  <c:v>34.500110626220703</c:v>
                </c:pt>
                <c:pt idx="139">
                  <c:v>34.750083923339801</c:v>
                </c:pt>
                <c:pt idx="140">
                  <c:v>35.000194549560497</c:v>
                </c:pt>
                <c:pt idx="141">
                  <c:v>35.2506103515625</c:v>
                </c:pt>
                <c:pt idx="142">
                  <c:v>35.500194549560497</c:v>
                </c:pt>
                <c:pt idx="143">
                  <c:v>35.750057220458899</c:v>
                </c:pt>
                <c:pt idx="144">
                  <c:v>36.000278472900298</c:v>
                </c:pt>
                <c:pt idx="145">
                  <c:v>36.25</c:v>
                </c:pt>
                <c:pt idx="146">
                  <c:v>36.500389099121001</c:v>
                </c:pt>
                <c:pt idx="147">
                  <c:v>36.750251770019503</c:v>
                </c:pt>
                <c:pt idx="148">
                  <c:v>37.000221252441399</c:v>
                </c:pt>
                <c:pt idx="149">
                  <c:v>37.250137329101499</c:v>
                </c:pt>
                <c:pt idx="150">
                  <c:v>37.500083923339801</c:v>
                </c:pt>
                <c:pt idx="151">
                  <c:v>37.750110626220703</c:v>
                </c:pt>
                <c:pt idx="152">
                  <c:v>38.000362396240199</c:v>
                </c:pt>
                <c:pt idx="153">
                  <c:v>38.250057220458899</c:v>
                </c:pt>
                <c:pt idx="154">
                  <c:v>38.500137329101499</c:v>
                </c:pt>
                <c:pt idx="155">
                  <c:v>38.750221252441399</c:v>
                </c:pt>
                <c:pt idx="156">
                  <c:v>39.000221252441399</c:v>
                </c:pt>
                <c:pt idx="157">
                  <c:v>39.25044631958</c:v>
                </c:pt>
                <c:pt idx="158">
                  <c:v>39.500667572021399</c:v>
                </c:pt>
                <c:pt idx="159">
                  <c:v>39.750331878662102</c:v>
                </c:pt>
                <c:pt idx="160">
                  <c:v>40.000083923339801</c:v>
                </c:pt>
                <c:pt idx="161">
                  <c:v>40.2503051757812</c:v>
                </c:pt>
                <c:pt idx="162">
                  <c:v>40.500389099121001</c:v>
                </c:pt>
                <c:pt idx="163">
                  <c:v>40.750110626220703</c:v>
                </c:pt>
                <c:pt idx="164">
                  <c:v>41.0003051757812</c:v>
                </c:pt>
                <c:pt idx="165">
                  <c:v>41.250221252441399</c:v>
                </c:pt>
                <c:pt idx="166">
                  <c:v>41.500362396240199</c:v>
                </c:pt>
                <c:pt idx="167">
                  <c:v>41.7507514953613</c:v>
                </c:pt>
                <c:pt idx="168">
                  <c:v>42.000667572021399</c:v>
                </c:pt>
                <c:pt idx="169">
                  <c:v>42.250804901122997</c:v>
                </c:pt>
                <c:pt idx="170">
                  <c:v>42.500637054443303</c:v>
                </c:pt>
                <c:pt idx="171">
                  <c:v>42.750667572021399</c:v>
                </c:pt>
                <c:pt idx="172">
                  <c:v>43.000278472900298</c:v>
                </c:pt>
                <c:pt idx="173">
                  <c:v>43.250499725341797</c:v>
                </c:pt>
                <c:pt idx="174">
                  <c:v>43.500415802001903</c:v>
                </c:pt>
                <c:pt idx="175">
                  <c:v>43.750194549560497</c:v>
                </c:pt>
                <c:pt idx="176">
                  <c:v>44.0003051757812</c:v>
                </c:pt>
                <c:pt idx="177">
                  <c:v>44.250110626220703</c:v>
                </c:pt>
                <c:pt idx="178">
                  <c:v>44.50044631958</c:v>
                </c:pt>
                <c:pt idx="179">
                  <c:v>44.75044631958</c:v>
                </c:pt>
                <c:pt idx="180">
                  <c:v>45.000499725341797</c:v>
                </c:pt>
                <c:pt idx="181">
                  <c:v>45.250415802001903</c:v>
                </c:pt>
                <c:pt idx="182">
                  <c:v>45.500026702880803</c:v>
                </c:pt>
                <c:pt idx="183">
                  <c:v>45.75</c:v>
                </c:pt>
                <c:pt idx="184">
                  <c:v>46.000057220458899</c:v>
                </c:pt>
                <c:pt idx="185">
                  <c:v>46.250221252441399</c:v>
                </c:pt>
                <c:pt idx="186">
                  <c:v>46.50044631958</c:v>
                </c:pt>
                <c:pt idx="187">
                  <c:v>46.750110626220703</c:v>
                </c:pt>
                <c:pt idx="188">
                  <c:v>47.000251770019503</c:v>
                </c:pt>
                <c:pt idx="189">
                  <c:v>47.250389099121001</c:v>
                </c:pt>
                <c:pt idx="190">
                  <c:v>47.500110626220703</c:v>
                </c:pt>
                <c:pt idx="191">
                  <c:v>47.750057220458899</c:v>
                </c:pt>
                <c:pt idx="192">
                  <c:v>48.000221252441399</c:v>
                </c:pt>
                <c:pt idx="193">
                  <c:v>48.250194549560497</c:v>
                </c:pt>
                <c:pt idx="194">
                  <c:v>48.500526428222599</c:v>
                </c:pt>
                <c:pt idx="195">
                  <c:v>48.750278472900298</c:v>
                </c:pt>
                <c:pt idx="196">
                  <c:v>49.000221252441399</c:v>
                </c:pt>
                <c:pt idx="197">
                  <c:v>49.250194549560497</c:v>
                </c:pt>
                <c:pt idx="198">
                  <c:v>49.500526428222599</c:v>
                </c:pt>
                <c:pt idx="199">
                  <c:v>49.750110626220703</c:v>
                </c:pt>
                <c:pt idx="200">
                  <c:v>50.000362396240199</c:v>
                </c:pt>
                <c:pt idx="201">
                  <c:v>50.250026702880803</c:v>
                </c:pt>
                <c:pt idx="202">
                  <c:v>50.5</c:v>
                </c:pt>
                <c:pt idx="203">
                  <c:v>50.750137329101499</c:v>
                </c:pt>
                <c:pt idx="204">
                  <c:v>51.000362396240199</c:v>
                </c:pt>
                <c:pt idx="205">
                  <c:v>51.250331878662102</c:v>
                </c:pt>
                <c:pt idx="206">
                  <c:v>51.500221252441399</c:v>
                </c:pt>
                <c:pt idx="207">
                  <c:v>51.750083923339801</c:v>
                </c:pt>
                <c:pt idx="208">
                  <c:v>52.000083923339801</c:v>
                </c:pt>
                <c:pt idx="209">
                  <c:v>52.250167846679602</c:v>
                </c:pt>
                <c:pt idx="210">
                  <c:v>52.500556945800703</c:v>
                </c:pt>
                <c:pt idx="211">
                  <c:v>52.750362396240199</c:v>
                </c:pt>
                <c:pt idx="212">
                  <c:v>53.000167846679602</c:v>
                </c:pt>
                <c:pt idx="213">
                  <c:v>53.250251770019503</c:v>
                </c:pt>
                <c:pt idx="214">
                  <c:v>53.500331878662102</c:v>
                </c:pt>
                <c:pt idx="215">
                  <c:v>53.750194549560497</c:v>
                </c:pt>
                <c:pt idx="216">
                  <c:v>54.00044631958</c:v>
                </c:pt>
                <c:pt idx="217">
                  <c:v>54.250331878662102</c:v>
                </c:pt>
                <c:pt idx="218">
                  <c:v>54.500556945800703</c:v>
                </c:pt>
                <c:pt idx="219">
                  <c:v>54.750331878662102</c:v>
                </c:pt>
                <c:pt idx="220">
                  <c:v>55.000499725341797</c:v>
                </c:pt>
                <c:pt idx="221">
                  <c:v>55.250389099121001</c:v>
                </c:pt>
                <c:pt idx="222">
                  <c:v>55.500221252441399</c:v>
                </c:pt>
                <c:pt idx="223">
                  <c:v>55.750278472900298</c:v>
                </c:pt>
                <c:pt idx="224">
                  <c:v>56.0003051757812</c:v>
                </c:pt>
                <c:pt idx="225">
                  <c:v>56.2506103515625</c:v>
                </c:pt>
                <c:pt idx="226">
                  <c:v>56.500167846679602</c:v>
                </c:pt>
                <c:pt idx="227">
                  <c:v>56.750083923339801</c:v>
                </c:pt>
                <c:pt idx="228">
                  <c:v>57.000137329101499</c:v>
                </c:pt>
                <c:pt idx="229">
                  <c:v>57.250057220458899</c:v>
                </c:pt>
                <c:pt idx="230">
                  <c:v>57.500137329101499</c:v>
                </c:pt>
                <c:pt idx="231">
                  <c:v>57.750251770019503</c:v>
                </c:pt>
                <c:pt idx="232">
                  <c:v>58.000167846679602</c:v>
                </c:pt>
                <c:pt idx="233">
                  <c:v>58.250251770019503</c:v>
                </c:pt>
                <c:pt idx="234">
                  <c:v>58.500278472900298</c:v>
                </c:pt>
                <c:pt idx="235">
                  <c:v>58.750637054443303</c:v>
                </c:pt>
                <c:pt idx="236">
                  <c:v>59.000667572021399</c:v>
                </c:pt>
                <c:pt idx="237">
                  <c:v>59.250026702880803</c:v>
                </c:pt>
                <c:pt idx="238">
                  <c:v>59.500137329101499</c:v>
                </c:pt>
                <c:pt idx="239">
                  <c:v>59.750499725341797</c:v>
                </c:pt>
                <c:pt idx="240">
                  <c:v>60.000251770019503</c:v>
                </c:pt>
                <c:pt idx="241">
                  <c:v>60.250221252441399</c:v>
                </c:pt>
                <c:pt idx="242">
                  <c:v>60.500389099121001</c:v>
                </c:pt>
                <c:pt idx="243">
                  <c:v>60.750251770019503</c:v>
                </c:pt>
                <c:pt idx="244">
                  <c:v>61.000251770019503</c:v>
                </c:pt>
                <c:pt idx="245">
                  <c:v>61.250389099121001</c:v>
                </c:pt>
                <c:pt idx="246">
                  <c:v>61.500137329101499</c:v>
                </c:pt>
                <c:pt idx="247">
                  <c:v>61.750057220458899</c:v>
                </c:pt>
                <c:pt idx="248">
                  <c:v>62.000831604003899</c:v>
                </c:pt>
                <c:pt idx="249">
                  <c:v>62.2506103515625</c:v>
                </c:pt>
                <c:pt idx="250">
                  <c:v>62.500278472900298</c:v>
                </c:pt>
                <c:pt idx="251">
                  <c:v>62.750526428222599</c:v>
                </c:pt>
                <c:pt idx="252">
                  <c:v>63.000110626220703</c:v>
                </c:pt>
                <c:pt idx="253">
                  <c:v>63.250194549560497</c:v>
                </c:pt>
                <c:pt idx="254">
                  <c:v>63.500167846679602</c:v>
                </c:pt>
                <c:pt idx="255">
                  <c:v>63.750026702880803</c:v>
                </c:pt>
                <c:pt idx="256">
                  <c:v>64.000305175781193</c:v>
                </c:pt>
                <c:pt idx="257">
                  <c:v>64.250114440917898</c:v>
                </c:pt>
                <c:pt idx="258">
                  <c:v>64.500389099120994</c:v>
                </c:pt>
                <c:pt idx="259">
                  <c:v>64.7506103515625</c:v>
                </c:pt>
                <c:pt idx="260">
                  <c:v>65.000114440917898</c:v>
                </c:pt>
                <c:pt idx="261">
                  <c:v>65.250305175781193</c:v>
                </c:pt>
                <c:pt idx="262">
                  <c:v>65.500114440917898</c:v>
                </c:pt>
                <c:pt idx="263">
                  <c:v>65.750358581542898</c:v>
                </c:pt>
                <c:pt idx="264">
                  <c:v>66.000190734863196</c:v>
                </c:pt>
                <c:pt idx="265">
                  <c:v>66.250083923339801</c:v>
                </c:pt>
                <c:pt idx="266">
                  <c:v>66.500167846679602</c:v>
                </c:pt>
                <c:pt idx="267">
                  <c:v>66.750473022460895</c:v>
                </c:pt>
                <c:pt idx="268">
                  <c:v>67.000114440917898</c:v>
                </c:pt>
                <c:pt idx="269">
                  <c:v>67.250030517578097</c:v>
                </c:pt>
                <c:pt idx="270">
                  <c:v>67.500030517578097</c:v>
                </c:pt>
                <c:pt idx="271">
                  <c:v>67.750274658203097</c:v>
                </c:pt>
                <c:pt idx="272">
                  <c:v>68.000663757324205</c:v>
                </c:pt>
                <c:pt idx="273">
                  <c:v>68.250724792480398</c:v>
                </c:pt>
                <c:pt idx="274">
                  <c:v>68.500473022460895</c:v>
                </c:pt>
                <c:pt idx="275">
                  <c:v>68.750778198242102</c:v>
                </c:pt>
                <c:pt idx="276">
                  <c:v>69.000305175781193</c:v>
                </c:pt>
                <c:pt idx="277">
                  <c:v>69.250389099120994</c:v>
                </c:pt>
                <c:pt idx="278">
                  <c:v>69.500556945800696</c:v>
                </c:pt>
                <c:pt idx="279">
                  <c:v>69.750526428222599</c:v>
                </c:pt>
                <c:pt idx="280">
                  <c:v>70.000083923339801</c:v>
                </c:pt>
                <c:pt idx="281">
                  <c:v>70.250221252441406</c:v>
                </c:pt>
                <c:pt idx="282">
                  <c:v>70.500190734863196</c:v>
                </c:pt>
                <c:pt idx="283">
                  <c:v>70.750274658203097</c:v>
                </c:pt>
                <c:pt idx="284">
                  <c:v>71.000473022460895</c:v>
                </c:pt>
                <c:pt idx="285">
                  <c:v>71.250221252441406</c:v>
                </c:pt>
                <c:pt idx="286">
                  <c:v>71.500274658203097</c:v>
                </c:pt>
                <c:pt idx="287">
                  <c:v>71.750305175781193</c:v>
                </c:pt>
                <c:pt idx="288">
                  <c:v>72.000030517578097</c:v>
                </c:pt>
              </c:numCache>
            </c:numRef>
          </c:xVal>
          <c:yVal>
            <c:numRef>
              <c:f>'SIM4'!$G$11:$G$299</c:f>
              <c:numCache>
                <c:formatCode>General</c:formatCode>
                <c:ptCount val="289"/>
                <c:pt idx="0">
                  <c:v>35558.874893188477</c:v>
                </c:pt>
                <c:pt idx="1">
                  <c:v>25083.589553832993</c:v>
                </c:pt>
                <c:pt idx="2">
                  <c:v>20986.913108825676</c:v>
                </c:pt>
                <c:pt idx="3">
                  <c:v>12102.454948425264</c:v>
                </c:pt>
                <c:pt idx="4">
                  <c:v>3326.2063264846802</c:v>
                </c:pt>
                <c:pt idx="5">
                  <c:v>-2363.7542009353633</c:v>
                </c:pt>
                <c:pt idx="6">
                  <c:v>2889.8729324340802</c:v>
                </c:pt>
                <c:pt idx="7">
                  <c:v>2406.5725564956638</c:v>
                </c:pt>
                <c:pt idx="8">
                  <c:v>-635.70021986961365</c:v>
                </c:pt>
                <c:pt idx="9">
                  <c:v>2021.6103315353389</c:v>
                </c:pt>
                <c:pt idx="10">
                  <c:v>38444.581604003761</c:v>
                </c:pt>
                <c:pt idx="11">
                  <c:v>12214.403915405255</c:v>
                </c:pt>
                <c:pt idx="12">
                  <c:v>25855.804824829091</c:v>
                </c:pt>
                <c:pt idx="13">
                  <c:v>24467.503738403306</c:v>
                </c:pt>
                <c:pt idx="14">
                  <c:v>14791.866874694821</c:v>
                </c:pt>
                <c:pt idx="15">
                  <c:v>24075.417137145982</c:v>
                </c:pt>
                <c:pt idx="16">
                  <c:v>13723.113441467267</c:v>
                </c:pt>
                <c:pt idx="17">
                  <c:v>2115.9225940704337</c:v>
                </c:pt>
                <c:pt idx="18">
                  <c:v>-859.4629168510404</c:v>
                </c:pt>
                <c:pt idx="19">
                  <c:v>7152.209901809676</c:v>
                </c:pt>
                <c:pt idx="20">
                  <c:v>-3103.2636880874616</c:v>
                </c:pt>
                <c:pt idx="21">
                  <c:v>-1097.2523331642133</c:v>
                </c:pt>
                <c:pt idx="22">
                  <c:v>3151.4683485031128</c:v>
                </c:pt>
                <c:pt idx="23">
                  <c:v>41010.119247436196</c:v>
                </c:pt>
                <c:pt idx="24">
                  <c:v>12795.959186553924</c:v>
                </c:pt>
                <c:pt idx="25">
                  <c:v>23706.643867492643</c:v>
                </c:pt>
                <c:pt idx="26">
                  <c:v>26501.346015930143</c:v>
                </c:pt>
                <c:pt idx="27">
                  <c:v>13167.237854003904</c:v>
                </c:pt>
                <c:pt idx="28">
                  <c:v>23697.439384460435</c:v>
                </c:pt>
                <c:pt idx="29">
                  <c:v>18555.868721008297</c:v>
                </c:pt>
                <c:pt idx="30">
                  <c:v>-925.40524005889552</c:v>
                </c:pt>
                <c:pt idx="31">
                  <c:v>-169.93184834718684</c:v>
                </c:pt>
                <c:pt idx="32">
                  <c:v>1656.1454057693459</c:v>
                </c:pt>
                <c:pt idx="33">
                  <c:v>2250.8945703506452</c:v>
                </c:pt>
                <c:pt idx="34">
                  <c:v>-292.71223247051233</c:v>
                </c:pt>
                <c:pt idx="35">
                  <c:v>-1956.9448471069331</c:v>
                </c:pt>
                <c:pt idx="36">
                  <c:v>40347.430801391522</c:v>
                </c:pt>
                <c:pt idx="37">
                  <c:v>13760.939025878904</c:v>
                </c:pt>
                <c:pt idx="38">
                  <c:v>20092.531585693356</c:v>
                </c:pt>
                <c:pt idx="39">
                  <c:v>25940.069961547822</c:v>
                </c:pt>
                <c:pt idx="40">
                  <c:v>12353.414440155011</c:v>
                </c:pt>
                <c:pt idx="41">
                  <c:v>20725.620460510247</c:v>
                </c:pt>
                <c:pt idx="42">
                  <c:v>21945.405006408673</c:v>
                </c:pt>
                <c:pt idx="43">
                  <c:v>185.45223623514156</c:v>
                </c:pt>
                <c:pt idx="44">
                  <c:v>840.23458957671835</c:v>
                </c:pt>
                <c:pt idx="45">
                  <c:v>-220.5933853983876</c:v>
                </c:pt>
                <c:pt idx="46">
                  <c:v>3231.1840295791621</c:v>
                </c:pt>
                <c:pt idx="47">
                  <c:v>221.40486091375342</c:v>
                </c:pt>
                <c:pt idx="48">
                  <c:v>-216.75448715686775</c:v>
                </c:pt>
                <c:pt idx="49">
                  <c:v>13414.136695861787</c:v>
                </c:pt>
                <c:pt idx="50">
                  <c:v>17073.107528686523</c:v>
                </c:pt>
                <c:pt idx="51">
                  <c:v>14480.074882507321</c:v>
                </c:pt>
                <c:pt idx="52">
                  <c:v>26241.649818420385</c:v>
                </c:pt>
                <c:pt idx="53">
                  <c:v>14109.843349456776</c:v>
                </c:pt>
                <c:pt idx="54">
                  <c:v>16095.398139953604</c:v>
                </c:pt>
                <c:pt idx="55">
                  <c:v>23848.638725280744</c:v>
                </c:pt>
                <c:pt idx="56">
                  <c:v>4044.1102981567201</c:v>
                </c:pt>
                <c:pt idx="57">
                  <c:v>594.58318948745637</c:v>
                </c:pt>
                <c:pt idx="58">
                  <c:v>-3944.8655605316162</c:v>
                </c:pt>
                <c:pt idx="59">
                  <c:v>1990.2829885482779</c:v>
                </c:pt>
                <c:pt idx="60">
                  <c:v>-694.43786144256478</c:v>
                </c:pt>
                <c:pt idx="61">
                  <c:v>264.31895792484255</c:v>
                </c:pt>
                <c:pt idx="62">
                  <c:v>2222.9867219924913</c:v>
                </c:pt>
                <c:pt idx="63">
                  <c:v>36175.032806396404</c:v>
                </c:pt>
                <c:pt idx="64">
                  <c:v>11993.518638610813</c:v>
                </c:pt>
                <c:pt idx="65">
                  <c:v>25962.224578857396</c:v>
                </c:pt>
                <c:pt idx="66">
                  <c:v>23441.119766235322</c:v>
                </c:pt>
                <c:pt idx="67">
                  <c:v>12868.912696838364</c:v>
                </c:pt>
                <c:pt idx="68">
                  <c:v>25058.835983276353</c:v>
                </c:pt>
                <c:pt idx="69">
                  <c:v>13068.28451156616</c:v>
                </c:pt>
                <c:pt idx="70">
                  <c:v>3876.4833927154195</c:v>
                </c:pt>
                <c:pt idx="71">
                  <c:v>280.62694966793038</c:v>
                </c:pt>
                <c:pt idx="72">
                  <c:v>47.69647233188148</c:v>
                </c:pt>
                <c:pt idx="73">
                  <c:v>-942.77050495147444</c:v>
                </c:pt>
                <c:pt idx="74">
                  <c:v>-627.42276191711153</c:v>
                </c:pt>
                <c:pt idx="75">
                  <c:v>6587.305355072016</c:v>
                </c:pt>
                <c:pt idx="76">
                  <c:v>18743.396759033185</c:v>
                </c:pt>
                <c:pt idx="77">
                  <c:v>15497.30587005612</c:v>
                </c:pt>
                <c:pt idx="78">
                  <c:v>17764.588737487764</c:v>
                </c:pt>
                <c:pt idx="79">
                  <c:v>26065.518379211411</c:v>
                </c:pt>
                <c:pt idx="80">
                  <c:v>13054.053783416724</c:v>
                </c:pt>
                <c:pt idx="81">
                  <c:v>19418.324661254879</c:v>
                </c:pt>
                <c:pt idx="82">
                  <c:v>22288.384437561035</c:v>
                </c:pt>
                <c:pt idx="83">
                  <c:v>-484.81233716010956</c:v>
                </c:pt>
                <c:pt idx="84">
                  <c:v>-6023.7071514129602</c:v>
                </c:pt>
                <c:pt idx="85">
                  <c:v>4325.6448268890117</c:v>
                </c:pt>
                <c:pt idx="86">
                  <c:v>-2215.1250600814801</c:v>
                </c:pt>
                <c:pt idx="87">
                  <c:v>1189.5227909088121</c:v>
                </c:pt>
                <c:pt idx="88">
                  <c:v>-1115.8318877220145</c:v>
                </c:pt>
                <c:pt idx="89">
                  <c:v>11084.241199493375</c:v>
                </c:pt>
                <c:pt idx="90">
                  <c:v>18394.330215454091</c:v>
                </c:pt>
                <c:pt idx="91">
                  <c:v>13398.444271087632</c:v>
                </c:pt>
                <c:pt idx="92">
                  <c:v>26454.06017303465</c:v>
                </c:pt>
                <c:pt idx="93">
                  <c:v>15166.73583984373</c:v>
                </c:pt>
                <c:pt idx="94">
                  <c:v>14465.7823562622</c:v>
                </c:pt>
                <c:pt idx="95">
                  <c:v>24725.069618225076</c:v>
                </c:pt>
                <c:pt idx="96">
                  <c:v>3939.5303249358963</c:v>
                </c:pt>
                <c:pt idx="97">
                  <c:v>3301.9361972808806</c:v>
                </c:pt>
                <c:pt idx="98">
                  <c:v>2537.3139381408673</c:v>
                </c:pt>
                <c:pt idx="99">
                  <c:v>2800.2968072891208</c:v>
                </c:pt>
                <c:pt idx="100">
                  <c:v>4922.8594779967916</c:v>
                </c:pt>
                <c:pt idx="101">
                  <c:v>809.61878299713123</c:v>
                </c:pt>
                <c:pt idx="102">
                  <c:v>3724.7111320495319</c:v>
                </c:pt>
                <c:pt idx="103">
                  <c:v>33289.556121826165</c:v>
                </c:pt>
                <c:pt idx="104">
                  <c:v>11686.125469207753</c:v>
                </c:pt>
                <c:pt idx="105">
                  <c:v>26584.524536132809</c:v>
                </c:pt>
                <c:pt idx="106">
                  <c:v>22394.623947143544</c:v>
                </c:pt>
                <c:pt idx="107">
                  <c:v>12509.625434875488</c:v>
                </c:pt>
                <c:pt idx="108">
                  <c:v>25387.977790832505</c:v>
                </c:pt>
                <c:pt idx="109">
                  <c:v>12443.843078613252</c:v>
                </c:pt>
                <c:pt idx="110">
                  <c:v>1456.0890913009619</c:v>
                </c:pt>
                <c:pt idx="111">
                  <c:v>-2590.2161121368376</c:v>
                </c:pt>
                <c:pt idx="112">
                  <c:v>1995.9231376647938</c:v>
                </c:pt>
                <c:pt idx="113">
                  <c:v>30.887718871235833</c:v>
                </c:pt>
                <c:pt idx="114">
                  <c:v>-707.20270872116043</c:v>
                </c:pt>
                <c:pt idx="115">
                  <c:v>3089.4515991210924</c:v>
                </c:pt>
                <c:pt idx="116">
                  <c:v>39900.13275146472</c:v>
                </c:pt>
                <c:pt idx="117">
                  <c:v>12302.964019775376</c:v>
                </c:pt>
                <c:pt idx="118">
                  <c:v>22735.943412780744</c:v>
                </c:pt>
                <c:pt idx="119">
                  <c:v>26149.697685241666</c:v>
                </c:pt>
                <c:pt idx="120">
                  <c:v>11982.632732391348</c:v>
                </c:pt>
                <c:pt idx="121">
                  <c:v>22835.452079772935</c:v>
                </c:pt>
                <c:pt idx="122">
                  <c:v>20225.164031982396</c:v>
                </c:pt>
                <c:pt idx="123">
                  <c:v>2319.1668748855582</c:v>
                </c:pt>
                <c:pt idx="124">
                  <c:v>-675.12853145599195</c:v>
                </c:pt>
                <c:pt idx="125">
                  <c:v>-1037.7958059310895</c:v>
                </c:pt>
                <c:pt idx="126">
                  <c:v>2203.136014938354</c:v>
                </c:pt>
                <c:pt idx="127">
                  <c:v>403.75187695026358</c:v>
                </c:pt>
                <c:pt idx="128">
                  <c:v>920.58155536651554</c:v>
                </c:pt>
                <c:pt idx="129">
                  <c:v>10006.887531280499</c:v>
                </c:pt>
                <c:pt idx="130">
                  <c:v>18968.134117126465</c:v>
                </c:pt>
                <c:pt idx="131">
                  <c:v>13779.680156707753</c:v>
                </c:pt>
                <c:pt idx="132">
                  <c:v>26346.564102172822</c:v>
                </c:pt>
                <c:pt idx="133">
                  <c:v>15695.140457153304</c:v>
                </c:pt>
                <c:pt idx="134">
                  <c:v>15584.230041503903</c:v>
                </c:pt>
                <c:pt idx="135">
                  <c:v>23948.442649841294</c:v>
                </c:pt>
                <c:pt idx="136">
                  <c:v>4452.3502349853243</c:v>
                </c:pt>
                <c:pt idx="137">
                  <c:v>4788.8640403747559</c:v>
                </c:pt>
                <c:pt idx="138">
                  <c:v>449.35846924781521</c:v>
                </c:pt>
                <c:pt idx="139">
                  <c:v>-4843.4257507323964</c:v>
                </c:pt>
                <c:pt idx="140">
                  <c:v>568.23590397834721</c:v>
                </c:pt>
                <c:pt idx="141">
                  <c:v>358.89976322650909</c:v>
                </c:pt>
                <c:pt idx="142">
                  <c:v>2570.0720787048313</c:v>
                </c:pt>
                <c:pt idx="143">
                  <c:v>34782.309722900376</c:v>
                </c:pt>
                <c:pt idx="144">
                  <c:v>11716.127586364715</c:v>
                </c:pt>
                <c:pt idx="145">
                  <c:v>26159.199142456044</c:v>
                </c:pt>
                <c:pt idx="146">
                  <c:v>22879.936408996546</c:v>
                </c:pt>
                <c:pt idx="147">
                  <c:v>12319.434070587144</c:v>
                </c:pt>
                <c:pt idx="148">
                  <c:v>25373.724746704091</c:v>
                </c:pt>
                <c:pt idx="149">
                  <c:v>13124.120807647692</c:v>
                </c:pt>
                <c:pt idx="150">
                  <c:v>5254.3762207031159</c:v>
                </c:pt>
                <c:pt idx="151">
                  <c:v>680.51306605338721</c:v>
                </c:pt>
                <c:pt idx="152">
                  <c:v>712.34133839607239</c:v>
                </c:pt>
                <c:pt idx="153">
                  <c:v>-480.11294603347557</c:v>
                </c:pt>
                <c:pt idx="154">
                  <c:v>-375.03359913825722</c:v>
                </c:pt>
                <c:pt idx="155">
                  <c:v>20763.583374023423</c:v>
                </c:pt>
                <c:pt idx="156">
                  <c:v>22753.296661376953</c:v>
                </c:pt>
                <c:pt idx="157">
                  <c:v>14676.24263763427</c:v>
                </c:pt>
                <c:pt idx="158">
                  <c:v>18814.208793640126</c:v>
                </c:pt>
                <c:pt idx="159">
                  <c:v>26112.826538085923</c:v>
                </c:pt>
                <c:pt idx="160">
                  <c:v>12615.264129638665</c:v>
                </c:pt>
                <c:pt idx="161">
                  <c:v>19950.214004516591</c:v>
                </c:pt>
                <c:pt idx="162">
                  <c:v>22170.253944396958</c:v>
                </c:pt>
                <c:pt idx="163">
                  <c:v>4271.8894958495875</c:v>
                </c:pt>
                <c:pt idx="164">
                  <c:v>-1424.673342704772</c:v>
                </c:pt>
                <c:pt idx="165">
                  <c:v>1337.1735692024208</c:v>
                </c:pt>
                <c:pt idx="166">
                  <c:v>-3162.9179477691646</c:v>
                </c:pt>
                <c:pt idx="167">
                  <c:v>-568.22614073753039</c:v>
                </c:pt>
                <c:pt idx="168">
                  <c:v>1277.0945549011224</c:v>
                </c:pt>
                <c:pt idx="169">
                  <c:v>7169.3138122558557</c:v>
                </c:pt>
                <c:pt idx="170">
                  <c:v>21677.194404602029</c:v>
                </c:pt>
                <c:pt idx="171">
                  <c:v>12602.501964569088</c:v>
                </c:pt>
                <c:pt idx="172">
                  <c:v>26624.343109130856</c:v>
                </c:pt>
                <c:pt idx="173">
                  <c:v>17864.993476867643</c:v>
                </c:pt>
                <c:pt idx="174">
                  <c:v>13937.158870697016</c:v>
                </c:pt>
                <c:pt idx="175">
                  <c:v>24951.305580139149</c:v>
                </c:pt>
                <c:pt idx="176">
                  <c:v>8081.5137863159161</c:v>
                </c:pt>
                <c:pt idx="177">
                  <c:v>-107.25303590297676</c:v>
                </c:pt>
                <c:pt idx="178">
                  <c:v>3401.7242431640616</c:v>
                </c:pt>
                <c:pt idx="179">
                  <c:v>-1955.3788661956776</c:v>
                </c:pt>
                <c:pt idx="180">
                  <c:v>1703.9807796478246</c:v>
                </c:pt>
                <c:pt idx="181">
                  <c:v>1764.6317481994597</c:v>
                </c:pt>
                <c:pt idx="182">
                  <c:v>1077.8381824493376</c:v>
                </c:pt>
                <c:pt idx="183">
                  <c:v>40079.268264770275</c:v>
                </c:pt>
                <c:pt idx="184">
                  <c:v>11824.68967437744</c:v>
                </c:pt>
                <c:pt idx="185">
                  <c:v>24980.098342895493</c:v>
                </c:pt>
                <c:pt idx="186">
                  <c:v>25625.804328918432</c:v>
                </c:pt>
                <c:pt idx="187">
                  <c:v>12014.964294433561</c:v>
                </c:pt>
                <c:pt idx="188">
                  <c:v>24499.534034728982</c:v>
                </c:pt>
                <c:pt idx="189">
                  <c:v>16802.128028869596</c:v>
                </c:pt>
                <c:pt idx="190">
                  <c:v>922.917652130124</c:v>
                </c:pt>
                <c:pt idx="191">
                  <c:v>5913.2808208465558</c:v>
                </c:pt>
                <c:pt idx="192">
                  <c:v>7801.128101348856</c:v>
                </c:pt>
                <c:pt idx="193">
                  <c:v>-3.0771712074056254</c:v>
                </c:pt>
                <c:pt idx="194">
                  <c:v>-319.42518353462197</c:v>
                </c:pt>
                <c:pt idx="195">
                  <c:v>5775.4981040954399</c:v>
                </c:pt>
                <c:pt idx="196">
                  <c:v>15819.739151000977</c:v>
                </c:pt>
                <c:pt idx="197">
                  <c:v>16093.436050415017</c:v>
                </c:pt>
                <c:pt idx="198">
                  <c:v>16043.990707397448</c:v>
                </c:pt>
                <c:pt idx="199">
                  <c:v>26130.358314514149</c:v>
                </c:pt>
                <c:pt idx="200">
                  <c:v>13242.319107055631</c:v>
                </c:pt>
                <c:pt idx="201">
                  <c:v>17991.180038452138</c:v>
                </c:pt>
                <c:pt idx="202">
                  <c:v>22921.505928039529</c:v>
                </c:pt>
                <c:pt idx="203">
                  <c:v>1045.084011554718</c:v>
                </c:pt>
                <c:pt idx="204">
                  <c:v>7339.2911911010515</c:v>
                </c:pt>
                <c:pt idx="205">
                  <c:v>3276.4410495758052</c:v>
                </c:pt>
                <c:pt idx="206">
                  <c:v>-972.0122694969167</c:v>
                </c:pt>
                <c:pt idx="207">
                  <c:v>2979.0424346923801</c:v>
                </c:pt>
                <c:pt idx="208">
                  <c:v>1066.7641997337334</c:v>
                </c:pt>
                <c:pt idx="209">
                  <c:v>4061.602592468244</c:v>
                </c:pt>
                <c:pt idx="210">
                  <c:v>27421.463012695309</c:v>
                </c:pt>
                <c:pt idx="211">
                  <c:v>12071.700096130367</c:v>
                </c:pt>
                <c:pt idx="212">
                  <c:v>26536.914253234834</c:v>
                </c:pt>
                <c:pt idx="213">
                  <c:v>21303.535652160626</c:v>
                </c:pt>
                <c:pt idx="214">
                  <c:v>13134.72604751586</c:v>
                </c:pt>
                <c:pt idx="215">
                  <c:v>25213.200759887688</c:v>
                </c:pt>
                <c:pt idx="216">
                  <c:v>11125.832176208483</c:v>
                </c:pt>
                <c:pt idx="217">
                  <c:v>-2973.144578933714</c:v>
                </c:pt>
                <c:pt idx="218">
                  <c:v>3766.9067859649322</c:v>
                </c:pt>
                <c:pt idx="219">
                  <c:v>-499.21413660049319</c:v>
                </c:pt>
                <c:pt idx="220">
                  <c:v>-1649.7586369514447</c:v>
                </c:pt>
                <c:pt idx="221">
                  <c:v>134.73122119903547</c:v>
                </c:pt>
                <c:pt idx="222">
                  <c:v>7647.6130485534368</c:v>
                </c:pt>
                <c:pt idx="223">
                  <c:v>34284.862518310547</c:v>
                </c:pt>
                <c:pt idx="224">
                  <c:v>12320.348167419408</c:v>
                </c:pt>
                <c:pt idx="225">
                  <c:v>23313.096427917455</c:v>
                </c:pt>
                <c:pt idx="226">
                  <c:v>26191.414833068844</c:v>
                </c:pt>
                <c:pt idx="227">
                  <c:v>12045.092582702629</c:v>
                </c:pt>
                <c:pt idx="228">
                  <c:v>23214.581680297822</c:v>
                </c:pt>
                <c:pt idx="229">
                  <c:v>19568.876838684046</c:v>
                </c:pt>
                <c:pt idx="230">
                  <c:v>1680.4911732673643</c:v>
                </c:pt>
                <c:pt idx="231">
                  <c:v>-4087.1269226073964</c:v>
                </c:pt>
                <c:pt idx="232">
                  <c:v>-305.1996052265165</c:v>
                </c:pt>
                <c:pt idx="233">
                  <c:v>112.63885796070072</c:v>
                </c:pt>
                <c:pt idx="234">
                  <c:v>2073.2915639877301</c:v>
                </c:pt>
                <c:pt idx="235">
                  <c:v>1410.8039617538448</c:v>
                </c:pt>
                <c:pt idx="236">
                  <c:v>12223.022174835192</c:v>
                </c:pt>
                <c:pt idx="237">
                  <c:v>17901.294708251953</c:v>
                </c:pt>
                <c:pt idx="238">
                  <c:v>14252.007293701165</c:v>
                </c:pt>
                <c:pt idx="239">
                  <c:v>26330.352401733373</c:v>
                </c:pt>
                <c:pt idx="240">
                  <c:v>14584.532546997074</c:v>
                </c:pt>
                <c:pt idx="241">
                  <c:v>16122.963523864717</c:v>
                </c:pt>
                <c:pt idx="242">
                  <c:v>23735.235786437988</c:v>
                </c:pt>
                <c:pt idx="243">
                  <c:v>3705.2134037017559</c:v>
                </c:pt>
                <c:pt idx="244">
                  <c:v>-452.36018300056196</c:v>
                </c:pt>
                <c:pt idx="245">
                  <c:v>2851.8396377563477</c:v>
                </c:pt>
                <c:pt idx="246">
                  <c:v>616.5158271789528</c:v>
                </c:pt>
                <c:pt idx="247">
                  <c:v>3747.3622798919396</c:v>
                </c:pt>
                <c:pt idx="248">
                  <c:v>1587.2648835182183</c:v>
                </c:pt>
                <c:pt idx="249">
                  <c:v>5903.5068511962845</c:v>
                </c:pt>
                <c:pt idx="250">
                  <c:v>24842.89798736569</c:v>
                </c:pt>
                <c:pt idx="251">
                  <c:v>11945.195960998537</c:v>
                </c:pt>
                <c:pt idx="252">
                  <c:v>26633.772468566891</c:v>
                </c:pt>
                <c:pt idx="253">
                  <c:v>19754.092597961411</c:v>
                </c:pt>
                <c:pt idx="254">
                  <c:v>12791.829872131344</c:v>
                </c:pt>
                <c:pt idx="255">
                  <c:v>25550.110244750977</c:v>
                </c:pt>
                <c:pt idx="256">
                  <c:v>10178.495693206776</c:v>
                </c:pt>
                <c:pt idx="257">
                  <c:v>2082.076120376586</c:v>
                </c:pt>
                <c:pt idx="258">
                  <c:v>3852.5293350219599</c:v>
                </c:pt>
                <c:pt idx="259">
                  <c:v>2519.3253278732291</c:v>
                </c:pt>
                <c:pt idx="260">
                  <c:v>-2132.8196525573721</c:v>
                </c:pt>
                <c:pt idx="261">
                  <c:v>-479.75326180457762</c:v>
                </c:pt>
                <c:pt idx="262">
                  <c:v>1833.8614940643299</c:v>
                </c:pt>
                <c:pt idx="263">
                  <c:v>40530.239868164033</c:v>
                </c:pt>
                <c:pt idx="264">
                  <c:v>12083.975601196284</c:v>
                </c:pt>
                <c:pt idx="265">
                  <c:v>23959.353446960435</c:v>
                </c:pt>
                <c:pt idx="266">
                  <c:v>26120.455169677702</c:v>
                </c:pt>
                <c:pt idx="267">
                  <c:v>12030.386352539041</c:v>
                </c:pt>
                <c:pt idx="268">
                  <c:v>23728.371047973611</c:v>
                </c:pt>
                <c:pt idx="269">
                  <c:v>18669.153213500977</c:v>
                </c:pt>
                <c:pt idx="270">
                  <c:v>3259.3474388122559</c:v>
                </c:pt>
                <c:pt idx="271">
                  <c:v>214.6367490291594</c:v>
                </c:pt>
                <c:pt idx="272">
                  <c:v>2133.8618516921988</c:v>
                </c:pt>
                <c:pt idx="273">
                  <c:v>-1546.7810153961168</c:v>
                </c:pt>
                <c:pt idx="274">
                  <c:v>-31.10959120094773</c:v>
                </c:pt>
                <c:pt idx="275">
                  <c:v>11006.65798187256</c:v>
                </c:pt>
                <c:pt idx="276">
                  <c:v>15414.886093139639</c:v>
                </c:pt>
                <c:pt idx="277">
                  <c:v>16418.67427825927</c:v>
                </c:pt>
                <c:pt idx="278">
                  <c:v>15662.499046325676</c:v>
                </c:pt>
                <c:pt idx="279">
                  <c:v>26034.044265747074</c:v>
                </c:pt>
                <c:pt idx="280">
                  <c:v>13524.638557434049</c:v>
                </c:pt>
                <c:pt idx="281">
                  <c:v>17555.388450622559</c:v>
                </c:pt>
                <c:pt idx="282">
                  <c:v>23038.609886169408</c:v>
                </c:pt>
                <c:pt idx="283">
                  <c:v>4012.3692512512198</c:v>
                </c:pt>
                <c:pt idx="284">
                  <c:v>1288.7740731239317</c:v>
                </c:pt>
                <c:pt idx="285">
                  <c:v>988.58596086501836</c:v>
                </c:pt>
                <c:pt idx="286">
                  <c:v>841.27212166786205</c:v>
                </c:pt>
                <c:pt idx="287">
                  <c:v>-3367.2861814498883</c:v>
                </c:pt>
                <c:pt idx="288">
                  <c:v>-837.17027306556486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19-498A-A9E7-67C7AD1D7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GB"/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541020</xdr:colOff>
      <xdr:row>9</xdr:row>
      <xdr:rowOff>7620</xdr:rowOff>
    </xdr:from>
    <xdr:to>
      <xdr:col>23</xdr:col>
      <xdr:colOff>26670</xdr:colOff>
      <xdr:row>29</xdr:row>
      <xdr:rowOff>102870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11</xdr:row>
      <xdr:rowOff>30480</xdr:rowOff>
    </xdr:from>
    <xdr:to>
      <xdr:col>24</xdr:col>
      <xdr:colOff>590550</xdr:colOff>
      <xdr:row>31</xdr:row>
      <xdr:rowOff>125730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213360</xdr:colOff>
      <xdr:row>10</xdr:row>
      <xdr:rowOff>106680</xdr:rowOff>
    </xdr:from>
    <xdr:to>
      <xdr:col>22</xdr:col>
      <xdr:colOff>308610</xdr:colOff>
      <xdr:row>31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91440</xdr:colOff>
      <xdr:row>9</xdr:row>
      <xdr:rowOff>121920</xdr:rowOff>
    </xdr:from>
    <xdr:to>
      <xdr:col>22</xdr:col>
      <xdr:colOff>186690</xdr:colOff>
      <xdr:row>30</xdr:row>
      <xdr:rowOff>34290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5" sqref="B5"/>
    </sheetView>
  </sheetViews>
  <sheetFormatPr defaultRowHeight="14.4" x14ac:dyDescent="0.3"/>
  <cols>
    <col min="1" max="1" width="42.44140625" bestFit="1" customWidth="1"/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21</v>
      </c>
    </row>
    <row r="3" spans="1:2" x14ac:dyDescent="0.3">
      <c r="A3" t="s">
        <v>3</v>
      </c>
      <c r="B3" t="s">
        <v>22</v>
      </c>
    </row>
    <row r="4" spans="1:2" x14ac:dyDescent="0.3">
      <c r="A4" t="s">
        <v>4</v>
      </c>
      <c r="B4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9"/>
  <sheetViews>
    <sheetView workbookViewId="0">
      <selection activeCell="J6" sqref="J6"/>
    </sheetView>
  </sheetViews>
  <sheetFormatPr defaultRowHeight="14.4" x14ac:dyDescent="0.3"/>
  <sheetData>
    <row r="1" spans="1:11" x14ac:dyDescent="0.3">
      <c r="A1" s="2" t="s">
        <v>5</v>
      </c>
      <c r="B1" s="2" t="s">
        <v>5</v>
      </c>
      <c r="C1" s="2" t="s">
        <v>5</v>
      </c>
      <c r="D1" s="1"/>
      <c r="E1" s="2" t="s">
        <v>6</v>
      </c>
      <c r="F1" s="2" t="s">
        <v>7</v>
      </c>
      <c r="G1" s="2" t="s">
        <v>7</v>
      </c>
    </row>
    <row r="2" spans="1:11" x14ac:dyDescent="0.3">
      <c r="A2" s="1" t="s">
        <v>8</v>
      </c>
      <c r="B2" s="1" t="s">
        <v>9</v>
      </c>
      <c r="C2" s="1" t="s">
        <v>10</v>
      </c>
      <c r="D2" s="1"/>
      <c r="E2" s="1" t="str">
        <f>Legends!B2</f>
        <v>Liquid at Outlet</v>
      </c>
      <c r="F2" s="1" t="str">
        <f>Legends!B3</f>
        <v>Liquid Velocity</v>
      </c>
      <c r="G2" s="1" t="str">
        <f>Legends!B4</f>
        <v>Gas Velocity</v>
      </c>
      <c r="I2" s="3" t="s">
        <v>11</v>
      </c>
    </row>
    <row r="3" spans="1:11" x14ac:dyDescent="0.3">
      <c r="A3">
        <f>MIN($A$11:$A$299)</f>
        <v>0</v>
      </c>
      <c r="B3">
        <f>MIN($B$11:$B$299)</f>
        <v>0</v>
      </c>
      <c r="C3">
        <f>MIN($C$11:$C$299)</f>
        <v>0</v>
      </c>
      <c r="D3" s="1" t="s">
        <v>12</v>
      </c>
      <c r="E3">
        <f>MIN($E$11:$E$299)</f>
        <v>8.4849074482917699E-3</v>
      </c>
      <c r="F3">
        <f>MIN($F$11:$F$299)</f>
        <v>4.68322706222534</v>
      </c>
      <c r="G3">
        <f>MIN($G$11:$G$299)</f>
        <v>9.7441740036010707</v>
      </c>
    </row>
    <row r="4" spans="1:11" x14ac:dyDescent="0.3">
      <c r="A4">
        <f>MEDIAN($A$11:$A$299)</f>
        <v>36.000167846679602</v>
      </c>
      <c r="B4">
        <f>MEDIAN($B$11:$B$299)</f>
        <v>36.000167846679602</v>
      </c>
      <c r="C4">
        <f>MEDIAN($C$11:$C$299)</f>
        <v>36.000167846679602</v>
      </c>
      <c r="D4" s="1" t="s">
        <v>13</v>
      </c>
      <c r="E4">
        <f>MEDIAN($E$11:$E$299)</f>
        <v>9.8378537222743E-3</v>
      </c>
      <c r="F4">
        <f>MEDIAN($F$11:$F$299)</f>
        <v>4.81339311599731</v>
      </c>
      <c r="G4">
        <f>MEDIAN($G$11:$G$299)</f>
        <v>9.7442693710327095</v>
      </c>
    </row>
    <row r="5" spans="1:11" x14ac:dyDescent="0.3">
      <c r="A5">
        <f>MAX($A$11:$A$299)</f>
        <v>72.000274658203097</v>
      </c>
      <c r="B5">
        <f>MAX($B$11:$B$299)</f>
        <v>72.000274658203097</v>
      </c>
      <c r="C5">
        <f>MAX($C$11:$C$299)</f>
        <v>72.000274658203097</v>
      </c>
      <c r="D5" s="1" t="s">
        <v>14</v>
      </c>
      <c r="E5">
        <f>MAX($E$11:$E$299)</f>
        <v>1.8990140408277501E-2</v>
      </c>
      <c r="F5">
        <f>MAX($F$11:$F$299)</f>
        <v>7.1813378334045401</v>
      </c>
      <c r="G5">
        <f>MAX($G$11:$G$299)</f>
        <v>13.0239000320434</v>
      </c>
    </row>
    <row r="6" spans="1:11" x14ac:dyDescent="0.3">
      <c r="A6">
        <f>$A5-$A3</f>
        <v>72.000274658203097</v>
      </c>
      <c r="B6">
        <f>$B5-$B3</f>
        <v>72.000274658203097</v>
      </c>
      <c r="C6">
        <f>$C5-$C3</f>
        <v>72.000274658203097</v>
      </c>
      <c r="D6" s="1" t="s">
        <v>15</v>
      </c>
      <c r="E6">
        <f>$E5-$E3</f>
        <v>1.0505232959985731E-2</v>
      </c>
      <c r="F6">
        <f>$F5-$F3</f>
        <v>2.4981107711792001</v>
      </c>
      <c r="G6">
        <f>$G5-$G3</f>
        <v>3.2797260284423295</v>
      </c>
    </row>
    <row r="7" spans="1:11" x14ac:dyDescent="0.3">
      <c r="A7" s="2" t="s">
        <v>5</v>
      </c>
      <c r="B7" s="2" t="s">
        <v>5</v>
      </c>
      <c r="C7" s="2" t="s">
        <v>5</v>
      </c>
      <c r="D7" s="1"/>
      <c r="E7" s="2" t="s">
        <v>6</v>
      </c>
      <c r="F7" s="2" t="s">
        <v>7</v>
      </c>
      <c r="G7" s="2" t="s">
        <v>7</v>
      </c>
    </row>
    <row r="8" spans="1:11" x14ac:dyDescent="0.3">
      <c r="A8">
        <v>0</v>
      </c>
      <c r="B8">
        <v>0</v>
      </c>
      <c r="C8">
        <v>0</v>
      </c>
      <c r="D8" s="1" t="s">
        <v>16</v>
      </c>
      <c r="E8">
        <v>0</v>
      </c>
      <c r="F8">
        <v>0</v>
      </c>
      <c r="G8">
        <v>0</v>
      </c>
    </row>
    <row r="9" spans="1:11" x14ac:dyDescent="0.3">
      <c r="A9">
        <v>1</v>
      </c>
      <c r="B9">
        <v>1</v>
      </c>
      <c r="C9">
        <v>1</v>
      </c>
      <c r="D9" s="1" t="s">
        <v>17</v>
      </c>
      <c r="E9">
        <v>1</v>
      </c>
      <c r="F9">
        <v>1</v>
      </c>
      <c r="G9">
        <v>1</v>
      </c>
    </row>
    <row r="10" spans="1:11" x14ac:dyDescent="0.3">
      <c r="A10" s="1" t="s">
        <v>8</v>
      </c>
      <c r="B10" s="1" t="s">
        <v>9</v>
      </c>
      <c r="C10" s="1" t="s">
        <v>10</v>
      </c>
      <c r="D10" s="1"/>
      <c r="E10" s="1" t="str">
        <f>Legends!B2</f>
        <v>Liquid at Outlet</v>
      </c>
      <c r="F10" s="1" t="str">
        <f>Legends!B3</f>
        <v>Liquid Velocity</v>
      </c>
      <c r="G10" s="1" t="str">
        <f>Legends!B4</f>
        <v>Gas Velocity</v>
      </c>
    </row>
    <row r="11" spans="1:11" x14ac:dyDescent="0.3">
      <c r="A11">
        <f>A$9 * (0 -A$8)</f>
        <v>0</v>
      </c>
      <c r="B11">
        <f>B$9 * (0 -B$8)</f>
        <v>0</v>
      </c>
      <c r="C11">
        <f>C$9 * (0 -C$8)</f>
        <v>0</v>
      </c>
      <c r="E11">
        <f>E$9 * (0.0189901404082775 -E$8)</f>
        <v>1.8990140408277501E-2</v>
      </c>
      <c r="F11">
        <f>F$9 * (6.97602319717407 -F$8)</f>
        <v>6.9760231971740696</v>
      </c>
      <c r="G11">
        <f>G$9 * (9.87746524810791 -G$8)</f>
        <v>9.8774652481079102</v>
      </c>
      <c r="I11">
        <f>E11*3600</f>
        <v>68.364505469798999</v>
      </c>
      <c r="J11">
        <f t="shared" ref="J11:K11" si="0">F11*3600</f>
        <v>25113.683509826649</v>
      </c>
      <c r="K11">
        <f t="shared" si="0"/>
        <v>35558.874893188477</v>
      </c>
    </row>
    <row r="12" spans="1:11" x14ac:dyDescent="0.3">
      <c r="A12">
        <f>A$9 * (0.250451177358627 -A$8)</f>
        <v>0.25045117735862699</v>
      </c>
      <c r="B12">
        <f>B$9 * (0.250451177358627 -B$8)</f>
        <v>0.25045117735862699</v>
      </c>
      <c r="C12">
        <f>C$9 * (0.250451177358627 -C$8)</f>
        <v>0.25045117735862699</v>
      </c>
      <c r="E12">
        <f>E$9 * (0.0123529797419905 -E$8)</f>
        <v>1.23529797419905E-2</v>
      </c>
      <c r="F12">
        <f>F$9 * (7.18133783340454 -F$8)</f>
        <v>7.1813378334045401</v>
      </c>
      <c r="G12">
        <f>G$9 * (13.0239000320434 -G$8)</f>
        <v>13.0239000320434</v>
      </c>
      <c r="I12">
        <f t="shared" ref="I12:I75" si="1">E12*3600</f>
        <v>44.470727071165804</v>
      </c>
      <c r="J12">
        <f t="shared" ref="J12:J75" si="2">F12*3600</f>
        <v>25852.816200256344</v>
      </c>
      <c r="K12">
        <f t="shared" ref="K12:K75" si="3">G12*3600</f>
        <v>46886.040115356242</v>
      </c>
    </row>
    <row r="13" spans="1:11" x14ac:dyDescent="0.3">
      <c r="A13">
        <f>A$9 * (0.500372529029846 -A$8)</f>
        <v>0.50037252902984597</v>
      </c>
      <c r="B13">
        <f>B$9 * (0.500372529029846 -B$8)</f>
        <v>0.50037252902984597</v>
      </c>
      <c r="C13">
        <f>C$9 * (0.500372529029846 -C$8)</f>
        <v>0.50037252902984597</v>
      </c>
      <c r="E13">
        <f>E$9 * (0.00876795127987861 -E$8)</f>
        <v>8.7679512798786094E-3</v>
      </c>
      <c r="F13">
        <f>F$9 * (5.20924806594848 -F$8)</f>
        <v>5.2092480659484801</v>
      </c>
      <c r="G13">
        <f>G$9 * (11.3920698165893 -G$8)</f>
        <v>11.3920698165893</v>
      </c>
      <c r="I13">
        <f t="shared" si="1"/>
        <v>31.564624607562994</v>
      </c>
      <c r="J13">
        <f t="shared" si="2"/>
        <v>18753.293037414529</v>
      </c>
      <c r="K13">
        <f t="shared" si="3"/>
        <v>41011.451339721483</v>
      </c>
    </row>
    <row r="14" spans="1:11" x14ac:dyDescent="0.3">
      <c r="A14">
        <f>A$9 * (0.750264465808868 -A$8)</f>
        <v>0.75026446580886796</v>
      </c>
      <c r="B14">
        <f>B$9 * (0.750264465808868 -B$8)</f>
        <v>0.75026446580886796</v>
      </c>
      <c r="C14">
        <f>C$9 * (0.750264465808868 -C$8)</f>
        <v>0.75026446580886796</v>
      </c>
      <c r="E14">
        <f>E$9 * (0.0113582797348499 -E$8)</f>
        <v>1.13582797348499E-2</v>
      </c>
      <c r="F14">
        <f>F$9 * (5.98395109176635 -F$8)</f>
        <v>5.9839510917663503</v>
      </c>
      <c r="G14">
        <f>G$9 * (11.1697397232055 -G$8)</f>
        <v>11.169739723205501</v>
      </c>
      <c r="I14">
        <f t="shared" si="1"/>
        <v>40.889807045459641</v>
      </c>
      <c r="J14">
        <f t="shared" si="2"/>
        <v>21542.223930358861</v>
      </c>
      <c r="K14">
        <f t="shared" si="3"/>
        <v>40211.063003539799</v>
      </c>
    </row>
    <row r="15" spans="1:11" x14ac:dyDescent="0.3">
      <c r="A15">
        <f>A$9 * (1.00022971630096 -A$8)</f>
        <v>1.0002297163009599</v>
      </c>
      <c r="B15">
        <f>B$9 * (1.00022971630096 -B$8)</f>
        <v>1.0002297163009599</v>
      </c>
      <c r="C15">
        <f>C$9 * (1.00022971630096 -C$8)</f>
        <v>1.0002297163009599</v>
      </c>
      <c r="E15">
        <f>E$9 * (0.00939853675663471 -E$8)</f>
        <v>9.3985367566347105E-3</v>
      </c>
      <c r="F15">
        <f>F$9 * (5.2784719467163 -F$8)</f>
        <v>5.2784719467162997</v>
      </c>
      <c r="G15">
        <f>G$9 * (11.0152196884155 -G$8)</f>
        <v>11.015219688415501</v>
      </c>
      <c r="I15">
        <f t="shared" si="1"/>
        <v>33.834732323884957</v>
      </c>
      <c r="J15">
        <f t="shared" si="2"/>
        <v>19002.499008178678</v>
      </c>
      <c r="K15">
        <f t="shared" si="3"/>
        <v>39654.790878295804</v>
      </c>
    </row>
    <row r="16" spans="1:11" x14ac:dyDescent="0.3">
      <c r="A16">
        <f>A$9 * (1.25001311302185 -A$8)</f>
        <v>1.2500131130218499</v>
      </c>
      <c r="B16">
        <f>B$9 * (1.25001311302185 -B$8)</f>
        <v>1.2500131130218499</v>
      </c>
      <c r="C16">
        <f>C$9 * (1.25001311302185 -C$8)</f>
        <v>1.2500131130218499</v>
      </c>
      <c r="E16">
        <f>E$9 * (0.0106283100321888 -E$8)</f>
        <v>1.06283100321888E-2</v>
      </c>
      <c r="F16">
        <f>F$9 * (5.14639520645141 -F$8)</f>
        <v>5.1463952064514098</v>
      </c>
      <c r="G16">
        <f>G$9 * (9.85121631622314 -G$8)</f>
        <v>9.8512163162231392</v>
      </c>
      <c r="I16">
        <f t="shared" si="1"/>
        <v>38.261916115879679</v>
      </c>
      <c r="J16">
        <f t="shared" si="2"/>
        <v>18527.022743225076</v>
      </c>
      <c r="K16">
        <f t="shared" si="3"/>
        <v>35464.378738403298</v>
      </c>
    </row>
    <row r="17" spans="1:11" x14ac:dyDescent="0.3">
      <c r="A17">
        <f>A$9 * (1.50012111663818 -A$8)</f>
        <v>1.50012111663818</v>
      </c>
      <c r="B17">
        <f>B$9 * (1.50012111663818 -B$8)</f>
        <v>1.50012111663818</v>
      </c>
      <c r="C17">
        <f>C$9 * (1.50012111663818 -C$8)</f>
        <v>1.50012111663818</v>
      </c>
      <c r="E17">
        <f>E$9 * (0.00895081739872694 -E$8)</f>
        <v>8.9508173987269402E-3</v>
      </c>
      <c r="F17">
        <f>F$9 * (5.00681018829345 -F$8)</f>
        <v>5.0068101882934499</v>
      </c>
      <c r="G17">
        <f>G$9 * (10.7459001541137 -G$8)</f>
        <v>10.7459001541137</v>
      </c>
      <c r="I17">
        <f t="shared" si="1"/>
        <v>32.222942635416985</v>
      </c>
      <c r="J17">
        <f t="shared" si="2"/>
        <v>18024.51667785642</v>
      </c>
      <c r="K17">
        <f t="shared" si="3"/>
        <v>38685.240554809323</v>
      </c>
    </row>
    <row r="18" spans="1:11" x14ac:dyDescent="0.3">
      <c r="A18">
        <f>A$9 * (1.75032866001129 -A$8)</f>
        <v>1.7503286600112899</v>
      </c>
      <c r="B18">
        <f>B$9 * (1.75032866001129 -B$8)</f>
        <v>1.7503286600112899</v>
      </c>
      <c r="C18">
        <f>C$9 * (1.75032866001129 -C$8)</f>
        <v>1.7503286600112899</v>
      </c>
      <c r="E18">
        <f>E$9 * (0.00883944518864154 -E$8)</f>
        <v>8.8394451886415395E-3</v>
      </c>
      <c r="F18">
        <f>F$9 * (4.73760318756103 -F$8)</f>
        <v>4.7376031875610298</v>
      </c>
      <c r="G18">
        <f>G$9 * (10.1899499893188 -G$8)</f>
        <v>10.1899499893188</v>
      </c>
      <c r="I18">
        <f t="shared" si="1"/>
        <v>31.822002679109541</v>
      </c>
      <c r="J18">
        <f t="shared" si="2"/>
        <v>17055.371475219708</v>
      </c>
      <c r="K18">
        <f t="shared" si="3"/>
        <v>36683.819961547677</v>
      </c>
    </row>
    <row r="19" spans="1:11" x14ac:dyDescent="0.3">
      <c r="A19">
        <f>A$9 * (2.000328540802 -A$8)</f>
        <v>2.0003285408020002</v>
      </c>
      <c r="B19">
        <f>B$9 * (2.000328540802 -B$8)</f>
        <v>2.0003285408020002</v>
      </c>
      <c r="C19">
        <f>C$9 * (2.000328540802 -C$8)</f>
        <v>2.0003285408020002</v>
      </c>
      <c r="E19">
        <f>E$9 * (0.0100758504122495 -E$8)</f>
        <v>1.0075850412249499E-2</v>
      </c>
      <c r="F19">
        <f>F$9 * (5.1983528137207 -F$8)</f>
        <v>5.1983528137206996</v>
      </c>
      <c r="G19">
        <f>G$9 * (10.3284101486206 -G$8)</f>
        <v>10.3284101486206</v>
      </c>
      <c r="I19">
        <f t="shared" si="1"/>
        <v>36.2730614840982</v>
      </c>
      <c r="J19">
        <f t="shared" si="2"/>
        <v>18714.070129394517</v>
      </c>
      <c r="K19">
        <f t="shared" si="3"/>
        <v>37182.276535034158</v>
      </c>
    </row>
    <row r="20" spans="1:11" x14ac:dyDescent="0.3">
      <c r="A20">
        <f>A$9 * (2.2502760887146 -A$8)</f>
        <v>2.2502760887146001</v>
      </c>
      <c r="B20">
        <f>B$9 * (2.2502760887146 -B$8)</f>
        <v>2.2502760887146001</v>
      </c>
      <c r="C20">
        <f>C$9 * (2.2502760887146 -C$8)</f>
        <v>2.2502760887146001</v>
      </c>
      <c r="E20">
        <f>E$9 * (0.00848490744829177 -E$8)</f>
        <v>8.4849074482917699E-3</v>
      </c>
      <c r="F20">
        <f>F$9 * (4.68322706222534 -F$8)</f>
        <v>4.68322706222534</v>
      </c>
      <c r="G20">
        <f>G$9 * (10.3659601211547 -G$8)</f>
        <v>10.3659601211547</v>
      </c>
      <c r="I20">
        <f t="shared" si="1"/>
        <v>30.545666813850371</v>
      </c>
      <c r="J20">
        <f t="shared" si="2"/>
        <v>16859.617424011223</v>
      </c>
      <c r="K20">
        <f t="shared" si="3"/>
        <v>37317.456436156921</v>
      </c>
    </row>
    <row r="21" spans="1:11" x14ac:dyDescent="0.3">
      <c r="A21">
        <f>A$9 * (2.50030422210693 -A$8)</f>
        <v>2.50030422210693</v>
      </c>
      <c r="B21">
        <f>B$9 * (2.50030422210693 -B$8)</f>
        <v>2.50030422210693</v>
      </c>
      <c r="C21">
        <f>C$9 * (2.50030422210693 -C$8)</f>
        <v>2.50030422210693</v>
      </c>
      <c r="E21">
        <f>E$9 * (0.0101656904444098 -E$8)</f>
        <v>1.01656904444098E-2</v>
      </c>
      <c r="F21">
        <f>F$9 * (5.07038497924804 -F$8)</f>
        <v>5.0703849792480398</v>
      </c>
      <c r="G21">
        <f>G$9 * (9.99437522888183 -G$8)</f>
        <v>9.9943752288818306</v>
      </c>
      <c r="I21">
        <f t="shared" si="1"/>
        <v>36.59648559987528</v>
      </c>
      <c r="J21">
        <f t="shared" si="2"/>
        <v>18253.385925292943</v>
      </c>
      <c r="K21">
        <f t="shared" si="3"/>
        <v>35979.750823974588</v>
      </c>
    </row>
    <row r="22" spans="1:11" x14ac:dyDescent="0.3">
      <c r="A22">
        <f>A$9 * (2.7503318786621 -A$8)</f>
        <v>2.7503318786621</v>
      </c>
      <c r="B22">
        <f>B$9 * (2.7503318786621 -B$8)</f>
        <v>2.7503318786621</v>
      </c>
      <c r="C22">
        <f>C$9 * (2.7503318786621 -C$8)</f>
        <v>2.7503318786621</v>
      </c>
      <c r="E22">
        <f>E$9 * (0.00920781027525663 -E$8)</f>
        <v>9.2078102752566303E-3</v>
      </c>
      <c r="F22">
        <f>F$9 * (4.88818502426147 -F$8)</f>
        <v>4.8881850242614702</v>
      </c>
      <c r="G22">
        <f>G$9 * (10.2712097167968 -G$8)</f>
        <v>10.2712097167968</v>
      </c>
      <c r="I22">
        <f t="shared" si="1"/>
        <v>33.148116990923867</v>
      </c>
      <c r="J22">
        <f t="shared" si="2"/>
        <v>17597.466087341294</v>
      </c>
      <c r="K22">
        <f t="shared" si="3"/>
        <v>36976.354980468481</v>
      </c>
    </row>
    <row r="23" spans="1:11" x14ac:dyDescent="0.3">
      <c r="A23">
        <f>A$9 * (3.00036120414733 -A$8)</f>
        <v>3.00036120414733</v>
      </c>
      <c r="B23">
        <f>B$9 * (3.00036120414733 -B$8)</f>
        <v>3.00036120414733</v>
      </c>
      <c r="C23">
        <f>C$9 * (3.00036120414733 -C$8)</f>
        <v>3.00036120414733</v>
      </c>
      <c r="E23">
        <f>E$9 * (0.00929384026676416 -E$8)</f>
        <v>9.2938402667641605E-3</v>
      </c>
      <c r="F23">
        <f>F$9 * (4.81830883026123 -F$8)</f>
        <v>4.8183088302612296</v>
      </c>
      <c r="G23">
        <f>G$9 * (10.0455598831176 -G$8)</f>
        <v>10.045559883117599</v>
      </c>
      <c r="I23">
        <f t="shared" si="1"/>
        <v>33.457824960350976</v>
      </c>
      <c r="J23">
        <f t="shared" si="2"/>
        <v>17345.911788940426</v>
      </c>
      <c r="K23">
        <f t="shared" si="3"/>
        <v>36164.015579223356</v>
      </c>
    </row>
    <row r="24" spans="1:11" x14ac:dyDescent="0.3">
      <c r="A24">
        <f>A$9 * (3.25038886070251 -A$8)</f>
        <v>3.2503888607025102</v>
      </c>
      <c r="B24">
        <f>B$9 * (3.25038886070251 -B$8)</f>
        <v>3.2503888607025102</v>
      </c>
      <c r="C24">
        <f>C$9 * (3.25038886070251 -C$8)</f>
        <v>3.2503888607025102</v>
      </c>
      <c r="E24">
        <f>E$9 * (0.00979326572269201 -E$8)</f>
        <v>9.7932657226920093E-3</v>
      </c>
      <c r="F24">
        <f>F$9 * (5.0300588607788 -F$8)</f>
        <v>5.0300588607787997</v>
      </c>
      <c r="G24">
        <f>G$9 * (10.1696901321411 -G$8)</f>
        <v>10.169690132141101</v>
      </c>
      <c r="I24">
        <f t="shared" si="1"/>
        <v>35.255756601691232</v>
      </c>
      <c r="J24">
        <f t="shared" si="2"/>
        <v>18108.211898803678</v>
      </c>
      <c r="K24">
        <f t="shared" si="3"/>
        <v>36610.884475707964</v>
      </c>
    </row>
    <row r="25" spans="1:11" x14ac:dyDescent="0.3">
      <c r="A25">
        <f>A$9 * (3.50002789497375 -A$8)</f>
        <v>3.50002789497375</v>
      </c>
      <c r="B25">
        <f>B$9 * (3.50002789497375 -B$8)</f>
        <v>3.50002789497375</v>
      </c>
      <c r="C25">
        <f>C$9 * (3.50002789497375 -C$8)</f>
        <v>3.50002789497375</v>
      </c>
      <c r="E25">
        <f>E$9 * (0.00959334895014762 -E$8)</f>
        <v>9.5933489501476201E-3</v>
      </c>
      <c r="F25">
        <f>F$9 * (4.94578790664672 -F$8)</f>
        <v>4.9457879066467196</v>
      </c>
      <c r="G25">
        <f>G$9 * (10.1256504058837 -G$8)</f>
        <v>10.1256504058837</v>
      </c>
      <c r="I25">
        <f t="shared" si="1"/>
        <v>34.536056220531435</v>
      </c>
      <c r="J25">
        <f t="shared" si="2"/>
        <v>17804.83646392819</v>
      </c>
      <c r="K25">
        <f t="shared" si="3"/>
        <v>36452.34146118132</v>
      </c>
    </row>
    <row r="26" spans="1:11" x14ac:dyDescent="0.3">
      <c r="A26">
        <f>A$9 * (3.75005555152893 -A$8)</f>
        <v>3.7500555515289302</v>
      </c>
      <c r="B26">
        <f>B$9 * (3.75005555152893 -B$8)</f>
        <v>3.7500555515289302</v>
      </c>
      <c r="C26">
        <f>C$9 * (3.75005555152893 -C$8)</f>
        <v>3.7500555515289302</v>
      </c>
      <c r="E26">
        <f>E$9 * (0.00992781855165958 -E$8)</f>
        <v>9.9278185516595806E-3</v>
      </c>
      <c r="F26">
        <f>F$9 * (4.99578619003295 -F$8)</f>
        <v>4.9957861900329501</v>
      </c>
      <c r="G26">
        <f>G$9 * (10.0093803405761 -G$8)</f>
        <v>10.009380340576101</v>
      </c>
      <c r="I26">
        <f t="shared" si="1"/>
        <v>35.740146785974488</v>
      </c>
      <c r="J26">
        <f t="shared" si="2"/>
        <v>17984.83028411862</v>
      </c>
      <c r="K26">
        <f t="shared" si="3"/>
        <v>36033.769226073964</v>
      </c>
    </row>
    <row r="27" spans="1:11" x14ac:dyDescent="0.3">
      <c r="A27">
        <f>A$9 * (4.00008344650268 -A$8)</f>
        <v>4.0000834465026802</v>
      </c>
      <c r="B27">
        <f>B$9 * (4.00008344650268 -B$8)</f>
        <v>4.0000834465026802</v>
      </c>
      <c r="C27">
        <f>C$9 * (4.00008344650268 -C$8)</f>
        <v>4.0000834465026802</v>
      </c>
      <c r="E27">
        <f>E$9 * (0.00974597781896591 -E$8)</f>
        <v>9.7459778189659101E-3</v>
      </c>
      <c r="F27">
        <f>F$9 * (4.98752689361572 -F$8)</f>
        <v>4.98752689361572</v>
      </c>
      <c r="G27">
        <f>G$9 * (10.1346597671508 -G$8)</f>
        <v>10.134659767150801</v>
      </c>
      <c r="I27">
        <f t="shared" si="1"/>
        <v>35.085520148277276</v>
      </c>
      <c r="J27">
        <f t="shared" si="2"/>
        <v>17955.096817016591</v>
      </c>
      <c r="K27">
        <f t="shared" si="3"/>
        <v>36484.77516174288</v>
      </c>
    </row>
    <row r="28" spans="1:11" x14ac:dyDescent="0.3">
      <c r="A28">
        <f>A$9 * (4.25011110305786 -A$8)</f>
        <v>4.2501111030578604</v>
      </c>
      <c r="B28">
        <f>B$9 * (4.25011110305786 -B$8)</f>
        <v>4.2501111030578604</v>
      </c>
      <c r="C28">
        <f>C$9 * (4.25011110305786 -C$8)</f>
        <v>4.2501111030578604</v>
      </c>
      <c r="E28">
        <f>E$9 * (0.00961970072239637 -E$8)</f>
        <v>9.6197007223963703E-3</v>
      </c>
      <c r="F28">
        <f>F$9 * (4.89806985855102 -F$8)</f>
        <v>4.8980698585510201</v>
      </c>
      <c r="G28">
        <f>G$9 * (10.0399599075317 -G$8)</f>
        <v>10.039959907531699</v>
      </c>
      <c r="I28">
        <f t="shared" si="1"/>
        <v>34.630922600626931</v>
      </c>
      <c r="J28">
        <f t="shared" si="2"/>
        <v>17633.051490783673</v>
      </c>
      <c r="K28">
        <f t="shared" si="3"/>
        <v>36143.85566711412</v>
      </c>
    </row>
    <row r="29" spans="1:11" x14ac:dyDescent="0.3">
      <c r="A29">
        <f>A$9 * (4.50013875961303 -A$8)</f>
        <v>4.50013875961303</v>
      </c>
      <c r="B29">
        <f>B$9 * (4.50013875961303 -B$8)</f>
        <v>4.50013875961303</v>
      </c>
      <c r="C29">
        <f>C$9 * (4.50013875961303 -C$8)</f>
        <v>4.50013875961303</v>
      </c>
      <c r="E29">
        <f>E$9 * (0.00981390196830034 -E$8)</f>
        <v>9.8139019683003408E-3</v>
      </c>
      <c r="F29">
        <f>F$9 * (4.94573879241943 -F$8)</f>
        <v>4.94573879241943</v>
      </c>
      <c r="G29">
        <f>G$9 * (10.0161895751953 -G$8)</f>
        <v>10.0161895751953</v>
      </c>
      <c r="I29">
        <f t="shared" si="1"/>
        <v>35.330047085881226</v>
      </c>
      <c r="J29">
        <f t="shared" si="2"/>
        <v>17804.659652709946</v>
      </c>
      <c r="K29">
        <f t="shared" si="3"/>
        <v>36058.282470703081</v>
      </c>
    </row>
    <row r="30" spans="1:11" x14ac:dyDescent="0.3">
      <c r="A30">
        <f>A$9 * (4.75016689300537 -A$8)</f>
        <v>4.7501668930053702</v>
      </c>
      <c r="B30">
        <f>B$9 * (4.75016689300537 -B$8)</f>
        <v>4.7501668930053702</v>
      </c>
      <c r="C30">
        <f>C$9 * (4.75016689300537 -C$8)</f>
        <v>4.7501668930053702</v>
      </c>
      <c r="E30">
        <f>E$9 * (0.00963316019624471 -E$8)</f>
        <v>9.6331601962447097E-3</v>
      </c>
      <c r="F30">
        <f>F$9 * (4.90886497497558 -F$8)</f>
        <v>4.9088649749755797</v>
      </c>
      <c r="G30">
        <f>G$9 * (10.062720298767 -G$8)</f>
        <v>10.062720298766999</v>
      </c>
      <c r="I30">
        <f t="shared" si="1"/>
        <v>34.679376706480951</v>
      </c>
      <c r="J30">
        <f t="shared" si="2"/>
        <v>17671.913909912088</v>
      </c>
      <c r="K30">
        <f t="shared" si="3"/>
        <v>36225.793075561196</v>
      </c>
    </row>
    <row r="31" spans="1:11" x14ac:dyDescent="0.3">
      <c r="A31">
        <f>A$9 * (5.00019454956054 -A$8)</f>
        <v>5.0001945495605398</v>
      </c>
      <c r="B31">
        <f>B$9 * (5.00019454956054 -B$8)</f>
        <v>5.0001945495605398</v>
      </c>
      <c r="C31">
        <f>C$9 * (5.00019454956054 -C$8)</f>
        <v>5.0001945495605398</v>
      </c>
      <c r="E31">
        <f>E$9 * (0.0097122099250555 -E$8)</f>
        <v>9.7122099250555004E-3</v>
      </c>
      <c r="F31">
        <f>F$9 * (4.89602088928222 -F$8)</f>
        <v>4.8960208892822203</v>
      </c>
      <c r="G31">
        <f>G$9 * (9.98069858551025 -G$8)</f>
        <v>9.9806985855102504</v>
      </c>
      <c r="I31">
        <f t="shared" si="1"/>
        <v>34.9639557301998</v>
      </c>
      <c r="J31">
        <f t="shared" si="2"/>
        <v>17625.675201415994</v>
      </c>
      <c r="K31">
        <f t="shared" si="3"/>
        <v>35930.5149078369</v>
      </c>
    </row>
    <row r="32" spans="1:11" x14ac:dyDescent="0.3">
      <c r="A32">
        <f>A$9 * (5.25022220611572 -A$8)</f>
        <v>5.25022220611572</v>
      </c>
      <c r="B32">
        <f>B$9 * (5.25022220611572 -B$8)</f>
        <v>5.25022220611572</v>
      </c>
      <c r="C32">
        <f>C$9 * (5.25022220611572 -C$8)</f>
        <v>5.25022220611572</v>
      </c>
      <c r="E32">
        <f>E$9 * (0.00976879429072141 -E$8)</f>
        <v>9.7687942907214095E-3</v>
      </c>
      <c r="F32">
        <f>F$9 * (4.92498683929443 -F$8)</f>
        <v>4.92498683929443</v>
      </c>
      <c r="G32">
        <f>G$9 * (10.0071496963501 -G$8)</f>
        <v>10.007149696350099</v>
      </c>
      <c r="I32">
        <f t="shared" si="1"/>
        <v>35.167659446597071</v>
      </c>
      <c r="J32">
        <f t="shared" si="2"/>
        <v>17729.952621459946</v>
      </c>
      <c r="K32">
        <f t="shared" si="3"/>
        <v>36025.738906860359</v>
      </c>
    </row>
    <row r="33" spans="1:11" x14ac:dyDescent="0.3">
      <c r="A33">
        <f>A$9 * (5.50024986267089 -A$8)</f>
        <v>5.5002498626708896</v>
      </c>
      <c r="B33">
        <f>B$9 * (5.50024986267089 -B$8)</f>
        <v>5.5002498626708896</v>
      </c>
      <c r="C33">
        <f>C$9 * (5.50024986267089 -C$8)</f>
        <v>5.5002498626708896</v>
      </c>
      <c r="E33">
        <f>E$9 * (0.00966216530650854 -E$8)</f>
        <v>9.6621653065085394E-3</v>
      </c>
      <c r="F33">
        <f>F$9 * (4.88580703735351 -F$8)</f>
        <v>4.8858070373535103</v>
      </c>
      <c r="G33">
        <f>G$9 * (9.99595642089843 -G$8)</f>
        <v>9.9959564208984304</v>
      </c>
      <c r="I33">
        <f t="shared" si="1"/>
        <v>34.783795103430741</v>
      </c>
      <c r="J33">
        <f t="shared" si="2"/>
        <v>17588.905334472638</v>
      </c>
      <c r="K33">
        <f t="shared" si="3"/>
        <v>35985.443115234346</v>
      </c>
    </row>
    <row r="34" spans="1:11" x14ac:dyDescent="0.3">
      <c r="A34">
        <f>A$9 * (5.75027799606323 -A$8)</f>
        <v>5.7502779960632298</v>
      </c>
      <c r="B34">
        <f>B$9 * (5.75027799606323 -B$8)</f>
        <v>5.7502779960632298</v>
      </c>
      <c r="C34">
        <f>C$9 * (5.75027799606323 -C$8)</f>
        <v>5.7502779960632298</v>
      </c>
      <c r="E34">
        <f>E$9 * (0.00977160595357418 -E$8)</f>
        <v>9.7716059535741806E-3</v>
      </c>
      <c r="F34">
        <f>F$9 * (4.89839506149292 -F$8)</f>
        <v>4.8983950614929199</v>
      </c>
      <c r="G34">
        <f>G$9 * (9.94957542419433 -G$8)</f>
        <v>9.9495754241943306</v>
      </c>
      <c r="I34">
        <f t="shared" si="1"/>
        <v>35.17778143286705</v>
      </c>
      <c r="J34">
        <f t="shared" si="2"/>
        <v>17634.222221374512</v>
      </c>
      <c r="K34">
        <f t="shared" si="3"/>
        <v>35818.471527099588</v>
      </c>
    </row>
    <row r="35" spans="1:11" x14ac:dyDescent="0.3">
      <c r="A35">
        <f>A$9 * (6.0003056526184 -A$8)</f>
        <v>6.0003056526184002</v>
      </c>
      <c r="B35">
        <f>B$9 * (6.0003056526184 -B$8)</f>
        <v>6.0003056526184002</v>
      </c>
      <c r="C35">
        <f>C$9 * (6.0003056526184 -C$8)</f>
        <v>6.0003056526184002</v>
      </c>
      <c r="E35">
        <f>E$9 * (0.00973766762763261 -E$8)</f>
        <v>9.7376676276326093E-3</v>
      </c>
      <c r="F35">
        <f>F$9 * (4.89893198013305 -F$8)</f>
        <v>4.8989319801330504</v>
      </c>
      <c r="G35">
        <f>G$9 * (9.97559642791748 -G$8)</f>
        <v>9.9755964279174805</v>
      </c>
      <c r="I35">
        <f t="shared" si="1"/>
        <v>35.055603459477396</v>
      </c>
      <c r="J35">
        <f t="shared" si="2"/>
        <v>17636.155128478982</v>
      </c>
      <c r="K35">
        <f t="shared" si="3"/>
        <v>35912.14714050293</v>
      </c>
    </row>
    <row r="36" spans="1:11" x14ac:dyDescent="0.3">
      <c r="A36">
        <f>A$9 * (6.25033330917358 -A$8)</f>
        <v>6.2503333091735804</v>
      </c>
      <c r="B36">
        <f>B$9 * (6.25033330917358 -B$8)</f>
        <v>6.2503333091735804</v>
      </c>
      <c r="C36">
        <f>C$9 * (6.25033330917358 -C$8)</f>
        <v>6.2503333091735804</v>
      </c>
      <c r="E36">
        <f>E$9 * (0.00971522741019725 -E$8)</f>
        <v>9.7152274101972493E-3</v>
      </c>
      <c r="F36">
        <f>F$9 * (4.87566423416137 -F$8)</f>
        <v>4.8756642341613698</v>
      </c>
      <c r="G36">
        <f>G$9 * (9.94116878509521 -G$8)</f>
        <v>9.9411687850952095</v>
      </c>
      <c r="I36">
        <f t="shared" si="1"/>
        <v>34.9748186767101</v>
      </c>
      <c r="J36">
        <f t="shared" si="2"/>
        <v>17552.391242980932</v>
      </c>
      <c r="K36">
        <f t="shared" si="3"/>
        <v>35788.207626342752</v>
      </c>
    </row>
    <row r="37" spans="1:11" x14ac:dyDescent="0.3">
      <c r="A37">
        <f>A$9 * (6.50036096572876 -A$8)</f>
        <v>6.5003609657287598</v>
      </c>
      <c r="B37">
        <f>B$9 * (6.50036096572876 -B$8)</f>
        <v>6.5003609657287598</v>
      </c>
      <c r="C37">
        <f>C$9 * (6.50036096572876 -C$8)</f>
        <v>6.5003609657287598</v>
      </c>
      <c r="E37">
        <f>E$9 * (0.00978646706789732 -E$8)</f>
        <v>9.7864670678973198E-3</v>
      </c>
      <c r="F37">
        <f>F$9 * (4.89117288589477 -F$8)</f>
        <v>4.8911728858947701</v>
      </c>
      <c r="G37">
        <f>G$9 * (9.92794132232666 -G$8)</f>
        <v>9.9279413223266602</v>
      </c>
      <c r="I37">
        <f t="shared" si="1"/>
        <v>35.231281444430351</v>
      </c>
      <c r="J37">
        <f t="shared" si="2"/>
        <v>17608.222389221173</v>
      </c>
      <c r="K37">
        <f t="shared" si="3"/>
        <v>35740.588760375977</v>
      </c>
    </row>
    <row r="38" spans="1:11" x14ac:dyDescent="0.3">
      <c r="A38">
        <f>A$9 * (6.75 -A$8)</f>
        <v>6.75</v>
      </c>
      <c r="B38">
        <f>B$9 * (6.75 -B$8)</f>
        <v>6.75</v>
      </c>
      <c r="C38">
        <f>C$9 * (6.75 -C$8)</f>
        <v>6.75</v>
      </c>
      <c r="E38">
        <f>E$9 * (0.0097345532849431 -E$8)</f>
        <v>9.7345532849431003E-3</v>
      </c>
      <c r="F38">
        <f>F$9 * (4.87769317626953 -F$8)</f>
        <v>4.8776931762695304</v>
      </c>
      <c r="G38">
        <f>G$9 * (9.93509006500244 -G$8)</f>
        <v>9.9350900650024396</v>
      </c>
      <c r="I38">
        <f t="shared" si="1"/>
        <v>35.044391825795159</v>
      </c>
      <c r="J38">
        <f t="shared" si="2"/>
        <v>17559.695434570309</v>
      </c>
      <c r="K38">
        <f t="shared" si="3"/>
        <v>35766.324234008782</v>
      </c>
    </row>
    <row r="39" spans="1:11" x14ac:dyDescent="0.3">
      <c r="A39">
        <f>A$9 * (7.00002765655517 -A$8)</f>
        <v>7.0000276565551696</v>
      </c>
      <c r="B39">
        <f>B$9 * (7.00002765655517 -B$8)</f>
        <v>7.0000276565551696</v>
      </c>
      <c r="C39">
        <f>C$9 * (7.00002765655517 -C$8)</f>
        <v>7.0000276565551696</v>
      </c>
      <c r="E39">
        <f>E$9 * (0.00976091064512729 -E$8)</f>
        <v>9.7609106451272895E-3</v>
      </c>
      <c r="F39">
        <f>F$9 * (4.87051105499267 -F$8)</f>
        <v>4.8705110549926696</v>
      </c>
      <c r="G39">
        <f>G$9 * (9.90246295928955 -G$8)</f>
        <v>9.9024629592895508</v>
      </c>
      <c r="I39">
        <f t="shared" si="1"/>
        <v>35.139278322458239</v>
      </c>
      <c r="J39">
        <f t="shared" si="2"/>
        <v>17533.839797973611</v>
      </c>
      <c r="K39">
        <f t="shared" si="3"/>
        <v>35648.866653442383</v>
      </c>
    </row>
    <row r="40" spans="1:11" x14ac:dyDescent="0.3">
      <c r="A40">
        <f>A$9 * (7.25005578994751 -A$8)</f>
        <v>7.2500557899475098</v>
      </c>
      <c r="B40">
        <f>B$9 * (7.25005578994751 -B$8)</f>
        <v>7.2500557899475098</v>
      </c>
      <c r="C40">
        <f>C$9 * (7.25005578994751 -C$8)</f>
        <v>7.2500557899475098</v>
      </c>
      <c r="E40">
        <f>E$9 * (0.00978302303701639 -E$8)</f>
        <v>9.78302303701639E-3</v>
      </c>
      <c r="F40">
        <f>F$9 * (4.87788295745849 -F$8)</f>
        <v>4.8778829574584899</v>
      </c>
      <c r="G40">
        <f>G$9 * (9.90485095977783 -G$8)</f>
        <v>9.9048509597778303</v>
      </c>
      <c r="I40">
        <f t="shared" si="1"/>
        <v>35.218882933259003</v>
      </c>
      <c r="J40">
        <f t="shared" si="2"/>
        <v>17560.378646850564</v>
      </c>
      <c r="K40">
        <f t="shared" si="3"/>
        <v>35657.463455200188</v>
      </c>
    </row>
    <row r="41" spans="1:11" x14ac:dyDescent="0.3">
      <c r="A41">
        <f>A$9 * (7.50008630752563 -A$8)</f>
        <v>7.5000863075256303</v>
      </c>
      <c r="B41">
        <f>B$9 * (7.50008630752563 -B$8)</f>
        <v>7.5000863075256303</v>
      </c>
      <c r="C41">
        <f>C$9 * (7.50008630752563 -C$8)</f>
        <v>7.5000863075256303</v>
      </c>
      <c r="E41">
        <f>E$9 * (0.00975111685693264 -E$8)</f>
        <v>9.7511168569326401E-3</v>
      </c>
      <c r="F41">
        <f>F$9 * (4.86336708068847 -F$8)</f>
        <v>4.8633670806884703</v>
      </c>
      <c r="G41">
        <f>G$9 * (9.89577770233154 -G$8)</f>
        <v>9.8957777023315394</v>
      </c>
      <c r="I41">
        <f t="shared" si="1"/>
        <v>35.104020684957504</v>
      </c>
      <c r="J41">
        <f t="shared" si="2"/>
        <v>17508.121490478494</v>
      </c>
      <c r="K41">
        <f t="shared" si="3"/>
        <v>35624.79972839354</v>
      </c>
    </row>
    <row r="42" spans="1:11" x14ac:dyDescent="0.3">
      <c r="A42">
        <f>A$9 * (7.75011396408081 -A$8)</f>
        <v>7.7501139640808097</v>
      </c>
      <c r="B42">
        <f>B$9 * (7.75011396408081 -B$8)</f>
        <v>7.7501139640808097</v>
      </c>
      <c r="C42">
        <f>C$9 * (7.75011396408081 -C$8)</f>
        <v>7.7501139640808097</v>
      </c>
      <c r="E42">
        <f>E$9 * (0.00978815928101539 -E$8)</f>
        <v>9.7881592810153892E-3</v>
      </c>
      <c r="F42">
        <f>F$9 * (4.86507701873779 -F$8)</f>
        <v>4.8650770187377903</v>
      </c>
      <c r="G42">
        <f>G$9 * (9.87542629241943 -G$8)</f>
        <v>9.87542629241943</v>
      </c>
      <c r="I42">
        <f t="shared" si="1"/>
        <v>35.237373411655398</v>
      </c>
      <c r="J42">
        <f t="shared" si="2"/>
        <v>17514.277267456044</v>
      </c>
      <c r="K42">
        <f t="shared" si="3"/>
        <v>35551.534652709946</v>
      </c>
    </row>
    <row r="43" spans="1:11" x14ac:dyDescent="0.3">
      <c r="A43">
        <f>A$9 * (8.00014209747314 -A$8)</f>
        <v>8.0001420974731392</v>
      </c>
      <c r="B43">
        <f>B$9 * (8.00014209747314 -B$8)</f>
        <v>8.0001420974731392</v>
      </c>
      <c r="C43">
        <f>C$9 * (8.00014209747314 -C$8)</f>
        <v>8.0001420974731392</v>
      </c>
      <c r="E43">
        <f>E$9 * (0.00978029053658247 -E$8)</f>
        <v>9.7802905365824699E-3</v>
      </c>
      <c r="F43">
        <f>F$9 * (4.86381578445434 -F$8)</f>
        <v>4.8638157844543404</v>
      </c>
      <c r="G43">
        <f>G$9 * (9.87903499603271 -G$8)</f>
        <v>9.8790349960327095</v>
      </c>
      <c r="I43">
        <f t="shared" si="1"/>
        <v>35.209045931696892</v>
      </c>
      <c r="J43">
        <f t="shared" si="2"/>
        <v>17509.736824035626</v>
      </c>
      <c r="K43">
        <f t="shared" si="3"/>
        <v>35564.525985717752</v>
      </c>
    </row>
    <row r="44" spans="1:11" x14ac:dyDescent="0.3">
      <c r="A44">
        <f>A$9 * (8.25016975402832 -A$8)</f>
        <v>8.2501697540283203</v>
      </c>
      <c r="B44">
        <f>B$9 * (8.25016975402832 -B$8)</f>
        <v>8.2501697540283203</v>
      </c>
      <c r="C44">
        <f>C$9 * (8.25016975402832 -C$8)</f>
        <v>8.2501697540283203</v>
      </c>
      <c r="E44">
        <f>E$9 * (0.00977436266839504 -E$8)</f>
        <v>9.7743626683950407E-3</v>
      </c>
      <c r="F44">
        <f>F$9 * (4.85441017150878 -F$8)</f>
        <v>4.8544101715087802</v>
      </c>
      <c r="G44">
        <f>G$9 * (9.86334133148193 -G$8)</f>
        <v>9.86334133148193</v>
      </c>
      <c r="I44">
        <f t="shared" si="1"/>
        <v>35.187705606222146</v>
      </c>
      <c r="J44">
        <f t="shared" si="2"/>
        <v>17475.876617431608</v>
      </c>
      <c r="K44">
        <f t="shared" si="3"/>
        <v>35508.028793334946</v>
      </c>
    </row>
    <row r="45" spans="1:11" x14ac:dyDescent="0.3">
      <c r="A45">
        <f>A$9 * (8.50019741058349 -A$8)</f>
        <v>8.5001974105834908</v>
      </c>
      <c r="B45">
        <f>B$9 * (8.50019741058349 -B$8)</f>
        <v>8.5001974105834908</v>
      </c>
      <c r="C45">
        <f>C$9 * (8.50019741058349 -C$8)</f>
        <v>8.5001974105834908</v>
      </c>
      <c r="E45">
        <f>E$9 * (0.00979970581829547 -E$8)</f>
        <v>9.7997058182954701E-3</v>
      </c>
      <c r="F45">
        <f>F$9 * (4.85773515701293 -F$8)</f>
        <v>4.8577351570129297</v>
      </c>
      <c r="G45">
        <f>G$9 * (9.85443401336669 -G$8)</f>
        <v>9.8544340133666903</v>
      </c>
      <c r="I45">
        <f t="shared" si="1"/>
        <v>35.278940945863695</v>
      </c>
      <c r="J45">
        <f t="shared" si="2"/>
        <v>17487.846565246546</v>
      </c>
      <c r="K45">
        <f t="shared" si="3"/>
        <v>35475.962448120088</v>
      </c>
    </row>
    <row r="46" spans="1:11" x14ac:dyDescent="0.3">
      <c r="A46">
        <f>A$9 * (8.75022506713867 -A$8)</f>
        <v>8.7502250671386701</v>
      </c>
      <c r="B46">
        <f>B$9 * (8.75022506713867 -B$8)</f>
        <v>8.7502250671386701</v>
      </c>
      <c r="C46">
        <f>C$9 * (8.75022506713867 -C$8)</f>
        <v>8.7502250671386701</v>
      </c>
      <c r="E46">
        <f>E$9 * (0.00978455226868391 -E$8)</f>
        <v>9.7845522686839104E-3</v>
      </c>
      <c r="F46">
        <f>F$9 * (4.85207319259643 -F$8)</f>
        <v>4.8520731925964302</v>
      </c>
      <c r="G46">
        <f>G$9 * (9.85311412811279 -G$8)</f>
        <v>9.8531141281127894</v>
      </c>
      <c r="I46">
        <f t="shared" si="1"/>
        <v>35.224388167262077</v>
      </c>
      <c r="J46">
        <f t="shared" si="2"/>
        <v>17467.46349334715</v>
      </c>
      <c r="K46">
        <f t="shared" si="3"/>
        <v>35471.21086120604</v>
      </c>
    </row>
    <row r="47" spans="1:11" x14ac:dyDescent="0.3">
      <c r="A47">
        <f>A$9 * (9.00025272369384 -A$8)</f>
        <v>9.0002527236938406</v>
      </c>
      <c r="B47">
        <f>B$9 * (9.00025272369384 -B$8)</f>
        <v>9.0002527236938406</v>
      </c>
      <c r="C47">
        <f>C$9 * (9.00025272369384 -C$8)</f>
        <v>9.0002527236938406</v>
      </c>
      <c r="E47">
        <f>E$9 * (0.00979446806013584 -E$8)</f>
        <v>9.7944680601358396E-3</v>
      </c>
      <c r="F47">
        <f>F$9 * (4.84815502166748 -F$8)</f>
        <v>4.8481550216674796</v>
      </c>
      <c r="G47">
        <f>G$9 * (9.83861923217773 -G$8)</f>
        <v>9.8386192321777308</v>
      </c>
      <c r="I47">
        <f t="shared" si="1"/>
        <v>35.260085016489022</v>
      </c>
      <c r="J47">
        <f t="shared" si="2"/>
        <v>17453.358078002926</v>
      </c>
      <c r="K47">
        <f t="shared" si="3"/>
        <v>35419.029235839829</v>
      </c>
    </row>
    <row r="48" spans="1:11" x14ac:dyDescent="0.3">
      <c r="A48">
        <f>A$9 * (9.25028038024902 -A$8)</f>
        <v>9.2502803802490199</v>
      </c>
      <c r="B48">
        <f>B$9 * (9.25028038024902 -B$8)</f>
        <v>9.2502803802490199</v>
      </c>
      <c r="C48">
        <f>C$9 * (9.25028038024902 -C$8)</f>
        <v>9.2502803802490199</v>
      </c>
      <c r="E48">
        <f>E$9 * (0.0098038101568818 -E$8)</f>
        <v>9.8038101568818006E-3</v>
      </c>
      <c r="F48">
        <f>F$9 * (4.84940719604492 -F$8)</f>
        <v>4.8494071960449201</v>
      </c>
      <c r="G48">
        <f>G$9 * (9.8358449935913 -G$8)</f>
        <v>9.8358449935912997</v>
      </c>
      <c r="I48">
        <f t="shared" si="1"/>
        <v>35.293716564774485</v>
      </c>
      <c r="J48">
        <f t="shared" si="2"/>
        <v>17457.865905761711</v>
      </c>
      <c r="K48">
        <f t="shared" si="3"/>
        <v>35409.041976928682</v>
      </c>
    </row>
    <row r="49" spans="1:11" x14ac:dyDescent="0.3">
      <c r="A49">
        <f>A$9 * (9.50030803680419 -A$8)</f>
        <v>9.5003080368041903</v>
      </c>
      <c r="B49">
        <f>B$9 * (9.50030803680419 -B$8)</f>
        <v>9.5003080368041903</v>
      </c>
      <c r="C49">
        <f>C$9 * (9.50030803680419 -C$8)</f>
        <v>9.5003080368041903</v>
      </c>
      <c r="E49">
        <f>E$9 * (0.00979415979236364 -E$8)</f>
        <v>9.7941597923636402E-3</v>
      </c>
      <c r="F49">
        <f>F$9 * (4.84345197677612 -F$8)</f>
        <v>4.8434519767761204</v>
      </c>
      <c r="G49">
        <f>G$9 * (9.82999515533447 -G$8)</f>
        <v>9.8299951553344709</v>
      </c>
      <c r="I49">
        <f t="shared" si="1"/>
        <v>35.258975252509103</v>
      </c>
      <c r="J49">
        <f t="shared" si="2"/>
        <v>17436.427116394032</v>
      </c>
      <c r="K49">
        <f t="shared" si="3"/>
        <v>35387.982559204094</v>
      </c>
    </row>
    <row r="50" spans="1:11" x14ac:dyDescent="0.3">
      <c r="A50">
        <f>A$9 * (9.75033569335937 -A$8)</f>
        <v>9.7503356933593697</v>
      </c>
      <c r="B50">
        <f>B$9 * (9.75033569335937 -B$8)</f>
        <v>9.7503356933593697</v>
      </c>
      <c r="C50">
        <f>C$9 * (9.75033569335937 -C$8)</f>
        <v>9.7503356933593697</v>
      </c>
      <c r="E50">
        <f>E$9 * (0.00980766210705041 -E$8)</f>
        <v>9.8076621070504102E-3</v>
      </c>
      <c r="F50">
        <f>F$9 * (4.84281206130981 -F$8)</f>
        <v>4.84281206130981</v>
      </c>
      <c r="G50">
        <f>G$9 * (9.82018375396728 -G$8)</f>
        <v>9.8201837539672798</v>
      </c>
      <c r="I50">
        <f t="shared" si="1"/>
        <v>35.307583585381479</v>
      </c>
      <c r="J50">
        <f t="shared" si="2"/>
        <v>17434.123420715317</v>
      </c>
      <c r="K50">
        <f t="shared" si="3"/>
        <v>35352.661514282205</v>
      </c>
    </row>
    <row r="51" spans="1:11" x14ac:dyDescent="0.3">
      <c r="A51">
        <f>A$9 * (10.0003643035888 -A$8)</f>
        <v>10.0003643035888</v>
      </c>
      <c r="B51">
        <f>B$9 * (10.0003643035888 -B$8)</f>
        <v>10.0003643035888</v>
      </c>
      <c r="C51">
        <f>C$9 * (10.0003643035888 -C$8)</f>
        <v>10.0003643035888</v>
      </c>
      <c r="E51">
        <f>E$9 * (0.009806664660573 -E$8)</f>
        <v>9.8066646605730005E-3</v>
      </c>
      <c r="F51">
        <f>F$9 * (4.84155988693237 -F$8)</f>
        <v>4.8415598869323704</v>
      </c>
      <c r="G51">
        <f>G$9 * (9.81875133514404 -G$8)</f>
        <v>9.8187513351440394</v>
      </c>
      <c r="I51">
        <f t="shared" si="1"/>
        <v>35.303992778062799</v>
      </c>
      <c r="J51">
        <f t="shared" si="2"/>
        <v>17429.615592956532</v>
      </c>
      <c r="K51">
        <f t="shared" si="3"/>
        <v>35347.50480651854</v>
      </c>
    </row>
    <row r="52" spans="1:11" x14ac:dyDescent="0.3">
      <c r="A52">
        <f>A$9 * (10.2500028610229 -A$8)</f>
        <v>10.250002861022899</v>
      </c>
      <c r="B52">
        <f>B$9 * (10.2500028610229 -B$8)</f>
        <v>10.250002861022899</v>
      </c>
      <c r="C52">
        <f>C$9 * (10.2500028610229 -C$8)</f>
        <v>10.250002861022899</v>
      </c>
      <c r="E52">
        <f>E$9 * (0.00980520620942115 -E$8)</f>
        <v>9.8052062094211492E-3</v>
      </c>
      <c r="F52">
        <f>F$9 * (4.83738422393798 -F$8)</f>
        <v>4.8373842239379803</v>
      </c>
      <c r="G52">
        <f>G$9 * (9.81116580963134 -G$8)</f>
        <v>9.8111658096313406</v>
      </c>
      <c r="I52">
        <f t="shared" si="1"/>
        <v>35.29874235391614</v>
      </c>
      <c r="J52">
        <f t="shared" si="2"/>
        <v>17414.583206176729</v>
      </c>
      <c r="K52">
        <f t="shared" si="3"/>
        <v>35320.196914672822</v>
      </c>
    </row>
    <row r="53" spans="1:11" x14ac:dyDescent="0.3">
      <c r="A53">
        <f>A$9 * (10.5000305175781 -A$8)</f>
        <v>10.5000305175781</v>
      </c>
      <c r="B53">
        <f>B$9 * (10.5000305175781 -B$8)</f>
        <v>10.5000305175781</v>
      </c>
      <c r="C53">
        <f>C$9 * (10.5000305175781 -C$8)</f>
        <v>10.5000305175781</v>
      </c>
      <c r="E53">
        <f>E$9 * (0.00981491897255182 -E$8)</f>
        <v>9.8149189725518192E-3</v>
      </c>
      <c r="F53">
        <f>F$9 * (4.8376178741455 -F$8)</f>
        <v>4.8376178741454998</v>
      </c>
      <c r="G53">
        <f>G$9 * (9.80572319030761 -G$8)</f>
        <v>9.8057231903076101</v>
      </c>
      <c r="I53">
        <f t="shared" si="1"/>
        <v>35.333708301186547</v>
      </c>
      <c r="J53">
        <f t="shared" si="2"/>
        <v>17415.424346923799</v>
      </c>
      <c r="K53">
        <f t="shared" si="3"/>
        <v>35300.603485107393</v>
      </c>
    </row>
    <row r="54" spans="1:11" x14ac:dyDescent="0.3">
      <c r="A54">
        <f>A$9 * (10.7500581741333 -A$8)</f>
        <v>10.750058174133301</v>
      </c>
      <c r="B54">
        <f>B$9 * (10.7500581741333 -B$8)</f>
        <v>10.750058174133301</v>
      </c>
      <c r="C54">
        <f>C$9 * (10.7500581741333 -C$8)</f>
        <v>10.750058174133301</v>
      </c>
      <c r="E54">
        <f>E$9 * (0.00981083419173955 -E$8)</f>
        <v>9.8108341917395505E-3</v>
      </c>
      <c r="F54">
        <f>F$9 * (4.83504295349121 -F$8)</f>
        <v>4.83504295349121</v>
      </c>
      <c r="G54">
        <f>G$9 * (9.8033390045166 -G$8)</f>
        <v>9.8033390045165998</v>
      </c>
      <c r="I54">
        <f t="shared" si="1"/>
        <v>35.319003090262385</v>
      </c>
      <c r="J54">
        <f t="shared" si="2"/>
        <v>17406.154632568356</v>
      </c>
      <c r="K54">
        <f t="shared" si="3"/>
        <v>35292.020416259758</v>
      </c>
    </row>
    <row r="55" spans="1:11" x14ac:dyDescent="0.3">
      <c r="A55">
        <f>A$9 * (11.0000858306884 -A$8)</f>
        <v>11.0000858306884</v>
      </c>
      <c r="B55">
        <f>B$9 * (11.0000858306884 -B$8)</f>
        <v>11.0000858306884</v>
      </c>
      <c r="C55">
        <f>C$9 * (11.0000858306884 -C$8)</f>
        <v>11.0000858306884</v>
      </c>
      <c r="E55">
        <f>E$9 * (0.00981461908668279 -E$8)</f>
        <v>9.8146190866827895E-3</v>
      </c>
      <c r="F55">
        <f>F$9 * (4.83288097381591 -F$8)</f>
        <v>4.83288097381591</v>
      </c>
      <c r="G55">
        <f>G$9 * (9.79654312133789 -G$8)</f>
        <v>9.7965431213378906</v>
      </c>
      <c r="I55">
        <f t="shared" si="1"/>
        <v>35.332628712058039</v>
      </c>
      <c r="J55">
        <f t="shared" si="2"/>
        <v>17398.371505737276</v>
      </c>
      <c r="K55">
        <f t="shared" si="3"/>
        <v>35267.555236816406</v>
      </c>
    </row>
    <row r="56" spans="1:11" x14ac:dyDescent="0.3">
      <c r="A56">
        <f>A$9 * (11.2501134872436 -A$8)</f>
        <v>11.250113487243601</v>
      </c>
      <c r="B56">
        <f>B$9 * (11.2501134872436 -B$8)</f>
        <v>11.250113487243601</v>
      </c>
      <c r="C56">
        <f>C$9 * (11.2501134872436 -C$8)</f>
        <v>11.250113487243601</v>
      </c>
      <c r="E56">
        <f>E$9 * (0.00981888081878423 -E$8)</f>
        <v>9.81888081878423E-3</v>
      </c>
      <c r="F56">
        <f>F$9 * (4.8326997756958 -F$8)</f>
        <v>4.8326997756957999</v>
      </c>
      <c r="G56">
        <f>G$9 * (9.79374694824218 -G$8)</f>
        <v>9.7937469482421804</v>
      </c>
      <c r="I56">
        <f t="shared" si="1"/>
        <v>35.347970947623224</v>
      </c>
      <c r="J56">
        <f t="shared" si="2"/>
        <v>17397.719192504879</v>
      </c>
      <c r="K56">
        <f t="shared" si="3"/>
        <v>35257.489013671846</v>
      </c>
    </row>
    <row r="57" spans="1:11" x14ac:dyDescent="0.3">
      <c r="A57">
        <f>A$9 * (11.5001420974731 -A$8)</f>
        <v>11.5001420974731</v>
      </c>
      <c r="B57">
        <f>B$9 * (11.5001420974731 -B$8)</f>
        <v>11.5001420974731</v>
      </c>
      <c r="C57">
        <f>C$9 * (11.5001420974731 -C$8)</f>
        <v>11.5001420974731</v>
      </c>
      <c r="E57">
        <f>E$9 * (0.00981612689793109 -E$8)</f>
        <v>9.8161268979310903E-3</v>
      </c>
      <c r="F57">
        <f>F$9 * (4.83009910583496 -F$8)</f>
        <v>4.83009910583496</v>
      </c>
      <c r="G57">
        <f>G$9 * (9.79030513763427 -G$8)</f>
        <v>9.7903051376342702</v>
      </c>
      <c r="I57">
        <f t="shared" si="1"/>
        <v>35.338056832551928</v>
      </c>
      <c r="J57">
        <f t="shared" si="2"/>
        <v>17388.356781005856</v>
      </c>
      <c r="K57">
        <f t="shared" si="3"/>
        <v>35245.098495483369</v>
      </c>
    </row>
    <row r="58" spans="1:11" x14ac:dyDescent="0.3">
      <c r="A58">
        <f>A$9 * (11.7501697540283 -A$8)</f>
        <v>11.750169754028301</v>
      </c>
      <c r="B58">
        <f>B$9 * (11.7501697540283 -B$8)</f>
        <v>11.750169754028301</v>
      </c>
      <c r="C58">
        <f>C$9 * (11.7501697540283 -C$8)</f>
        <v>11.750169754028301</v>
      </c>
      <c r="E58">
        <f>E$9 * (0.00982121843844652 -E$8)</f>
        <v>9.82121843844652E-3</v>
      </c>
      <c r="F58">
        <f>F$9 * (4.82924604415893 -F$8)</f>
        <v>4.8292460441589302</v>
      </c>
      <c r="G58">
        <f>G$9 * (9.78542041778564 -G$8)</f>
        <v>9.7854204177856392</v>
      </c>
      <c r="I58">
        <f t="shared" si="1"/>
        <v>35.356386378407471</v>
      </c>
      <c r="J58">
        <f t="shared" si="2"/>
        <v>17385.28575897215</v>
      </c>
      <c r="K58">
        <f t="shared" si="3"/>
        <v>35227.513504028298</v>
      </c>
    </row>
    <row r="59" spans="1:11" x14ac:dyDescent="0.3">
      <c r="A59">
        <f>A$9 * (12.0002002716064 -A$8)</f>
        <v>12.000200271606399</v>
      </c>
      <c r="B59">
        <f>B$9 * (12.0002002716064 -B$8)</f>
        <v>12.000200271606399</v>
      </c>
      <c r="C59">
        <f>C$9 * (12.0002002716064 -C$8)</f>
        <v>12.000200271606399</v>
      </c>
      <c r="E59">
        <f>E$9 * (0.00982170179486274 -E$8)</f>
        <v>9.8217017948627403E-3</v>
      </c>
      <c r="F59">
        <f>F$9 * (4.82839012145996 -F$8)</f>
        <v>4.82839012145996</v>
      </c>
      <c r="G59">
        <f>G$9 * (9.78358364105224 -G$8)</f>
        <v>9.7835836410522408</v>
      </c>
      <c r="I59">
        <f t="shared" si="1"/>
        <v>35.358126461505861</v>
      </c>
      <c r="J59">
        <f t="shared" si="2"/>
        <v>17382.204437255856</v>
      </c>
      <c r="K59">
        <f t="shared" si="3"/>
        <v>35220.901107788064</v>
      </c>
    </row>
    <row r="60" spans="1:11" x14ac:dyDescent="0.3">
      <c r="A60">
        <f>A$9 * (12.2502279281616 -A$8)</f>
        <v>12.2502279281616</v>
      </c>
      <c r="B60">
        <f>B$9 * (12.2502279281616 -B$8)</f>
        <v>12.2502279281616</v>
      </c>
      <c r="C60">
        <f>C$9 * (12.2502279281616 -C$8)</f>
        <v>12.2502279281616</v>
      </c>
      <c r="E60">
        <f>E$9 * (0.00982147455215454 -E$8)</f>
        <v>9.8214745521545393E-3</v>
      </c>
      <c r="F60">
        <f>F$9 * (4.82646608352661 -F$8)</f>
        <v>4.8264660835266104</v>
      </c>
      <c r="G60">
        <f>G$9 * (9.77985572814941 -G$8)</f>
        <v>9.7798557281494105</v>
      </c>
      <c r="I60">
        <f t="shared" si="1"/>
        <v>35.357308387756341</v>
      </c>
      <c r="J60">
        <f t="shared" si="2"/>
        <v>17375.277900695797</v>
      </c>
      <c r="K60">
        <f t="shared" si="3"/>
        <v>35207.480621337876</v>
      </c>
    </row>
    <row r="61" spans="1:11" x14ac:dyDescent="0.3">
      <c r="A61">
        <f>A$9 * (12.5002555847168 -A$8)</f>
        <v>12.5002555847168</v>
      </c>
      <c r="B61">
        <f>B$9 * (12.5002555847168 -B$8)</f>
        <v>12.5002555847168</v>
      </c>
      <c r="C61">
        <f>C$9 * (12.5002555847168 -C$8)</f>
        <v>12.5002555847168</v>
      </c>
      <c r="E61">
        <f>E$9 * (0.00982533302158117 -E$8)</f>
        <v>9.8253330215811695E-3</v>
      </c>
      <c r="F61">
        <f>F$9 * (4.82610416412353 -F$8)</f>
        <v>4.8261041641235298</v>
      </c>
      <c r="G61">
        <f>G$9 * (9.77680206298828 -G$8)</f>
        <v>9.7768020629882795</v>
      </c>
      <c r="I61">
        <f t="shared" si="1"/>
        <v>35.371198877692208</v>
      </c>
      <c r="J61">
        <f t="shared" si="2"/>
        <v>17373.974990844708</v>
      </c>
      <c r="K61">
        <f t="shared" si="3"/>
        <v>35196.487426757805</v>
      </c>
    </row>
    <row r="62" spans="1:11" x14ac:dyDescent="0.3">
      <c r="A62">
        <f>A$9 * (12.7502832412719 -A$8)</f>
        <v>12.7502832412719</v>
      </c>
      <c r="B62">
        <f>B$9 * (12.7502832412719 -B$8)</f>
        <v>12.7502832412719</v>
      </c>
      <c r="C62">
        <f>C$9 * (12.7502832412719 -C$8)</f>
        <v>12.7502832412719</v>
      </c>
      <c r="E62">
        <f>E$9 * (0.00982443243265152 -E$8)</f>
        <v>9.8244324326515198E-3</v>
      </c>
      <c r="F62">
        <f>F$9 * (4.82488489151001 -F$8)</f>
        <v>4.8248848915100098</v>
      </c>
      <c r="G62">
        <f>G$9 * (9.77502727508544 -G$8)</f>
        <v>9.7750272750854403</v>
      </c>
      <c r="I62">
        <f t="shared" si="1"/>
        <v>35.367956757545471</v>
      </c>
      <c r="J62">
        <f t="shared" si="2"/>
        <v>17369.585609436035</v>
      </c>
      <c r="K62">
        <f t="shared" si="3"/>
        <v>35190.098190307588</v>
      </c>
    </row>
    <row r="63" spans="1:11" x14ac:dyDescent="0.3">
      <c r="A63">
        <f>A$9 * (13.0003108978271 -A$8)</f>
        <v>13.0003108978271</v>
      </c>
      <c r="B63">
        <f>B$9 * (13.0003108978271 -B$8)</f>
        <v>13.0003108978271</v>
      </c>
      <c r="C63">
        <f>C$9 * (13.0003108978271 -C$8)</f>
        <v>13.0003108978271</v>
      </c>
      <c r="E63">
        <f>E$9 * (0.00982594955712556 -E$8)</f>
        <v>9.8259495571255597E-3</v>
      </c>
      <c r="F63">
        <f>F$9 * (4.82374382019043 -F$8)</f>
        <v>4.8237438201904297</v>
      </c>
      <c r="G63">
        <f>G$9 * (9.77178192138671 -G$8)</f>
        <v>9.7717819213867099</v>
      </c>
      <c r="I63">
        <f t="shared" si="1"/>
        <v>35.373418405652018</v>
      </c>
      <c r="J63">
        <f t="shared" si="2"/>
        <v>17365.477752685547</v>
      </c>
      <c r="K63">
        <f t="shared" si="3"/>
        <v>35178.414916992158</v>
      </c>
    </row>
    <row r="64" spans="1:11" x14ac:dyDescent="0.3">
      <c r="A64">
        <f>A$9 * (13.2503385543823 -A$8)</f>
        <v>13.250338554382299</v>
      </c>
      <c r="B64">
        <f>B$9 * (13.2503385543823 -B$8)</f>
        <v>13.250338554382299</v>
      </c>
      <c r="C64">
        <f>C$9 * (13.2503385543823 -C$8)</f>
        <v>13.250338554382299</v>
      </c>
      <c r="E64">
        <f>E$9 * (0.00982789695262908 -E$8)</f>
        <v>9.8278969526290807E-3</v>
      </c>
      <c r="F64">
        <f>F$9 * (4.82337808609008 -F$8)</f>
        <v>4.8233780860900799</v>
      </c>
      <c r="G64">
        <f>G$9 * (9.76993083953857 -G$8)</f>
        <v>9.7699308395385707</v>
      </c>
      <c r="I64">
        <f t="shared" si="1"/>
        <v>35.380429029464693</v>
      </c>
      <c r="J64">
        <f t="shared" si="2"/>
        <v>17364.161109924287</v>
      </c>
      <c r="K64">
        <f t="shared" si="3"/>
        <v>35171.751022338853</v>
      </c>
    </row>
    <row r="65" spans="1:11" x14ac:dyDescent="0.3">
      <c r="A65">
        <f>A$9 * (13.5003662109375 -A$8)</f>
        <v>13.5003662109375</v>
      </c>
      <c r="B65">
        <f>B$9 * (13.5003662109375 -B$8)</f>
        <v>13.5003662109375</v>
      </c>
      <c r="C65">
        <f>C$9 * (13.5003662109375 -C$8)</f>
        <v>13.5003662109375</v>
      </c>
      <c r="E65">
        <f>E$9 * (0.00982722267508506 -E$8)</f>
        <v>9.8272226750850608E-3</v>
      </c>
      <c r="F65">
        <f>F$9 * (4.82219791412353 -F$8)</f>
        <v>4.8221979141235298</v>
      </c>
      <c r="G65">
        <f>G$9 * (9.76802635192871 -G$8)</f>
        <v>9.7680263519287092</v>
      </c>
      <c r="I65">
        <f t="shared" si="1"/>
        <v>35.378001630306215</v>
      </c>
      <c r="J65">
        <f t="shared" si="2"/>
        <v>17359.912490844708</v>
      </c>
      <c r="K65">
        <f t="shared" si="3"/>
        <v>35164.894866943352</v>
      </c>
    </row>
    <row r="66" spans="1:11" x14ac:dyDescent="0.3">
      <c r="A66">
        <f>A$9 * (13.7500057220459 -A$8)</f>
        <v>13.7500057220459</v>
      </c>
      <c r="B66">
        <f>B$9 * (13.7500057220459 -B$8)</f>
        <v>13.7500057220459</v>
      </c>
      <c r="C66">
        <f>C$9 * (13.7500057220459 -C$8)</f>
        <v>13.7500057220459</v>
      </c>
      <c r="E66">
        <f>E$9 * (0.00982921198010444 -E$8)</f>
        <v>9.8292119801044395E-3</v>
      </c>
      <c r="F66">
        <f>F$9 * (4.82159709930419 -F$8)</f>
        <v>4.8215970993041903</v>
      </c>
      <c r="G66">
        <f>G$9 * (9.76559734344482 -G$8)</f>
        <v>9.7655973434448207</v>
      </c>
      <c r="I66">
        <f t="shared" si="1"/>
        <v>35.385163128375979</v>
      </c>
      <c r="J66">
        <f t="shared" si="2"/>
        <v>17357.749557495084</v>
      </c>
      <c r="K66">
        <f t="shared" si="3"/>
        <v>35156.150436401353</v>
      </c>
    </row>
    <row r="67" spans="1:11" x14ac:dyDescent="0.3">
      <c r="A67">
        <f>A$9 * (14.000033378601 -A$8)</f>
        <v>14.000033378601</v>
      </c>
      <c r="B67">
        <f>B$9 * (14.000033378601 -B$8)</f>
        <v>14.000033378601</v>
      </c>
      <c r="C67">
        <f>C$9 * (14.000033378601 -C$8)</f>
        <v>14.000033378601</v>
      </c>
      <c r="E67">
        <f>E$9 * (0.00982975307852029 -E$8)</f>
        <v>9.8297530785202893E-3</v>
      </c>
      <c r="F67">
        <f>F$9 * (4.82107877731323 -F$8)</f>
        <v>4.8210787773132298</v>
      </c>
      <c r="G67">
        <f>G$9 * (9.76430034637451 -G$8)</f>
        <v>9.7643003463745099</v>
      </c>
      <c r="I67">
        <f t="shared" si="1"/>
        <v>35.387111082673044</v>
      </c>
      <c r="J67">
        <f t="shared" si="2"/>
        <v>17355.883598327626</v>
      </c>
      <c r="K67">
        <f t="shared" si="3"/>
        <v>35151.481246948235</v>
      </c>
    </row>
    <row r="68" spans="1:11" x14ac:dyDescent="0.3">
      <c r="A68">
        <f>A$9 * (14.2500610351562 -A$8)</f>
        <v>14.2500610351562</v>
      </c>
      <c r="B68">
        <f>B$9 * (14.2500610351562 -B$8)</f>
        <v>14.2500610351562</v>
      </c>
      <c r="C68">
        <f>C$9 * (14.2500610351562 -C$8)</f>
        <v>14.2500610351562</v>
      </c>
      <c r="E68">
        <f>E$9 * (0.00982983130961656 -E$8)</f>
        <v>9.8298313096165605E-3</v>
      </c>
      <c r="F68">
        <f>F$9 * (4.82017421722412 -F$8)</f>
        <v>4.8201742172241202</v>
      </c>
      <c r="G68">
        <f>G$9 * (9.76244926452636 -G$8)</f>
        <v>9.7624492645263601</v>
      </c>
      <c r="I68">
        <f t="shared" si="1"/>
        <v>35.387392714619615</v>
      </c>
      <c r="J68">
        <f t="shared" si="2"/>
        <v>17352.627182006832</v>
      </c>
      <c r="K68">
        <f t="shared" si="3"/>
        <v>35144.817352294893</v>
      </c>
    </row>
    <row r="69" spans="1:11" x14ac:dyDescent="0.3">
      <c r="A69">
        <f>A$9 * (14.5000886917114 -A$8)</f>
        <v>14.500088691711399</v>
      </c>
      <c r="B69">
        <f>B$9 * (14.5000886917114 -B$8)</f>
        <v>14.500088691711399</v>
      </c>
      <c r="C69">
        <f>C$9 * (14.5000886917114 -C$8)</f>
        <v>14.500088691711399</v>
      </c>
      <c r="E69">
        <f>E$9 * (0.00983140897005796 -E$8)</f>
        <v>9.8314089700579609E-3</v>
      </c>
      <c r="F69">
        <f>F$9 * (4.81983184814453 -F$8)</f>
        <v>4.8198318481445304</v>
      </c>
      <c r="G69">
        <f>G$9 * (9.76081466674804 -G$8)</f>
        <v>9.7608146667480398</v>
      </c>
      <c r="I69">
        <f t="shared" si="1"/>
        <v>35.393072292208657</v>
      </c>
      <c r="J69">
        <f t="shared" si="2"/>
        <v>17351.394653320309</v>
      </c>
      <c r="K69">
        <f t="shared" si="3"/>
        <v>35138.93280029294</v>
      </c>
    </row>
    <row r="70" spans="1:11" x14ac:dyDescent="0.3">
      <c r="A70">
        <f>A$9 * (14.7501163482666 -A$8)</f>
        <v>14.7501163482666</v>
      </c>
      <c r="B70">
        <f>B$9 * (14.7501163482666 -B$8)</f>
        <v>14.7501163482666</v>
      </c>
      <c r="C70">
        <f>C$9 * (14.7501163482666 -C$8)</f>
        <v>14.7501163482666</v>
      </c>
      <c r="E70">
        <f>E$9 * (0.00983133539557457 -E$8)</f>
        <v>9.8313353955745697E-3</v>
      </c>
      <c r="F70">
        <f>F$9 * (4.8192400932312 -F$8)</f>
        <v>4.8192400932312003</v>
      </c>
      <c r="G70">
        <f>G$9 * (9.75972270965576 -G$8)</f>
        <v>9.7597227096557599</v>
      </c>
      <c r="I70">
        <f t="shared" si="1"/>
        <v>35.392807424068451</v>
      </c>
      <c r="J70">
        <f t="shared" si="2"/>
        <v>17349.264335632321</v>
      </c>
      <c r="K70">
        <f t="shared" si="3"/>
        <v>35135.001754760735</v>
      </c>
    </row>
    <row r="71" spans="1:11" x14ac:dyDescent="0.3">
      <c r="A71">
        <f>A$9 * (15.0001440048217 -A$8)</f>
        <v>15.000144004821699</v>
      </c>
      <c r="B71">
        <f>B$9 * (15.0001440048217 -B$8)</f>
        <v>15.000144004821699</v>
      </c>
      <c r="C71">
        <f>C$9 * (15.0001440048217 -C$8)</f>
        <v>15.000144004821699</v>
      </c>
      <c r="E71">
        <f>E$9 * (0.0098319761455059 -E$8)</f>
        <v>9.8319761455058999E-3</v>
      </c>
      <c r="F71">
        <f>F$9 * (4.81865501403808 -F$8)</f>
        <v>4.8186550140380797</v>
      </c>
      <c r="G71">
        <f>G$9 * (9.7581558227539 -G$8)</f>
        <v>9.7581558227538991</v>
      </c>
      <c r="I71">
        <f t="shared" si="1"/>
        <v>35.395114123821237</v>
      </c>
      <c r="J71">
        <f t="shared" si="2"/>
        <v>17347.158050537088</v>
      </c>
      <c r="K71">
        <f t="shared" si="3"/>
        <v>35129.360961914033</v>
      </c>
    </row>
    <row r="72" spans="1:11" x14ac:dyDescent="0.3">
      <c r="A72">
        <f>A$9 * (15.2501726150512 -A$8)</f>
        <v>15.2501726150512</v>
      </c>
      <c r="B72">
        <f>B$9 * (15.2501726150512 -B$8)</f>
        <v>15.2501726150512</v>
      </c>
      <c r="C72">
        <f>C$9 * (15.2501726150512 -C$8)</f>
        <v>15.2501726150512</v>
      </c>
      <c r="E72">
        <f>E$9 * (0.00983286555856466 -E$8)</f>
        <v>9.8328655585646595E-3</v>
      </c>
      <c r="F72">
        <f>F$9 * (4.81837606430053 -F$8)</f>
        <v>4.81837606430053</v>
      </c>
      <c r="G72">
        <f>G$9 * (9.75708484649658 -G$8)</f>
        <v>9.7570848464965803</v>
      </c>
      <c r="I72">
        <f t="shared" si="1"/>
        <v>35.398316010832772</v>
      </c>
      <c r="J72">
        <f t="shared" si="2"/>
        <v>17346.153831481908</v>
      </c>
      <c r="K72">
        <f t="shared" si="3"/>
        <v>35125.505447387688</v>
      </c>
    </row>
    <row r="73" spans="1:11" x14ac:dyDescent="0.3">
      <c r="A73">
        <f>A$9 * (15.5002002716064 -A$8)</f>
        <v>15.500200271606399</v>
      </c>
      <c r="B73">
        <f>B$9 * (15.5002002716064 -B$8)</f>
        <v>15.500200271606399</v>
      </c>
      <c r="C73">
        <f>C$9 * (15.5002002716064 -C$8)</f>
        <v>15.500200271606399</v>
      </c>
      <c r="E73">
        <f>E$9 * (0.00983276776969432 -E$8)</f>
        <v>9.8327677696943196E-3</v>
      </c>
      <c r="F73">
        <f>F$9 * (4.81783199310302 -F$8)</f>
        <v>4.8178319931030202</v>
      </c>
      <c r="G73">
        <f>G$9 * (9.75607776641845 -G$8)</f>
        <v>9.7560777664184499</v>
      </c>
      <c r="I73">
        <f t="shared" si="1"/>
        <v>35.397963970899553</v>
      </c>
      <c r="J73">
        <f t="shared" si="2"/>
        <v>17344.195175170873</v>
      </c>
      <c r="K73">
        <f t="shared" si="3"/>
        <v>35121.879959106416</v>
      </c>
    </row>
    <row r="74" spans="1:11" x14ac:dyDescent="0.3">
      <c r="A74">
        <f>A$9 * (15.7502279281616 -A$8)</f>
        <v>15.7502279281616</v>
      </c>
      <c r="B74">
        <f>B$9 * (15.7502279281616 -B$8)</f>
        <v>15.7502279281616</v>
      </c>
      <c r="C74">
        <f>C$9 * (15.7502279281616 -C$8)</f>
        <v>15.7502279281616</v>
      </c>
      <c r="E74">
        <f>E$9 * (0.00983356591314077 -E$8)</f>
        <v>9.8335659131407703E-3</v>
      </c>
      <c r="F74">
        <f>F$9 * (4.81748390197753 -F$8)</f>
        <v>4.8174839019775302</v>
      </c>
      <c r="G74">
        <f>G$9 * (9.75489521026611 -G$8)</f>
        <v>9.7548952102661097</v>
      </c>
      <c r="I74">
        <f t="shared" si="1"/>
        <v>35.400837287306771</v>
      </c>
      <c r="J74">
        <f t="shared" si="2"/>
        <v>17342.942047119108</v>
      </c>
      <c r="K74">
        <f t="shared" si="3"/>
        <v>35117.622756957993</v>
      </c>
    </row>
    <row r="75" spans="1:11" x14ac:dyDescent="0.3">
      <c r="A75">
        <f>A$9 * (16.0002555847168 -A$8)</f>
        <v>16.0002555847168</v>
      </c>
      <c r="B75">
        <f>B$9 * (16.0002555847168 -B$8)</f>
        <v>16.0002555847168</v>
      </c>
      <c r="C75">
        <f>C$9 * (16.0002555847168 -C$8)</f>
        <v>16.0002555847168</v>
      </c>
      <c r="E75">
        <f>E$9 * (0.00983391236513853 -E$8)</f>
        <v>9.8339123651385307E-3</v>
      </c>
      <c r="F75">
        <f>F$9 * (4.81719923019409 -F$8)</f>
        <v>4.81719923019409</v>
      </c>
      <c r="G75">
        <f>G$9 * (9.75414180755615 -G$8)</f>
        <v>9.7541418075561506</v>
      </c>
      <c r="I75">
        <f t="shared" si="1"/>
        <v>35.402084514498711</v>
      </c>
      <c r="J75">
        <f t="shared" si="2"/>
        <v>17341.917228698723</v>
      </c>
      <c r="K75">
        <f t="shared" si="3"/>
        <v>35114.910507202141</v>
      </c>
    </row>
    <row r="76" spans="1:11" x14ac:dyDescent="0.3">
      <c r="A76">
        <f>A$9 * (16.2502841949462 -A$8)</f>
        <v>16.2502841949462</v>
      </c>
      <c r="B76">
        <f>B$9 * (16.2502841949462 -B$8)</f>
        <v>16.2502841949462</v>
      </c>
      <c r="C76">
        <f>C$9 * (16.2502841949462 -C$8)</f>
        <v>16.2502841949462</v>
      </c>
      <c r="E76">
        <f>E$9 * (0.00983401760458946 -E$8)</f>
        <v>9.8340176045894605E-3</v>
      </c>
      <c r="F76">
        <f>F$9 * (4.81677722930908 -F$8)</f>
        <v>4.8167772293090803</v>
      </c>
      <c r="G76">
        <f>G$9 * (9.75323963165283 -G$8)</f>
        <v>9.7532396316528303</v>
      </c>
      <c r="I76">
        <f t="shared" ref="I76:I139" si="4">E76*3600</f>
        <v>35.402463376522057</v>
      </c>
      <c r="J76">
        <f t="shared" ref="J76:J139" si="5">F76*3600</f>
        <v>17340.398025512688</v>
      </c>
      <c r="K76">
        <f t="shared" ref="K76:K139" si="6">G76*3600</f>
        <v>35111.662673950188</v>
      </c>
    </row>
    <row r="77" spans="1:11" x14ac:dyDescent="0.3">
      <c r="A77">
        <f>A$9 * (16.5003108978271 -A$8)</f>
        <v>16.500310897827099</v>
      </c>
      <c r="B77">
        <f>B$9 * (16.5003108978271 -B$8)</f>
        <v>16.500310897827099</v>
      </c>
      <c r="C77">
        <f>C$9 * (16.5003108978271 -C$8)</f>
        <v>16.500310897827099</v>
      </c>
      <c r="E77">
        <f>E$9 * (0.00983466766774654 -E$8)</f>
        <v>9.8346676677465404E-3</v>
      </c>
      <c r="F77">
        <f>F$9 * (4.81655883789062 -F$8)</f>
        <v>4.8165588378906197</v>
      </c>
      <c r="G77">
        <f>G$9 * (9.75241374969482 -G$8)</f>
        <v>9.7524137496948207</v>
      </c>
      <c r="I77">
        <f t="shared" si="4"/>
        <v>35.404803603887544</v>
      </c>
      <c r="J77">
        <f t="shared" si="5"/>
        <v>17339.611816406232</v>
      </c>
      <c r="K77">
        <f t="shared" si="6"/>
        <v>35108.689498901353</v>
      </c>
    </row>
    <row r="78" spans="1:11" x14ac:dyDescent="0.3">
      <c r="A78">
        <f>A$9 * (16.7503414154052 -A$8)</f>
        <v>16.750341415405199</v>
      </c>
      <c r="B78">
        <f>B$9 * (16.7503414154052 -B$8)</f>
        <v>16.750341415405199</v>
      </c>
      <c r="C78">
        <f>C$9 * (16.7503414154052 -C$8)</f>
        <v>16.750341415405199</v>
      </c>
      <c r="E78">
        <f>E$9 * (0.00983474683016538 -E$8)</f>
        <v>9.8347468301653793E-3</v>
      </c>
      <c r="F78">
        <f>F$9 * (4.81627416610717 -F$8)</f>
        <v>4.8162741661071697</v>
      </c>
      <c r="G78">
        <f>G$9 * (9.75181674957275 -G$8)</f>
        <v>9.7518167495727504</v>
      </c>
      <c r="I78">
        <f t="shared" si="4"/>
        <v>35.405088588595362</v>
      </c>
      <c r="J78">
        <f t="shared" si="5"/>
        <v>17338.586997985811</v>
      </c>
      <c r="K78">
        <f t="shared" si="6"/>
        <v>35106.5402984619</v>
      </c>
    </row>
    <row r="79" spans="1:11" x14ac:dyDescent="0.3">
      <c r="A79">
        <f>A$9 * (17.0003700256347 -A$8)</f>
        <v>17.000370025634702</v>
      </c>
      <c r="B79">
        <f>B$9 * (17.0003700256347 -B$8)</f>
        <v>17.000370025634702</v>
      </c>
      <c r="C79">
        <f>C$9 * (17.0003700256347 -C$8)</f>
        <v>17.000370025634702</v>
      </c>
      <c r="E79">
        <f>E$9 * (0.00983502622693777 -E$8)</f>
        <v>9.8350262269377708E-3</v>
      </c>
      <c r="F79">
        <f>F$9 * (4.81598711013793 -F$8)</f>
        <v>4.8159871101379297</v>
      </c>
      <c r="G79">
        <f>G$9 * (9.75107288360595 -G$8)</f>
        <v>9.7510728836059499</v>
      </c>
      <c r="I79">
        <f t="shared" si="4"/>
        <v>35.406094416975975</v>
      </c>
      <c r="J79">
        <f t="shared" si="5"/>
        <v>17337.553596496546</v>
      </c>
      <c r="K79">
        <f t="shared" si="6"/>
        <v>35103.862380981416</v>
      </c>
    </row>
    <row r="80" spans="1:11" x14ac:dyDescent="0.3">
      <c r="A80">
        <f>A$9 * (17.2500076293945 -A$8)</f>
        <v>17.250007629394499</v>
      </c>
      <c r="B80">
        <f>B$9 * (17.2500076293945 -B$8)</f>
        <v>17.250007629394499</v>
      </c>
      <c r="C80">
        <f>C$9 * (17.2500076293945 -C$8)</f>
        <v>17.250007629394499</v>
      </c>
      <c r="E80">
        <f>E$9 * (0.00983542390167713 -E$8)</f>
        <v>9.8354239016771299E-3</v>
      </c>
      <c r="F80">
        <f>F$9 * (4.81582117080688 -F$8)</f>
        <v>4.8158211708068803</v>
      </c>
      <c r="G80">
        <f>G$9 * (9.75051021575927 -G$8)</f>
        <v>9.7505102157592702</v>
      </c>
      <c r="I80">
        <f t="shared" si="4"/>
        <v>35.407526046037667</v>
      </c>
      <c r="J80">
        <f t="shared" si="5"/>
        <v>17336.956214904771</v>
      </c>
      <c r="K80">
        <f t="shared" si="6"/>
        <v>35101.836776733369</v>
      </c>
    </row>
    <row r="81" spans="1:11" x14ac:dyDescent="0.3">
      <c r="A81">
        <f>A$9 * (17.500036239624 -A$8)</f>
        <v>17.500036239623999</v>
      </c>
      <c r="B81">
        <f>B$9 * (17.500036239624 -B$8)</f>
        <v>17.500036239623999</v>
      </c>
      <c r="C81">
        <f>C$9 * (17.500036239624 -C$8)</f>
        <v>17.500036239623999</v>
      </c>
      <c r="E81">
        <f>E$9 * (0.00983545277267694 -E$8)</f>
        <v>9.8354527726769395E-3</v>
      </c>
      <c r="F81">
        <f>F$9 * (4.81556987762451 -F$8)</f>
        <v>4.8155698776245099</v>
      </c>
      <c r="G81">
        <f>G$9 * (9.75000095367431 -G$8)</f>
        <v>9.7500009536743093</v>
      </c>
      <c r="I81">
        <f t="shared" si="4"/>
        <v>35.40762998163698</v>
      </c>
      <c r="J81">
        <f t="shared" si="5"/>
        <v>17336.051559448235</v>
      </c>
      <c r="K81">
        <f t="shared" si="6"/>
        <v>35100.00343322751</v>
      </c>
    </row>
    <row r="82" spans="1:11" x14ac:dyDescent="0.3">
      <c r="A82">
        <f>A$9 * (17.7500629425048 -A$8)</f>
        <v>17.750062942504801</v>
      </c>
      <c r="B82">
        <f>B$9 * (17.7500629425048 -B$8)</f>
        <v>17.750062942504801</v>
      </c>
      <c r="C82">
        <f>C$9 * (17.7500629425048 -C$8)</f>
        <v>17.750062942504801</v>
      </c>
      <c r="E82">
        <f>E$9 * (0.00983577873557806 -E$8)</f>
        <v>9.8357787355780602E-3</v>
      </c>
      <c r="F82">
        <f>F$9 * (4.81538677215576 -F$8)</f>
        <v>4.8153867721557599</v>
      </c>
      <c r="G82">
        <f>G$9 * (9.74943733215332 -G$8)</f>
        <v>9.7494373321533203</v>
      </c>
      <c r="I82">
        <f t="shared" si="4"/>
        <v>35.408803448081017</v>
      </c>
      <c r="J82">
        <f t="shared" si="5"/>
        <v>17335.392379760735</v>
      </c>
      <c r="K82">
        <f t="shared" si="6"/>
        <v>35097.974395751953</v>
      </c>
    </row>
    <row r="83" spans="1:11" x14ac:dyDescent="0.3">
      <c r="A83">
        <f>A$9 * (18.0000915527343 -A$8)</f>
        <v>18.0000915527343</v>
      </c>
      <c r="B83">
        <f>B$9 * (18.0000915527343 -B$8)</f>
        <v>18.0000915527343</v>
      </c>
      <c r="C83">
        <f>C$9 * (18.0000915527343 -C$8)</f>
        <v>18.0000915527343</v>
      </c>
      <c r="E83">
        <f>E$9 * (0.0098359677940607 -E$8)</f>
        <v>9.8359677940607002E-3</v>
      </c>
      <c r="F83">
        <f>F$9 * (4.8152379989624 -F$8)</f>
        <v>4.8152379989623997</v>
      </c>
      <c r="G83">
        <f>G$9 * (9.74903583526611 -G$8)</f>
        <v>9.7490358352661097</v>
      </c>
      <c r="I83">
        <f t="shared" si="4"/>
        <v>35.409484058618517</v>
      </c>
      <c r="J83">
        <f t="shared" si="5"/>
        <v>17334.856796264638</v>
      </c>
      <c r="K83">
        <f t="shared" si="6"/>
        <v>35096.529006957993</v>
      </c>
    </row>
    <row r="84" spans="1:11" x14ac:dyDescent="0.3">
      <c r="A84">
        <f>A$9 * (18.2501201629638 -A$8)</f>
        <v>18.2501201629638</v>
      </c>
      <c r="B84">
        <f>B$9 * (18.2501201629638 -B$8)</f>
        <v>18.2501201629638</v>
      </c>
      <c r="C84">
        <f>C$9 * (18.2501201629638 -C$8)</f>
        <v>18.2501201629638</v>
      </c>
      <c r="E84">
        <f>E$9 * (0.00983604323118925 -E$8)</f>
        <v>9.8360432311892492E-3</v>
      </c>
      <c r="F84">
        <f>F$9 * (4.81504297256469 -F$8)</f>
        <v>4.8150429725646902</v>
      </c>
      <c r="G84">
        <f>G$9 * (9.74860382080078 -G$8)</f>
        <v>9.7486038208007795</v>
      </c>
      <c r="I84">
        <f t="shared" si="4"/>
        <v>35.409755632281296</v>
      </c>
      <c r="J84">
        <f t="shared" si="5"/>
        <v>17334.154701232885</v>
      </c>
      <c r="K84">
        <f t="shared" si="6"/>
        <v>35094.973754882805</v>
      </c>
    </row>
    <row r="85" spans="1:11" x14ac:dyDescent="0.3">
      <c r="A85">
        <f>A$9 * (18.5001468658447 -A$8)</f>
        <v>18.500146865844702</v>
      </c>
      <c r="B85">
        <f>B$9 * (18.5001468658447 -B$8)</f>
        <v>18.500146865844702</v>
      </c>
      <c r="C85">
        <f>C$9 * (18.5001468658447 -C$8)</f>
        <v>18.500146865844702</v>
      </c>
      <c r="E85">
        <f>E$9 * (0.00983631145209074 -E$8)</f>
        <v>9.8363114520907402E-3</v>
      </c>
      <c r="F85">
        <f>F$9 * (4.81492090225219 -F$8)</f>
        <v>4.8149209022521902</v>
      </c>
      <c r="G85">
        <f>G$9 * (9.74820137023925 -G$8)</f>
        <v>9.7482013702392507</v>
      </c>
      <c r="I85">
        <f t="shared" si="4"/>
        <v>35.410721227526665</v>
      </c>
      <c r="J85">
        <f t="shared" si="5"/>
        <v>17333.715248107885</v>
      </c>
      <c r="K85">
        <f t="shared" si="6"/>
        <v>35093.524932861299</v>
      </c>
    </row>
    <row r="86" spans="1:11" x14ac:dyDescent="0.3">
      <c r="A86">
        <f>A$9 * (18.7501754760742 -A$8)</f>
        <v>18.750175476074201</v>
      </c>
      <c r="B86">
        <f>B$9 * (18.7501754760742 -B$8)</f>
        <v>18.750175476074201</v>
      </c>
      <c r="C86">
        <f>C$9 * (18.7501754760742 -C$8)</f>
        <v>18.750175476074201</v>
      </c>
      <c r="E86">
        <f>E$9 * (0.00983638688921928 -E$8)</f>
        <v>9.8363868892192806E-3</v>
      </c>
      <c r="F86">
        <f>F$9 * (4.81478691101074 -F$8)</f>
        <v>4.8147869110107404</v>
      </c>
      <c r="G86">
        <f>G$9 * (9.74789428710937 -G$8)</f>
        <v>9.7478942871093697</v>
      </c>
      <c r="I86">
        <f t="shared" si="4"/>
        <v>35.410992801189408</v>
      </c>
      <c r="J86">
        <f t="shared" si="5"/>
        <v>17333.232879638665</v>
      </c>
      <c r="K86">
        <f t="shared" si="6"/>
        <v>35092.419433593728</v>
      </c>
    </row>
    <row r="87" spans="1:11" x14ac:dyDescent="0.3">
      <c r="A87">
        <f>A$9 * (19.000202178955 -A$8)</f>
        <v>19.000202178955</v>
      </c>
      <c r="B87">
        <f>B$9 * (19.000202178955 -B$8)</f>
        <v>19.000202178955</v>
      </c>
      <c r="C87">
        <f>C$9 * (19.000202178955 -C$8)</f>
        <v>19.000202178955</v>
      </c>
      <c r="E87">
        <f>E$9 * (0.0098365107551217 -E$8)</f>
        <v>9.8365107551216992E-3</v>
      </c>
      <c r="F87">
        <f>F$9 * (4.81464910507202 -F$8)</f>
        <v>4.8146491050720197</v>
      </c>
      <c r="G87">
        <f>G$9 * (9.74754524230957 -G$8)</f>
        <v>9.7475452423095703</v>
      </c>
      <c r="I87">
        <f t="shared" si="4"/>
        <v>35.41143871843812</v>
      </c>
      <c r="J87">
        <f t="shared" si="5"/>
        <v>17332.73677825927</v>
      </c>
      <c r="K87">
        <f t="shared" si="6"/>
        <v>35091.162872314453</v>
      </c>
    </row>
    <row r="88" spans="1:11" x14ac:dyDescent="0.3">
      <c r="A88">
        <f>A$9 * (19.2502307891845 -A$8)</f>
        <v>19.250230789184499</v>
      </c>
      <c r="B88">
        <f>B$9 * (19.2502307891845 -B$8)</f>
        <v>19.250230789184499</v>
      </c>
      <c r="C88">
        <f>C$9 * (19.2502307891845 -C$8)</f>
        <v>19.250230789184499</v>
      </c>
      <c r="E88">
        <f>E$9 * (0.00983668770641088 -E$8)</f>
        <v>9.8366877064108797E-3</v>
      </c>
      <c r="F88">
        <f>F$9 * (4.81455898284912 -F$8)</f>
        <v>4.8145589828491202</v>
      </c>
      <c r="G88">
        <f>G$9 * (9.74726295471191 -G$8)</f>
        <v>9.7472629547119105</v>
      </c>
      <c r="I88">
        <f t="shared" si="4"/>
        <v>35.412075743079164</v>
      </c>
      <c r="J88">
        <f t="shared" si="5"/>
        <v>17332.412338256832</v>
      </c>
      <c r="K88">
        <f t="shared" si="6"/>
        <v>35090.146636962876</v>
      </c>
    </row>
    <row r="89" spans="1:11" x14ac:dyDescent="0.3">
      <c r="A89">
        <f>A$9 * (19.5002574920654 -A$8)</f>
        <v>19.500257492065401</v>
      </c>
      <c r="B89">
        <f>B$9 * (19.5002574920654 -B$8)</f>
        <v>19.500257492065401</v>
      </c>
      <c r="C89">
        <f>C$9 * (19.5002574920654 -C$8)</f>
        <v>19.500257492065401</v>
      </c>
      <c r="E89">
        <f>E$9 * (0.00983672682195901 -E$8)</f>
        <v>9.83672682195901E-3</v>
      </c>
      <c r="F89">
        <f>F$9 * (4.81444406509399 -F$8)</f>
        <v>4.8144440650939897</v>
      </c>
      <c r="G89">
        <f>G$9 * (9.74701309204101 -G$8)</f>
        <v>9.7470130920410103</v>
      </c>
      <c r="I89">
        <f t="shared" si="4"/>
        <v>35.412216559052439</v>
      </c>
      <c r="J89">
        <f t="shared" si="5"/>
        <v>17331.998634338364</v>
      </c>
      <c r="K89">
        <f t="shared" si="6"/>
        <v>35089.247131347634</v>
      </c>
    </row>
    <row r="90" spans="1:11" x14ac:dyDescent="0.3">
      <c r="A90">
        <f>A$9 * (19.7502861022949 -A$8)</f>
        <v>19.750286102294901</v>
      </c>
      <c r="B90">
        <f>B$9 * (19.7502861022949 -B$8)</f>
        <v>19.750286102294901</v>
      </c>
      <c r="C90">
        <f>C$9 * (19.7502861022949 -C$8)</f>
        <v>19.750286102294901</v>
      </c>
      <c r="E90">
        <f>E$9 * (0.00983686186373233 -E$8)</f>
        <v>9.8368618637323293E-3</v>
      </c>
      <c r="F90">
        <f>F$9 * (4.81435203552246 -F$8)</f>
        <v>4.81435203552246</v>
      </c>
      <c r="G90">
        <f>G$9 * (9.74674892425537 -G$8)</f>
        <v>9.7467489242553693</v>
      </c>
      <c r="I90">
        <f t="shared" si="4"/>
        <v>35.412702709436388</v>
      </c>
      <c r="J90">
        <f t="shared" si="5"/>
        <v>17331.667327880856</v>
      </c>
      <c r="K90">
        <f t="shared" si="6"/>
        <v>35088.296127319329</v>
      </c>
    </row>
    <row r="91" spans="1:11" x14ac:dyDescent="0.3">
      <c r="A91">
        <f>A$9 * (20.0003147125244 -A$8)</f>
        <v>20.0003147125244</v>
      </c>
      <c r="B91">
        <f>B$9 * (20.0003147125244 -B$8)</f>
        <v>20.0003147125244</v>
      </c>
      <c r="C91">
        <f>C$9 * (20.0003147125244 -C$8)</f>
        <v>20.0003147125244</v>
      </c>
      <c r="E91">
        <f>E$9 * (0.00983695778995752 -E$8)</f>
        <v>9.8369577899575199E-3</v>
      </c>
      <c r="F91">
        <f>F$9 * (4.81427812576293 -F$8)</f>
        <v>4.8142781257629297</v>
      </c>
      <c r="G91">
        <f>G$9 * (9.74654674530029 -G$8)</f>
        <v>9.7465467453002894</v>
      </c>
      <c r="I91">
        <f t="shared" si="4"/>
        <v>35.41304804384707</v>
      </c>
      <c r="J91">
        <f t="shared" si="5"/>
        <v>17331.401252746546</v>
      </c>
      <c r="K91">
        <f t="shared" si="6"/>
        <v>35087.56828308104</v>
      </c>
    </row>
    <row r="92" spans="1:11" x14ac:dyDescent="0.3">
      <c r="A92">
        <f>A$9 * (20.2503414154052 -A$8)</f>
        <v>20.250341415405199</v>
      </c>
      <c r="B92">
        <f>B$9 * (20.2503414154052 -B$8)</f>
        <v>20.250341415405199</v>
      </c>
      <c r="C92">
        <f>C$9 * (20.2503414154052 -C$8)</f>
        <v>20.250341415405199</v>
      </c>
      <c r="E92">
        <f>E$9 * (0.00983700156211853 -E$8)</f>
        <v>9.8370015621185303E-3</v>
      </c>
      <c r="F92">
        <f>F$9 * (4.81418800354003 -F$8)</f>
        <v>4.8141880035400302</v>
      </c>
      <c r="G92">
        <f>G$9 * (9.74634265899658 -G$8)</f>
        <v>9.7463426589965803</v>
      </c>
      <c r="I92">
        <f t="shared" si="4"/>
        <v>35.413205623626709</v>
      </c>
      <c r="J92">
        <f t="shared" si="5"/>
        <v>17331.076812744108</v>
      </c>
      <c r="K92">
        <f t="shared" si="6"/>
        <v>35086.833572387688</v>
      </c>
    </row>
    <row r="93" spans="1:11" x14ac:dyDescent="0.3">
      <c r="A93">
        <f>A$9 * (20.5003700256347 -A$8)</f>
        <v>20.500370025634702</v>
      </c>
      <c r="B93">
        <f>B$9 * (20.5003700256347 -B$8)</f>
        <v>20.500370025634702</v>
      </c>
      <c r="C93">
        <f>C$9 * (20.5003700256347 -C$8)</f>
        <v>20.500370025634702</v>
      </c>
      <c r="E93">
        <f>E$9 * (0.00983711518347263 -E$8)</f>
        <v>9.8371151834726299E-3</v>
      </c>
      <c r="F93">
        <f>F$9 * (4.81412601470947 -F$8)</f>
        <v>4.81412601470947</v>
      </c>
      <c r="G93">
        <f>G$9 * (9.74615097045898 -G$8)</f>
        <v>9.7461509704589808</v>
      </c>
      <c r="I93">
        <f t="shared" si="4"/>
        <v>35.413614660501466</v>
      </c>
      <c r="J93">
        <f t="shared" si="5"/>
        <v>17330.853652954091</v>
      </c>
      <c r="K93">
        <f t="shared" si="6"/>
        <v>35086.143493652329</v>
      </c>
    </row>
    <row r="94" spans="1:11" x14ac:dyDescent="0.3">
      <c r="A94">
        <f>A$9 * (20.7500076293945 -A$8)</f>
        <v>20.750007629394499</v>
      </c>
      <c r="B94">
        <f>B$9 * (20.7500076293945 -B$8)</f>
        <v>20.750007629394499</v>
      </c>
      <c r="C94">
        <f>C$9 * (20.7500076293945 -C$8)</f>
        <v>20.750007629394499</v>
      </c>
      <c r="E94">
        <f>E$9 * (0.00983715895563364 -E$8)</f>
        <v>9.8371589556336403E-3</v>
      </c>
      <c r="F94">
        <f>F$9 * (4.81406116485595 -F$8)</f>
        <v>4.8140611648559499</v>
      </c>
      <c r="G94">
        <f>G$9 * (9.74600028991699 -G$8)</f>
        <v>9.7460002899169904</v>
      </c>
      <c r="I94">
        <f t="shared" si="4"/>
        <v>35.413772240281105</v>
      </c>
      <c r="J94">
        <f t="shared" si="5"/>
        <v>17330.62019348142</v>
      </c>
      <c r="K94">
        <f t="shared" si="6"/>
        <v>35085.601043701165</v>
      </c>
    </row>
    <row r="95" spans="1:11" x14ac:dyDescent="0.3">
      <c r="A95">
        <f>A$9 * (21.000036239624 -A$8)</f>
        <v>21.000036239623999</v>
      </c>
      <c r="B95">
        <f>B$9 * (21.000036239624 -B$8)</f>
        <v>21.000036239623999</v>
      </c>
      <c r="C95">
        <f>C$9 * (21.000036239624 -C$8)</f>
        <v>21.000036239623999</v>
      </c>
      <c r="E95">
        <f>E$9 * (0.00983721669763326 -E$8)</f>
        <v>9.8372166976332595E-3</v>
      </c>
      <c r="F95">
        <f>F$9 * (4.81399822235107 -F$8)</f>
        <v>4.8139982223510698</v>
      </c>
      <c r="G95">
        <f>G$9 * (9.74583721160888 -G$8)</f>
        <v>9.7458372116088796</v>
      </c>
      <c r="I95">
        <f t="shared" si="4"/>
        <v>35.413980111479731</v>
      </c>
      <c r="J95">
        <f t="shared" si="5"/>
        <v>17330.393600463853</v>
      </c>
      <c r="K95">
        <f t="shared" si="6"/>
        <v>35085.013961791963</v>
      </c>
    </row>
    <row r="96" spans="1:11" x14ac:dyDescent="0.3">
      <c r="A96">
        <f>A$9 * (21.2500667572021 -A$8)</f>
        <v>21.250066757202099</v>
      </c>
      <c r="B96">
        <f>B$9 * (21.2500667572021 -B$8)</f>
        <v>21.250066757202099</v>
      </c>
      <c r="C96">
        <f>C$9 * (21.2500667572021 -C$8)</f>
        <v>21.250066757202099</v>
      </c>
      <c r="E96">
        <f>E$9 * (0.00983729306608438 -E$8)</f>
        <v>9.8372930660843797E-3</v>
      </c>
      <c r="F96">
        <f>F$9 * (4.81395101547241 -F$8)</f>
        <v>4.8139510154724103</v>
      </c>
      <c r="G96">
        <f>G$9 * (9.74570083618164 -G$8)</f>
        <v>9.7457008361816406</v>
      </c>
      <c r="I96">
        <f t="shared" si="4"/>
        <v>35.414255037903764</v>
      </c>
      <c r="J96">
        <f t="shared" si="5"/>
        <v>17330.223655700676</v>
      </c>
      <c r="K96">
        <f t="shared" si="6"/>
        <v>35084.523010253906</v>
      </c>
    </row>
    <row r="97" spans="1:11" x14ac:dyDescent="0.3">
      <c r="A97">
        <f>A$9 * (21.5000953674316 -A$8)</f>
        <v>21.500095367431602</v>
      </c>
      <c r="B97">
        <f>B$9 * (21.5000953674316 -B$8)</f>
        <v>21.500095367431602</v>
      </c>
      <c r="C97">
        <f>C$9 * (21.5000953674316 -C$8)</f>
        <v>21.500095367431602</v>
      </c>
      <c r="E97">
        <f>E$9 * (0.00983732100576162 -E$8)</f>
        <v>9.8373210057616199E-3</v>
      </c>
      <c r="F97">
        <f>F$9 * (4.81389904022216 -F$8)</f>
        <v>4.81389904022216</v>
      </c>
      <c r="G97">
        <f>G$9 * (9.74558067321777 -G$8)</f>
        <v>9.7455806732177699</v>
      </c>
      <c r="I97">
        <f t="shared" si="4"/>
        <v>35.41435562074183</v>
      </c>
      <c r="J97">
        <f t="shared" si="5"/>
        <v>17330.036544799776</v>
      </c>
      <c r="K97">
        <f t="shared" si="6"/>
        <v>35084.09042358397</v>
      </c>
    </row>
    <row r="98" spans="1:11" x14ac:dyDescent="0.3">
      <c r="A98">
        <f>A$9 * (21.7501220703125 -A$8)</f>
        <v>21.7501220703125</v>
      </c>
      <c r="B98">
        <f>B$9 * (21.7501220703125 -B$8)</f>
        <v>21.7501220703125</v>
      </c>
      <c r="C98">
        <f>C$9 * (21.7501220703125 -C$8)</f>
        <v>21.7501220703125</v>
      </c>
      <c r="E98">
        <f>E$9 * (0.00983737967908382 -E$8)</f>
        <v>9.8373796790838207E-3</v>
      </c>
      <c r="F98">
        <f>F$9 * (4.81385612487793 -F$8)</f>
        <v>4.8138561248779297</v>
      </c>
      <c r="G98">
        <f>G$9 * (9.74545764923095 -G$8)</f>
        <v>9.7454576492309499</v>
      </c>
      <c r="I98">
        <f t="shared" si="4"/>
        <v>35.414566844701753</v>
      </c>
      <c r="J98">
        <f t="shared" si="5"/>
        <v>17329.882049560547</v>
      </c>
      <c r="K98">
        <f t="shared" si="6"/>
        <v>35083.647537231416</v>
      </c>
    </row>
    <row r="99" spans="1:11" x14ac:dyDescent="0.3">
      <c r="A99">
        <f>A$9 * (22.0001506805419 -A$8)</f>
        <v>22.0001506805419</v>
      </c>
      <c r="B99">
        <f>B$9 * (22.0001506805419 -B$8)</f>
        <v>22.0001506805419</v>
      </c>
      <c r="C99">
        <f>C$9 * (22.0001506805419 -C$8)</f>
        <v>22.0001506805419</v>
      </c>
      <c r="E99">
        <f>E$9 * (0.0098374243825674 -E$8)</f>
        <v>9.8374243825674005E-3</v>
      </c>
      <c r="F99">
        <f>F$9 * (4.81381797790527 -F$8)</f>
        <v>4.8138179779052699</v>
      </c>
      <c r="G99">
        <f>G$9 * (9.74536037445068 -G$8)</f>
        <v>9.74536037445068</v>
      </c>
      <c r="I99">
        <f t="shared" si="4"/>
        <v>35.414727777242639</v>
      </c>
      <c r="J99">
        <f t="shared" si="5"/>
        <v>17329.74472045897</v>
      </c>
      <c r="K99">
        <f t="shared" si="6"/>
        <v>35083.297348022446</v>
      </c>
    </row>
    <row r="100" spans="1:11" x14ac:dyDescent="0.3">
      <c r="A100">
        <f>A$9 * (22.2501773834228 -A$8)</f>
        <v>22.250177383422798</v>
      </c>
      <c r="B100">
        <f>B$9 * (22.2501773834228 -B$8)</f>
        <v>22.250177383422798</v>
      </c>
      <c r="C100">
        <f>C$9 * (22.2501773834228 -C$8)</f>
        <v>22.250177383422798</v>
      </c>
      <c r="E100">
        <f>E$9 * (0.00983744673430919 -E$8)</f>
        <v>9.8374467343091895E-3</v>
      </c>
      <c r="F100">
        <f>F$9 * (4.81377696990966 -F$8)</f>
        <v>4.81377696990966</v>
      </c>
      <c r="G100">
        <f>G$9 * (9.74526500701904 -G$8)</f>
        <v>9.7452650070190394</v>
      </c>
      <c r="I100">
        <f t="shared" si="4"/>
        <v>35.414808243513079</v>
      </c>
      <c r="J100">
        <f t="shared" si="5"/>
        <v>17329.597091674776</v>
      </c>
      <c r="K100">
        <f t="shared" si="6"/>
        <v>35082.95402526854</v>
      </c>
    </row>
    <row r="101" spans="1:11" x14ac:dyDescent="0.3">
      <c r="A101">
        <f>A$9 * (22.5002059936523 -A$8)</f>
        <v>22.500205993652301</v>
      </c>
      <c r="B101">
        <f>B$9 * (22.5002059936523 -B$8)</f>
        <v>22.500205993652301</v>
      </c>
      <c r="C101">
        <f>C$9 * (22.5002059936523 -C$8)</f>
        <v>22.500205993652301</v>
      </c>
      <c r="E101">
        <f>E$9 * (0.00983749516308307 -E$8)</f>
        <v>9.8374951630830695E-3</v>
      </c>
      <c r="F101">
        <f>F$9 * (4.81374597549438 -F$8)</f>
        <v>4.8137459754943803</v>
      </c>
      <c r="G101">
        <f>G$9 * (9.7451753616333 -G$8)</f>
        <v>9.7451753616333008</v>
      </c>
      <c r="I101">
        <f t="shared" si="4"/>
        <v>35.414982587099047</v>
      </c>
      <c r="J101">
        <f t="shared" si="5"/>
        <v>17329.485511779771</v>
      </c>
      <c r="K101">
        <f t="shared" si="6"/>
        <v>35082.631301879883</v>
      </c>
    </row>
    <row r="102" spans="1:11" x14ac:dyDescent="0.3">
      <c r="A102">
        <f>A$9 * (22.7502326965332 -A$8)</f>
        <v>22.7502326965332</v>
      </c>
      <c r="B102">
        <f>B$9 * (22.7502326965332 -B$8)</f>
        <v>22.7502326965332</v>
      </c>
      <c r="C102">
        <f>C$9 * (22.7502326965332 -C$8)</f>
        <v>22.7502326965332</v>
      </c>
      <c r="E102">
        <f>E$9 * (0.00983752217143774 -E$8)</f>
        <v>9.8375221714377403E-3</v>
      </c>
      <c r="F102">
        <f>F$9 * (4.81371688842773 -F$8)</f>
        <v>4.8137168884277299</v>
      </c>
      <c r="G102">
        <f>G$9 * (9.74510192871093 -G$8)</f>
        <v>9.7451019287109304</v>
      </c>
      <c r="I102">
        <f t="shared" si="4"/>
        <v>35.415079817175865</v>
      </c>
      <c r="J102">
        <f t="shared" si="5"/>
        <v>17329.380798339829</v>
      </c>
      <c r="K102">
        <f t="shared" si="6"/>
        <v>35082.366943359346</v>
      </c>
    </row>
    <row r="103" spans="1:11" x14ac:dyDescent="0.3">
      <c r="A103">
        <f>A$9 * (23.0002613067627 -A$8)</f>
        <v>23.000261306762699</v>
      </c>
      <c r="B103">
        <f>B$9 * (23.0002613067627 -B$8)</f>
        <v>23.000261306762699</v>
      </c>
      <c r="C103">
        <f>C$9 * (23.0002613067627 -C$8)</f>
        <v>23.000261306762699</v>
      </c>
      <c r="E103">
        <f>E$9 * (0.00983754638582468 -E$8)</f>
        <v>9.8375463858246803E-3</v>
      </c>
      <c r="F103">
        <f>F$9 * (4.81368589401245 -F$8)</f>
        <v>4.8136858940124503</v>
      </c>
      <c r="G103">
        <f>G$9 * (9.74502658843994 -G$8)</f>
        <v>9.7450265884399396</v>
      </c>
      <c r="I103">
        <f t="shared" si="4"/>
        <v>35.415166988968849</v>
      </c>
      <c r="J103">
        <f t="shared" si="5"/>
        <v>17329.269218444821</v>
      </c>
      <c r="K103">
        <f t="shared" si="6"/>
        <v>35082.095718383782</v>
      </c>
    </row>
    <row r="104" spans="1:11" x14ac:dyDescent="0.3">
      <c r="A104">
        <f>A$9 * (23.2502880096435 -A$8)</f>
        <v>23.250288009643501</v>
      </c>
      <c r="B104">
        <f>B$9 * (23.2502880096435 -B$8)</f>
        <v>23.250288009643501</v>
      </c>
      <c r="C104">
        <f>C$9 * (23.2502880096435 -C$8)</f>
        <v>23.250288009643501</v>
      </c>
      <c r="E104">
        <f>E$9 * (0.00983758177608251 -E$8)</f>
        <v>9.8375817760825105E-3</v>
      </c>
      <c r="F104">
        <f>F$9 * (4.81366491317749 -F$8)</f>
        <v>4.8136649131774902</v>
      </c>
      <c r="G104">
        <f>G$9 * (9.74496173858642 -G$8)</f>
        <v>9.7449617385864205</v>
      </c>
      <c r="I104">
        <f t="shared" si="4"/>
        <v>35.415294393897035</v>
      </c>
      <c r="J104">
        <f t="shared" si="5"/>
        <v>17329.193687438965</v>
      </c>
      <c r="K104">
        <f t="shared" si="6"/>
        <v>35081.862258911111</v>
      </c>
    </row>
    <row r="105" spans="1:11" x14ac:dyDescent="0.3">
      <c r="A105">
        <f>A$9 * (23.500316619873 -A$8)</f>
        <v>23.500316619873001</v>
      </c>
      <c r="B105">
        <f>B$9 * (23.500316619873 -B$8)</f>
        <v>23.500316619873001</v>
      </c>
      <c r="C105">
        <f>C$9 * (23.500316619873 -C$8)</f>
        <v>23.500316619873001</v>
      </c>
      <c r="E105">
        <f>E$9 * (0.00983759760856628 -E$8)</f>
        <v>9.8375976085662807E-3</v>
      </c>
      <c r="F105">
        <f>F$9 * (4.81364107131958 -F$8)</f>
        <v>4.8136410713195801</v>
      </c>
      <c r="G105">
        <f>G$9 * (9.74490547180175 -G$8)</f>
        <v>9.7449054718017507</v>
      </c>
      <c r="I105">
        <f t="shared" si="4"/>
        <v>35.415351390838609</v>
      </c>
      <c r="J105">
        <f t="shared" si="5"/>
        <v>17329.107856750488</v>
      </c>
      <c r="K105">
        <f t="shared" si="6"/>
        <v>35081.659698486299</v>
      </c>
    </row>
    <row r="106" spans="1:11" x14ac:dyDescent="0.3">
      <c r="A106">
        <f>A$9 * (23.7503452301025 -A$8)</f>
        <v>23.7503452301025</v>
      </c>
      <c r="B106">
        <f>B$9 * (23.7503452301025 -B$8)</f>
        <v>23.7503452301025</v>
      </c>
      <c r="C106">
        <f>C$9 * (23.7503452301025 -C$8)</f>
        <v>23.7503452301025</v>
      </c>
      <c r="E106">
        <f>E$9 * (0.00983762275427579 -E$8)</f>
        <v>9.8376227542757901E-3</v>
      </c>
      <c r="F106">
        <f>F$9 * (4.81362009048461 -F$8)</f>
        <v>4.8136200904846103</v>
      </c>
      <c r="G106">
        <f>G$9 * (9.74484825134277 -G$8)</f>
        <v>9.7448482513427699</v>
      </c>
      <c r="I106">
        <f t="shared" si="4"/>
        <v>35.415441915392847</v>
      </c>
      <c r="J106">
        <f t="shared" si="5"/>
        <v>17329.032325744596</v>
      </c>
      <c r="K106">
        <f t="shared" si="6"/>
        <v>35081.45370483397</v>
      </c>
    </row>
    <row r="107" spans="1:11" x14ac:dyDescent="0.3">
      <c r="A107">
        <f>A$9 * (24.0003719329834 -A$8)</f>
        <v>24.000371932983398</v>
      </c>
      <c r="B107">
        <f>B$9 * (24.0003719329834 -B$8)</f>
        <v>24.000371932983398</v>
      </c>
      <c r="C107">
        <f>C$9 * (24.0003719329834 -C$8)</f>
        <v>24.000371932983398</v>
      </c>
      <c r="E107">
        <f>E$9 * (0.00983764138072729 -E$8)</f>
        <v>9.8376413807272894E-3</v>
      </c>
      <c r="F107">
        <f>F$9 * (4.81360101699829 -F$8)</f>
        <v>4.8136010169982901</v>
      </c>
      <c r="G107">
        <f>G$9 * (9.74480247497558 -G$8)</f>
        <v>9.7448024749755806</v>
      </c>
      <c r="I107">
        <f t="shared" si="4"/>
        <v>35.415508970618241</v>
      </c>
      <c r="J107">
        <f t="shared" si="5"/>
        <v>17328.963661193844</v>
      </c>
      <c r="K107">
        <f t="shared" si="6"/>
        <v>35081.288909912088</v>
      </c>
    </row>
    <row r="108" spans="1:11" x14ac:dyDescent="0.3">
      <c r="A108">
        <f>A$9 * (24.2500114440918 -A$8)</f>
        <v>24.2500114440918</v>
      </c>
      <c r="B108">
        <f>B$9 * (24.2500114440918 -B$8)</f>
        <v>24.2500114440918</v>
      </c>
      <c r="C108">
        <f>C$9 * (24.2500114440918 -C$8)</f>
        <v>24.2500114440918</v>
      </c>
      <c r="E108">
        <f>E$9 * (0.00983765721321106 -E$8)</f>
        <v>9.8376572132110596E-3</v>
      </c>
      <c r="F108">
        <f>F$9 * (4.81358385086059 -F$8)</f>
        <v>4.8135838508605904</v>
      </c>
      <c r="G108">
        <f>G$9 * (9.74475669860839 -G$8)</f>
        <v>9.7447566986083896</v>
      </c>
      <c r="I108">
        <f t="shared" si="4"/>
        <v>35.415565967559814</v>
      </c>
      <c r="J108">
        <f t="shared" si="5"/>
        <v>17328.901863098126</v>
      </c>
      <c r="K108">
        <f t="shared" si="6"/>
        <v>35081.124114990205</v>
      </c>
    </row>
    <row r="109" spans="1:11" x14ac:dyDescent="0.3">
      <c r="A109">
        <f>A$9 * (24.5000381469726 -A$8)</f>
        <v>24.500038146972599</v>
      </c>
      <c r="B109">
        <f>B$9 * (24.5000381469726 -B$8)</f>
        <v>24.500038146972599</v>
      </c>
      <c r="C109">
        <f>C$9 * (24.5000381469726 -C$8)</f>
        <v>24.500038146972599</v>
      </c>
      <c r="E109">
        <f>E$9 * (0.00983767677098512 -E$8)</f>
        <v>9.8376767709851196E-3</v>
      </c>
      <c r="F109">
        <f>F$9 * (4.81356906890869 -F$8)</f>
        <v>4.8135690689086896</v>
      </c>
      <c r="G109">
        <f>G$9 * (9.74471473693847 -G$8)</f>
        <v>9.7447147369384695</v>
      </c>
      <c r="I109">
        <f t="shared" si="4"/>
        <v>35.415636375546427</v>
      </c>
      <c r="J109">
        <f t="shared" si="5"/>
        <v>17328.848648071282</v>
      </c>
      <c r="K109">
        <f t="shared" si="6"/>
        <v>35080.973052978487</v>
      </c>
    </row>
    <row r="110" spans="1:11" x14ac:dyDescent="0.3">
      <c r="A110">
        <f>A$9 * (24.7500667572021 -A$8)</f>
        <v>24.750066757202099</v>
      </c>
      <c r="B110">
        <f>B$9 * (24.7500667572021 -B$8)</f>
        <v>24.750066757202099</v>
      </c>
      <c r="C110">
        <f>C$9 * (24.7500667572021 -C$8)</f>
        <v>24.750066757202099</v>
      </c>
      <c r="E110">
        <f>E$9 * (0.00983768980950117 -E$8)</f>
        <v>9.8376898095011694E-3</v>
      </c>
      <c r="F110">
        <f>F$9 * (4.81355476379394 -F$8)</f>
        <v>4.81355476379394</v>
      </c>
      <c r="G110">
        <f>G$9 * (9.74467945098877 -G$8)</f>
        <v>9.7446794509887695</v>
      </c>
      <c r="I110">
        <f t="shared" si="4"/>
        <v>35.415683314204209</v>
      </c>
      <c r="J110">
        <f t="shared" si="5"/>
        <v>17328.797149658185</v>
      </c>
      <c r="K110">
        <f t="shared" si="6"/>
        <v>35080.84602355957</v>
      </c>
    </row>
    <row r="111" spans="1:11" x14ac:dyDescent="0.3">
      <c r="A111">
        <f>A$9 * (25.0000953674316 -A$8)</f>
        <v>25.000095367431602</v>
      </c>
      <c r="B111">
        <f>B$9 * (25.0000953674316 -B$8)</f>
        <v>25.000095367431602</v>
      </c>
      <c r="C111">
        <f>C$9 * (25.0000953674316 -C$8)</f>
        <v>25.000095367431602</v>
      </c>
      <c r="E111">
        <f>E$9 * (0.00983770005404949 -E$8)</f>
        <v>9.8377000540494901E-3</v>
      </c>
      <c r="F111">
        <f>F$9 * (4.81353998184204 -F$8)</f>
        <v>4.8135399818420401</v>
      </c>
      <c r="G111">
        <f>G$9 * (9.74464511871337 -G$8)</f>
        <v>9.74464511871337</v>
      </c>
      <c r="I111">
        <f t="shared" si="4"/>
        <v>35.415720194578164</v>
      </c>
      <c r="J111">
        <f t="shared" si="5"/>
        <v>17328.743934631344</v>
      </c>
      <c r="K111">
        <f t="shared" si="6"/>
        <v>35080.722427368135</v>
      </c>
    </row>
    <row r="112" spans="1:11" x14ac:dyDescent="0.3">
      <c r="A112">
        <f>A$9 * (25.2501220703125 -A$8)</f>
        <v>25.2501220703125</v>
      </c>
      <c r="B112">
        <f>B$9 * (25.2501220703125 -B$8)</f>
        <v>25.2501220703125</v>
      </c>
      <c r="C112">
        <f>C$9 * (25.2501220703125 -C$8)</f>
        <v>25.2501220703125</v>
      </c>
      <c r="E112">
        <f>E$9 * (0.00983771774917841 -E$8)</f>
        <v>9.8377177491784096E-3</v>
      </c>
      <c r="F112">
        <f>F$9 * (4.81352996826171 -F$8)</f>
        <v>4.8135299682617099</v>
      </c>
      <c r="G112">
        <f>G$9 * (9.74461364746093 -G$8)</f>
        <v>9.7446136474609304</v>
      </c>
      <c r="I112">
        <f t="shared" si="4"/>
        <v>35.415783897042274</v>
      </c>
      <c r="J112">
        <f t="shared" si="5"/>
        <v>17328.707885742155</v>
      </c>
      <c r="K112">
        <f t="shared" si="6"/>
        <v>35080.609130859346</v>
      </c>
    </row>
    <row r="113" spans="1:11" x14ac:dyDescent="0.3">
      <c r="A113">
        <f>A$9 * (25.5001506805419 -A$8)</f>
        <v>25.5001506805419</v>
      </c>
      <c r="B113">
        <f>B$9 * (25.5001506805419 -B$8)</f>
        <v>25.5001506805419</v>
      </c>
      <c r="C113">
        <f>C$9 * (25.5001506805419 -C$8)</f>
        <v>25.5001506805419</v>
      </c>
      <c r="E113">
        <f>E$9 * (0.00983772333711385 -E$8)</f>
        <v>9.8377233371138503E-3</v>
      </c>
      <c r="F113">
        <f>F$9 * (4.81351709365844 -F$8)</f>
        <v>4.8135170936584402</v>
      </c>
      <c r="G113">
        <f>G$9 * (9.74458694458007 -G$8)</f>
        <v>9.7445869445800692</v>
      </c>
      <c r="I113">
        <f t="shared" si="4"/>
        <v>35.415804013609858</v>
      </c>
      <c r="J113">
        <f t="shared" si="5"/>
        <v>17328.661537170385</v>
      </c>
      <c r="K113">
        <f t="shared" si="6"/>
        <v>35080.513000488252</v>
      </c>
    </row>
    <row r="114" spans="1:11" x14ac:dyDescent="0.3">
      <c r="A114">
        <f>A$9 * (25.7501773834228 -A$8)</f>
        <v>25.750177383422798</v>
      </c>
      <c r="B114">
        <f>B$9 * (25.7501773834228 -B$8)</f>
        <v>25.750177383422798</v>
      </c>
      <c r="C114">
        <f>C$9 * (25.7501773834228 -C$8)</f>
        <v>25.750177383422798</v>
      </c>
      <c r="E114">
        <f>E$9 * (0.0098377363756299 -E$8)</f>
        <v>9.8377363756299002E-3</v>
      </c>
      <c r="F114">
        <f>F$9 * (4.81350803375244 -F$8)</f>
        <v>4.8135080337524396</v>
      </c>
      <c r="G114">
        <f>G$9 * (9.74456024169921 -G$8)</f>
        <v>9.7445602416992099</v>
      </c>
      <c r="I114">
        <f t="shared" si="4"/>
        <v>35.41585095226764</v>
      </c>
      <c r="J114">
        <f t="shared" si="5"/>
        <v>17328.628921508782</v>
      </c>
      <c r="K114">
        <f t="shared" si="6"/>
        <v>35080.416870117158</v>
      </c>
    </row>
    <row r="115" spans="1:11" x14ac:dyDescent="0.3">
      <c r="A115">
        <f>A$9 * (26.0002079010009 -A$8)</f>
        <v>26.000207901000898</v>
      </c>
      <c r="B115">
        <f>B$9 * (26.0002079010009 -B$8)</f>
        <v>26.000207901000898</v>
      </c>
      <c r="C115">
        <f>C$9 * (26.0002079010009 -C$8)</f>
        <v>26.000207901000898</v>
      </c>
      <c r="E115">
        <f>E$9 * (0.00983774475753307 -E$8)</f>
        <v>9.83774475753307E-3</v>
      </c>
      <c r="F115">
        <f>F$9 * (4.81349897384643 -F$8)</f>
        <v>4.8134989738464302</v>
      </c>
      <c r="G115">
        <f>G$9 * (9.74453830718994 -G$8)</f>
        <v>9.7445383071899396</v>
      </c>
      <c r="I115">
        <f t="shared" si="4"/>
        <v>35.41588112711905</v>
      </c>
      <c r="J115">
        <f t="shared" si="5"/>
        <v>17328.59630584715</v>
      </c>
      <c r="K115">
        <f t="shared" si="6"/>
        <v>35080.337905883782</v>
      </c>
    </row>
    <row r="116" spans="1:11" x14ac:dyDescent="0.3">
      <c r="A116">
        <f>A$9 * (26.2502365112304 -A$8)</f>
        <v>26.250236511230401</v>
      </c>
      <c r="B116">
        <f>B$9 * (26.2502365112304 -B$8)</f>
        <v>26.250236511230401</v>
      </c>
      <c r="C116">
        <f>C$9 * (26.2502365112304 -C$8)</f>
        <v>26.250236511230401</v>
      </c>
      <c r="E116">
        <f>E$9 * (0.00983775127679109 -E$8)</f>
        <v>9.8377512767910905E-3</v>
      </c>
      <c r="F116">
        <f>F$9 * (4.81348991394043 -F$8)</f>
        <v>4.8134899139404297</v>
      </c>
      <c r="G116">
        <f>G$9 * (9.74451637268066 -G$8)</f>
        <v>9.7445163726806605</v>
      </c>
      <c r="I116">
        <f t="shared" si="4"/>
        <v>35.415904596447923</v>
      </c>
      <c r="J116">
        <f t="shared" si="5"/>
        <v>17328.563690185547</v>
      </c>
      <c r="K116">
        <f t="shared" si="6"/>
        <v>35080.258941650376</v>
      </c>
    </row>
    <row r="117" spans="1:11" x14ac:dyDescent="0.3">
      <c r="A117">
        <f>A$9 * (26.5002632141113 -A$8)</f>
        <v>26.5002632141113</v>
      </c>
      <c r="B117">
        <f>B$9 * (26.5002632141113 -B$8)</f>
        <v>26.5002632141113</v>
      </c>
      <c r="C117">
        <f>C$9 * (26.5002632141113 -C$8)</f>
        <v>26.5002632141113</v>
      </c>
      <c r="E117">
        <f>E$9 * (0.00983775965869426 -E$8)</f>
        <v>9.8377596586942603E-3</v>
      </c>
      <c r="F117">
        <f>F$9 * (4.81348323822021 -F$8)</f>
        <v>4.8134832382202104</v>
      </c>
      <c r="G117">
        <f>G$9 * (9.74449634552002 -G$8)</f>
        <v>9.7444963455200195</v>
      </c>
      <c r="I117">
        <f t="shared" si="4"/>
        <v>35.415934771299334</v>
      </c>
      <c r="J117">
        <f t="shared" si="5"/>
        <v>17328.539657592759</v>
      </c>
      <c r="K117">
        <f t="shared" si="6"/>
        <v>35080.18684387207</v>
      </c>
    </row>
    <row r="118" spans="1:11" x14ac:dyDescent="0.3">
      <c r="A118">
        <f>A$9 * (26.7502918243408 -A$8)</f>
        <v>26.750291824340799</v>
      </c>
      <c r="B118">
        <f>B$9 * (26.7502918243408 -B$8)</f>
        <v>26.750291824340799</v>
      </c>
      <c r="C118">
        <f>C$9 * (26.7502918243408 -C$8)</f>
        <v>26.750291824340799</v>
      </c>
      <c r="E118">
        <f>E$9 * (0.00983776897192001 -E$8)</f>
        <v>9.83776897192001E-3</v>
      </c>
      <c r="F118">
        <f>F$9 * (4.81347703933715 -F$8)</f>
        <v>4.8134770393371502</v>
      </c>
      <c r="G118">
        <f>G$9 * (9.74447917938232 -G$8)</f>
        <v>9.7444791793823207</v>
      </c>
      <c r="I118">
        <f t="shared" si="4"/>
        <v>35.415968298912034</v>
      </c>
      <c r="J118">
        <f t="shared" si="5"/>
        <v>17328.51734161374</v>
      </c>
      <c r="K118">
        <f t="shared" si="6"/>
        <v>35080.125045776353</v>
      </c>
    </row>
    <row r="119" spans="1:11" x14ac:dyDescent="0.3">
      <c r="A119">
        <f>A$9 * (27.0003185272216 -A$8)</f>
        <v>27.000318527221602</v>
      </c>
      <c r="B119">
        <f>B$9 * (27.0003185272216 -B$8)</f>
        <v>27.000318527221602</v>
      </c>
      <c r="C119">
        <f>C$9 * (27.0003185272216 -C$8)</f>
        <v>27.000318527221602</v>
      </c>
      <c r="E119">
        <f>E$9 * (0.00983777269721031 -E$8)</f>
        <v>9.8377726972103102E-3</v>
      </c>
      <c r="F119">
        <f>F$9 * (4.81346893310546 -F$8)</f>
        <v>4.8134689331054599</v>
      </c>
      <c r="G119">
        <f>G$9 * (9.74446296691894 -G$8)</f>
        <v>9.74446296691894</v>
      </c>
      <c r="I119">
        <f t="shared" si="4"/>
        <v>35.415981709957116</v>
      </c>
      <c r="J119">
        <f t="shared" si="5"/>
        <v>17328.488159179655</v>
      </c>
      <c r="K119">
        <f t="shared" si="6"/>
        <v>35080.066680908181</v>
      </c>
    </row>
    <row r="120" spans="1:11" x14ac:dyDescent="0.3">
      <c r="A120">
        <f>A$9 * (27.2503471374511 -A$8)</f>
        <v>27.250347137451101</v>
      </c>
      <c r="B120">
        <f>B$9 * (27.2503471374511 -B$8)</f>
        <v>27.250347137451101</v>
      </c>
      <c r="C120">
        <f>C$9 * (27.2503471374511 -C$8)</f>
        <v>27.250347137451101</v>
      </c>
      <c r="E120">
        <f>E$9 * (0.00983778201043605 -E$8)</f>
        <v>9.8377820104360494E-3</v>
      </c>
      <c r="F120">
        <f>F$9 * (4.8134651184082 -F$8)</f>
        <v>4.8134651184081996</v>
      </c>
      <c r="G120">
        <f>G$9 * (9.74444675445556 -G$8)</f>
        <v>9.7444467544555593</v>
      </c>
      <c r="I120">
        <f t="shared" si="4"/>
        <v>35.416015237569781</v>
      </c>
      <c r="J120">
        <f t="shared" si="5"/>
        <v>17328.474426269517</v>
      </c>
      <c r="K120">
        <f t="shared" si="6"/>
        <v>35080.00831604001</v>
      </c>
    </row>
    <row r="121" spans="1:11" x14ac:dyDescent="0.3">
      <c r="A121">
        <f>A$9 * (27.5003757476806 -A$8)</f>
        <v>27.5003757476806</v>
      </c>
      <c r="B121">
        <f>B$9 * (27.5003757476806 -B$8)</f>
        <v>27.5003757476806</v>
      </c>
      <c r="C121">
        <f>C$9 * (27.5003757476806 -C$8)</f>
        <v>27.5003757476806</v>
      </c>
      <c r="E121">
        <f>E$9 * (0.0098377838730812 -E$8)</f>
        <v>9.8377838730812003E-3</v>
      </c>
      <c r="F121">
        <f>F$9 * (4.81345796585083 -F$8)</f>
        <v>4.8134579658508301</v>
      </c>
      <c r="G121">
        <f>G$9 * (9.74443435668945 -G$8)</f>
        <v>9.7444343566894496</v>
      </c>
      <c r="I121">
        <f t="shared" si="4"/>
        <v>35.416021943092318</v>
      </c>
      <c r="J121">
        <f t="shared" si="5"/>
        <v>17328.448677062988</v>
      </c>
      <c r="K121">
        <f t="shared" si="6"/>
        <v>35079.963684082017</v>
      </c>
    </row>
    <row r="122" spans="1:11" x14ac:dyDescent="0.3">
      <c r="A122">
        <f>A$9 * (27.7500133514404 -A$8)</f>
        <v>27.750013351440401</v>
      </c>
      <c r="B122">
        <f>B$9 * (27.7500133514404 -B$8)</f>
        <v>27.750013351440401</v>
      </c>
      <c r="C122">
        <f>C$9 * (27.7500133514404 -C$8)</f>
        <v>27.750013351440401</v>
      </c>
      <c r="E122">
        <f>E$9 * (0.0098377913236618 -E$8)</f>
        <v>9.8377913236618007E-3</v>
      </c>
      <c r="F122">
        <f>F$9 * (4.81345510482788 -F$8)</f>
        <v>4.81345510482788</v>
      </c>
      <c r="G122">
        <f>G$9 * (9.74442100524902 -G$8)</f>
        <v>9.7444210052490199</v>
      </c>
      <c r="I122">
        <f t="shared" si="4"/>
        <v>35.416048765182481</v>
      </c>
      <c r="J122">
        <f t="shared" si="5"/>
        <v>17328.438377380367</v>
      </c>
      <c r="K122">
        <f t="shared" si="6"/>
        <v>35079.91561889647</v>
      </c>
    </row>
    <row r="123" spans="1:11" x14ac:dyDescent="0.3">
      <c r="A123">
        <f>A$9 * (28.0000286102294 -A$8)</f>
        <v>28.0000286102294</v>
      </c>
      <c r="B123">
        <f>B$9 * (28.0000286102294 -B$8)</f>
        <v>28.0000286102294</v>
      </c>
      <c r="C123">
        <f>C$9 * (28.0000286102294 -C$8)</f>
        <v>28.0000286102294</v>
      </c>
      <c r="E123">
        <f>E$9 * (0.00983779411762952 -E$8)</f>
        <v>9.8377941176295194E-3</v>
      </c>
      <c r="F123">
        <f>F$9 * (4.81344890594482 -F$8)</f>
        <v>4.8134489059448198</v>
      </c>
      <c r="G123">
        <f>G$9 * (9.74440956115722 -G$8)</f>
        <v>9.7444095611572195</v>
      </c>
      <c r="I123">
        <f t="shared" si="4"/>
        <v>35.416058823466273</v>
      </c>
      <c r="J123">
        <f t="shared" si="5"/>
        <v>17328.416061401353</v>
      </c>
      <c r="K123">
        <f t="shared" si="6"/>
        <v>35079.874420165987</v>
      </c>
    </row>
    <row r="124" spans="1:11" x14ac:dyDescent="0.3">
      <c r="A124">
        <f>A$9 * (28.2500839233398 -A$8)</f>
        <v>28.250083923339801</v>
      </c>
      <c r="B124">
        <f>B$9 * (28.2500839233398 -B$8)</f>
        <v>28.250083923339801</v>
      </c>
      <c r="C124">
        <f>C$9 * (28.2500839233398 -C$8)</f>
        <v>28.250083923339801</v>
      </c>
      <c r="E124">
        <f>E$9 * (0.00983779970556497 -E$8)</f>
        <v>9.8377997055649705E-3</v>
      </c>
      <c r="F124">
        <f>F$9 * (4.81344604492187 -F$8)</f>
        <v>4.8134460449218697</v>
      </c>
      <c r="G124">
        <f>G$9 * (9.74439907073974 -G$8)</f>
        <v>9.7443990707397408</v>
      </c>
      <c r="I124">
        <f t="shared" si="4"/>
        <v>35.416078940033891</v>
      </c>
      <c r="J124">
        <f t="shared" si="5"/>
        <v>17328.405761718732</v>
      </c>
      <c r="K124">
        <f t="shared" si="6"/>
        <v>35079.836654663064</v>
      </c>
    </row>
    <row r="125" spans="1:11" x14ac:dyDescent="0.3">
      <c r="A125">
        <f>A$9 * (28.5001106262207 -A$8)</f>
        <v>28.5001106262207</v>
      </c>
      <c r="B125">
        <f>B$9 * (28.5001106262207 -B$8)</f>
        <v>28.5001106262207</v>
      </c>
      <c r="C125">
        <f>C$9 * (28.5001106262207 -C$8)</f>
        <v>28.5001106262207</v>
      </c>
      <c r="E125">
        <f>E$9 * (0.00983780436217784 -E$8)</f>
        <v>9.8378043621778401E-3</v>
      </c>
      <c r="F125">
        <f>F$9 * (4.8134422302246 -F$8)</f>
        <v>4.8134422302245996</v>
      </c>
      <c r="G125">
        <f>G$9 * (9.74438858032226 -G$8)</f>
        <v>9.7443885803222603</v>
      </c>
      <c r="I125">
        <f t="shared" si="4"/>
        <v>35.416095703840227</v>
      </c>
      <c r="J125">
        <f t="shared" si="5"/>
        <v>17328.392028808557</v>
      </c>
      <c r="K125">
        <f t="shared" si="6"/>
        <v>35079.798889160134</v>
      </c>
    </row>
    <row r="126" spans="1:11" x14ac:dyDescent="0.3">
      <c r="A126">
        <f>A$9 * (28.7501392364502 -A$8)</f>
        <v>28.750139236450199</v>
      </c>
      <c r="B126">
        <f>B$9 * (28.7501392364502 -B$8)</f>
        <v>28.750139236450199</v>
      </c>
      <c r="C126">
        <f>C$9 * (28.7501392364502 -C$8)</f>
        <v>28.750139236450199</v>
      </c>
      <c r="E126">
        <f>E$9 * (0.00983780529350042 -E$8)</f>
        <v>9.83780529350042E-3</v>
      </c>
      <c r="F126">
        <f>F$9 * (4.81343793869018 -F$8)</f>
        <v>4.8134379386901802</v>
      </c>
      <c r="G126">
        <f>G$9 * (9.74438095092773 -G$8)</f>
        <v>9.7443809509277308</v>
      </c>
      <c r="I126">
        <f t="shared" si="4"/>
        <v>35.41609905660151</v>
      </c>
      <c r="J126">
        <f t="shared" si="5"/>
        <v>17328.37657928465</v>
      </c>
      <c r="K126">
        <f t="shared" si="6"/>
        <v>35079.771423339829</v>
      </c>
    </row>
    <row r="127" spans="1:11" x14ac:dyDescent="0.3">
      <c r="A127">
        <f>A$9 * (29.000165939331 -A$8)</f>
        <v>29.000165939331001</v>
      </c>
      <c r="B127">
        <f>B$9 * (29.000165939331 -B$8)</f>
        <v>29.000165939331001</v>
      </c>
      <c r="C127">
        <f>C$9 * (29.000165939331 -C$8)</f>
        <v>29.000165939331001</v>
      </c>
      <c r="E127">
        <f>E$9 * (0.00983780901879072 -E$8)</f>
        <v>9.8378090187907202E-3</v>
      </c>
      <c r="F127">
        <f>F$9 * (4.81343412399292 -F$8)</f>
        <v>4.8134341239929199</v>
      </c>
      <c r="G127">
        <f>G$9 * (9.74437236785888 -G$8)</f>
        <v>9.7443723678588796</v>
      </c>
      <c r="I127">
        <f t="shared" si="4"/>
        <v>35.416112467646592</v>
      </c>
      <c r="J127">
        <f t="shared" si="5"/>
        <v>17328.362846374512</v>
      </c>
      <c r="K127">
        <f t="shared" si="6"/>
        <v>35079.740524291963</v>
      </c>
    </row>
    <row r="128" spans="1:11" x14ac:dyDescent="0.3">
      <c r="A128">
        <f>A$9 * (29.2501945495605 -A$8)</f>
        <v>29.250194549560501</v>
      </c>
      <c r="B128">
        <f>B$9 * (29.2501945495605 -B$8)</f>
        <v>29.250194549560501</v>
      </c>
      <c r="C128">
        <f>C$9 * (29.2501945495605 -C$8)</f>
        <v>29.250194549560501</v>
      </c>
      <c r="E128">
        <f>E$9 * (0.00983781181275844 -E$8)</f>
        <v>9.8378118127584405E-3</v>
      </c>
      <c r="F128">
        <f>F$9 * (4.81343221664428 -F$8)</f>
        <v>4.81343221664428</v>
      </c>
      <c r="G128">
        <f>G$9 * (9.74436473846435 -G$8)</f>
        <v>9.7443647384643501</v>
      </c>
      <c r="I128">
        <f t="shared" si="4"/>
        <v>35.416122525930383</v>
      </c>
      <c r="J128">
        <f t="shared" si="5"/>
        <v>17328.355979919408</v>
      </c>
      <c r="K128">
        <f t="shared" si="6"/>
        <v>35079.713058471658</v>
      </c>
    </row>
    <row r="129" spans="1:11" x14ac:dyDescent="0.3">
      <c r="A129">
        <f>A$9 * (29.50022315979 -A$8)</f>
        <v>29.50022315979</v>
      </c>
      <c r="B129">
        <f>B$9 * (29.50022315979 -B$8)</f>
        <v>29.50022315979</v>
      </c>
      <c r="C129">
        <f>C$9 * (29.50022315979 -C$8)</f>
        <v>29.50022315979</v>
      </c>
      <c r="E129">
        <f>E$9 * (0.00983781367540359 -E$8)</f>
        <v>9.8378136754035898E-3</v>
      </c>
      <c r="F129">
        <f>F$9 * (4.81342887878418 -F$8)</f>
        <v>4.8134288787841797</v>
      </c>
      <c r="G129">
        <f>G$9 * (9.74435806274414 -G$8)</f>
        <v>9.7443580627441406</v>
      </c>
      <c r="I129">
        <f t="shared" si="4"/>
        <v>35.416129231452921</v>
      </c>
      <c r="J129">
        <f t="shared" si="5"/>
        <v>17328.343963623047</v>
      </c>
      <c r="K129">
        <f t="shared" si="6"/>
        <v>35079.689025878906</v>
      </c>
    </row>
    <row r="130" spans="1:11" x14ac:dyDescent="0.3">
      <c r="A130">
        <f>A$9 * (29.7502498626709 -A$8)</f>
        <v>29.750249862670898</v>
      </c>
      <c r="B130">
        <f>B$9 * (29.7502498626709 -B$8)</f>
        <v>29.750249862670898</v>
      </c>
      <c r="C130">
        <f>C$9 * (29.7502498626709 -C$8)</f>
        <v>29.750249862670898</v>
      </c>
      <c r="E130">
        <f>E$9 * (0.00983781833201646 -E$8)</f>
        <v>9.8378183320164594E-3</v>
      </c>
      <c r="F130">
        <f>F$9 * (4.81342697143554 -F$8)</f>
        <v>4.8134269714355398</v>
      </c>
      <c r="G130">
        <f>G$9 * (9.74435138702392 -G$8)</f>
        <v>9.7443513870239205</v>
      </c>
      <c r="I130">
        <f t="shared" si="4"/>
        <v>35.416145995259257</v>
      </c>
      <c r="J130">
        <f t="shared" si="5"/>
        <v>17328.337097167943</v>
      </c>
      <c r="K130">
        <f t="shared" si="6"/>
        <v>35079.664993286111</v>
      </c>
    </row>
    <row r="131" spans="1:11" x14ac:dyDescent="0.3">
      <c r="A131">
        <f>A$9 * (30.0002784729003 -A$8)</f>
        <v>30.000278472900298</v>
      </c>
      <c r="B131">
        <f>B$9 * (30.0002784729003 -B$8)</f>
        <v>30.000278472900298</v>
      </c>
      <c r="C131">
        <f>C$9 * (30.0002784729003 -C$8)</f>
        <v>30.000278472900298</v>
      </c>
      <c r="E131">
        <f>E$9 * (0.00983782112598419 -E$8)</f>
        <v>9.8378211259841902E-3</v>
      </c>
      <c r="F131">
        <f>F$9 * (4.81342506408691 -F$8)</f>
        <v>4.8134250640869096</v>
      </c>
      <c r="G131">
        <f>G$9 * (9.74434471130371 -G$8)</f>
        <v>9.7443447113037092</v>
      </c>
      <c r="I131">
        <f t="shared" si="4"/>
        <v>35.416156053543084</v>
      </c>
      <c r="J131">
        <f t="shared" si="5"/>
        <v>17328.330230712876</v>
      </c>
      <c r="K131">
        <f t="shared" si="6"/>
        <v>35079.640960693352</v>
      </c>
    </row>
    <row r="132" spans="1:11" x14ac:dyDescent="0.3">
      <c r="A132">
        <f>A$9 * (30.2503051757812 -A$8)</f>
        <v>30.2503051757812</v>
      </c>
      <c r="B132">
        <f>B$9 * (30.2503051757812 -B$8)</f>
        <v>30.2503051757812</v>
      </c>
      <c r="C132">
        <f>C$9 * (30.2503051757812 -C$8)</f>
        <v>30.2503051757812</v>
      </c>
      <c r="E132">
        <f>E$9 * (0.00983782391995191 -E$8)</f>
        <v>9.8378239199519105E-3</v>
      </c>
      <c r="F132">
        <f>F$9 * (4.81342315673828 -F$8)</f>
        <v>4.8134231567382804</v>
      </c>
      <c r="G132">
        <f>G$9 * (9.74433898925781 -G$8)</f>
        <v>9.7443389892578107</v>
      </c>
      <c r="I132">
        <f t="shared" si="4"/>
        <v>35.416166111826875</v>
      </c>
      <c r="J132">
        <f t="shared" si="5"/>
        <v>17328.323364257809</v>
      </c>
      <c r="K132">
        <f t="shared" si="6"/>
        <v>35079.620361328118</v>
      </c>
    </row>
    <row r="133" spans="1:11" x14ac:dyDescent="0.3">
      <c r="A133">
        <f>A$9 * (30.5003337860107 -A$8)</f>
        <v>30.5003337860107</v>
      </c>
      <c r="B133">
        <f>B$9 * (30.5003337860107 -B$8)</f>
        <v>30.5003337860107</v>
      </c>
      <c r="C133">
        <f>C$9 * (30.5003337860107 -C$8)</f>
        <v>30.5003337860107</v>
      </c>
      <c r="E133">
        <f>E$9 * (0.00983782298862934 -E$8)</f>
        <v>9.8378229886293394E-3</v>
      </c>
      <c r="F133">
        <f>F$9 * (4.81341886520385 -F$8)</f>
        <v>4.8134188652038503</v>
      </c>
      <c r="G133">
        <f>G$9 * (9.74433422088623 -G$8)</f>
        <v>9.7443342208862305</v>
      </c>
      <c r="I133">
        <f t="shared" si="4"/>
        <v>35.416162759065621</v>
      </c>
      <c r="J133">
        <f t="shared" si="5"/>
        <v>17328.307914733861</v>
      </c>
      <c r="K133">
        <f t="shared" si="6"/>
        <v>35079.60319519043</v>
      </c>
    </row>
    <row r="134" spans="1:11" x14ac:dyDescent="0.3">
      <c r="A134">
        <f>A$9 * (30.7503604888916 -A$8)</f>
        <v>30.750360488891602</v>
      </c>
      <c r="B134">
        <f>B$9 * (30.7503604888916 -B$8)</f>
        <v>30.750360488891602</v>
      </c>
      <c r="C134">
        <f>C$9 * (30.7503604888916 -C$8)</f>
        <v>30.750360488891602</v>
      </c>
      <c r="E134">
        <f>E$9 * (0.00983782764524221 -E$8)</f>
        <v>9.8378276452422107E-3</v>
      </c>
      <c r="F134">
        <f>F$9 * (4.81341886520385 -F$8)</f>
        <v>4.8134188652038503</v>
      </c>
      <c r="G134">
        <f>G$9 * (9.74432945251464 -G$8)</f>
        <v>9.7443294525146396</v>
      </c>
      <c r="I134">
        <f t="shared" si="4"/>
        <v>35.416179522871957</v>
      </c>
      <c r="J134">
        <f t="shared" si="5"/>
        <v>17328.307914733861</v>
      </c>
      <c r="K134">
        <f t="shared" si="6"/>
        <v>35079.586029052705</v>
      </c>
    </row>
    <row r="135" spans="1:11" x14ac:dyDescent="0.3">
      <c r="A135">
        <f>A$9 * (31.000389099121 -A$8)</f>
        <v>31.000389099121001</v>
      </c>
      <c r="B135">
        <f>B$9 * (31.000389099121 -B$8)</f>
        <v>31.000389099121001</v>
      </c>
      <c r="C135">
        <f>C$9 * (31.000389099121 -C$8)</f>
        <v>31.000389099121001</v>
      </c>
      <c r="E135">
        <f>E$9 * (0.00983782764524221 -E$8)</f>
        <v>9.8378276452422107E-3</v>
      </c>
      <c r="F135">
        <f>F$9 * (4.8134160041809 -F$8)</f>
        <v>4.8134160041809002</v>
      </c>
      <c r="G135">
        <f>G$9 * (9.74432373046875 -G$8)</f>
        <v>9.74432373046875</v>
      </c>
      <c r="I135">
        <f t="shared" si="4"/>
        <v>35.416179522871957</v>
      </c>
      <c r="J135">
        <f t="shared" si="5"/>
        <v>17328.29761505124</v>
      </c>
      <c r="K135">
        <f t="shared" si="6"/>
        <v>35079.5654296875</v>
      </c>
    </row>
    <row r="136" spans="1:11" x14ac:dyDescent="0.3">
      <c r="A136">
        <f>A$9 * (31.2500286102294 -A$8)</f>
        <v>31.2500286102294</v>
      </c>
      <c r="B136">
        <f>B$9 * (31.2500286102294 -B$8)</f>
        <v>31.2500286102294</v>
      </c>
      <c r="C136">
        <f>C$9 * (31.2500286102294 -C$8)</f>
        <v>31.2500286102294</v>
      </c>
      <c r="E136">
        <f>E$9 * (0.00983782857656478 -E$8)</f>
        <v>9.8378285765647801E-3</v>
      </c>
      <c r="F136">
        <f>F$9 * (4.81341409683227 -F$8)</f>
        <v>4.8134140968322701</v>
      </c>
      <c r="G136">
        <f>G$9 * (9.74431991577148 -G$8)</f>
        <v>9.7443199157714808</v>
      </c>
      <c r="I136">
        <f t="shared" si="4"/>
        <v>35.416182875633211</v>
      </c>
      <c r="J136">
        <f t="shared" si="5"/>
        <v>17328.290748596173</v>
      </c>
      <c r="K136">
        <f t="shared" si="6"/>
        <v>35079.551696777329</v>
      </c>
    </row>
    <row r="137" spans="1:11" x14ac:dyDescent="0.3">
      <c r="A137">
        <f>A$9 * (31.5000553131103 -A$8)</f>
        <v>31.500055313110298</v>
      </c>
      <c r="B137">
        <f>B$9 * (31.5000553131103 -B$8)</f>
        <v>31.500055313110298</v>
      </c>
      <c r="C137">
        <f>C$9 * (31.5000553131103 -C$8)</f>
        <v>31.500055313110298</v>
      </c>
      <c r="E137">
        <f>E$9 * (0.00983783416450023 -E$8)</f>
        <v>9.8378341645002296E-3</v>
      </c>
      <c r="F137">
        <f>F$9 * (4.81341409683227 -F$8)</f>
        <v>4.8134140968322701</v>
      </c>
      <c r="G137">
        <f>G$9 * (9.74431610107421 -G$8)</f>
        <v>9.7443161010742099</v>
      </c>
      <c r="I137">
        <f t="shared" si="4"/>
        <v>35.416202992200823</v>
      </c>
      <c r="J137">
        <f t="shared" si="5"/>
        <v>17328.290748596173</v>
      </c>
      <c r="K137">
        <f t="shared" si="6"/>
        <v>35079.537963867158</v>
      </c>
    </row>
    <row r="138" spans="1:11" x14ac:dyDescent="0.3">
      <c r="A138">
        <f>A$9 * (31.7500839233398 -A$8)</f>
        <v>31.750083923339801</v>
      </c>
      <c r="B138">
        <f>B$9 * (31.7500839233398 -B$8)</f>
        <v>31.750083923339801</v>
      </c>
      <c r="C138">
        <f>C$9 * (31.7500839233398 -C$8)</f>
        <v>31.750083923339801</v>
      </c>
      <c r="E138">
        <f>E$9 * (0.00983783509582281 -E$8)</f>
        <v>9.8378350958228094E-3</v>
      </c>
      <c r="F138">
        <f>F$9 * (4.81341314315795 -F$8)</f>
        <v>4.8134131431579501</v>
      </c>
      <c r="G138">
        <f>G$9 * (9.74431228637695 -G$8)</f>
        <v>9.7443122863769496</v>
      </c>
      <c r="I138">
        <f t="shared" si="4"/>
        <v>35.416206344962113</v>
      </c>
      <c r="J138">
        <f t="shared" si="5"/>
        <v>17328.28731536862</v>
      </c>
      <c r="K138">
        <f t="shared" si="6"/>
        <v>35079.524230957017</v>
      </c>
    </row>
    <row r="139" spans="1:11" x14ac:dyDescent="0.3">
      <c r="A139">
        <f>A$9 * (32.0001106262207 -A$8)</f>
        <v>32.000110626220703</v>
      </c>
      <c r="B139">
        <f>B$9 * (32.0001106262207 -B$8)</f>
        <v>32.000110626220703</v>
      </c>
      <c r="C139">
        <f>C$9 * (32.0001106262207 -C$8)</f>
        <v>32.000110626220703</v>
      </c>
      <c r="E139">
        <f>E$9 * (0.00983783695846796 -E$8)</f>
        <v>9.8378369584679604E-3</v>
      </c>
      <c r="F139">
        <f>F$9 * (4.81341123580932 -F$8)</f>
        <v>4.81341123580932</v>
      </c>
      <c r="G139">
        <f>G$9 * (9.74430847167968 -G$8)</f>
        <v>9.7443084716796804</v>
      </c>
      <c r="I139">
        <f t="shared" si="4"/>
        <v>35.416213050484657</v>
      </c>
      <c r="J139">
        <f t="shared" si="5"/>
        <v>17328.280448913552</v>
      </c>
      <c r="K139">
        <f t="shared" si="6"/>
        <v>35079.510498046846</v>
      </c>
    </row>
    <row r="140" spans="1:11" x14ac:dyDescent="0.3">
      <c r="A140">
        <f>A$9 * (32.2501373291015 -A$8)</f>
        <v>32.250137329101499</v>
      </c>
      <c r="B140">
        <f>B$9 * (32.2501373291015 -B$8)</f>
        <v>32.250137329101499</v>
      </c>
      <c r="C140">
        <f>C$9 * (32.2501373291015 -C$8)</f>
        <v>32.250137329101499</v>
      </c>
      <c r="E140">
        <f>E$9 * (0.00983783695846796 -E$8)</f>
        <v>9.8378369584679604E-3</v>
      </c>
      <c r="F140">
        <f>F$9 * (4.81340980529785 -F$8)</f>
        <v>4.8134098052978498</v>
      </c>
      <c r="G140">
        <f>G$9 * (9.74430465698242 -G$8)</f>
        <v>9.7443046569824201</v>
      </c>
      <c r="I140">
        <f t="shared" ref="I140:I203" si="7">E140*3600</f>
        <v>35.416213050484657</v>
      </c>
      <c r="J140">
        <f t="shared" ref="J140:J203" si="8">F140*3600</f>
        <v>17328.275299072258</v>
      </c>
      <c r="K140">
        <f t="shared" ref="K140:K203" si="9">G140*3600</f>
        <v>35079.496765136711</v>
      </c>
    </row>
    <row r="141" spans="1:11" x14ac:dyDescent="0.3">
      <c r="A141">
        <f>A$9 * (32.5001678466796 -A$8)</f>
        <v>32.500167846679602</v>
      </c>
      <c r="B141">
        <f>B$9 * (32.5001678466796 -B$8)</f>
        <v>32.500167846679602</v>
      </c>
      <c r="C141">
        <f>C$9 * (32.5001678466796 -C$8)</f>
        <v>32.500167846679602</v>
      </c>
      <c r="E141">
        <f>E$9 * (0.00983783695846796 -E$8)</f>
        <v>9.8378369584679604E-3</v>
      </c>
      <c r="F141">
        <f>F$9 * (4.81340789794921 -F$8)</f>
        <v>4.8134078979492099</v>
      </c>
      <c r="G141">
        <f>G$9 * (9.74430179595947 -G$8)</f>
        <v>9.7443017959594709</v>
      </c>
      <c r="I141">
        <f t="shared" si="7"/>
        <v>35.416213050484657</v>
      </c>
      <c r="J141">
        <f t="shared" si="8"/>
        <v>17328.268432617155</v>
      </c>
      <c r="K141">
        <f t="shared" si="9"/>
        <v>35079.486465454094</v>
      </c>
    </row>
    <row r="142" spans="1:11" x14ac:dyDescent="0.3">
      <c r="A142">
        <f>A$9 * (32.7501945495605 -A$8)</f>
        <v>32.750194549560497</v>
      </c>
      <c r="B142">
        <f>B$9 * (32.7501945495605 -B$8)</f>
        <v>32.750194549560497</v>
      </c>
      <c r="C142">
        <f>C$9 * (32.7501945495605 -C$8)</f>
        <v>32.750194549560497</v>
      </c>
      <c r="E142">
        <f>E$9 * (0.00983783788979053 -E$8)</f>
        <v>9.8378378897905298E-3</v>
      </c>
      <c r="F142">
        <f>F$9 * (4.81340599060058 -F$8)</f>
        <v>4.8134059906005797</v>
      </c>
      <c r="G142">
        <f>G$9 * (9.74429893493652 -G$8)</f>
        <v>9.7442989349365199</v>
      </c>
      <c r="I142">
        <f t="shared" si="7"/>
        <v>35.416216403245905</v>
      </c>
      <c r="J142">
        <f t="shared" si="8"/>
        <v>17328.261566162088</v>
      </c>
      <c r="K142">
        <f t="shared" si="9"/>
        <v>35079.47616577147</v>
      </c>
    </row>
    <row r="143" spans="1:11" x14ac:dyDescent="0.3">
      <c r="A143">
        <f>A$9 * (33.0002212524414 -A$8)</f>
        <v>33.000221252441399</v>
      </c>
      <c r="B143">
        <f>B$9 * (33.0002212524414 -B$8)</f>
        <v>33.000221252441399</v>
      </c>
      <c r="C143">
        <f>C$9 * (33.0002212524414 -C$8)</f>
        <v>33.000221252441399</v>
      </c>
      <c r="E143">
        <f>E$9 * (0.00983783882111311 -E$8)</f>
        <v>9.8378388211131096E-3</v>
      </c>
      <c r="F143">
        <f>F$9 * (4.81340503692627 -F$8)</f>
        <v>4.8134050369262704</v>
      </c>
      <c r="G143">
        <f>G$9 * (9.74429607391357 -G$8)</f>
        <v>9.7442960739135707</v>
      </c>
      <c r="I143">
        <f t="shared" si="7"/>
        <v>35.416219756007195</v>
      </c>
      <c r="J143">
        <f t="shared" si="8"/>
        <v>17328.258132934574</v>
      </c>
      <c r="K143">
        <f t="shared" si="9"/>
        <v>35079.465866088853</v>
      </c>
    </row>
    <row r="144" spans="1:11" x14ac:dyDescent="0.3">
      <c r="A144">
        <f>A$9 * (33.2502517700195 -A$8)</f>
        <v>33.250251770019503</v>
      </c>
      <c r="B144">
        <f>B$9 * (33.2502517700195 -B$8)</f>
        <v>33.250251770019503</v>
      </c>
      <c r="C144">
        <f>C$9 * (33.2502517700195 -C$8)</f>
        <v>33.250251770019503</v>
      </c>
      <c r="E144">
        <f>E$9 * (0.00983783975243568 -E$8)</f>
        <v>9.8378397524356807E-3</v>
      </c>
      <c r="F144">
        <f>F$9 * (4.81340408325195 -F$8)</f>
        <v>4.8134040832519496</v>
      </c>
      <c r="G144">
        <f>G$9 * (9.74429321289062 -G$8)</f>
        <v>9.7442932128906197</v>
      </c>
      <c r="I144">
        <f t="shared" si="7"/>
        <v>35.416223108768449</v>
      </c>
      <c r="J144">
        <f t="shared" si="8"/>
        <v>17328.254699707017</v>
      </c>
      <c r="K144">
        <f t="shared" si="9"/>
        <v>35079.455566406228</v>
      </c>
    </row>
    <row r="145" spans="1:11" x14ac:dyDescent="0.3">
      <c r="A145">
        <f>A$9 * (33.5002784729003 -A$8)</f>
        <v>33.500278472900298</v>
      </c>
      <c r="B145">
        <f>B$9 * (33.5002784729003 -B$8)</f>
        <v>33.500278472900298</v>
      </c>
      <c r="C145">
        <f>C$9 * (33.5002784729003 -C$8)</f>
        <v>33.500278472900298</v>
      </c>
      <c r="E145">
        <f>E$9 * (0.00983784440904855 -E$8)</f>
        <v>9.8378444090485503E-3</v>
      </c>
      <c r="F145">
        <f>F$9 * (4.81340408325195 -F$8)</f>
        <v>4.8134040832519496</v>
      </c>
      <c r="G145">
        <f>G$9 * (9.74429035186767 -G$8)</f>
        <v>9.7442903518676705</v>
      </c>
      <c r="I145">
        <f t="shared" si="7"/>
        <v>35.416239872574778</v>
      </c>
      <c r="J145">
        <f t="shared" si="8"/>
        <v>17328.254699707017</v>
      </c>
      <c r="K145">
        <f t="shared" si="9"/>
        <v>35079.445266723611</v>
      </c>
    </row>
    <row r="146" spans="1:11" x14ac:dyDescent="0.3">
      <c r="A146">
        <f>A$9 * (33.7503051757812 -A$8)</f>
        <v>33.7503051757812</v>
      </c>
      <c r="B146">
        <f>B$9 * (33.7503051757812 -B$8)</f>
        <v>33.7503051757812</v>
      </c>
      <c r="C146">
        <f>C$9 * (33.7503051757812 -C$8)</f>
        <v>33.7503051757812</v>
      </c>
      <c r="E146">
        <f>E$9 * (0.00983784440904855 -E$8)</f>
        <v>9.8378444090485503E-3</v>
      </c>
      <c r="F146">
        <f>F$9 * (4.81340312957763 -F$8)</f>
        <v>4.8134031295776296</v>
      </c>
      <c r="G146">
        <f>G$9 * (9.74428844451904 -G$8)</f>
        <v>9.7442884445190394</v>
      </c>
      <c r="I146">
        <f t="shared" si="7"/>
        <v>35.416239872574778</v>
      </c>
      <c r="J146">
        <f t="shared" si="8"/>
        <v>17328.251266479467</v>
      </c>
      <c r="K146">
        <f t="shared" si="9"/>
        <v>35079.43840026854</v>
      </c>
    </row>
    <row r="147" spans="1:11" x14ac:dyDescent="0.3">
      <c r="A147">
        <f>A$9 * (34.0003318786621 -A$8)</f>
        <v>34.000331878662102</v>
      </c>
      <c r="B147">
        <f>B$9 * (34.0003318786621 -B$8)</f>
        <v>34.000331878662102</v>
      </c>
      <c r="C147">
        <f>C$9 * (34.0003318786621 -C$8)</f>
        <v>34.000331878662102</v>
      </c>
      <c r="E147">
        <f>E$9 * (0.0098378462716937 -E$8)</f>
        <v>9.8378462716936996E-3</v>
      </c>
      <c r="F147">
        <f>F$9 * (4.81340217590332 -F$8)</f>
        <v>4.8134021759033203</v>
      </c>
      <c r="G147">
        <f>G$9 * (9.74428462982177 -G$8)</f>
        <v>9.7442846298217702</v>
      </c>
      <c r="I147">
        <f t="shared" si="7"/>
        <v>35.416246578097315</v>
      </c>
      <c r="J147">
        <f t="shared" si="8"/>
        <v>17328.247833251953</v>
      </c>
      <c r="K147">
        <f t="shared" si="9"/>
        <v>35079.424667358369</v>
      </c>
    </row>
    <row r="148" spans="1:11" x14ac:dyDescent="0.3">
      <c r="A148">
        <f>A$9 * (34.2503623962402 -A$8)</f>
        <v>34.250362396240199</v>
      </c>
      <c r="B148">
        <f>B$9 * (34.2503623962402 -B$8)</f>
        <v>34.250362396240199</v>
      </c>
      <c r="C148">
        <f>C$9 * (34.2503623962402 -C$8)</f>
        <v>34.250362396240199</v>
      </c>
      <c r="E148">
        <f>E$9 * (0.00983784440904855 -E$8)</f>
        <v>9.8378444090485503E-3</v>
      </c>
      <c r="F148">
        <f>F$9 * (4.81339979171752 -F$8)</f>
        <v>4.8133997917175204</v>
      </c>
      <c r="G148">
        <f>G$9 * (9.74428272247314 -G$8)</f>
        <v>9.7442827224731392</v>
      </c>
      <c r="I148">
        <f t="shared" si="7"/>
        <v>35.416239872574778</v>
      </c>
      <c r="J148">
        <f t="shared" si="8"/>
        <v>17328.239250183073</v>
      </c>
      <c r="K148">
        <f t="shared" si="9"/>
        <v>35079.417800903298</v>
      </c>
    </row>
    <row r="149" spans="1:11" x14ac:dyDescent="0.3">
      <c r="A149">
        <f>A$9 * (34.500389099121 -A$8)</f>
        <v>34.500389099121001</v>
      </c>
      <c r="B149">
        <f>B$9 * (34.500389099121 -B$8)</f>
        <v>34.500389099121001</v>
      </c>
      <c r="C149">
        <f>C$9 * (34.500389099121 -C$8)</f>
        <v>34.500389099121001</v>
      </c>
      <c r="E149">
        <f>E$9 * (0.00983784720301628 -E$8)</f>
        <v>9.8378472030162794E-3</v>
      </c>
      <c r="F149">
        <f>F$9 * (4.813401222229 -F$8)</f>
        <v>4.8134012222290004</v>
      </c>
      <c r="G149">
        <f>G$9 * (9.74428081512451 -G$8)</f>
        <v>9.7442808151245099</v>
      </c>
      <c r="I149">
        <f t="shared" si="7"/>
        <v>35.416249930858605</v>
      </c>
      <c r="J149">
        <f t="shared" si="8"/>
        <v>17328.2444000244</v>
      </c>
      <c r="K149">
        <f t="shared" si="9"/>
        <v>35079.410934448235</v>
      </c>
    </row>
    <row r="150" spans="1:11" x14ac:dyDescent="0.3">
      <c r="A150">
        <f>A$9 * (34.7500267028808 -A$8)</f>
        <v>34.750026702880803</v>
      </c>
      <c r="B150">
        <f>B$9 * (34.7500267028808 -B$8)</f>
        <v>34.750026702880803</v>
      </c>
      <c r="C150">
        <f>C$9 * (34.7500267028808 -C$8)</f>
        <v>34.750026702880803</v>
      </c>
      <c r="E150">
        <f>E$9 * (0.00983784813433885 -E$8)</f>
        <v>9.8378481343388505E-3</v>
      </c>
      <c r="F150">
        <f>F$9 * (4.81339979171752 -F$8)</f>
        <v>4.8133997917175204</v>
      </c>
      <c r="G150">
        <f>G$9 * (9.74427890777587 -G$8)</f>
        <v>9.74427890777587</v>
      </c>
      <c r="I150">
        <f t="shared" si="7"/>
        <v>35.416253283619859</v>
      </c>
      <c r="J150">
        <f t="shared" si="8"/>
        <v>17328.239250183073</v>
      </c>
      <c r="K150">
        <f t="shared" si="9"/>
        <v>35079.404067993135</v>
      </c>
    </row>
    <row r="151" spans="1:11" x14ac:dyDescent="0.3">
      <c r="A151">
        <f>A$9 * (35.0000572204589 -A$8)</f>
        <v>35.000057220458899</v>
      </c>
      <c r="B151">
        <f>B$9 * (35.0000572204589 -B$8)</f>
        <v>35.000057220458899</v>
      </c>
      <c r="C151">
        <f>C$9 * (35.0000572204589 -C$8)</f>
        <v>35.000057220458899</v>
      </c>
      <c r="E151">
        <f>E$9 * (0.00983784813433885 -E$8)</f>
        <v>9.8378481343388505E-3</v>
      </c>
      <c r="F151">
        <f>F$9 * (4.81339883804321 -F$8)</f>
        <v>4.8133988380432102</v>
      </c>
      <c r="G151">
        <f>G$9 * (9.74427700042724 -G$8)</f>
        <v>9.7442770004272408</v>
      </c>
      <c r="I151">
        <f t="shared" si="7"/>
        <v>35.416253283619859</v>
      </c>
      <c r="J151">
        <f t="shared" si="8"/>
        <v>17328.235816955555</v>
      </c>
      <c r="K151">
        <f t="shared" si="9"/>
        <v>35079.397201538064</v>
      </c>
    </row>
    <row r="152" spans="1:11" x14ac:dyDescent="0.3">
      <c r="A152">
        <f>A$9 * (35.2500839233398 -A$8)</f>
        <v>35.250083923339801</v>
      </c>
      <c r="B152">
        <f>B$9 * (35.2500839233398 -B$8)</f>
        <v>35.250083923339801</v>
      </c>
      <c r="C152">
        <f>C$9 * (35.2500839233398 -C$8)</f>
        <v>35.250083923339801</v>
      </c>
      <c r="E152">
        <f>E$9 * (0.00983784906566143 -E$8)</f>
        <v>9.8378490656614304E-3</v>
      </c>
      <c r="F152">
        <f>F$9 * (4.81339788436889 -F$8)</f>
        <v>4.8133978843688903</v>
      </c>
      <c r="G152">
        <f>G$9 * (9.74427509307861 -G$8)</f>
        <v>9.7442750930786097</v>
      </c>
      <c r="I152">
        <f t="shared" si="7"/>
        <v>35.416256636381149</v>
      </c>
      <c r="J152">
        <f t="shared" si="8"/>
        <v>17328.232383728006</v>
      </c>
      <c r="K152">
        <f t="shared" si="9"/>
        <v>35079.390335082993</v>
      </c>
    </row>
    <row r="153" spans="1:11" x14ac:dyDescent="0.3">
      <c r="A153">
        <f>A$9 * (35.5001106262207 -A$8)</f>
        <v>35.500110626220703</v>
      </c>
      <c r="B153">
        <f>B$9 * (35.5001106262207 -B$8)</f>
        <v>35.500110626220703</v>
      </c>
      <c r="C153">
        <f>C$9 * (35.5001106262207 -C$8)</f>
        <v>35.500110626220703</v>
      </c>
      <c r="E153">
        <f>E$9 * (0.00983784720301628 -E$8)</f>
        <v>9.8378472030162794E-3</v>
      </c>
      <c r="F153">
        <f>F$9 * (4.81339597702026 -F$8)</f>
        <v>4.8133959770202601</v>
      </c>
      <c r="G153">
        <f>G$9 * (9.74427318572998 -G$8)</f>
        <v>9.7442731857299805</v>
      </c>
      <c r="I153">
        <f t="shared" si="7"/>
        <v>35.416249930858605</v>
      </c>
      <c r="J153">
        <f t="shared" si="8"/>
        <v>17328.225517272935</v>
      </c>
      <c r="K153">
        <f t="shared" si="9"/>
        <v>35079.38346862793</v>
      </c>
    </row>
    <row r="154" spans="1:11" x14ac:dyDescent="0.3">
      <c r="A154">
        <f>A$9 * (35.7501373291015 -A$8)</f>
        <v>35.750137329101499</v>
      </c>
      <c r="B154">
        <f>B$9 * (35.7501373291015 -B$8)</f>
        <v>35.750137329101499</v>
      </c>
      <c r="C154">
        <f>C$9 * (35.7501373291015 -C$8)</f>
        <v>35.750137329101499</v>
      </c>
      <c r="E154">
        <f>E$9 * (0.00983784906566143 -E$8)</f>
        <v>9.8378490656614304E-3</v>
      </c>
      <c r="F154">
        <f>F$9 * (4.81339502334594 -F$8)</f>
        <v>4.8133950233459402</v>
      </c>
      <c r="G154">
        <f>G$9 * (9.74427127838134 -G$8)</f>
        <v>9.7442712783813406</v>
      </c>
      <c r="I154">
        <f t="shared" si="7"/>
        <v>35.416256636381149</v>
      </c>
      <c r="J154">
        <f t="shared" si="8"/>
        <v>17328.222084045385</v>
      </c>
      <c r="K154">
        <f t="shared" si="9"/>
        <v>35079.376602172822</v>
      </c>
    </row>
    <row r="155" spans="1:11" x14ac:dyDescent="0.3">
      <c r="A155">
        <f>A$9 * (36.0001678466796 -A$8)</f>
        <v>36.000167846679602</v>
      </c>
      <c r="B155">
        <f>B$9 * (36.0001678466796 -B$8)</f>
        <v>36.000167846679602</v>
      </c>
      <c r="C155">
        <f>C$9 * (36.0001678466796 -C$8)</f>
        <v>36.000167846679602</v>
      </c>
      <c r="E155">
        <f>E$9 * (0.00983785279095172 -E$8)</f>
        <v>9.8378527909517201E-3</v>
      </c>
      <c r="F155">
        <f>F$9 * (4.81339597702026 -F$8)</f>
        <v>4.8133959770202601</v>
      </c>
      <c r="G155">
        <f>G$9 * (9.74426937103271 -G$8)</f>
        <v>9.7442693710327095</v>
      </c>
      <c r="I155">
        <f t="shared" si="7"/>
        <v>35.416270047426195</v>
      </c>
      <c r="J155">
        <f t="shared" si="8"/>
        <v>17328.225517272935</v>
      </c>
      <c r="K155">
        <f t="shared" si="9"/>
        <v>35079.369735717752</v>
      </c>
    </row>
    <row r="156" spans="1:11" x14ac:dyDescent="0.3">
      <c r="A156">
        <f>A$9 * (36.2501945495605 -A$8)</f>
        <v>36.250194549560497</v>
      </c>
      <c r="B156">
        <f>B$9 * (36.2501945495605 -B$8)</f>
        <v>36.250194549560497</v>
      </c>
      <c r="C156">
        <f>C$9 * (36.2501945495605 -C$8)</f>
        <v>36.250194549560497</v>
      </c>
      <c r="E156">
        <f>E$9 * (0.00983785185962915 -E$8)</f>
        <v>9.8378518596291507E-3</v>
      </c>
      <c r="F156">
        <f>F$9 * (4.81339502334594 -F$8)</f>
        <v>4.8133950233459402</v>
      </c>
      <c r="G156">
        <f>G$9 * (9.74426841735839 -G$8)</f>
        <v>9.7442684173583896</v>
      </c>
      <c r="I156">
        <f t="shared" si="7"/>
        <v>35.416266694664941</v>
      </c>
      <c r="J156">
        <f t="shared" si="8"/>
        <v>17328.222084045385</v>
      </c>
      <c r="K156">
        <f t="shared" si="9"/>
        <v>35079.366302490205</v>
      </c>
    </row>
    <row r="157" spans="1:11" x14ac:dyDescent="0.3">
      <c r="A157">
        <f>A$9 * (36.5002212524414 -A$8)</f>
        <v>36.500221252441399</v>
      </c>
      <c r="B157">
        <f>B$9 * (36.5002212524414 -B$8)</f>
        <v>36.500221252441399</v>
      </c>
      <c r="C157">
        <f>C$9 * (36.5002212524414 -C$8)</f>
        <v>36.500221252441399</v>
      </c>
      <c r="E157">
        <f>E$9 * (0.009837849996984 -E$8)</f>
        <v>9.8378499969839998E-3</v>
      </c>
      <c r="F157">
        <f>F$9 * (4.81339311599731 -F$8)</f>
        <v>4.81339311599731</v>
      </c>
      <c r="G157">
        <f>G$9 * (9.74426555633544 -G$8)</f>
        <v>9.7442655563354403</v>
      </c>
      <c r="I157">
        <f t="shared" si="7"/>
        <v>35.416259989142397</v>
      </c>
      <c r="J157">
        <f t="shared" si="8"/>
        <v>17328.215217590317</v>
      </c>
      <c r="K157">
        <f t="shared" si="9"/>
        <v>35079.356002807588</v>
      </c>
    </row>
    <row r="158" spans="1:11" x14ac:dyDescent="0.3">
      <c r="A158">
        <f>A$9 * (36.7502517700195 -A$8)</f>
        <v>36.750251770019503</v>
      </c>
      <c r="B158">
        <f>B$9 * (36.7502517700195 -B$8)</f>
        <v>36.750251770019503</v>
      </c>
      <c r="C158">
        <f>C$9 * (36.7502517700195 -C$8)</f>
        <v>36.750251770019503</v>
      </c>
      <c r="E158">
        <f>E$9 * (0.00983785092830658 -E$8)</f>
        <v>9.8378509283065796E-3</v>
      </c>
      <c r="F158">
        <f>F$9 * (4.81339311599731 -F$8)</f>
        <v>4.81339311599731</v>
      </c>
      <c r="G158">
        <f>G$9 * (9.74426364898681 -G$8)</f>
        <v>9.7442636489868093</v>
      </c>
      <c r="I158">
        <f t="shared" si="7"/>
        <v>35.416263341903687</v>
      </c>
      <c r="J158">
        <f t="shared" si="8"/>
        <v>17328.215217590317</v>
      </c>
      <c r="K158">
        <f t="shared" si="9"/>
        <v>35079.34913635251</v>
      </c>
    </row>
    <row r="159" spans="1:11" x14ac:dyDescent="0.3">
      <c r="A159">
        <f>A$9 * (37.0002784729003 -A$8)</f>
        <v>37.000278472900298</v>
      </c>
      <c r="B159">
        <f>B$9 * (37.0002784729003 -B$8)</f>
        <v>37.000278472900298</v>
      </c>
      <c r="C159">
        <f>C$9 * (37.0002784729003 -C$8)</f>
        <v>37.000278472900298</v>
      </c>
      <c r="E159">
        <f>E$9 * (0.00983785185962915 -E$8)</f>
        <v>9.8378518596291507E-3</v>
      </c>
      <c r="F159">
        <f>F$9 * (4.81339216232299 -F$8)</f>
        <v>4.8133921623229901</v>
      </c>
      <c r="G159">
        <f>G$9 * (9.7442626953125 -G$8)</f>
        <v>9.7442626953125</v>
      </c>
      <c r="I159">
        <f t="shared" si="7"/>
        <v>35.416266694664941</v>
      </c>
      <c r="J159">
        <f t="shared" si="8"/>
        <v>17328.211784362764</v>
      </c>
      <c r="K159">
        <f t="shared" si="9"/>
        <v>35079.345703125</v>
      </c>
    </row>
    <row r="160" spans="1:11" x14ac:dyDescent="0.3">
      <c r="A160">
        <f>A$9 * (37.2503051757812 -A$8)</f>
        <v>37.2503051757812</v>
      </c>
      <c r="B160">
        <f>B$9 * (37.2503051757812 -B$8)</f>
        <v>37.2503051757812</v>
      </c>
      <c r="C160">
        <f>C$9 * (37.2503051757812 -C$8)</f>
        <v>37.2503051757812</v>
      </c>
      <c r="E160">
        <f>E$9 * (0.0098378537222743 -E$8)</f>
        <v>9.8378537222743E-3</v>
      </c>
      <c r="F160">
        <f>F$9 * (4.81339311599731 -F$8)</f>
        <v>4.81339311599731</v>
      </c>
      <c r="G160">
        <f>G$9 * (9.74426078796386 -G$8)</f>
        <v>9.7442607879638601</v>
      </c>
      <c r="I160">
        <f t="shared" si="7"/>
        <v>35.416273400187478</v>
      </c>
      <c r="J160">
        <f t="shared" si="8"/>
        <v>17328.215217590317</v>
      </c>
      <c r="K160">
        <f t="shared" si="9"/>
        <v>35079.338836669893</v>
      </c>
    </row>
    <row r="161" spans="1:11" x14ac:dyDescent="0.3">
      <c r="A161">
        <f>A$9 * (37.5003318786621 -A$8)</f>
        <v>37.500331878662102</v>
      </c>
      <c r="B161">
        <f>B$9 * (37.5003318786621 -B$8)</f>
        <v>37.500331878662102</v>
      </c>
      <c r="C161">
        <f>C$9 * (37.5003318786621 -C$8)</f>
        <v>37.500331878662102</v>
      </c>
      <c r="E161">
        <f>E$9 * (0.0098378537222743 -E$8)</f>
        <v>9.8378537222743E-3</v>
      </c>
      <c r="F161">
        <f>F$9 * (4.81339216232299 -F$8)</f>
        <v>4.8133921623229901</v>
      </c>
      <c r="G161">
        <f>G$9 * (9.74425983428955 -G$8)</f>
        <v>9.7442598342895508</v>
      </c>
      <c r="I161">
        <f t="shared" si="7"/>
        <v>35.416273400187478</v>
      </c>
      <c r="J161">
        <f t="shared" si="8"/>
        <v>17328.211784362764</v>
      </c>
      <c r="K161">
        <f t="shared" si="9"/>
        <v>35079.335403442383</v>
      </c>
    </row>
    <row r="162" spans="1:11" x14ac:dyDescent="0.3">
      <c r="A162">
        <f>A$9 * (37.7503623962402 -A$8)</f>
        <v>37.750362396240199</v>
      </c>
      <c r="B162">
        <f>B$9 * (37.7503623962402 -B$8)</f>
        <v>37.750362396240199</v>
      </c>
      <c r="C162">
        <f>C$9 * (37.7503623962402 -C$8)</f>
        <v>37.750362396240199</v>
      </c>
      <c r="E162">
        <f>E$9 * (0.0098378574475646 -E$8)</f>
        <v>9.8378574475646002E-3</v>
      </c>
      <c r="F162">
        <f>F$9 * (4.81339216232299 -F$8)</f>
        <v>4.8133921623229901</v>
      </c>
      <c r="G162">
        <f>G$9 * (9.74425792694091 -G$8)</f>
        <v>9.7442579269409109</v>
      </c>
      <c r="I162">
        <f t="shared" si="7"/>
        <v>35.41628681123256</v>
      </c>
      <c r="J162">
        <f t="shared" si="8"/>
        <v>17328.211784362764</v>
      </c>
      <c r="K162">
        <f t="shared" si="9"/>
        <v>35079.328536987276</v>
      </c>
    </row>
    <row r="163" spans="1:11" x14ac:dyDescent="0.3">
      <c r="A163">
        <f>A$9 * (38.000389099121 -A$8)</f>
        <v>38.000389099121001</v>
      </c>
      <c r="B163">
        <f>B$9 * (38.000389099121 -B$8)</f>
        <v>38.000389099121001</v>
      </c>
      <c r="C163">
        <f>C$9 * (38.000389099121 -C$8)</f>
        <v>38.000389099121001</v>
      </c>
      <c r="E163">
        <f>E$9 * (0.00983785558491945 -E$8)</f>
        <v>9.8378555849194492E-3</v>
      </c>
      <c r="F163">
        <f>F$9 * (4.81339120864868 -F$8)</f>
        <v>4.8133912086486799</v>
      </c>
      <c r="G163">
        <f>G$9 * (9.7442569732666 -G$8)</f>
        <v>9.7442569732665998</v>
      </c>
      <c r="I163">
        <f t="shared" si="7"/>
        <v>35.416280105710015</v>
      </c>
      <c r="J163">
        <f t="shared" si="8"/>
        <v>17328.208351135247</v>
      </c>
      <c r="K163">
        <f t="shared" si="9"/>
        <v>35079.325103759758</v>
      </c>
    </row>
    <row r="164" spans="1:11" x14ac:dyDescent="0.3">
      <c r="A164">
        <f>A$9 * (38.2500267028808 -A$8)</f>
        <v>38.250026702880803</v>
      </c>
      <c r="B164">
        <f>B$9 * (38.2500267028808 -B$8)</f>
        <v>38.250026702880803</v>
      </c>
      <c r="C164">
        <f>C$9 * (38.2500267028808 -C$8)</f>
        <v>38.250026702880803</v>
      </c>
      <c r="E164">
        <f>E$9 * (0.0098378537222743 -E$8)</f>
        <v>9.8378537222743E-3</v>
      </c>
      <c r="F164">
        <f>F$9 * (4.81338882446289 -F$8)</f>
        <v>4.8133888244628897</v>
      </c>
      <c r="G164">
        <f>G$9 * (9.74425601959228 -G$8)</f>
        <v>9.7442560195922798</v>
      </c>
      <c r="I164">
        <f t="shared" si="7"/>
        <v>35.416273400187478</v>
      </c>
      <c r="J164">
        <f t="shared" si="8"/>
        <v>17328.199768066403</v>
      </c>
      <c r="K164">
        <f t="shared" si="9"/>
        <v>35079.321670532205</v>
      </c>
    </row>
    <row r="165" spans="1:11" x14ac:dyDescent="0.3">
      <c r="A165">
        <f>A$9 * (38.5000572204589 -A$8)</f>
        <v>38.500057220458899</v>
      </c>
      <c r="B165">
        <f>B$9 * (38.5000572204589 -B$8)</f>
        <v>38.500057220458899</v>
      </c>
      <c r="C165">
        <f>C$9 * (38.5000572204589 -C$8)</f>
        <v>38.500057220458899</v>
      </c>
      <c r="E165">
        <f>E$9 * (0.00983785465359687 -E$8)</f>
        <v>9.8378546535968694E-3</v>
      </c>
      <c r="F165">
        <f>F$9 * (4.81338882446289 -F$8)</f>
        <v>4.8133888244628897</v>
      </c>
      <c r="G165">
        <f>G$9 * (9.74425411224365 -G$8)</f>
        <v>9.7442541122436506</v>
      </c>
      <c r="I165">
        <f t="shared" si="7"/>
        <v>35.416276752948733</v>
      </c>
      <c r="J165">
        <f t="shared" si="8"/>
        <v>17328.199768066403</v>
      </c>
      <c r="K165">
        <f t="shared" si="9"/>
        <v>35079.314804077141</v>
      </c>
    </row>
    <row r="166" spans="1:11" x14ac:dyDescent="0.3">
      <c r="A166">
        <f>A$9 * (38.7500839233398 -A$8)</f>
        <v>38.750083923339801</v>
      </c>
      <c r="B166">
        <f>B$9 * (38.7500839233398 -B$8)</f>
        <v>38.750083923339801</v>
      </c>
      <c r="C166">
        <f>C$9 * (38.7500839233398 -C$8)</f>
        <v>38.750083923339801</v>
      </c>
      <c r="E166">
        <f>E$9 * (0.00983785837888717 -E$8)</f>
        <v>9.8378583788871696E-3</v>
      </c>
      <c r="F166">
        <f>F$9 * (4.81338882446289 -F$8)</f>
        <v>4.8133888244628897</v>
      </c>
      <c r="G166">
        <f>G$9 * (9.74425315856933 -G$8)</f>
        <v>9.7442531585693306</v>
      </c>
      <c r="I166">
        <f t="shared" si="7"/>
        <v>35.416290163993807</v>
      </c>
      <c r="J166">
        <f t="shared" si="8"/>
        <v>17328.199768066403</v>
      </c>
      <c r="K166">
        <f t="shared" si="9"/>
        <v>35079.311370849588</v>
      </c>
    </row>
    <row r="167" spans="1:11" x14ac:dyDescent="0.3">
      <c r="A167">
        <f>A$9 * (39.0001106262207 -A$8)</f>
        <v>39.000110626220703</v>
      </c>
      <c r="B167">
        <f>B$9 * (39.0001106262207 -B$8)</f>
        <v>39.000110626220703</v>
      </c>
      <c r="C167">
        <f>C$9 * (39.0001106262207 -C$8)</f>
        <v>39.000110626220703</v>
      </c>
      <c r="E167">
        <f>E$9 * (0.00983785837888717 -E$8)</f>
        <v>9.8378583788871696E-3</v>
      </c>
      <c r="F167">
        <f>F$9 * (4.81338882446289 -F$8)</f>
        <v>4.8133888244628897</v>
      </c>
      <c r="G167">
        <f>G$9 * (9.7442512512207 -G$8)</f>
        <v>9.7442512512206996</v>
      </c>
      <c r="I167">
        <f t="shared" si="7"/>
        <v>35.416290163993807</v>
      </c>
      <c r="J167">
        <f t="shared" si="8"/>
        <v>17328.199768066403</v>
      </c>
      <c r="K167">
        <f t="shared" si="9"/>
        <v>35079.304504394517</v>
      </c>
    </row>
    <row r="168" spans="1:11" x14ac:dyDescent="0.3">
      <c r="A168">
        <f>A$9 * (39.2501373291015 -A$8)</f>
        <v>39.250137329101499</v>
      </c>
      <c r="B168">
        <f>B$9 * (39.2501373291015 -B$8)</f>
        <v>39.250137329101499</v>
      </c>
      <c r="C168">
        <f>C$9 * (39.2501373291015 -C$8)</f>
        <v>39.250137329101499</v>
      </c>
      <c r="E168">
        <f>E$9 * (0.00983785931020975 -E$8)</f>
        <v>9.8378593102097494E-3</v>
      </c>
      <c r="F168">
        <f>F$9 * (4.81338787078857 -F$8)</f>
        <v>4.8133878707885698</v>
      </c>
      <c r="G168">
        <f>G$9 * (9.74425029754638 -G$8)</f>
        <v>9.7442502975463796</v>
      </c>
      <c r="I168">
        <f t="shared" si="7"/>
        <v>35.416293516755097</v>
      </c>
      <c r="J168">
        <f t="shared" si="8"/>
        <v>17328.196334838853</v>
      </c>
      <c r="K168">
        <f t="shared" si="9"/>
        <v>35079.301071166963</v>
      </c>
    </row>
    <row r="169" spans="1:11" x14ac:dyDescent="0.3">
      <c r="A169">
        <f>A$9 * (39.5001678466796 -A$8)</f>
        <v>39.500167846679602</v>
      </c>
      <c r="B169">
        <f>B$9 * (39.5001678466796 -B$8)</f>
        <v>39.500167846679602</v>
      </c>
      <c r="C169">
        <f>C$9 * (39.5001678466796 -C$8)</f>
        <v>39.500167846679602</v>
      </c>
      <c r="E169">
        <f>E$9 * (0.00983785837888717 -E$8)</f>
        <v>9.8378583788871696E-3</v>
      </c>
      <c r="F169">
        <f>F$9 * (4.81338691711425 -F$8)</f>
        <v>4.8133869171142498</v>
      </c>
      <c r="G169">
        <f>G$9 * (9.74424934387207 -G$8)</f>
        <v>9.7442493438720703</v>
      </c>
      <c r="I169">
        <f t="shared" si="7"/>
        <v>35.416290163993807</v>
      </c>
      <c r="J169">
        <f t="shared" si="8"/>
        <v>17328.192901611299</v>
      </c>
      <c r="K169">
        <f t="shared" si="9"/>
        <v>35079.297637939453</v>
      </c>
    </row>
    <row r="170" spans="1:11" x14ac:dyDescent="0.3">
      <c r="A170">
        <f>A$9 * (39.7501945495605 -A$8)</f>
        <v>39.750194549560497</v>
      </c>
      <c r="B170">
        <f>B$9 * (39.7501945495605 -B$8)</f>
        <v>39.750194549560497</v>
      </c>
      <c r="C170">
        <f>C$9 * (39.7501945495605 -C$8)</f>
        <v>39.750194549560497</v>
      </c>
      <c r="E170">
        <f>E$9 * (0.00983785931020975 -E$8)</f>
        <v>9.8378593102097494E-3</v>
      </c>
      <c r="F170">
        <f>F$9 * (4.81338691711425 -F$8)</f>
        <v>4.8133869171142498</v>
      </c>
      <c r="G170">
        <f>G$9 * (9.74424839019775 -G$8)</f>
        <v>9.7442483901977504</v>
      </c>
      <c r="I170">
        <f t="shared" si="7"/>
        <v>35.416293516755097</v>
      </c>
      <c r="J170">
        <f t="shared" si="8"/>
        <v>17328.192901611299</v>
      </c>
      <c r="K170">
        <f t="shared" si="9"/>
        <v>35079.2942047119</v>
      </c>
    </row>
    <row r="171" spans="1:11" x14ac:dyDescent="0.3">
      <c r="A171">
        <f>A$9 * (40.0002212524414 -A$8)</f>
        <v>40.000221252441399</v>
      </c>
      <c r="B171">
        <f>B$9 * (40.0002212524414 -B$8)</f>
        <v>40.000221252441399</v>
      </c>
      <c r="C171">
        <f>C$9 * (40.0002212524414 -C$8)</f>
        <v>40.000221252441399</v>
      </c>
      <c r="E171">
        <f>E$9 * (0.00983786024153232 -E$8)</f>
        <v>9.8378602415323205E-3</v>
      </c>
      <c r="F171">
        <f>F$9 * (4.81338691711425 -F$8)</f>
        <v>4.8133869171142498</v>
      </c>
      <c r="G171">
        <f>G$9 * (9.7442455291748 -G$8)</f>
        <v>9.7442455291747994</v>
      </c>
      <c r="I171">
        <f t="shared" si="7"/>
        <v>35.416296869516351</v>
      </c>
      <c r="J171">
        <f t="shared" si="8"/>
        <v>17328.192901611299</v>
      </c>
      <c r="K171">
        <f t="shared" si="9"/>
        <v>35079.283905029275</v>
      </c>
    </row>
    <row r="172" spans="1:11" x14ac:dyDescent="0.3">
      <c r="A172">
        <f>A$9 * (40.2502517700195 -A$8)</f>
        <v>40.250251770019503</v>
      </c>
      <c r="B172">
        <f>B$9 * (40.2502517700195 -B$8)</f>
        <v>40.250251770019503</v>
      </c>
      <c r="C172">
        <f>C$9 * (40.2502517700195 -C$8)</f>
        <v>40.250251770019503</v>
      </c>
      <c r="E172">
        <f>E$9 * (0.00983786024153232 -E$8)</f>
        <v>9.8378602415323205E-3</v>
      </c>
      <c r="F172">
        <f>F$9 * (4.81338691711425 -F$8)</f>
        <v>4.8133869171142498</v>
      </c>
      <c r="G172">
        <f>G$9 * (9.74424457550048 -G$8)</f>
        <v>9.7442445755004794</v>
      </c>
      <c r="I172">
        <f t="shared" si="7"/>
        <v>35.416296869516351</v>
      </c>
      <c r="J172">
        <f t="shared" si="8"/>
        <v>17328.192901611299</v>
      </c>
      <c r="K172">
        <f t="shared" si="9"/>
        <v>35079.280471801729</v>
      </c>
    </row>
    <row r="173" spans="1:11" x14ac:dyDescent="0.3">
      <c r="A173">
        <f>A$9 * (40.5002784729003 -A$8)</f>
        <v>40.500278472900298</v>
      </c>
      <c r="B173">
        <f>B$9 * (40.5002784729003 -B$8)</f>
        <v>40.500278472900298</v>
      </c>
      <c r="C173">
        <f>C$9 * (40.5002784729003 -C$8)</f>
        <v>40.500278472900298</v>
      </c>
      <c r="E173">
        <f>E$9 * (0.00983785931020975 -E$8)</f>
        <v>9.8378593102097494E-3</v>
      </c>
      <c r="F173">
        <f>F$9 * (4.81338500976562 -F$8)</f>
        <v>4.8133850097656197</v>
      </c>
      <c r="G173">
        <f>G$9 * (9.74424362182617 -G$8)</f>
        <v>9.7442436218261701</v>
      </c>
      <c r="I173">
        <f t="shared" si="7"/>
        <v>35.416293516755097</v>
      </c>
      <c r="J173">
        <f t="shared" si="8"/>
        <v>17328.186035156232</v>
      </c>
      <c r="K173">
        <f t="shared" si="9"/>
        <v>35079.277038574211</v>
      </c>
    </row>
    <row r="174" spans="1:11" x14ac:dyDescent="0.3">
      <c r="A174">
        <f>A$9 * (40.7503051757812 -A$8)</f>
        <v>40.7503051757812</v>
      </c>
      <c r="B174">
        <f>B$9 * (40.7503051757812 -B$8)</f>
        <v>40.7503051757812</v>
      </c>
      <c r="C174">
        <f>C$9 * (40.7503051757812 -C$8)</f>
        <v>40.7503051757812</v>
      </c>
      <c r="E174">
        <f>E$9 * (0.0098378611728549 -E$8)</f>
        <v>9.8378611728549004E-3</v>
      </c>
      <c r="F174">
        <f>F$9 * (4.81338596343994 -F$8)</f>
        <v>4.8133859634399396</v>
      </c>
      <c r="G174">
        <f>G$9 * (9.74424266815185 -G$8)</f>
        <v>9.7442426681518501</v>
      </c>
      <c r="I174">
        <f t="shared" si="7"/>
        <v>35.416300222277641</v>
      </c>
      <c r="J174">
        <f t="shared" si="8"/>
        <v>17328.189468383782</v>
      </c>
      <c r="K174">
        <f t="shared" si="9"/>
        <v>35079.273605346658</v>
      </c>
    </row>
    <row r="175" spans="1:11" x14ac:dyDescent="0.3">
      <c r="A175">
        <f>A$9 * (41.0003318786621 -A$8)</f>
        <v>41.000331878662102</v>
      </c>
      <c r="B175">
        <f>B$9 * (41.0003318786621 -B$8)</f>
        <v>41.000331878662102</v>
      </c>
      <c r="C175">
        <f>C$9 * (41.0003318786621 -C$8)</f>
        <v>41.000331878662102</v>
      </c>
      <c r="E175">
        <f>E$9 * (0.00983786024153232 -E$8)</f>
        <v>9.8378602415323205E-3</v>
      </c>
      <c r="F175">
        <f>F$9 * (4.8133840560913 -F$8)</f>
        <v>4.8133840560912997</v>
      </c>
      <c r="G175">
        <f>G$9 * (9.74424171447753 -G$8)</f>
        <v>9.7442417144775302</v>
      </c>
      <c r="I175">
        <f t="shared" si="7"/>
        <v>35.416296869516351</v>
      </c>
      <c r="J175">
        <f t="shared" si="8"/>
        <v>17328.182601928678</v>
      </c>
      <c r="K175">
        <f t="shared" si="9"/>
        <v>35079.270172119112</v>
      </c>
    </row>
    <row r="176" spans="1:11" x14ac:dyDescent="0.3">
      <c r="A176">
        <f>A$9 * (41.2503623962402 -A$8)</f>
        <v>41.250362396240199</v>
      </c>
      <c r="B176">
        <f>B$9 * (41.2503623962402 -B$8)</f>
        <v>41.250362396240199</v>
      </c>
      <c r="C176">
        <f>C$9 * (41.2503623962402 -C$8)</f>
        <v>41.250362396240199</v>
      </c>
      <c r="E176">
        <f>E$9 * (0.0098378611728549 -E$8)</f>
        <v>9.8378611728549004E-3</v>
      </c>
      <c r="F176">
        <f>F$9 * (4.81338500976562 -F$8)</f>
        <v>4.8133850097656197</v>
      </c>
      <c r="G176">
        <f>G$9 * (9.74424076080322 -G$8)</f>
        <v>9.7442407608032209</v>
      </c>
      <c r="I176">
        <f t="shared" si="7"/>
        <v>35.416300222277641</v>
      </c>
      <c r="J176">
        <f t="shared" si="8"/>
        <v>17328.186035156232</v>
      </c>
      <c r="K176">
        <f t="shared" si="9"/>
        <v>35079.266738891594</v>
      </c>
    </row>
    <row r="177" spans="1:11" x14ac:dyDescent="0.3">
      <c r="A177">
        <f>A$9 * (41.500389099121 -A$8)</f>
        <v>41.500389099121001</v>
      </c>
      <c r="B177">
        <f>B$9 * (41.500389099121 -B$8)</f>
        <v>41.500389099121001</v>
      </c>
      <c r="C177">
        <f>C$9 * (41.500389099121 -C$8)</f>
        <v>41.500389099121001</v>
      </c>
      <c r="E177">
        <f>E$9 * (0.00983786024153232 -E$8)</f>
        <v>9.8378602415323205E-3</v>
      </c>
      <c r="F177">
        <f>F$9 * (4.81338310241699 -F$8)</f>
        <v>4.8133831024169904</v>
      </c>
      <c r="G177">
        <f>G$9 * (9.7442398071289 -G$8)</f>
        <v>9.7442398071288991</v>
      </c>
      <c r="I177">
        <f t="shared" si="7"/>
        <v>35.416296869516351</v>
      </c>
      <c r="J177">
        <f t="shared" si="8"/>
        <v>17328.179168701165</v>
      </c>
      <c r="K177">
        <f t="shared" si="9"/>
        <v>35079.263305664033</v>
      </c>
    </row>
    <row r="178" spans="1:11" x14ac:dyDescent="0.3">
      <c r="A178">
        <f>A$9 * (41.7500267028808 -A$8)</f>
        <v>41.750026702880803</v>
      </c>
      <c r="B178">
        <f>B$9 * (41.7500267028808 -B$8)</f>
        <v>41.750026702880803</v>
      </c>
      <c r="C178">
        <f>C$9 * (41.7500267028808 -C$8)</f>
        <v>41.750026702880803</v>
      </c>
      <c r="E178">
        <f>E$9 * (0.00983786024153232 -E$8)</f>
        <v>9.8378602415323205E-3</v>
      </c>
      <c r="F178">
        <f>F$9 * (4.81338310241699 -F$8)</f>
        <v>4.8133831024169904</v>
      </c>
      <c r="G178">
        <f>G$9 * (9.74423885345459 -G$8)</f>
        <v>9.7442388534545898</v>
      </c>
      <c r="I178">
        <f t="shared" si="7"/>
        <v>35.416296869516351</v>
      </c>
      <c r="J178">
        <f t="shared" si="8"/>
        <v>17328.179168701165</v>
      </c>
      <c r="K178">
        <f t="shared" si="9"/>
        <v>35079.259872436523</v>
      </c>
    </row>
    <row r="179" spans="1:11" x14ac:dyDescent="0.3">
      <c r="A179">
        <f>A$9 * (42.0000572204589 -A$8)</f>
        <v>42.000057220458899</v>
      </c>
      <c r="B179">
        <f>B$9 * (42.0000572204589 -B$8)</f>
        <v>42.000057220458899</v>
      </c>
      <c r="C179">
        <f>C$9 * (42.0000572204589 -C$8)</f>
        <v>42.000057220458899</v>
      </c>
      <c r="E179">
        <f>E$9 * (0.00983786303550005 -E$8)</f>
        <v>9.8378630355000496E-3</v>
      </c>
      <c r="F179">
        <f>F$9 * (4.8133840560913 -F$8)</f>
        <v>4.8133840560912997</v>
      </c>
      <c r="G179">
        <f>G$9 * (9.74423789978027 -G$8)</f>
        <v>9.7442378997802699</v>
      </c>
      <c r="I179">
        <f t="shared" si="7"/>
        <v>35.416306927800179</v>
      </c>
      <c r="J179">
        <f t="shared" si="8"/>
        <v>17328.182601928678</v>
      </c>
      <c r="K179">
        <f t="shared" si="9"/>
        <v>35079.25643920897</v>
      </c>
    </row>
    <row r="180" spans="1:11" x14ac:dyDescent="0.3">
      <c r="A180">
        <f>A$9 * (42.2500839233398 -A$8)</f>
        <v>42.250083923339801</v>
      </c>
      <c r="B180">
        <f>B$9 * (42.2500839233398 -B$8)</f>
        <v>42.250083923339801</v>
      </c>
      <c r="C180">
        <f>C$9 * (42.2500839233398 -C$8)</f>
        <v>42.250083923339801</v>
      </c>
      <c r="E180">
        <f>E$9 * (0.00983786210417747 -E$8)</f>
        <v>9.8378621041774698E-3</v>
      </c>
      <c r="F180">
        <f>F$9 * (4.81338214874267 -F$8)</f>
        <v>4.8133821487426696</v>
      </c>
      <c r="G180">
        <f>G$9 * (9.74423694610595 -G$8)</f>
        <v>9.7442369461059499</v>
      </c>
      <c r="I180">
        <f t="shared" si="7"/>
        <v>35.416303575038889</v>
      </c>
      <c r="J180">
        <f t="shared" si="8"/>
        <v>17328.175735473611</v>
      </c>
      <c r="K180">
        <f t="shared" si="9"/>
        <v>35079.253005981416</v>
      </c>
    </row>
    <row r="181" spans="1:11" x14ac:dyDescent="0.3">
      <c r="A181">
        <f>A$9 * (42.5001106262207 -A$8)</f>
        <v>42.500110626220703</v>
      </c>
      <c r="B181">
        <f>B$9 * (42.5001106262207 -B$8)</f>
        <v>42.500110626220703</v>
      </c>
      <c r="C181">
        <f>C$9 * (42.5001106262207 -C$8)</f>
        <v>42.500110626220703</v>
      </c>
      <c r="E181">
        <f>E$9 * (0.00983786396682262 -E$8)</f>
        <v>9.8378639668226207E-3</v>
      </c>
      <c r="F181">
        <f>F$9 * (4.81338310241699 -F$8)</f>
        <v>4.8133831024169904</v>
      </c>
      <c r="G181">
        <f>G$9 * (9.74423599243164 -G$8)</f>
        <v>9.7442359924316406</v>
      </c>
      <c r="I181">
        <f t="shared" si="7"/>
        <v>35.416310280561433</v>
      </c>
      <c r="J181">
        <f t="shared" si="8"/>
        <v>17328.179168701165</v>
      </c>
      <c r="K181">
        <f t="shared" si="9"/>
        <v>35079.249572753906</v>
      </c>
    </row>
    <row r="182" spans="1:11" x14ac:dyDescent="0.3">
      <c r="A182">
        <f>A$9 * (42.7501373291015 -A$8)</f>
        <v>42.750137329101499</v>
      </c>
      <c r="B182">
        <f>B$9 * (42.7501373291015 -B$8)</f>
        <v>42.750137329101499</v>
      </c>
      <c r="C182">
        <f>C$9 * (42.7501373291015 -C$8)</f>
        <v>42.750137329101499</v>
      </c>
      <c r="E182">
        <f>E$9 * (0.00983786303550005 -E$8)</f>
        <v>9.8378630355000496E-3</v>
      </c>
      <c r="F182">
        <f>F$9 * (4.81338214874267 -F$8)</f>
        <v>4.8133821487426696</v>
      </c>
      <c r="G182">
        <f>G$9 * (9.74423503875732 -G$8)</f>
        <v>9.7442350387573207</v>
      </c>
      <c r="I182">
        <f t="shared" si="7"/>
        <v>35.416306927800179</v>
      </c>
      <c r="J182">
        <f t="shared" si="8"/>
        <v>17328.175735473611</v>
      </c>
      <c r="K182">
        <f t="shared" si="9"/>
        <v>35079.246139526353</v>
      </c>
    </row>
    <row r="183" spans="1:11" x14ac:dyDescent="0.3">
      <c r="A183">
        <f>A$9 * (43.0001678466796 -A$8)</f>
        <v>43.000167846679602</v>
      </c>
      <c r="B183">
        <f>B$9 * (43.0001678466796 -B$8)</f>
        <v>43.000167846679602</v>
      </c>
      <c r="C183">
        <f>C$9 * (43.0001678466796 -C$8)</f>
        <v>43.000167846679602</v>
      </c>
      <c r="E183">
        <f>E$9 * (0.00983786489814519 -E$8)</f>
        <v>9.8378648981451901E-3</v>
      </c>
      <c r="F183">
        <f>F$9 * (4.81338214874267 -F$8)</f>
        <v>4.8133821487426696</v>
      </c>
      <c r="G183">
        <f>G$9 * (9.744234085083 -G$8)</f>
        <v>9.7442340850830007</v>
      </c>
      <c r="I183">
        <f t="shared" si="7"/>
        <v>35.416313633322687</v>
      </c>
      <c r="J183">
        <f t="shared" si="8"/>
        <v>17328.175735473611</v>
      </c>
      <c r="K183">
        <f t="shared" si="9"/>
        <v>35079.242706298799</v>
      </c>
    </row>
    <row r="184" spans="1:11" x14ac:dyDescent="0.3">
      <c r="A184">
        <f>A$9 * (43.2501945495605 -A$8)</f>
        <v>43.250194549560497</v>
      </c>
      <c r="B184">
        <f>B$9 * (43.2501945495605 -B$8)</f>
        <v>43.250194549560497</v>
      </c>
      <c r="C184">
        <f>C$9 * (43.2501945495605 -C$8)</f>
        <v>43.250194549560497</v>
      </c>
      <c r="E184">
        <f>E$9 * (0.00983786303550005 -E$8)</f>
        <v>9.8378630355000496E-3</v>
      </c>
      <c r="F184">
        <f>F$9 * (4.81338119506835 -F$8)</f>
        <v>4.8133811950683496</v>
      </c>
      <c r="G184">
        <f>G$9 * (9.74423313140869 -G$8)</f>
        <v>9.7442331314086896</v>
      </c>
      <c r="I184">
        <f t="shared" si="7"/>
        <v>35.416306927800179</v>
      </c>
      <c r="J184">
        <f t="shared" si="8"/>
        <v>17328.172302246057</v>
      </c>
      <c r="K184">
        <f t="shared" si="9"/>
        <v>35079.239273071282</v>
      </c>
    </row>
    <row r="185" spans="1:11" x14ac:dyDescent="0.3">
      <c r="A185">
        <f>A$9 * (43.5002212524414 -A$8)</f>
        <v>43.500221252441399</v>
      </c>
      <c r="B185">
        <f>B$9 * (43.5002212524414 -B$8)</f>
        <v>43.500221252441399</v>
      </c>
      <c r="C185">
        <f>C$9 * (43.5002212524414 -C$8)</f>
        <v>43.500221252441399</v>
      </c>
      <c r="E185">
        <f>E$9 * (0.00983786396682262 -E$8)</f>
        <v>9.8378639668226207E-3</v>
      </c>
      <c r="F185">
        <f>F$9 * (4.81337976455688 -F$8)</f>
        <v>4.8133797645568803</v>
      </c>
      <c r="G185">
        <f>G$9 * (9.74423217773437 -G$8)</f>
        <v>9.7442321777343697</v>
      </c>
      <c r="I185">
        <f t="shared" si="7"/>
        <v>35.416310280561433</v>
      </c>
      <c r="J185">
        <f t="shared" si="8"/>
        <v>17328.167152404771</v>
      </c>
      <c r="K185">
        <f t="shared" si="9"/>
        <v>35079.235839843728</v>
      </c>
    </row>
    <row r="186" spans="1:11" x14ac:dyDescent="0.3">
      <c r="A186">
        <f>A$9 * (43.7502517700195 -A$8)</f>
        <v>43.750251770019503</v>
      </c>
      <c r="B186">
        <f>B$9 * (43.7502517700195 -B$8)</f>
        <v>43.750251770019503</v>
      </c>
      <c r="C186">
        <f>C$9 * (43.7502517700195 -C$8)</f>
        <v>43.750251770019503</v>
      </c>
      <c r="E186">
        <f>E$9 * (0.00983786489814519 -E$8)</f>
        <v>9.8378648981451901E-3</v>
      </c>
      <c r="F186">
        <f>F$9 * (4.81337976455688 -F$8)</f>
        <v>4.8133797645568803</v>
      </c>
      <c r="G186">
        <f>G$9 * (9.74423122406005 -G$8)</f>
        <v>9.7442312240600497</v>
      </c>
      <c r="I186">
        <f t="shared" si="7"/>
        <v>35.416313633322687</v>
      </c>
      <c r="J186">
        <f t="shared" si="8"/>
        <v>17328.167152404771</v>
      </c>
      <c r="K186">
        <f t="shared" si="9"/>
        <v>35079.232406616182</v>
      </c>
    </row>
    <row r="187" spans="1:11" x14ac:dyDescent="0.3">
      <c r="A187">
        <f>A$9 * (44.0002784729003 -A$8)</f>
        <v>44.000278472900298</v>
      </c>
      <c r="B187">
        <f>B$9 * (44.0002784729003 -B$8)</f>
        <v>44.000278472900298</v>
      </c>
      <c r="C187">
        <f>C$9 * (44.0002784729003 -C$8)</f>
        <v>44.000278472900298</v>
      </c>
      <c r="E187">
        <f>E$9 * (0.00983786676079034 -E$8)</f>
        <v>9.8378667607903394E-3</v>
      </c>
      <c r="F187">
        <f>F$9 * (4.81338119506835 -F$8)</f>
        <v>4.8133811950683496</v>
      </c>
      <c r="G187">
        <f>G$9 * (9.74423027038574 -G$8)</f>
        <v>9.7442302703857404</v>
      </c>
      <c r="I187">
        <f t="shared" si="7"/>
        <v>35.416320338845225</v>
      </c>
      <c r="J187">
        <f t="shared" si="8"/>
        <v>17328.172302246057</v>
      </c>
      <c r="K187">
        <f t="shared" si="9"/>
        <v>35079.228973388665</v>
      </c>
    </row>
    <row r="188" spans="1:11" x14ac:dyDescent="0.3">
      <c r="A188">
        <f>A$9 * (44.2503051757812 -A$8)</f>
        <v>44.2503051757812</v>
      </c>
      <c r="B188">
        <f>B$9 * (44.2503051757812 -B$8)</f>
        <v>44.2503051757812</v>
      </c>
      <c r="C188">
        <f>C$9 * (44.2503051757812 -C$8)</f>
        <v>44.2503051757812</v>
      </c>
      <c r="E188">
        <f>E$9 * (0.00983786582946777 -E$8)</f>
        <v>9.83786582946777E-3</v>
      </c>
      <c r="F188">
        <f>F$9 * (4.81337976455688 -F$8)</f>
        <v>4.8133797645568803</v>
      </c>
      <c r="G188">
        <f>G$9 * (9.74422931671142 -G$8)</f>
        <v>9.7442293167114205</v>
      </c>
      <c r="I188">
        <f t="shared" si="7"/>
        <v>35.41631698608397</v>
      </c>
      <c r="J188">
        <f t="shared" si="8"/>
        <v>17328.167152404771</v>
      </c>
      <c r="K188">
        <f t="shared" si="9"/>
        <v>35079.225540161111</v>
      </c>
    </row>
    <row r="189" spans="1:11" x14ac:dyDescent="0.3">
      <c r="A189">
        <f>A$9 * (44.5003318786621 -A$8)</f>
        <v>44.500331878662102</v>
      </c>
      <c r="B189">
        <f>B$9 * (44.5003318786621 -B$8)</f>
        <v>44.500331878662102</v>
      </c>
      <c r="C189">
        <f>C$9 * (44.5003318786621 -C$8)</f>
        <v>44.500331878662102</v>
      </c>
      <c r="E189">
        <f>E$9 * (0.00983786676079034 -E$8)</f>
        <v>9.8378667607903394E-3</v>
      </c>
      <c r="F189">
        <f>F$9 * (4.81337976455688 -F$8)</f>
        <v>4.8133797645568803</v>
      </c>
      <c r="G189">
        <f>G$9 * (9.7442283630371 -G$8)</f>
        <v>9.7442283630371005</v>
      </c>
      <c r="I189">
        <f t="shared" si="7"/>
        <v>35.416320338845225</v>
      </c>
      <c r="J189">
        <f t="shared" si="8"/>
        <v>17328.167152404771</v>
      </c>
      <c r="K189">
        <f t="shared" si="9"/>
        <v>35079.222106933565</v>
      </c>
    </row>
    <row r="190" spans="1:11" x14ac:dyDescent="0.3">
      <c r="A190">
        <f>A$9 * (44.7503623962402 -A$8)</f>
        <v>44.750362396240199</v>
      </c>
      <c r="B190">
        <f>B$9 * (44.7503623962402 -B$8)</f>
        <v>44.750362396240199</v>
      </c>
      <c r="C190">
        <f>C$9 * (44.7503623962402 -C$8)</f>
        <v>44.750362396240199</v>
      </c>
      <c r="E190">
        <f>E$9 * (0.00983786769211292 -E$8)</f>
        <v>9.8378676921129192E-3</v>
      </c>
      <c r="F190">
        <f>F$9 * (4.81337976455688 -F$8)</f>
        <v>4.8133797645568803</v>
      </c>
      <c r="G190">
        <f>G$9 * (9.7442283630371 -G$8)</f>
        <v>9.7442283630371005</v>
      </c>
      <c r="I190">
        <f t="shared" si="7"/>
        <v>35.416323691606507</v>
      </c>
      <c r="J190">
        <f t="shared" si="8"/>
        <v>17328.167152404771</v>
      </c>
      <c r="K190">
        <f t="shared" si="9"/>
        <v>35079.222106933565</v>
      </c>
    </row>
    <row r="191" spans="1:11" x14ac:dyDescent="0.3">
      <c r="A191">
        <f>A$9 * (45.000389099121 -A$8)</f>
        <v>45.000389099121001</v>
      </c>
      <c r="B191">
        <f>B$9 * (45.000389099121 -B$8)</f>
        <v>45.000389099121001</v>
      </c>
      <c r="C191">
        <f>C$9 * (45.000389099121 -C$8)</f>
        <v>45.000389099121001</v>
      </c>
      <c r="E191">
        <f>E$9 * (0.00983786676079034 -E$8)</f>
        <v>9.8378667607903394E-3</v>
      </c>
      <c r="F191">
        <f>F$9 * (4.81337881088256 -F$8)</f>
        <v>4.8133788108825604</v>
      </c>
      <c r="G191">
        <f>G$9 * (9.74422740936279 -G$8)</f>
        <v>9.7442274093627894</v>
      </c>
      <c r="I191">
        <f t="shared" si="7"/>
        <v>35.416320338845225</v>
      </c>
      <c r="J191">
        <f t="shared" si="8"/>
        <v>17328.163719177217</v>
      </c>
      <c r="K191">
        <f t="shared" si="9"/>
        <v>35079.21867370604</v>
      </c>
    </row>
    <row r="192" spans="1:11" x14ac:dyDescent="0.3">
      <c r="A192">
        <f>A$9 * (45.2500267028808 -A$8)</f>
        <v>45.250026702880803</v>
      </c>
      <c r="B192">
        <f>B$9 * (45.2500267028808 -B$8)</f>
        <v>45.250026702880803</v>
      </c>
      <c r="C192">
        <f>C$9 * (45.2500267028808 -C$8)</f>
        <v>45.250026702880803</v>
      </c>
      <c r="E192">
        <f>E$9 * (0.00983786676079034 -E$8)</f>
        <v>9.8378667607903394E-3</v>
      </c>
      <c r="F192">
        <f>F$9 * (4.81337881088256 -F$8)</f>
        <v>4.8133788108825604</v>
      </c>
      <c r="G192">
        <f>G$9 * (9.74422645568847 -G$8)</f>
        <v>9.7442264556884695</v>
      </c>
      <c r="I192">
        <f t="shared" si="7"/>
        <v>35.416320338845225</v>
      </c>
      <c r="J192">
        <f t="shared" si="8"/>
        <v>17328.163719177217</v>
      </c>
      <c r="K192">
        <f t="shared" si="9"/>
        <v>35079.215240478487</v>
      </c>
    </row>
    <row r="193" spans="1:11" x14ac:dyDescent="0.3">
      <c r="A193">
        <f>A$9 * (45.5000572204589 -A$8)</f>
        <v>45.500057220458899</v>
      </c>
      <c r="B193">
        <f>B$9 * (45.5000572204589 -B$8)</f>
        <v>45.500057220458899</v>
      </c>
      <c r="C193">
        <f>C$9 * (45.5000572204589 -C$8)</f>
        <v>45.500057220458899</v>
      </c>
      <c r="E193">
        <f>E$9 * (0.00983786769211292 -E$8)</f>
        <v>9.8378676921129192E-3</v>
      </c>
      <c r="F193">
        <f>F$9 * (4.81337785720825 -F$8)</f>
        <v>4.8133778572082502</v>
      </c>
      <c r="G193">
        <f>G$9 * (9.74422454833984 -G$8)</f>
        <v>9.7442245483398402</v>
      </c>
      <c r="I193">
        <f t="shared" si="7"/>
        <v>35.416323691606507</v>
      </c>
      <c r="J193">
        <f t="shared" si="8"/>
        <v>17328.1602859497</v>
      </c>
      <c r="K193">
        <f t="shared" si="9"/>
        <v>35079.208374023423</v>
      </c>
    </row>
    <row r="194" spans="1:11" x14ac:dyDescent="0.3">
      <c r="A194">
        <f>A$9 * (45.7500839233398 -A$8)</f>
        <v>45.750083923339801</v>
      </c>
      <c r="B194">
        <f>B$9 * (45.7500839233398 -B$8)</f>
        <v>45.750083923339801</v>
      </c>
      <c r="C194">
        <f>C$9 * (45.7500839233398 -C$8)</f>
        <v>45.750083923339801</v>
      </c>
      <c r="E194">
        <f>E$9 * (0.00983786582946777 -E$8)</f>
        <v>9.83786582946777E-3</v>
      </c>
      <c r="F194">
        <f>F$9 * (4.81337690353393 -F$8)</f>
        <v>4.8133769035339302</v>
      </c>
      <c r="G194">
        <f>G$9 * (9.74422359466552 -G$8)</f>
        <v>9.7442235946655202</v>
      </c>
      <c r="I194">
        <f t="shared" si="7"/>
        <v>35.41631698608397</v>
      </c>
      <c r="J194">
        <f t="shared" si="8"/>
        <v>17328.15685272215</v>
      </c>
      <c r="K194">
        <f t="shared" si="9"/>
        <v>35079.204940795869</v>
      </c>
    </row>
    <row r="195" spans="1:11" x14ac:dyDescent="0.3">
      <c r="A195">
        <f>A$9 * (46.0001106262207 -A$8)</f>
        <v>46.000110626220703</v>
      </c>
      <c r="B195">
        <f>B$9 * (46.0001106262207 -B$8)</f>
        <v>46.000110626220703</v>
      </c>
      <c r="C195">
        <f>C$9 * (46.0001106262207 -C$8)</f>
        <v>46.000110626220703</v>
      </c>
      <c r="E195">
        <f>E$9 * (0.00983786676079034 -E$8)</f>
        <v>9.8378667607903394E-3</v>
      </c>
      <c r="F195">
        <f>F$9 * (4.81337690353393 -F$8)</f>
        <v>4.8133769035339302</v>
      </c>
      <c r="G195">
        <f>G$9 * (9.74422264099121 -G$8)</f>
        <v>9.7442226409912092</v>
      </c>
      <c r="I195">
        <f t="shared" si="7"/>
        <v>35.416320338845225</v>
      </c>
      <c r="J195">
        <f t="shared" si="8"/>
        <v>17328.15685272215</v>
      </c>
      <c r="K195">
        <f t="shared" si="9"/>
        <v>35079.201507568352</v>
      </c>
    </row>
    <row r="196" spans="1:11" x14ac:dyDescent="0.3">
      <c r="A196">
        <f>A$9 * (46.2501373291015 -A$8)</f>
        <v>46.250137329101499</v>
      </c>
      <c r="B196">
        <f>B$9 * (46.2501373291015 -B$8)</f>
        <v>46.250137329101499</v>
      </c>
      <c r="C196">
        <f>C$9 * (46.2501373291015 -C$8)</f>
        <v>46.250137329101499</v>
      </c>
      <c r="E196">
        <f>E$9 * (0.00983786862343549 -E$8)</f>
        <v>9.8378686234354903E-3</v>
      </c>
      <c r="F196">
        <f>F$9 * (4.81337785720825 -F$8)</f>
        <v>4.8133778572082502</v>
      </c>
      <c r="G196">
        <f>G$9 * (9.74422168731689 -G$8)</f>
        <v>9.7442216873168892</v>
      </c>
      <c r="I196">
        <f t="shared" si="7"/>
        <v>35.416327044367762</v>
      </c>
      <c r="J196">
        <f t="shared" si="8"/>
        <v>17328.1602859497</v>
      </c>
      <c r="K196">
        <f t="shared" si="9"/>
        <v>35079.198074340798</v>
      </c>
    </row>
    <row r="197" spans="1:11" x14ac:dyDescent="0.3">
      <c r="A197">
        <f>A$9 * (46.5001678466796 -A$8)</f>
        <v>46.500167846679602</v>
      </c>
      <c r="B197">
        <f>B$9 * (46.5001678466796 -B$8)</f>
        <v>46.500167846679602</v>
      </c>
      <c r="C197">
        <f>C$9 * (46.5001678466796 -C$8)</f>
        <v>46.500167846679602</v>
      </c>
      <c r="E197">
        <f>E$9 * (0.00983786955475807 -E$8)</f>
        <v>9.8378695547580702E-3</v>
      </c>
      <c r="F197">
        <f>F$9 * (4.81337690353393 -F$8)</f>
        <v>4.8133769035339302</v>
      </c>
      <c r="G197">
        <f>G$9 * (9.74422168731689 -G$8)</f>
        <v>9.7442216873168892</v>
      </c>
      <c r="I197">
        <f t="shared" si="7"/>
        <v>35.416330397129052</v>
      </c>
      <c r="J197">
        <f t="shared" si="8"/>
        <v>17328.15685272215</v>
      </c>
      <c r="K197">
        <f t="shared" si="9"/>
        <v>35079.198074340798</v>
      </c>
    </row>
    <row r="198" spans="1:11" x14ac:dyDescent="0.3">
      <c r="A198">
        <f>A$9 * (46.7501945495605 -A$8)</f>
        <v>46.750194549560497</v>
      </c>
      <c r="B198">
        <f>B$9 * (46.7501945495605 -B$8)</f>
        <v>46.750194549560497</v>
      </c>
      <c r="C198">
        <f>C$9 * (46.7501945495605 -C$8)</f>
        <v>46.750194549560497</v>
      </c>
      <c r="E198">
        <f>E$9 * (0.00983786676079034 -E$8)</f>
        <v>9.8378667607903394E-3</v>
      </c>
      <c r="F198">
        <f>F$9 * (4.81337594985961 -F$8)</f>
        <v>4.8133759498596103</v>
      </c>
      <c r="G198">
        <f>G$9 * (9.74422073364257 -G$8)</f>
        <v>9.7442207336425692</v>
      </c>
      <c r="I198">
        <f t="shared" si="7"/>
        <v>35.416320338845225</v>
      </c>
      <c r="J198">
        <f t="shared" si="8"/>
        <v>17328.153419494596</v>
      </c>
      <c r="K198">
        <f t="shared" si="9"/>
        <v>35079.194641113252</v>
      </c>
    </row>
    <row r="199" spans="1:11" x14ac:dyDescent="0.3">
      <c r="A199">
        <f>A$9 * (47.0002212524414 -A$8)</f>
        <v>47.000221252441399</v>
      </c>
      <c r="B199">
        <f>B$9 * (47.0002212524414 -B$8)</f>
        <v>47.000221252441399</v>
      </c>
      <c r="C199">
        <f>C$9 * (47.0002212524414 -C$8)</f>
        <v>47.000221252441399</v>
      </c>
      <c r="E199">
        <f>E$9 * (0.00983786769211292 -E$8)</f>
        <v>9.8378676921129192E-3</v>
      </c>
      <c r="F199">
        <f>F$9 * (4.8133749961853 -F$8)</f>
        <v>4.8133749961853001</v>
      </c>
      <c r="G199">
        <f>G$9 * (9.74421977996826 -G$8)</f>
        <v>9.7442197799682599</v>
      </c>
      <c r="I199">
        <f t="shared" si="7"/>
        <v>35.416323691606507</v>
      </c>
      <c r="J199">
        <f t="shared" si="8"/>
        <v>17328.149986267079</v>
      </c>
      <c r="K199">
        <f t="shared" si="9"/>
        <v>35079.191207885735</v>
      </c>
    </row>
    <row r="200" spans="1:11" x14ac:dyDescent="0.3">
      <c r="A200">
        <f>A$9 * (47.2502517700195 -A$8)</f>
        <v>47.250251770019503</v>
      </c>
      <c r="B200">
        <f>B$9 * (47.2502517700195 -B$8)</f>
        <v>47.250251770019503</v>
      </c>
      <c r="C200">
        <f>C$9 * (47.2502517700195 -C$8)</f>
        <v>47.250251770019503</v>
      </c>
      <c r="E200">
        <f>E$9 * (0.00983786955475807 -E$8)</f>
        <v>9.8378695547580702E-3</v>
      </c>
      <c r="F200">
        <f>F$9 * (4.81337594985961 -F$8)</f>
        <v>4.8133759498596103</v>
      </c>
      <c r="G200">
        <f>G$9 * (9.74421977996826 -G$8)</f>
        <v>9.7442197799682599</v>
      </c>
      <c r="I200">
        <f t="shared" si="7"/>
        <v>35.416330397129052</v>
      </c>
      <c r="J200">
        <f t="shared" si="8"/>
        <v>17328.153419494596</v>
      </c>
      <c r="K200">
        <f t="shared" si="9"/>
        <v>35079.191207885735</v>
      </c>
    </row>
    <row r="201" spans="1:11" x14ac:dyDescent="0.3">
      <c r="A201">
        <f>A$9 * (47.5002784729003 -A$8)</f>
        <v>47.500278472900298</v>
      </c>
      <c r="B201">
        <f>B$9 * (47.5002784729003 -B$8)</f>
        <v>47.500278472900298</v>
      </c>
      <c r="C201">
        <f>C$9 * (47.5002784729003 -C$8)</f>
        <v>47.500278472900298</v>
      </c>
      <c r="E201">
        <f>E$9 * (0.00983786769211292 -E$8)</f>
        <v>9.8378676921129192E-3</v>
      </c>
      <c r="F201">
        <f>F$9 * (4.8133749961853 -F$8)</f>
        <v>4.8133749961853001</v>
      </c>
      <c r="G201">
        <f>G$9 * (9.74421882629394 -G$8)</f>
        <v>9.74421882629394</v>
      </c>
      <c r="I201">
        <f t="shared" si="7"/>
        <v>35.416323691606507</v>
      </c>
      <c r="J201">
        <f t="shared" si="8"/>
        <v>17328.149986267079</v>
      </c>
      <c r="K201">
        <f t="shared" si="9"/>
        <v>35079.187774658181</v>
      </c>
    </row>
    <row r="202" spans="1:11" x14ac:dyDescent="0.3">
      <c r="A202">
        <f>A$9 * (47.7503051757812 -A$8)</f>
        <v>47.7503051757812</v>
      </c>
      <c r="B202">
        <f>B$9 * (47.7503051757812 -B$8)</f>
        <v>47.7503051757812</v>
      </c>
      <c r="C202">
        <f>C$9 * (47.7503051757812 -C$8)</f>
        <v>47.7503051757812</v>
      </c>
      <c r="E202">
        <f>E$9 * (0.00983786862343549 -E$8)</f>
        <v>9.8378686234354903E-3</v>
      </c>
      <c r="F202">
        <f>F$9 * (4.8133749961853 -F$8)</f>
        <v>4.8133749961853001</v>
      </c>
      <c r="G202">
        <f>G$9 * (9.74421787261962 -G$8)</f>
        <v>9.74421787261962</v>
      </c>
      <c r="I202">
        <f t="shared" si="7"/>
        <v>35.416327044367762</v>
      </c>
      <c r="J202">
        <f t="shared" si="8"/>
        <v>17328.149986267079</v>
      </c>
      <c r="K202">
        <f t="shared" si="9"/>
        <v>35079.184341430635</v>
      </c>
    </row>
    <row r="203" spans="1:11" x14ac:dyDescent="0.3">
      <c r="A203">
        <f>A$9 * (48.0003318786621 -A$8)</f>
        <v>48.000331878662102</v>
      </c>
      <c r="B203">
        <f>B$9 * (48.0003318786621 -B$8)</f>
        <v>48.000331878662102</v>
      </c>
      <c r="C203">
        <f>C$9 * (48.0003318786621 -C$8)</f>
        <v>48.000331878662102</v>
      </c>
      <c r="E203">
        <f>E$9 * (0.00983787141740322 -E$8)</f>
        <v>9.8378714174032194E-3</v>
      </c>
      <c r="F203">
        <f>F$9 * (4.8133749961853 -F$8)</f>
        <v>4.8133749961853001</v>
      </c>
      <c r="G203">
        <f>G$9 * (9.74421691894531 -G$8)</f>
        <v>9.7442169189453107</v>
      </c>
      <c r="I203">
        <f t="shared" si="7"/>
        <v>35.416337102651589</v>
      </c>
      <c r="J203">
        <f t="shared" si="8"/>
        <v>17328.149986267079</v>
      </c>
      <c r="K203">
        <f t="shared" si="9"/>
        <v>35079.180908203118</v>
      </c>
    </row>
    <row r="204" spans="1:11" x14ac:dyDescent="0.3">
      <c r="A204">
        <f>A$9 * (48.2503623962402 -A$8)</f>
        <v>48.250362396240199</v>
      </c>
      <c r="B204">
        <f>B$9 * (48.2503623962402 -B$8)</f>
        <v>48.250362396240199</v>
      </c>
      <c r="C204">
        <f>C$9 * (48.2503623962402 -C$8)</f>
        <v>48.250362396240199</v>
      </c>
      <c r="E204">
        <f>E$9 * (0.00983786862343549 -E$8)</f>
        <v>9.8378686234354903E-3</v>
      </c>
      <c r="F204">
        <f>F$9 * (4.81337404251098 -F$8)</f>
        <v>4.8133740425109801</v>
      </c>
      <c r="G204">
        <f>G$9 * (9.74421691894531 -G$8)</f>
        <v>9.7442169189453107</v>
      </c>
      <c r="I204">
        <f t="shared" ref="I204:I267" si="10">E204*3600</f>
        <v>35.416327044367762</v>
      </c>
      <c r="J204">
        <f t="shared" ref="J204:J267" si="11">F204*3600</f>
        <v>17328.146553039529</v>
      </c>
      <c r="K204">
        <f t="shared" ref="K204:K267" si="12">G204*3600</f>
        <v>35079.180908203118</v>
      </c>
    </row>
    <row r="205" spans="1:11" x14ac:dyDescent="0.3">
      <c r="A205">
        <f>A$9 * (48.500389099121 -A$8)</f>
        <v>48.500389099121001</v>
      </c>
      <c r="B205">
        <f>B$9 * (48.500389099121 -B$8)</f>
        <v>48.500389099121001</v>
      </c>
      <c r="C205">
        <f>C$9 * (48.500389099121 -C$8)</f>
        <v>48.500389099121001</v>
      </c>
      <c r="E205">
        <f>E$9 * (0.00983786955475807 -E$8)</f>
        <v>9.8378695547580702E-3</v>
      </c>
      <c r="F205">
        <f>F$9 * (4.81337404251098 -F$8)</f>
        <v>4.8133740425109801</v>
      </c>
      <c r="G205">
        <f>G$9 * (9.74421596527099 -G$8)</f>
        <v>9.7442159652709908</v>
      </c>
      <c r="I205">
        <f t="shared" si="10"/>
        <v>35.416330397129052</v>
      </c>
      <c r="J205">
        <f t="shared" si="11"/>
        <v>17328.146553039529</v>
      </c>
      <c r="K205">
        <f t="shared" si="12"/>
        <v>35079.177474975564</v>
      </c>
    </row>
    <row r="206" spans="1:11" x14ac:dyDescent="0.3">
      <c r="A206">
        <f>A$9 * (48.7500267028808 -A$8)</f>
        <v>48.750026702880803</v>
      </c>
      <c r="B206">
        <f>B$9 * (48.7500267028808 -B$8)</f>
        <v>48.750026702880803</v>
      </c>
      <c r="C206">
        <f>C$9 * (48.7500267028808 -C$8)</f>
        <v>48.750026702880803</v>
      </c>
      <c r="E206">
        <f>E$9 * (0.00983787234872579 -E$8)</f>
        <v>9.8378723487257905E-3</v>
      </c>
      <c r="F206">
        <f>F$9 * (4.8133749961853 -F$8)</f>
        <v>4.8133749961853001</v>
      </c>
      <c r="G206">
        <f>G$9 * (9.74421501159668 -G$8)</f>
        <v>9.7442150115966797</v>
      </c>
      <c r="I206">
        <f t="shared" si="10"/>
        <v>35.416340455412843</v>
      </c>
      <c r="J206">
        <f t="shared" si="11"/>
        <v>17328.149986267079</v>
      </c>
      <c r="K206">
        <f t="shared" si="12"/>
        <v>35079.174041748047</v>
      </c>
    </row>
    <row r="207" spans="1:11" x14ac:dyDescent="0.3">
      <c r="A207">
        <f>A$9 * (49.0000572204589 -A$8)</f>
        <v>49.000057220458899</v>
      </c>
      <c r="B207">
        <f>B$9 * (49.0000572204589 -B$8)</f>
        <v>49.000057220458899</v>
      </c>
      <c r="C207">
        <f>C$9 * (49.0000572204589 -C$8)</f>
        <v>49.000057220458899</v>
      </c>
      <c r="E207">
        <f>E$9 * (0.00983786955475807 -E$8)</f>
        <v>9.8378695547580702E-3</v>
      </c>
      <c r="F207">
        <f>F$9 * (4.81337308883667 -F$8)</f>
        <v>4.8133730888366699</v>
      </c>
      <c r="G207">
        <f>G$9 * (9.74421405792236 -G$8)</f>
        <v>9.7442140579223597</v>
      </c>
      <c r="I207">
        <f t="shared" si="10"/>
        <v>35.416330397129052</v>
      </c>
      <c r="J207">
        <f t="shared" si="11"/>
        <v>17328.143119812012</v>
      </c>
      <c r="K207">
        <f t="shared" si="12"/>
        <v>35079.170608520493</v>
      </c>
    </row>
    <row r="208" spans="1:11" x14ac:dyDescent="0.3">
      <c r="A208">
        <f>A$9 * (49.2500839233398 -A$8)</f>
        <v>49.250083923339801</v>
      </c>
      <c r="B208">
        <f>B$9 * (49.2500839233398 -B$8)</f>
        <v>49.250083923339801</v>
      </c>
      <c r="C208">
        <f>C$9 * (49.2500839233398 -C$8)</f>
        <v>49.250083923339801</v>
      </c>
      <c r="E208">
        <f>E$9 * (0.00983786862343549 -E$8)</f>
        <v>9.8378686234354903E-3</v>
      </c>
      <c r="F208">
        <f>F$9 * (4.81337308883667 -F$8)</f>
        <v>4.8133730888366699</v>
      </c>
      <c r="G208">
        <f>G$9 * (9.74421405792236 -G$8)</f>
        <v>9.7442140579223597</v>
      </c>
      <c r="I208">
        <f t="shared" si="10"/>
        <v>35.416327044367762</v>
      </c>
      <c r="J208">
        <f t="shared" si="11"/>
        <v>17328.143119812012</v>
      </c>
      <c r="K208">
        <f t="shared" si="12"/>
        <v>35079.170608520493</v>
      </c>
    </row>
    <row r="209" spans="1:11" x14ac:dyDescent="0.3">
      <c r="A209">
        <f>A$9 * (49.5001106262207 -A$8)</f>
        <v>49.500110626220703</v>
      </c>
      <c r="B209">
        <f>B$9 * (49.5001106262207 -B$8)</f>
        <v>49.500110626220703</v>
      </c>
      <c r="C209">
        <f>C$9 * (49.5001106262207 -C$8)</f>
        <v>49.500110626220703</v>
      </c>
      <c r="E209">
        <f>E$9 * (0.00983787234872579 -E$8)</f>
        <v>9.8378723487257905E-3</v>
      </c>
      <c r="F209">
        <f>F$9 * (4.81337404251098 -F$8)</f>
        <v>4.8133740425109801</v>
      </c>
      <c r="G209">
        <f>G$9 * (9.74421310424804 -G$8)</f>
        <v>9.7442131042480398</v>
      </c>
      <c r="I209">
        <f t="shared" si="10"/>
        <v>35.416340455412843</v>
      </c>
      <c r="J209">
        <f t="shared" si="11"/>
        <v>17328.146553039529</v>
      </c>
      <c r="K209">
        <f t="shared" si="12"/>
        <v>35079.16717529294</v>
      </c>
    </row>
    <row r="210" spans="1:11" x14ac:dyDescent="0.3">
      <c r="A210">
        <f>A$9 * (49.7501373291015 -A$8)</f>
        <v>49.750137329101499</v>
      </c>
      <c r="B210">
        <f>B$9 * (49.7501373291015 -B$8)</f>
        <v>49.750137329101499</v>
      </c>
      <c r="C210">
        <f>C$9 * (49.7501373291015 -C$8)</f>
        <v>49.750137329101499</v>
      </c>
      <c r="E210">
        <f>E$9 * (0.00983787141740322 -E$8)</f>
        <v>9.8378714174032194E-3</v>
      </c>
      <c r="F210">
        <f>F$9 * (4.81337308883667 -F$8)</f>
        <v>4.8133730888366699</v>
      </c>
      <c r="G210">
        <f>G$9 * (9.74421310424804 -G$8)</f>
        <v>9.7442131042480398</v>
      </c>
      <c r="I210">
        <f t="shared" si="10"/>
        <v>35.416337102651589</v>
      </c>
      <c r="J210">
        <f t="shared" si="11"/>
        <v>17328.143119812012</v>
      </c>
      <c r="K210">
        <f t="shared" si="12"/>
        <v>35079.16717529294</v>
      </c>
    </row>
    <row r="211" spans="1:11" x14ac:dyDescent="0.3">
      <c r="A211">
        <f>A$9 * (50.0001678466796 -A$8)</f>
        <v>50.000167846679602</v>
      </c>
      <c r="B211">
        <f>B$9 * (50.0001678466796 -B$8)</f>
        <v>50.000167846679602</v>
      </c>
      <c r="C211">
        <f>C$9 * (50.0001678466796 -C$8)</f>
        <v>50.000167846679602</v>
      </c>
      <c r="E211">
        <f>E$9 * (0.00983787328004837 -E$8)</f>
        <v>9.8378732800483704E-3</v>
      </c>
      <c r="F211">
        <f>F$9 * (4.81337308883667 -F$8)</f>
        <v>4.8133730888366699</v>
      </c>
      <c r="G211">
        <f>G$9 * (9.74421215057373 -G$8)</f>
        <v>9.7442121505737305</v>
      </c>
      <c r="I211">
        <f t="shared" si="10"/>
        <v>35.416343808174133</v>
      </c>
      <c r="J211">
        <f t="shared" si="11"/>
        <v>17328.143119812012</v>
      </c>
      <c r="K211">
        <f t="shared" si="12"/>
        <v>35079.16374206543</v>
      </c>
    </row>
    <row r="212" spans="1:11" x14ac:dyDescent="0.3">
      <c r="A212">
        <f>A$9 * (50.2501945495605 -A$8)</f>
        <v>50.250194549560497</v>
      </c>
      <c r="B212">
        <f>B$9 * (50.2501945495605 -B$8)</f>
        <v>50.250194549560497</v>
      </c>
      <c r="C212">
        <f>C$9 * (50.2501945495605 -C$8)</f>
        <v>50.250194549560497</v>
      </c>
      <c r="E212">
        <f>E$9 * (0.00983787328004837 -E$8)</f>
        <v>9.8378732800483704E-3</v>
      </c>
      <c r="F212">
        <f>F$9 * (4.81337308883667 -F$8)</f>
        <v>4.8133730888366699</v>
      </c>
      <c r="G212">
        <f>G$9 * (9.74421119689941 -G$8)</f>
        <v>9.7442111968994105</v>
      </c>
      <c r="I212">
        <f t="shared" si="10"/>
        <v>35.416343808174133</v>
      </c>
      <c r="J212">
        <f t="shared" si="11"/>
        <v>17328.143119812012</v>
      </c>
      <c r="K212">
        <f t="shared" si="12"/>
        <v>35079.160308837876</v>
      </c>
    </row>
    <row r="213" spans="1:11" x14ac:dyDescent="0.3">
      <c r="A213">
        <f>A$9 * (50.5002212524414 -A$8)</f>
        <v>50.500221252441399</v>
      </c>
      <c r="B213">
        <f>B$9 * (50.5002212524414 -B$8)</f>
        <v>50.500221252441399</v>
      </c>
      <c r="C213">
        <f>C$9 * (50.5002212524414 -C$8)</f>
        <v>50.500221252441399</v>
      </c>
      <c r="E213">
        <f>E$9 * (0.00983787328004837 -E$8)</f>
        <v>9.8378732800483704E-3</v>
      </c>
      <c r="F213">
        <f>F$9 * (4.81337308883667 -F$8)</f>
        <v>4.8133730888366699</v>
      </c>
      <c r="G213">
        <f>G$9 * (9.74421024322509 -G$8)</f>
        <v>9.7442102432250906</v>
      </c>
      <c r="I213">
        <f t="shared" si="10"/>
        <v>35.416343808174133</v>
      </c>
      <c r="J213">
        <f t="shared" si="11"/>
        <v>17328.143119812012</v>
      </c>
      <c r="K213">
        <f t="shared" si="12"/>
        <v>35079.156875610322</v>
      </c>
    </row>
    <row r="214" spans="1:11" x14ac:dyDescent="0.3">
      <c r="A214">
        <f>A$9 * (50.7502517700195 -A$8)</f>
        <v>50.750251770019503</v>
      </c>
      <c r="B214">
        <f>B$9 * (50.7502517700195 -B$8)</f>
        <v>50.750251770019503</v>
      </c>
      <c r="C214">
        <f>C$9 * (50.7502517700195 -C$8)</f>
        <v>50.750251770019503</v>
      </c>
      <c r="E214">
        <f>E$9 * (0.00983787234872579 -E$8)</f>
        <v>9.8378723487257905E-3</v>
      </c>
      <c r="F214">
        <f>F$9 * (4.81337118148803 -F$8)</f>
        <v>4.81337118148803</v>
      </c>
      <c r="G214">
        <f>G$9 * (9.74421024322509 -G$8)</f>
        <v>9.7442102432250906</v>
      </c>
      <c r="I214">
        <f t="shared" si="10"/>
        <v>35.416340455412843</v>
      </c>
      <c r="J214">
        <f t="shared" si="11"/>
        <v>17328.136253356908</v>
      </c>
      <c r="K214">
        <f t="shared" si="12"/>
        <v>35079.156875610322</v>
      </c>
    </row>
    <row r="215" spans="1:11" x14ac:dyDescent="0.3">
      <c r="A215">
        <f>A$9 * (51.0002784729003 -A$8)</f>
        <v>51.000278472900298</v>
      </c>
      <c r="B215">
        <f>B$9 * (51.0002784729003 -B$8)</f>
        <v>51.000278472900298</v>
      </c>
      <c r="C215">
        <f>C$9 * (51.0002784729003 -C$8)</f>
        <v>51.000278472900298</v>
      </c>
      <c r="E215">
        <f>E$9 * (0.00983787421137094 -E$8)</f>
        <v>9.8378742113709398E-3</v>
      </c>
      <c r="F215">
        <f>F$9 * (4.81337213516235 -F$8)</f>
        <v>4.81337213516235</v>
      </c>
      <c r="G215">
        <f>G$9 * (9.74420928955078 -G$8)</f>
        <v>9.7442092895507795</v>
      </c>
      <c r="I215">
        <f t="shared" si="10"/>
        <v>35.416347160935381</v>
      </c>
      <c r="J215">
        <f t="shared" si="11"/>
        <v>17328.139686584458</v>
      </c>
      <c r="K215">
        <f t="shared" si="12"/>
        <v>35079.153442382805</v>
      </c>
    </row>
    <row r="216" spans="1:11" x14ac:dyDescent="0.3">
      <c r="A216">
        <f>A$9 * (51.2503051757812 -A$8)</f>
        <v>51.2503051757812</v>
      </c>
      <c r="B216">
        <f>B$9 * (51.2503051757812 -B$8)</f>
        <v>51.2503051757812</v>
      </c>
      <c r="C216">
        <f>C$9 * (51.2503051757812 -C$8)</f>
        <v>51.2503051757812</v>
      </c>
      <c r="E216">
        <f>E$9 * (0.00983787234872579 -E$8)</f>
        <v>9.8378723487257905E-3</v>
      </c>
      <c r="F216">
        <f>F$9 * (4.81337118148803 -F$8)</f>
        <v>4.81337118148803</v>
      </c>
      <c r="G216">
        <f>G$9 * (9.74420928955078 -G$8)</f>
        <v>9.7442092895507795</v>
      </c>
      <c r="I216">
        <f t="shared" si="10"/>
        <v>35.416340455412843</v>
      </c>
      <c r="J216">
        <f t="shared" si="11"/>
        <v>17328.136253356908</v>
      </c>
      <c r="K216">
        <f t="shared" si="12"/>
        <v>35079.153442382805</v>
      </c>
    </row>
    <row r="217" spans="1:11" x14ac:dyDescent="0.3">
      <c r="A217">
        <f>A$9 * (51.5003318786621 -A$8)</f>
        <v>51.500331878662102</v>
      </c>
      <c r="B217">
        <f>B$9 * (51.5003318786621 -B$8)</f>
        <v>51.500331878662102</v>
      </c>
      <c r="C217">
        <f>C$9 * (51.5003318786621 -C$8)</f>
        <v>51.500331878662102</v>
      </c>
      <c r="E217">
        <f>E$9 * (0.00983787421137094 -E$8)</f>
        <v>9.8378742113709398E-3</v>
      </c>
      <c r="F217">
        <f>F$9 * (4.81337213516235 -F$8)</f>
        <v>4.81337213516235</v>
      </c>
      <c r="G217">
        <f>G$9 * (9.74420833587646 -G$8)</f>
        <v>9.7442083358764595</v>
      </c>
      <c r="I217">
        <f t="shared" si="10"/>
        <v>35.416347160935381</v>
      </c>
      <c r="J217">
        <f t="shared" si="11"/>
        <v>17328.139686584458</v>
      </c>
      <c r="K217">
        <f t="shared" si="12"/>
        <v>35079.150009155252</v>
      </c>
    </row>
    <row r="218" spans="1:11" x14ac:dyDescent="0.3">
      <c r="A218">
        <f>A$9 * (51.7503623962402 -A$8)</f>
        <v>51.750362396240199</v>
      </c>
      <c r="B218">
        <f>B$9 * (51.7503623962402 -B$8)</f>
        <v>51.750362396240199</v>
      </c>
      <c r="C218">
        <f>C$9 * (51.7503623962402 -C$8)</f>
        <v>51.750362396240199</v>
      </c>
      <c r="E218">
        <f>E$9 * (0.00983787514269352 -E$8)</f>
        <v>9.8378751426935196E-3</v>
      </c>
      <c r="F218">
        <f>F$9 * (4.81337213516235 -F$8)</f>
        <v>4.81337213516235</v>
      </c>
      <c r="G218">
        <f>G$9 * (9.74420738220214 -G$8)</f>
        <v>9.7442073822021396</v>
      </c>
      <c r="I218">
        <f t="shared" si="10"/>
        <v>35.416350513696671</v>
      </c>
      <c r="J218">
        <f t="shared" si="11"/>
        <v>17328.139686584458</v>
      </c>
      <c r="K218">
        <f t="shared" si="12"/>
        <v>35079.146575927705</v>
      </c>
    </row>
    <row r="219" spans="1:11" x14ac:dyDescent="0.3">
      <c r="A219">
        <f>A$9 * (52 -A$8)</f>
        <v>52</v>
      </c>
      <c r="B219">
        <f>B$9 * (52 -B$8)</f>
        <v>52</v>
      </c>
      <c r="C219">
        <f>C$9 * (52 -C$8)</f>
        <v>52</v>
      </c>
      <c r="E219">
        <f>E$9 * (0.00983787421137094 -E$8)</f>
        <v>9.8378742113709398E-3</v>
      </c>
      <c r="F219">
        <f>F$9 * (4.81337118148803 -F$8)</f>
        <v>4.81337118148803</v>
      </c>
      <c r="G219">
        <f>G$9 * (9.74420738220214 -G$8)</f>
        <v>9.7442073822021396</v>
      </c>
      <c r="I219">
        <f t="shared" si="10"/>
        <v>35.416347160935381</v>
      </c>
      <c r="J219">
        <f t="shared" si="11"/>
        <v>17328.136253356908</v>
      </c>
      <c r="K219">
        <f t="shared" si="12"/>
        <v>35079.146575927705</v>
      </c>
    </row>
    <row r="220" spans="1:11" x14ac:dyDescent="0.3">
      <c r="A220">
        <f>A$9 * (52.2500267028808 -A$8)</f>
        <v>52.250026702880803</v>
      </c>
      <c r="B220">
        <f>B$9 * (52.2500267028808 -B$8)</f>
        <v>52.250026702880803</v>
      </c>
      <c r="C220">
        <f>C$9 * (52.2500267028808 -C$8)</f>
        <v>52.250026702880803</v>
      </c>
      <c r="E220">
        <f>E$9 * (0.00983787234872579 -E$8)</f>
        <v>9.8378723487257905E-3</v>
      </c>
      <c r="F220">
        <f>F$9 * (4.81337022781372 -F$8)</f>
        <v>4.8133702278137198</v>
      </c>
      <c r="G220">
        <f>G$9 * (9.74420642852783 -G$8)</f>
        <v>9.7442064285278303</v>
      </c>
      <c r="I220">
        <f t="shared" si="10"/>
        <v>35.416340455412843</v>
      </c>
      <c r="J220">
        <f t="shared" si="11"/>
        <v>17328.132820129391</v>
      </c>
      <c r="K220">
        <f t="shared" si="12"/>
        <v>35079.143142700188</v>
      </c>
    </row>
    <row r="221" spans="1:11" x14ac:dyDescent="0.3">
      <c r="A221">
        <f>A$9 * (52.5000572204589 -A$8)</f>
        <v>52.500057220458899</v>
      </c>
      <c r="B221">
        <f>B$9 * (52.5000572204589 -B$8)</f>
        <v>52.500057220458899</v>
      </c>
      <c r="C221">
        <f>C$9 * (52.5000572204589 -C$8)</f>
        <v>52.500057220458899</v>
      </c>
      <c r="E221">
        <f>E$9 * (0.00983787514269352 -E$8)</f>
        <v>9.8378751426935196E-3</v>
      </c>
      <c r="F221">
        <f>F$9 * (4.81337118148803 -F$8)</f>
        <v>4.81337118148803</v>
      </c>
      <c r="G221">
        <f>G$9 * (9.74420642852783 -G$8)</f>
        <v>9.7442064285278303</v>
      </c>
      <c r="I221">
        <f t="shared" si="10"/>
        <v>35.416350513696671</v>
      </c>
      <c r="J221">
        <f t="shared" si="11"/>
        <v>17328.136253356908</v>
      </c>
      <c r="K221">
        <f t="shared" si="12"/>
        <v>35079.143142700188</v>
      </c>
    </row>
    <row r="222" spans="1:11" x14ac:dyDescent="0.3">
      <c r="A222">
        <f>A$9 * (52.7500839233398 -A$8)</f>
        <v>52.750083923339801</v>
      </c>
      <c r="B222">
        <f>B$9 * (52.7500839233398 -B$8)</f>
        <v>52.750083923339801</v>
      </c>
      <c r="C222">
        <f>C$9 * (52.7500839233398 -C$8)</f>
        <v>52.750083923339801</v>
      </c>
      <c r="E222">
        <f>E$9 * (0.00983787234872579 -E$8)</f>
        <v>9.8378723487257905E-3</v>
      </c>
      <c r="F222">
        <f>F$9 * (4.81336879730224 -F$8)</f>
        <v>4.8133687973022399</v>
      </c>
      <c r="G222">
        <f>G$9 * (9.74420547485351 -G$8)</f>
        <v>9.7442054748535103</v>
      </c>
      <c r="I222">
        <f t="shared" si="10"/>
        <v>35.416340455412843</v>
      </c>
      <c r="J222">
        <f t="shared" si="11"/>
        <v>17328.127670288064</v>
      </c>
      <c r="K222">
        <f t="shared" si="12"/>
        <v>35079.139709472634</v>
      </c>
    </row>
    <row r="223" spans="1:11" x14ac:dyDescent="0.3">
      <c r="A223">
        <f>A$9 * (53.0001106262207 -A$8)</f>
        <v>53.000110626220703</v>
      </c>
      <c r="B223">
        <f>B$9 * (53.0001106262207 -B$8)</f>
        <v>53.000110626220703</v>
      </c>
      <c r="C223">
        <f>C$9 * (53.0001106262207 -C$8)</f>
        <v>53.000110626220703</v>
      </c>
      <c r="E223">
        <f>E$9 * (0.00983787514269352 -E$8)</f>
        <v>9.8378751426935196E-3</v>
      </c>
      <c r="F223">
        <f>F$9 * (4.81337022781372 -F$8)</f>
        <v>4.8133702278137198</v>
      </c>
      <c r="G223">
        <f>G$9 * (9.74420356750488 -G$8)</f>
        <v>9.7442035675048793</v>
      </c>
      <c r="I223">
        <f t="shared" si="10"/>
        <v>35.416350513696671</v>
      </c>
      <c r="J223">
        <f t="shared" si="11"/>
        <v>17328.132820129391</v>
      </c>
      <c r="K223">
        <f t="shared" si="12"/>
        <v>35079.132843017564</v>
      </c>
    </row>
    <row r="224" spans="1:11" x14ac:dyDescent="0.3">
      <c r="A224">
        <f>A$9 * (53.2501373291015 -A$8)</f>
        <v>53.250137329101499</v>
      </c>
      <c r="B224">
        <f>B$9 * (53.2501373291015 -B$8)</f>
        <v>53.250137329101499</v>
      </c>
      <c r="C224">
        <f>C$9 * (53.2501373291015 -C$8)</f>
        <v>53.250137329101499</v>
      </c>
      <c r="E224">
        <f>E$9 * (0.00983787514269352 -E$8)</f>
        <v>9.8378751426935196E-3</v>
      </c>
      <c r="F224">
        <f>F$9 * (4.81337022781372 -F$8)</f>
        <v>4.8133702278137198</v>
      </c>
      <c r="G224">
        <f>G$9 * (9.74420356750488 -G$8)</f>
        <v>9.7442035675048793</v>
      </c>
      <c r="I224">
        <f t="shared" si="10"/>
        <v>35.416350513696671</v>
      </c>
      <c r="J224">
        <f t="shared" si="11"/>
        <v>17328.132820129391</v>
      </c>
      <c r="K224">
        <f t="shared" si="12"/>
        <v>35079.132843017564</v>
      </c>
    </row>
    <row r="225" spans="1:11" x14ac:dyDescent="0.3">
      <c r="A225">
        <f>A$9 * (53.5001678466796 -A$8)</f>
        <v>53.500167846679602</v>
      </c>
      <c r="B225">
        <f>B$9 * (53.5001678466796 -B$8)</f>
        <v>53.500167846679602</v>
      </c>
      <c r="C225">
        <f>C$9 * (53.5001678466796 -C$8)</f>
        <v>53.500167846679602</v>
      </c>
      <c r="E225">
        <f>E$9 * (0.00983787514269352 -E$8)</f>
        <v>9.8378751426935196E-3</v>
      </c>
      <c r="F225">
        <f>F$9 * (4.81337022781372 -F$8)</f>
        <v>4.8133702278137198</v>
      </c>
      <c r="G225">
        <f>G$9 * (9.74420261383056 -G$8)</f>
        <v>9.7442026138305593</v>
      </c>
      <c r="I225">
        <f t="shared" si="10"/>
        <v>35.416350513696671</v>
      </c>
      <c r="J225">
        <f t="shared" si="11"/>
        <v>17328.132820129391</v>
      </c>
      <c r="K225">
        <f t="shared" si="12"/>
        <v>35079.12940979001</v>
      </c>
    </row>
    <row r="226" spans="1:11" x14ac:dyDescent="0.3">
      <c r="A226">
        <f>A$9 * (53.7501945495605 -A$8)</f>
        <v>53.750194549560497</v>
      </c>
      <c r="B226">
        <f>B$9 * (53.7501945495605 -B$8)</f>
        <v>53.750194549560497</v>
      </c>
      <c r="C226">
        <f>C$9 * (53.7501945495605 -C$8)</f>
        <v>53.750194549560497</v>
      </c>
      <c r="E226">
        <f>E$9 * (0.00983787421137094 -E$8)</f>
        <v>9.8378742113709398E-3</v>
      </c>
      <c r="F226">
        <f>F$9 * (4.81336879730224 -F$8)</f>
        <v>4.8133687973022399</v>
      </c>
      <c r="G226">
        <f>G$9 * (9.74420261383056 -G$8)</f>
        <v>9.7442026138305593</v>
      </c>
      <c r="I226">
        <f t="shared" si="10"/>
        <v>35.416347160935381</v>
      </c>
      <c r="J226">
        <f t="shared" si="11"/>
        <v>17328.127670288064</v>
      </c>
      <c r="K226">
        <f t="shared" si="12"/>
        <v>35079.12940979001</v>
      </c>
    </row>
    <row r="227" spans="1:11" x14ac:dyDescent="0.3">
      <c r="A227">
        <f>A$9 * (54.0002212524414 -A$8)</f>
        <v>54.000221252441399</v>
      </c>
      <c r="B227">
        <f>B$9 * (54.0002212524414 -B$8)</f>
        <v>54.000221252441399</v>
      </c>
      <c r="C227">
        <f>C$9 * (54.0002212524414 -C$8)</f>
        <v>54.000221252441399</v>
      </c>
      <c r="E227">
        <f>E$9 * (0.00983787421137094 -E$8)</f>
        <v>9.8378742113709398E-3</v>
      </c>
      <c r="F227">
        <f>F$9 * (4.81336784362793 -F$8)</f>
        <v>4.8133678436279297</v>
      </c>
      <c r="G227">
        <f>G$9 * (9.74420166015625 -G$8)</f>
        <v>9.74420166015625</v>
      </c>
      <c r="I227">
        <f t="shared" si="10"/>
        <v>35.416347160935381</v>
      </c>
      <c r="J227">
        <f t="shared" si="11"/>
        <v>17328.124237060547</v>
      </c>
      <c r="K227">
        <f t="shared" si="12"/>
        <v>35079.1259765625</v>
      </c>
    </row>
    <row r="228" spans="1:11" x14ac:dyDescent="0.3">
      <c r="A228">
        <f>A$9 * (54.2502517700195 -A$8)</f>
        <v>54.250251770019503</v>
      </c>
      <c r="B228">
        <f>B$9 * (54.2502517700195 -B$8)</f>
        <v>54.250251770019503</v>
      </c>
      <c r="C228">
        <f>C$9 * (54.2502517700195 -C$8)</f>
        <v>54.250251770019503</v>
      </c>
      <c r="E228">
        <f>E$9 * (0.00983787328004837 -E$8)</f>
        <v>9.8378732800483704E-3</v>
      </c>
      <c r="F228">
        <f>F$9 * (4.81336784362793 -F$8)</f>
        <v>4.8133678436279297</v>
      </c>
      <c r="G228">
        <f>G$9 * (9.74420166015625 -G$8)</f>
        <v>9.74420166015625</v>
      </c>
      <c r="I228">
        <f t="shared" si="10"/>
        <v>35.416343808174133</v>
      </c>
      <c r="J228">
        <f t="shared" si="11"/>
        <v>17328.124237060547</v>
      </c>
      <c r="K228">
        <f t="shared" si="12"/>
        <v>35079.1259765625</v>
      </c>
    </row>
    <row r="229" spans="1:11" x14ac:dyDescent="0.3">
      <c r="A229">
        <f>A$9 * (54.5002784729003 -A$8)</f>
        <v>54.500278472900298</v>
      </c>
      <c r="B229">
        <f>B$9 * (54.5002784729003 -B$8)</f>
        <v>54.500278472900298</v>
      </c>
      <c r="C229">
        <f>C$9 * (54.5002784729003 -C$8)</f>
        <v>54.500278472900298</v>
      </c>
      <c r="E229">
        <f>E$9 * (0.00983787328004837 -E$8)</f>
        <v>9.8378732800483704E-3</v>
      </c>
      <c r="F229">
        <f>F$9 * (4.81336688995361 -F$8)</f>
        <v>4.8133668899536097</v>
      </c>
      <c r="G229">
        <f>G$9 * (9.74420070648193 -G$8)</f>
        <v>9.74420070648193</v>
      </c>
      <c r="I229">
        <f t="shared" si="10"/>
        <v>35.416343808174133</v>
      </c>
      <c r="J229">
        <f t="shared" si="11"/>
        <v>17328.120803832993</v>
      </c>
      <c r="K229">
        <f t="shared" si="12"/>
        <v>35079.122543334946</v>
      </c>
    </row>
    <row r="230" spans="1:11" x14ac:dyDescent="0.3">
      <c r="A230">
        <f>A$9 * (54.7503051757812 -A$8)</f>
        <v>54.7503051757812</v>
      </c>
      <c r="B230">
        <f>B$9 * (54.7503051757812 -B$8)</f>
        <v>54.7503051757812</v>
      </c>
      <c r="C230">
        <f>C$9 * (54.7503051757812 -C$8)</f>
        <v>54.7503051757812</v>
      </c>
      <c r="E230">
        <f>E$9 * (0.00983787421137094 -E$8)</f>
        <v>9.8378742113709398E-3</v>
      </c>
      <c r="F230">
        <f>F$9 * (4.81336688995361 -F$8)</f>
        <v>4.8133668899536097</v>
      </c>
      <c r="G230">
        <f>G$9 * (9.74420070648193 -G$8)</f>
        <v>9.74420070648193</v>
      </c>
      <c r="I230">
        <f t="shared" si="10"/>
        <v>35.416347160935381</v>
      </c>
      <c r="J230">
        <f t="shared" si="11"/>
        <v>17328.120803832993</v>
      </c>
      <c r="K230">
        <f t="shared" si="12"/>
        <v>35079.122543334946</v>
      </c>
    </row>
    <row r="231" spans="1:11" x14ac:dyDescent="0.3">
      <c r="A231">
        <f>A$9 * (55.0003318786621 -A$8)</f>
        <v>55.000331878662102</v>
      </c>
      <c r="B231">
        <f>B$9 * (55.0003318786621 -B$8)</f>
        <v>55.000331878662102</v>
      </c>
      <c r="C231">
        <f>C$9 * (55.0003318786621 -C$8)</f>
        <v>55.000331878662102</v>
      </c>
      <c r="E231">
        <f>E$9 * (0.00983787514269352 -E$8)</f>
        <v>9.8378751426935196E-3</v>
      </c>
      <c r="F231">
        <f>F$9 * (4.81336688995361 -F$8)</f>
        <v>4.8133668899536097</v>
      </c>
      <c r="G231">
        <f>G$9 * (9.74419975280761 -G$8)</f>
        <v>9.7441997528076101</v>
      </c>
      <c r="I231">
        <f t="shared" si="10"/>
        <v>35.416350513696671</v>
      </c>
      <c r="J231">
        <f t="shared" si="11"/>
        <v>17328.120803832993</v>
      </c>
      <c r="K231">
        <f t="shared" si="12"/>
        <v>35079.119110107393</v>
      </c>
    </row>
    <row r="232" spans="1:11" x14ac:dyDescent="0.3">
      <c r="A232">
        <f>A$9 * (55.2503623962402 -A$8)</f>
        <v>55.250362396240199</v>
      </c>
      <c r="B232">
        <f>B$9 * (55.2503623962402 -B$8)</f>
        <v>55.250362396240199</v>
      </c>
      <c r="C232">
        <f>C$9 * (55.2503623962402 -C$8)</f>
        <v>55.250362396240199</v>
      </c>
      <c r="E232">
        <f>E$9 * (0.00983787514269352 -E$8)</f>
        <v>9.8378751426935196E-3</v>
      </c>
      <c r="F232">
        <f>F$9 * (4.81336688995361 -F$8)</f>
        <v>4.8133668899536097</v>
      </c>
      <c r="G232">
        <f>G$9 * (9.74419975280761 -G$8)</f>
        <v>9.7441997528076101</v>
      </c>
      <c r="I232">
        <f t="shared" si="10"/>
        <v>35.416350513696671</v>
      </c>
      <c r="J232">
        <f t="shared" si="11"/>
        <v>17328.120803832993</v>
      </c>
      <c r="K232">
        <f t="shared" si="12"/>
        <v>35079.119110107393</v>
      </c>
    </row>
    <row r="233" spans="1:11" x14ac:dyDescent="0.3">
      <c r="A233">
        <f>A$9 * (55.5 -A$8)</f>
        <v>55.5</v>
      </c>
      <c r="B233">
        <f>B$9 * (55.5 -B$8)</f>
        <v>55.5</v>
      </c>
      <c r="C233">
        <f>C$9 * (55.5 -C$8)</f>
        <v>55.5</v>
      </c>
      <c r="E233">
        <f>E$9 * (0.00983787793666124 -E$8)</f>
        <v>9.83787793666124E-3</v>
      </c>
      <c r="F233">
        <f>F$9 * (4.81336784362793 -F$8)</f>
        <v>4.8133678436279297</v>
      </c>
      <c r="G233">
        <f>G$9 * (9.7441987991333 -G$8)</f>
        <v>9.7441987991333008</v>
      </c>
      <c r="I233">
        <f t="shared" si="10"/>
        <v>35.416360571980462</v>
      </c>
      <c r="J233">
        <f t="shared" si="11"/>
        <v>17328.124237060547</v>
      </c>
      <c r="K233">
        <f t="shared" si="12"/>
        <v>35079.115676879883</v>
      </c>
    </row>
    <row r="234" spans="1:11" x14ac:dyDescent="0.3">
      <c r="A234">
        <f>A$9 * (55.7500267028808 -A$8)</f>
        <v>55.750026702880803</v>
      </c>
      <c r="B234">
        <f>B$9 * (55.7500267028808 -B$8)</f>
        <v>55.750026702880803</v>
      </c>
      <c r="C234">
        <f>C$9 * (55.7500267028808 -C$8)</f>
        <v>55.750026702880803</v>
      </c>
      <c r="E234">
        <f>E$9 * (0.00983787700533866 -E$8)</f>
        <v>9.8378770053386601E-3</v>
      </c>
      <c r="F234">
        <f>F$9 * (4.81336784362793 -F$8)</f>
        <v>4.8133678436279297</v>
      </c>
      <c r="G234">
        <f>G$9 * (9.7441987991333 -G$8)</f>
        <v>9.7441987991333008</v>
      </c>
      <c r="I234">
        <f t="shared" si="10"/>
        <v>35.416357219219179</v>
      </c>
      <c r="J234">
        <f t="shared" si="11"/>
        <v>17328.124237060547</v>
      </c>
      <c r="K234">
        <f t="shared" si="12"/>
        <v>35079.115676879883</v>
      </c>
    </row>
    <row r="235" spans="1:11" x14ac:dyDescent="0.3">
      <c r="A235">
        <f>A$9 * (56.0000572204589 -A$8)</f>
        <v>56.000057220458899</v>
      </c>
      <c r="B235">
        <f>B$9 * (56.0000572204589 -B$8)</f>
        <v>56.000057220458899</v>
      </c>
      <c r="C235">
        <f>C$9 * (56.0000572204589 -C$8)</f>
        <v>56.000057220458899</v>
      </c>
      <c r="E235">
        <f>E$9 * (0.00983787793666124 -E$8)</f>
        <v>9.83787793666124E-3</v>
      </c>
      <c r="F235">
        <f>F$9 * (4.81336784362793 -F$8)</f>
        <v>4.8133678436279297</v>
      </c>
      <c r="G235">
        <f>G$9 * (9.74419784545898 -G$8)</f>
        <v>9.7441978454589808</v>
      </c>
      <c r="I235">
        <f t="shared" si="10"/>
        <v>35.416360571980462</v>
      </c>
      <c r="J235">
        <f t="shared" si="11"/>
        <v>17328.124237060547</v>
      </c>
      <c r="K235">
        <f t="shared" si="12"/>
        <v>35079.112243652329</v>
      </c>
    </row>
    <row r="236" spans="1:11" x14ac:dyDescent="0.3">
      <c r="A236">
        <f>A$9 * (56.2500839233398 -A$8)</f>
        <v>56.250083923339801</v>
      </c>
      <c r="B236">
        <f>B$9 * (56.2500839233398 -B$8)</f>
        <v>56.250083923339801</v>
      </c>
      <c r="C236">
        <f>C$9 * (56.2500839233398 -C$8)</f>
        <v>56.250083923339801</v>
      </c>
      <c r="E236">
        <f>E$9 * (0.00983787700533866 -E$8)</f>
        <v>9.8378770053386601E-3</v>
      </c>
      <c r="F236">
        <f>F$9 * (4.81336688995361 -F$8)</f>
        <v>4.8133668899536097</v>
      </c>
      <c r="G236">
        <f>G$9 * (9.74419689178466 -G$8)</f>
        <v>9.7441968917846609</v>
      </c>
      <c r="I236">
        <f t="shared" si="10"/>
        <v>35.416357219219179</v>
      </c>
      <c r="J236">
        <f t="shared" si="11"/>
        <v>17328.120803832993</v>
      </c>
      <c r="K236">
        <f t="shared" si="12"/>
        <v>35079.108810424776</v>
      </c>
    </row>
    <row r="237" spans="1:11" x14ac:dyDescent="0.3">
      <c r="A237">
        <f>A$9 * (56.5001106262207 -A$8)</f>
        <v>56.500110626220703</v>
      </c>
      <c r="B237">
        <f>B$9 * (56.5001106262207 -B$8)</f>
        <v>56.500110626220703</v>
      </c>
      <c r="C237">
        <f>C$9 * (56.5001106262207 -C$8)</f>
        <v>56.500110626220703</v>
      </c>
      <c r="E237">
        <f>E$9 * (0.00983787700533866 -E$8)</f>
        <v>9.8378770053386601E-3</v>
      </c>
      <c r="F237">
        <f>F$9 * (4.81336593627929 -F$8)</f>
        <v>4.8133659362792898</v>
      </c>
      <c r="G237">
        <f>G$9 * (9.74419689178466 -G$8)</f>
        <v>9.7441968917846609</v>
      </c>
      <c r="I237">
        <f t="shared" si="10"/>
        <v>35.416357219219179</v>
      </c>
      <c r="J237">
        <f t="shared" si="11"/>
        <v>17328.117370605443</v>
      </c>
      <c r="K237">
        <f t="shared" si="12"/>
        <v>35079.108810424776</v>
      </c>
    </row>
    <row r="238" spans="1:11" x14ac:dyDescent="0.3">
      <c r="A238">
        <f>A$9 * (56.7501373291015 -A$8)</f>
        <v>56.750137329101499</v>
      </c>
      <c r="B238">
        <f>B$9 * (56.7501373291015 -B$8)</f>
        <v>56.750137329101499</v>
      </c>
      <c r="C238">
        <f>C$9 * (56.7501373291015 -C$8)</f>
        <v>56.750137329101499</v>
      </c>
      <c r="E238">
        <f>E$9 * (0.00983787514269352 -E$8)</f>
        <v>9.8378751426935196E-3</v>
      </c>
      <c r="F238">
        <f>F$9 * (4.81336593627929 -F$8)</f>
        <v>4.8133659362792898</v>
      </c>
      <c r="G238">
        <f>G$9 * (9.74419689178466 -G$8)</f>
        <v>9.7441968917846609</v>
      </c>
      <c r="I238">
        <f t="shared" si="10"/>
        <v>35.416350513696671</v>
      </c>
      <c r="J238">
        <f t="shared" si="11"/>
        <v>17328.117370605443</v>
      </c>
      <c r="K238">
        <f t="shared" si="12"/>
        <v>35079.108810424776</v>
      </c>
    </row>
    <row r="239" spans="1:11" x14ac:dyDescent="0.3">
      <c r="A239">
        <f>A$9 * (57.0001678466796 -A$8)</f>
        <v>57.000167846679602</v>
      </c>
      <c r="B239">
        <f>B$9 * (57.0001678466796 -B$8)</f>
        <v>57.000167846679602</v>
      </c>
      <c r="C239">
        <f>C$9 * (57.0001678466796 -C$8)</f>
        <v>57.000167846679602</v>
      </c>
      <c r="E239">
        <f>E$9 * (0.00983787607401609 -E$8)</f>
        <v>9.8378760740160907E-3</v>
      </c>
      <c r="F239">
        <f>F$9 * (4.81336593627929 -F$8)</f>
        <v>4.8133659362792898</v>
      </c>
      <c r="G239">
        <f>G$9 * (9.74419593811035 -G$8)</f>
        <v>9.7441959381103498</v>
      </c>
      <c r="I239">
        <f t="shared" si="10"/>
        <v>35.416353866457925</v>
      </c>
      <c r="J239">
        <f t="shared" si="11"/>
        <v>17328.117370605443</v>
      </c>
      <c r="K239">
        <f t="shared" si="12"/>
        <v>35079.105377197258</v>
      </c>
    </row>
    <row r="240" spans="1:11" x14ac:dyDescent="0.3">
      <c r="A240">
        <f>A$9 * (57.2501945495605 -A$8)</f>
        <v>57.250194549560497</v>
      </c>
      <c r="B240">
        <f>B$9 * (57.2501945495605 -B$8)</f>
        <v>57.250194549560497</v>
      </c>
      <c r="C240">
        <f>C$9 * (57.2501945495605 -C$8)</f>
        <v>57.250194549560497</v>
      </c>
      <c r="E240">
        <f>E$9 * (0.00983787793666124 -E$8)</f>
        <v>9.83787793666124E-3</v>
      </c>
      <c r="F240">
        <f>F$9 * (4.81336593627929 -F$8)</f>
        <v>4.8133659362792898</v>
      </c>
      <c r="G240">
        <f>G$9 * (9.74419498443603 -G$8)</f>
        <v>9.7441949844360298</v>
      </c>
      <c r="I240">
        <f t="shared" si="10"/>
        <v>35.416360571980462</v>
      </c>
      <c r="J240">
        <f t="shared" si="11"/>
        <v>17328.117370605443</v>
      </c>
      <c r="K240">
        <f t="shared" si="12"/>
        <v>35079.101943969705</v>
      </c>
    </row>
    <row r="241" spans="1:11" x14ac:dyDescent="0.3">
      <c r="A241">
        <f>A$9 * (57.5002212524414 -A$8)</f>
        <v>57.500221252441399</v>
      </c>
      <c r="B241">
        <f>B$9 * (57.5002212524414 -B$8)</f>
        <v>57.500221252441399</v>
      </c>
      <c r="C241">
        <f>C$9 * (57.5002212524414 -C$8)</f>
        <v>57.500221252441399</v>
      </c>
      <c r="E241">
        <f>E$9 * (0.00983787979930639 -E$8)</f>
        <v>9.8378797993063892E-3</v>
      </c>
      <c r="F241">
        <f>F$9 * (4.81336688995361 -F$8)</f>
        <v>4.8133668899536097</v>
      </c>
      <c r="G241">
        <f>G$9 * (9.74419498443603 -G$8)</f>
        <v>9.7441949844360298</v>
      </c>
      <c r="I241">
        <f t="shared" si="10"/>
        <v>35.416367277502999</v>
      </c>
      <c r="J241">
        <f t="shared" si="11"/>
        <v>17328.120803832993</v>
      </c>
      <c r="K241">
        <f t="shared" si="12"/>
        <v>35079.101943969705</v>
      </c>
    </row>
    <row r="242" spans="1:11" x14ac:dyDescent="0.3">
      <c r="A242">
        <f>A$9 * (57.7502517700195 -A$8)</f>
        <v>57.750251770019503</v>
      </c>
      <c r="B242">
        <f>B$9 * (57.7502517700195 -B$8)</f>
        <v>57.750251770019503</v>
      </c>
      <c r="C242">
        <f>C$9 * (57.7502517700195 -C$8)</f>
        <v>57.750251770019503</v>
      </c>
      <c r="E242">
        <f>E$9 * (0.00983787886798381 -E$8)</f>
        <v>9.8378788679838094E-3</v>
      </c>
      <c r="F242">
        <f>F$9 * (4.81336593627929 -F$8)</f>
        <v>4.8133659362792898</v>
      </c>
      <c r="G242">
        <f>G$9 * (9.74419498443603 -G$8)</f>
        <v>9.7441949844360298</v>
      </c>
      <c r="I242">
        <f t="shared" si="10"/>
        <v>35.416363924741717</v>
      </c>
      <c r="J242">
        <f t="shared" si="11"/>
        <v>17328.117370605443</v>
      </c>
      <c r="K242">
        <f t="shared" si="12"/>
        <v>35079.101943969705</v>
      </c>
    </row>
    <row r="243" spans="1:11" x14ac:dyDescent="0.3">
      <c r="A243">
        <f>A$9 * (58.0002784729003 -A$8)</f>
        <v>58.000278472900298</v>
      </c>
      <c r="B243">
        <f>B$9 * (58.0002784729003 -B$8)</f>
        <v>58.000278472900298</v>
      </c>
      <c r="C243">
        <f>C$9 * (58.0002784729003 -C$8)</f>
        <v>58.000278472900298</v>
      </c>
      <c r="E243">
        <f>E$9 * (0.00983787793666124 -E$8)</f>
        <v>9.83787793666124E-3</v>
      </c>
      <c r="F243">
        <f>F$9 * (4.81336593627929 -F$8)</f>
        <v>4.8133659362792898</v>
      </c>
      <c r="G243">
        <f>G$9 * (9.74419403076171 -G$8)</f>
        <v>9.7441940307617099</v>
      </c>
      <c r="I243">
        <f t="shared" si="10"/>
        <v>35.416360571980462</v>
      </c>
      <c r="J243">
        <f t="shared" si="11"/>
        <v>17328.117370605443</v>
      </c>
      <c r="K243">
        <f t="shared" si="12"/>
        <v>35079.098510742158</v>
      </c>
    </row>
    <row r="244" spans="1:11" x14ac:dyDescent="0.3">
      <c r="A244">
        <f>A$9 * (58.2503051757812 -A$8)</f>
        <v>58.2503051757812</v>
      </c>
      <c r="B244">
        <f>B$9 * (58.2503051757812 -B$8)</f>
        <v>58.2503051757812</v>
      </c>
      <c r="C244">
        <f>C$9 * (58.2503051757812 -C$8)</f>
        <v>58.2503051757812</v>
      </c>
      <c r="E244">
        <f>E$9 * (0.00983787979930639 -E$8)</f>
        <v>9.8378797993063892E-3</v>
      </c>
      <c r="F244">
        <f>F$9 * (4.81336593627929 -F$8)</f>
        <v>4.8133659362792898</v>
      </c>
      <c r="G244">
        <f>G$9 * (9.74419403076171 -G$8)</f>
        <v>9.7441940307617099</v>
      </c>
      <c r="I244">
        <f t="shared" si="10"/>
        <v>35.416367277502999</v>
      </c>
      <c r="J244">
        <f t="shared" si="11"/>
        <v>17328.117370605443</v>
      </c>
      <c r="K244">
        <f t="shared" si="12"/>
        <v>35079.098510742158</v>
      </c>
    </row>
    <row r="245" spans="1:11" x14ac:dyDescent="0.3">
      <c r="A245">
        <f>A$9 * (58.5003318786621 -A$8)</f>
        <v>58.500331878662102</v>
      </c>
      <c r="B245">
        <f>B$9 * (58.5003318786621 -B$8)</f>
        <v>58.500331878662102</v>
      </c>
      <c r="C245">
        <f>C$9 * (58.5003318786621 -C$8)</f>
        <v>58.500331878662102</v>
      </c>
      <c r="E245">
        <f>E$9 * (0.00983787793666124 -E$8)</f>
        <v>9.83787793666124E-3</v>
      </c>
      <c r="F245">
        <f>F$9 * (4.81336498260498 -F$8)</f>
        <v>4.8133649826049796</v>
      </c>
      <c r="G245">
        <f>G$9 * (9.7441930770874 -G$8)</f>
        <v>9.7441930770874006</v>
      </c>
      <c r="I245">
        <f t="shared" si="10"/>
        <v>35.416360571980462</v>
      </c>
      <c r="J245">
        <f t="shared" si="11"/>
        <v>17328.113937377926</v>
      </c>
      <c r="K245">
        <f t="shared" si="12"/>
        <v>35079.095077514641</v>
      </c>
    </row>
    <row r="246" spans="1:11" x14ac:dyDescent="0.3">
      <c r="A246">
        <f>A$9 * (58.7503623962402 -A$8)</f>
        <v>58.750362396240199</v>
      </c>
      <c r="B246">
        <f>B$9 * (58.7503623962402 -B$8)</f>
        <v>58.750362396240199</v>
      </c>
      <c r="C246">
        <f>C$9 * (58.7503623962402 -C$8)</f>
        <v>58.750362396240199</v>
      </c>
      <c r="E246">
        <f>E$9 * (0.00983787793666124 -E$8)</f>
        <v>9.83787793666124E-3</v>
      </c>
      <c r="F246">
        <f>F$9 * (4.81336498260498 -F$8)</f>
        <v>4.8133649826049796</v>
      </c>
      <c r="G246">
        <f>G$9 * (9.7441930770874 -G$8)</f>
        <v>9.7441930770874006</v>
      </c>
      <c r="I246">
        <f t="shared" si="10"/>
        <v>35.416360571980462</v>
      </c>
      <c r="J246">
        <f t="shared" si="11"/>
        <v>17328.113937377926</v>
      </c>
      <c r="K246">
        <f t="shared" si="12"/>
        <v>35079.095077514641</v>
      </c>
    </row>
    <row r="247" spans="1:11" x14ac:dyDescent="0.3">
      <c r="A247">
        <f>A$9 * (59 -A$8)</f>
        <v>59</v>
      </c>
      <c r="B247">
        <f>B$9 * (59 -B$8)</f>
        <v>59</v>
      </c>
      <c r="C247">
        <f>C$9 * (59 -C$8)</f>
        <v>59</v>
      </c>
      <c r="E247">
        <f>E$9 * (0.00983787979930639 -E$8)</f>
        <v>9.8378797993063892E-3</v>
      </c>
      <c r="F247">
        <f>F$9 * (4.81336593627929 -F$8)</f>
        <v>4.8133659362792898</v>
      </c>
      <c r="G247">
        <f>G$9 * (9.74419212341308 -G$8)</f>
        <v>9.7441921234130806</v>
      </c>
      <c r="I247">
        <f t="shared" si="10"/>
        <v>35.416367277502999</v>
      </c>
      <c r="J247">
        <f t="shared" si="11"/>
        <v>17328.117370605443</v>
      </c>
      <c r="K247">
        <f t="shared" si="12"/>
        <v>35079.091644287088</v>
      </c>
    </row>
    <row r="248" spans="1:11" x14ac:dyDescent="0.3">
      <c r="A248">
        <f>A$9 * (59.2500267028808 -A$8)</f>
        <v>59.250026702880803</v>
      </c>
      <c r="B248">
        <f>B$9 * (59.2500267028808 -B$8)</f>
        <v>59.250026702880803</v>
      </c>
      <c r="C248">
        <f>C$9 * (59.2500267028808 -C$8)</f>
        <v>59.250026702880803</v>
      </c>
      <c r="E248">
        <f>E$9 * (0.00983787700533866 -E$8)</f>
        <v>9.8378770053386601E-3</v>
      </c>
      <c r="F248">
        <f>F$9 * (4.81336402893066 -F$8)</f>
        <v>4.8133640289306596</v>
      </c>
      <c r="G248">
        <f>G$9 * (9.74419212341308 -G$8)</f>
        <v>9.7441921234130806</v>
      </c>
      <c r="I248">
        <f t="shared" si="10"/>
        <v>35.416357219219179</v>
      </c>
      <c r="J248">
        <f t="shared" si="11"/>
        <v>17328.110504150376</v>
      </c>
      <c r="K248">
        <f t="shared" si="12"/>
        <v>35079.091644287088</v>
      </c>
    </row>
    <row r="249" spans="1:11" x14ac:dyDescent="0.3">
      <c r="A249">
        <f>A$9 * (59.5000572204589 -A$8)</f>
        <v>59.500057220458899</v>
      </c>
      <c r="B249">
        <f>B$9 * (59.5000572204589 -B$8)</f>
        <v>59.500057220458899</v>
      </c>
      <c r="C249">
        <f>C$9 * (59.5000572204589 -C$8)</f>
        <v>59.500057220458899</v>
      </c>
      <c r="E249">
        <f>E$9 * (0.00983787979930639 -E$8)</f>
        <v>9.8378797993063892E-3</v>
      </c>
      <c r="F249">
        <f>F$9 * (4.81336498260498 -F$8)</f>
        <v>4.8133649826049796</v>
      </c>
      <c r="G249">
        <f>G$9 * (9.74419116973877 -G$8)</f>
        <v>9.7441911697387695</v>
      </c>
      <c r="I249">
        <f t="shared" si="10"/>
        <v>35.416367277502999</v>
      </c>
      <c r="J249">
        <f t="shared" si="11"/>
        <v>17328.113937377926</v>
      </c>
      <c r="K249">
        <f t="shared" si="12"/>
        <v>35079.08821105957</v>
      </c>
    </row>
    <row r="250" spans="1:11" x14ac:dyDescent="0.3">
      <c r="A250">
        <f>A$9 * (59.7500839233398 -A$8)</f>
        <v>59.750083923339801</v>
      </c>
      <c r="B250">
        <f>B$9 * (59.7500839233398 -B$8)</f>
        <v>59.750083923339801</v>
      </c>
      <c r="C250">
        <f>C$9 * (59.7500839233398 -C$8)</f>
        <v>59.750083923339801</v>
      </c>
      <c r="E250">
        <f>E$9 * (0.00983787886798381 -E$8)</f>
        <v>9.8378788679838094E-3</v>
      </c>
      <c r="F250">
        <f>F$9 * (4.81336402893066 -F$8)</f>
        <v>4.8133640289306596</v>
      </c>
      <c r="G250">
        <f>G$9 * (9.74419116973877 -G$8)</f>
        <v>9.7441911697387695</v>
      </c>
      <c r="I250">
        <f t="shared" si="10"/>
        <v>35.416363924741717</v>
      </c>
      <c r="J250">
        <f t="shared" si="11"/>
        <v>17328.110504150376</v>
      </c>
      <c r="K250">
        <f t="shared" si="12"/>
        <v>35079.08821105957</v>
      </c>
    </row>
    <row r="251" spans="1:11" x14ac:dyDescent="0.3">
      <c r="A251">
        <f>A$9 * (60.0001106262207 -A$8)</f>
        <v>60.000110626220703</v>
      </c>
      <c r="B251">
        <f>B$9 * (60.0001106262207 -B$8)</f>
        <v>60.000110626220703</v>
      </c>
      <c r="C251">
        <f>C$9 * (60.0001106262207 -C$8)</f>
        <v>60.000110626220703</v>
      </c>
      <c r="E251">
        <f>E$9 * (0.00983787979930639 -E$8)</f>
        <v>9.8378797993063892E-3</v>
      </c>
      <c r="F251">
        <f>F$9 * (4.81336498260498 -F$8)</f>
        <v>4.8133649826049796</v>
      </c>
      <c r="G251">
        <f>G$9 * (9.74419116973877 -G$8)</f>
        <v>9.7441911697387695</v>
      </c>
      <c r="I251">
        <f t="shared" si="10"/>
        <v>35.416367277502999</v>
      </c>
      <c r="J251">
        <f t="shared" si="11"/>
        <v>17328.113937377926</v>
      </c>
      <c r="K251">
        <f t="shared" si="12"/>
        <v>35079.08821105957</v>
      </c>
    </row>
    <row r="252" spans="1:11" x14ac:dyDescent="0.3">
      <c r="A252">
        <f>A$9 * (60.2501373291015 -A$8)</f>
        <v>60.250137329101499</v>
      </c>
      <c r="B252">
        <f>B$9 * (60.2501373291015 -B$8)</f>
        <v>60.250137329101499</v>
      </c>
      <c r="C252">
        <f>C$9 * (60.2501373291015 -C$8)</f>
        <v>60.250137329101499</v>
      </c>
      <c r="E252">
        <f>E$9 * (0.00983787979930639 -E$8)</f>
        <v>9.8378797993063892E-3</v>
      </c>
      <c r="F252">
        <f>F$9 * (4.81336498260498 -F$8)</f>
        <v>4.8133649826049796</v>
      </c>
      <c r="G252">
        <f>G$9 * (9.74419021606445 -G$8)</f>
        <v>9.7441902160644496</v>
      </c>
      <c r="I252">
        <f t="shared" si="10"/>
        <v>35.416367277502999</v>
      </c>
      <c r="J252">
        <f t="shared" si="11"/>
        <v>17328.113937377926</v>
      </c>
      <c r="K252">
        <f t="shared" si="12"/>
        <v>35079.084777832017</v>
      </c>
    </row>
    <row r="253" spans="1:11" x14ac:dyDescent="0.3">
      <c r="A253">
        <f>A$9 * (60.5001678466796 -A$8)</f>
        <v>60.500167846679602</v>
      </c>
      <c r="B253">
        <f>B$9 * (60.5001678466796 -B$8)</f>
        <v>60.500167846679602</v>
      </c>
      <c r="C253">
        <f>C$9 * (60.5001678466796 -C$8)</f>
        <v>60.500167846679602</v>
      </c>
      <c r="E253">
        <f>E$9 * (0.00983787793666124 -E$8)</f>
        <v>9.83787793666124E-3</v>
      </c>
      <c r="F253">
        <f>F$9 * (4.81336307525634 -F$8)</f>
        <v>4.8133630752563397</v>
      </c>
      <c r="G253">
        <f>G$9 * (9.74419021606445 -G$8)</f>
        <v>9.7441902160644496</v>
      </c>
      <c r="I253">
        <f t="shared" si="10"/>
        <v>35.416360571980462</v>
      </c>
      <c r="J253">
        <f t="shared" si="11"/>
        <v>17328.107070922822</v>
      </c>
      <c r="K253">
        <f t="shared" si="12"/>
        <v>35079.084777832017</v>
      </c>
    </row>
    <row r="254" spans="1:11" x14ac:dyDescent="0.3">
      <c r="A254">
        <f>A$9 * (60.7501945495605 -A$8)</f>
        <v>60.750194549560497</v>
      </c>
      <c r="B254">
        <f>B$9 * (60.7501945495605 -B$8)</f>
        <v>60.750194549560497</v>
      </c>
      <c r="C254">
        <f>C$9 * (60.7501945495605 -C$8)</f>
        <v>60.750194549560497</v>
      </c>
      <c r="E254">
        <f>E$9 * (0.00983787979930639 -E$8)</f>
        <v>9.8378797993063892E-3</v>
      </c>
      <c r="F254">
        <f>F$9 * (4.81336402893066 -F$8)</f>
        <v>4.8133640289306596</v>
      </c>
      <c r="G254">
        <f>G$9 * (9.74418926239013 -G$8)</f>
        <v>9.7441892623901296</v>
      </c>
      <c r="I254">
        <f t="shared" si="10"/>
        <v>35.416367277502999</v>
      </c>
      <c r="J254">
        <f t="shared" si="11"/>
        <v>17328.110504150376</v>
      </c>
      <c r="K254">
        <f t="shared" si="12"/>
        <v>35079.081344604463</v>
      </c>
    </row>
    <row r="255" spans="1:11" x14ac:dyDescent="0.3">
      <c r="A255">
        <f>A$9 * (61.0002212524414 -A$8)</f>
        <v>61.000221252441399</v>
      </c>
      <c r="B255">
        <f>B$9 * (61.0002212524414 -B$8)</f>
        <v>61.000221252441399</v>
      </c>
      <c r="C255">
        <f>C$9 * (61.0002212524414 -C$8)</f>
        <v>61.000221252441399</v>
      </c>
      <c r="E255">
        <f>E$9 * (0.00983788073062896 -E$8)</f>
        <v>9.8378807306289603E-3</v>
      </c>
      <c r="F255">
        <f>F$9 * (4.81336402893066 -F$8)</f>
        <v>4.8133640289306596</v>
      </c>
      <c r="G255">
        <f>G$9 * (9.74418926239013 -G$8)</f>
        <v>9.7441892623901296</v>
      </c>
      <c r="I255">
        <f t="shared" si="10"/>
        <v>35.416370630264254</v>
      </c>
      <c r="J255">
        <f t="shared" si="11"/>
        <v>17328.110504150376</v>
      </c>
      <c r="K255">
        <f t="shared" si="12"/>
        <v>35079.081344604463</v>
      </c>
    </row>
    <row r="256" spans="1:11" x14ac:dyDescent="0.3">
      <c r="A256">
        <f>A$9 * (61.2502517700195 -A$8)</f>
        <v>61.250251770019503</v>
      </c>
      <c r="B256">
        <f>B$9 * (61.2502517700195 -B$8)</f>
        <v>61.250251770019503</v>
      </c>
      <c r="C256">
        <f>C$9 * (61.2502517700195 -C$8)</f>
        <v>61.250251770019503</v>
      </c>
      <c r="E256">
        <f>E$9 * (0.00983788073062896 -E$8)</f>
        <v>9.8378807306289603E-3</v>
      </c>
      <c r="F256">
        <f>F$9 * (4.81336402893066 -F$8)</f>
        <v>4.8133640289306596</v>
      </c>
      <c r="G256">
        <f>G$9 * (9.74418830871582 -G$8)</f>
        <v>9.7441883087158203</v>
      </c>
      <c r="I256">
        <f t="shared" si="10"/>
        <v>35.416370630264254</v>
      </c>
      <c r="J256">
        <f t="shared" si="11"/>
        <v>17328.110504150376</v>
      </c>
      <c r="K256">
        <f t="shared" si="12"/>
        <v>35079.077911376953</v>
      </c>
    </row>
    <row r="257" spans="1:11" x14ac:dyDescent="0.3">
      <c r="A257">
        <f>A$9 * (61.5002784729003 -A$8)</f>
        <v>61.500278472900298</v>
      </c>
      <c r="B257">
        <f>B$9 * (61.5002784729003 -B$8)</f>
        <v>61.500278472900298</v>
      </c>
      <c r="C257">
        <f>C$9 * (61.5002784729003 -C$8)</f>
        <v>61.500278472900298</v>
      </c>
      <c r="E257">
        <f>E$9 * (0.00983788073062896 -E$8)</f>
        <v>9.8378807306289603E-3</v>
      </c>
      <c r="F257">
        <f>F$9 * (4.81336402893066 -F$8)</f>
        <v>4.8133640289306596</v>
      </c>
      <c r="G257">
        <f>G$9 * (9.74418830871582 -G$8)</f>
        <v>9.7441883087158203</v>
      </c>
      <c r="I257">
        <f t="shared" si="10"/>
        <v>35.416370630264254</v>
      </c>
      <c r="J257">
        <f t="shared" si="11"/>
        <v>17328.110504150376</v>
      </c>
      <c r="K257">
        <f t="shared" si="12"/>
        <v>35079.077911376953</v>
      </c>
    </row>
    <row r="258" spans="1:11" x14ac:dyDescent="0.3">
      <c r="A258">
        <f>A$9 * (61.7503051757812 -A$8)</f>
        <v>61.7503051757812</v>
      </c>
      <c r="B258">
        <f>B$9 * (61.7503051757812 -B$8)</f>
        <v>61.7503051757812</v>
      </c>
      <c r="C258">
        <f>C$9 * (61.7503051757812 -C$8)</f>
        <v>61.7503051757812</v>
      </c>
      <c r="E258">
        <f>E$9 * (0.00983788166195154 -E$8)</f>
        <v>9.8378816619515402E-3</v>
      </c>
      <c r="F258">
        <f>F$9 * (4.81336402893066 -F$8)</f>
        <v>4.8133640289306596</v>
      </c>
      <c r="G258">
        <f>G$9 * (9.74418830871582 -G$8)</f>
        <v>9.7441883087158203</v>
      </c>
      <c r="I258">
        <f t="shared" si="10"/>
        <v>35.416373983025544</v>
      </c>
      <c r="J258">
        <f t="shared" si="11"/>
        <v>17328.110504150376</v>
      </c>
      <c r="K258">
        <f t="shared" si="12"/>
        <v>35079.077911376953</v>
      </c>
    </row>
    <row r="259" spans="1:11" x14ac:dyDescent="0.3">
      <c r="A259">
        <f>A$9 * (62.0003318786621 -A$8)</f>
        <v>62.000331878662102</v>
      </c>
      <c r="B259">
        <f>B$9 * (62.0003318786621 -B$8)</f>
        <v>62.000331878662102</v>
      </c>
      <c r="C259">
        <f>C$9 * (62.0003318786621 -C$8)</f>
        <v>62.000331878662102</v>
      </c>
      <c r="E259">
        <f>E$9 * (0.00983787886798381 -E$8)</f>
        <v>9.8378788679838094E-3</v>
      </c>
      <c r="F259">
        <f>F$9 * (4.81336212158203 -F$8)</f>
        <v>4.8133621215820304</v>
      </c>
      <c r="G259">
        <f>G$9 * (9.74418830871582 -G$8)</f>
        <v>9.7441883087158203</v>
      </c>
      <c r="I259">
        <f t="shared" si="10"/>
        <v>35.416363924741717</v>
      </c>
      <c r="J259">
        <f t="shared" si="11"/>
        <v>17328.103637695309</v>
      </c>
      <c r="K259">
        <f t="shared" si="12"/>
        <v>35079.077911376953</v>
      </c>
    </row>
    <row r="260" spans="1:11" x14ac:dyDescent="0.3">
      <c r="A260">
        <f>A$9 * (62.2503623962402 -A$8)</f>
        <v>62.250362396240199</v>
      </c>
      <c r="B260">
        <f>B$9 * (62.2503623962402 -B$8)</f>
        <v>62.250362396240199</v>
      </c>
      <c r="C260">
        <f>C$9 * (62.2503623962402 -C$8)</f>
        <v>62.250362396240199</v>
      </c>
      <c r="E260">
        <f>E$9 * (0.00983788073062896 -E$8)</f>
        <v>9.8378807306289603E-3</v>
      </c>
      <c r="F260">
        <f>F$9 * (4.81336307525634 -F$8)</f>
        <v>4.8133630752563397</v>
      </c>
      <c r="G260">
        <f>G$9 * (9.7441873550415 -G$8)</f>
        <v>9.7441873550415004</v>
      </c>
      <c r="I260">
        <f t="shared" si="10"/>
        <v>35.416370630264254</v>
      </c>
      <c r="J260">
        <f t="shared" si="11"/>
        <v>17328.107070922822</v>
      </c>
      <c r="K260">
        <f t="shared" si="12"/>
        <v>35079.0744781494</v>
      </c>
    </row>
    <row r="261" spans="1:11" x14ac:dyDescent="0.3">
      <c r="A261">
        <f>A$9 * (62.5 -A$8)</f>
        <v>62.5</v>
      </c>
      <c r="B261">
        <f>B$9 * (62.5 -B$8)</f>
        <v>62.5</v>
      </c>
      <c r="C261">
        <f>C$9 * (62.5 -C$8)</f>
        <v>62.5</v>
      </c>
      <c r="E261">
        <f>E$9 * (0.00983788073062896 -E$8)</f>
        <v>9.8378807306289603E-3</v>
      </c>
      <c r="F261">
        <f>F$9 * (4.81336307525634 -F$8)</f>
        <v>4.8133630752563397</v>
      </c>
      <c r="G261">
        <f>G$9 * (9.74418640136718 -G$8)</f>
        <v>9.7441864013671804</v>
      </c>
      <c r="I261">
        <f t="shared" si="10"/>
        <v>35.416370630264254</v>
      </c>
      <c r="J261">
        <f t="shared" si="11"/>
        <v>17328.107070922822</v>
      </c>
      <c r="K261">
        <f t="shared" si="12"/>
        <v>35079.071044921846</v>
      </c>
    </row>
    <row r="262" spans="1:11" x14ac:dyDescent="0.3">
      <c r="A262">
        <f>A$9 * (62.7500267028808 -A$8)</f>
        <v>62.750026702880803</v>
      </c>
      <c r="B262">
        <f>B$9 * (62.7500267028808 -B$8)</f>
        <v>62.750026702880803</v>
      </c>
      <c r="C262">
        <f>C$9 * (62.7500267028808 -C$8)</f>
        <v>62.750026702880803</v>
      </c>
      <c r="E262">
        <f>E$9 * (0.00983787979930639 -E$8)</f>
        <v>9.8378797993063892E-3</v>
      </c>
      <c r="F262">
        <f>F$9 * (4.81336212158203 -F$8)</f>
        <v>4.8133621215820304</v>
      </c>
      <c r="G262">
        <f>G$9 * (9.74418640136718 -G$8)</f>
        <v>9.7441864013671804</v>
      </c>
      <c r="I262">
        <f t="shared" si="10"/>
        <v>35.416367277502999</v>
      </c>
      <c r="J262">
        <f t="shared" si="11"/>
        <v>17328.103637695309</v>
      </c>
      <c r="K262">
        <f t="shared" si="12"/>
        <v>35079.071044921846</v>
      </c>
    </row>
    <row r="263" spans="1:11" x14ac:dyDescent="0.3">
      <c r="A263">
        <f>A$9 * (63.0000572204589 -A$8)</f>
        <v>63.000057220458899</v>
      </c>
      <c r="B263">
        <f>B$9 * (63.0000572204589 -B$8)</f>
        <v>63.000057220458899</v>
      </c>
      <c r="C263">
        <f>C$9 * (63.0000572204589 -C$8)</f>
        <v>63.000057220458899</v>
      </c>
      <c r="E263">
        <f>E$9 * (0.00983787979930639 -E$8)</f>
        <v>9.8378797993063892E-3</v>
      </c>
      <c r="F263">
        <f>F$9 * (4.81336116790771 -F$8)</f>
        <v>4.8133611679077104</v>
      </c>
      <c r="G263">
        <f>G$9 * (9.74418640136718 -G$8)</f>
        <v>9.7441864013671804</v>
      </c>
      <c r="I263">
        <f t="shared" si="10"/>
        <v>35.416367277502999</v>
      </c>
      <c r="J263">
        <f t="shared" si="11"/>
        <v>17328.100204467759</v>
      </c>
      <c r="K263">
        <f t="shared" si="12"/>
        <v>35079.071044921846</v>
      </c>
    </row>
    <row r="264" spans="1:11" x14ac:dyDescent="0.3">
      <c r="A264">
        <f>A$9 * (63.2500839233398 -A$8)</f>
        <v>63.250083923339801</v>
      </c>
      <c r="B264">
        <f>B$9 * (63.2500839233398 -B$8)</f>
        <v>63.250083923339801</v>
      </c>
      <c r="C264">
        <f>C$9 * (63.2500839233398 -C$8)</f>
        <v>63.250083923339801</v>
      </c>
      <c r="E264">
        <f>E$9 * (0.00983787979930639 -E$8)</f>
        <v>9.8378797993063892E-3</v>
      </c>
      <c r="F264">
        <f>F$9 * (4.81336212158203 -F$8)</f>
        <v>4.8133621215820304</v>
      </c>
      <c r="G264">
        <f>G$9 * (9.74418544769287 -G$8)</f>
        <v>9.7441854476928693</v>
      </c>
      <c r="I264">
        <f t="shared" si="10"/>
        <v>35.416367277502999</v>
      </c>
      <c r="J264">
        <f t="shared" si="11"/>
        <v>17328.103637695309</v>
      </c>
      <c r="K264">
        <f t="shared" si="12"/>
        <v>35079.067611694329</v>
      </c>
    </row>
    <row r="265" spans="1:11" x14ac:dyDescent="0.3">
      <c r="A265">
        <f>A$9 * (63.5001106262207 -A$8)</f>
        <v>63.500110626220703</v>
      </c>
      <c r="B265">
        <f>B$9 * (63.5001106262207 -B$8)</f>
        <v>63.500110626220703</v>
      </c>
      <c r="C265">
        <f>C$9 * (63.5001106262207 -C$8)</f>
        <v>63.500110626220703</v>
      </c>
      <c r="E265">
        <f>E$9 * (0.00983788073062896 -E$8)</f>
        <v>9.8378807306289603E-3</v>
      </c>
      <c r="F265">
        <f>F$9 * (4.81336212158203 -F$8)</f>
        <v>4.8133621215820304</v>
      </c>
      <c r="G265">
        <f>G$9 * (9.74418544769287 -G$8)</f>
        <v>9.7441854476928693</v>
      </c>
      <c r="I265">
        <f t="shared" si="10"/>
        <v>35.416370630264254</v>
      </c>
      <c r="J265">
        <f t="shared" si="11"/>
        <v>17328.103637695309</v>
      </c>
      <c r="K265">
        <f t="shared" si="12"/>
        <v>35079.067611694329</v>
      </c>
    </row>
    <row r="266" spans="1:11" x14ac:dyDescent="0.3">
      <c r="A266">
        <f>A$9 * (63.7501373291015 -A$8)</f>
        <v>63.750137329101499</v>
      </c>
      <c r="B266">
        <f>B$9 * (63.7501373291015 -B$8)</f>
        <v>63.750137329101499</v>
      </c>
      <c r="C266">
        <f>C$9 * (63.7501373291015 -C$8)</f>
        <v>63.750137329101499</v>
      </c>
      <c r="E266">
        <f>E$9 * (0.00983788166195154 -E$8)</f>
        <v>9.8378816619515402E-3</v>
      </c>
      <c r="F266">
        <f>F$9 * (4.81336212158203 -F$8)</f>
        <v>4.8133621215820304</v>
      </c>
      <c r="G266">
        <f>G$9 * (9.74418354034423 -G$8)</f>
        <v>9.7441835403442294</v>
      </c>
      <c r="I266">
        <f t="shared" si="10"/>
        <v>35.416373983025544</v>
      </c>
      <c r="J266">
        <f t="shared" si="11"/>
        <v>17328.103637695309</v>
      </c>
      <c r="K266">
        <f t="shared" si="12"/>
        <v>35079.060745239229</v>
      </c>
    </row>
    <row r="267" spans="1:11" x14ac:dyDescent="0.3">
      <c r="A267">
        <f>A$9 * (64.0001678466796 -A$8)</f>
        <v>64.000167846679602</v>
      </c>
      <c r="B267">
        <f>B$9 * (64.0001678466796 -B$8)</f>
        <v>64.000167846679602</v>
      </c>
      <c r="C267">
        <f>C$9 * (64.0001678466796 -C$8)</f>
        <v>64.000167846679602</v>
      </c>
      <c r="E267">
        <f>E$9 * (0.00983788445591926 -E$8)</f>
        <v>9.8378844559192605E-3</v>
      </c>
      <c r="F267">
        <f>F$9 * (4.81336307525634 -F$8)</f>
        <v>4.8133630752563397</v>
      </c>
      <c r="G267">
        <f>G$9 * (9.74418354034423 -G$8)</f>
        <v>9.7441835403442294</v>
      </c>
      <c r="I267">
        <f t="shared" si="10"/>
        <v>35.416384041309335</v>
      </c>
      <c r="J267">
        <f t="shared" si="11"/>
        <v>17328.107070922822</v>
      </c>
      <c r="K267">
        <f t="shared" si="12"/>
        <v>35079.060745239229</v>
      </c>
    </row>
    <row r="268" spans="1:11" x14ac:dyDescent="0.3">
      <c r="A268">
        <f>A$9 * (64.2501907348632 -A$8)</f>
        <v>64.250190734863196</v>
      </c>
      <c r="B268">
        <f>B$9 * (64.2501907348632 -B$8)</f>
        <v>64.250190734863196</v>
      </c>
      <c r="C268">
        <f>C$9 * (64.2501907348632 -C$8)</f>
        <v>64.250190734863196</v>
      </c>
      <c r="E268">
        <f>E$9 * (0.00983788073062896 -E$8)</f>
        <v>9.8378807306289603E-3</v>
      </c>
      <c r="F268">
        <f>F$9 * (4.81336116790771 -F$8)</f>
        <v>4.8133611679077104</v>
      </c>
      <c r="G268">
        <f>G$9 * (9.74418354034423 -G$8)</f>
        <v>9.7441835403442294</v>
      </c>
      <c r="I268">
        <f t="shared" ref="I268:I299" si="13">E268*3600</f>
        <v>35.416370630264254</v>
      </c>
      <c r="J268">
        <f t="shared" ref="J268:J299" si="14">F268*3600</f>
        <v>17328.100204467759</v>
      </c>
      <c r="K268">
        <f t="shared" ref="K268:K299" si="15">G268*3600</f>
        <v>35079.060745239229</v>
      </c>
    </row>
    <row r="269" spans="1:11" x14ac:dyDescent="0.3">
      <c r="A269">
        <f>A$9 * (64.5002212524414 -A$8)</f>
        <v>64.500221252441406</v>
      </c>
      <c r="B269">
        <f>B$9 * (64.5002212524414 -B$8)</f>
        <v>64.500221252441406</v>
      </c>
      <c r="C269">
        <f>C$9 * (64.5002212524414 -C$8)</f>
        <v>64.500221252441406</v>
      </c>
      <c r="E269">
        <f>E$9 * (0.00983788259327411 -E$8)</f>
        <v>9.8378825932741096E-3</v>
      </c>
      <c r="F269">
        <f>F$9 * (4.81336212158203 -F$8)</f>
        <v>4.8133621215820304</v>
      </c>
      <c r="G269">
        <f>G$9 * (9.74418258666992 -G$8)</f>
        <v>9.7441825866699201</v>
      </c>
      <c r="I269">
        <f t="shared" si="13"/>
        <v>35.416377335786791</v>
      </c>
      <c r="J269">
        <f t="shared" si="14"/>
        <v>17328.103637695309</v>
      </c>
      <c r="K269">
        <f t="shared" si="15"/>
        <v>35079.057312011711</v>
      </c>
    </row>
    <row r="270" spans="1:11" x14ac:dyDescent="0.3">
      <c r="A270">
        <f>A$9 * (64.7502517700195 -A$8)</f>
        <v>64.750251770019503</v>
      </c>
      <c r="B270">
        <f>B$9 * (64.7502517700195 -B$8)</f>
        <v>64.750251770019503</v>
      </c>
      <c r="C270">
        <f>C$9 * (64.7502517700195 -C$8)</f>
        <v>64.750251770019503</v>
      </c>
      <c r="E270">
        <f>E$9 * (0.00983788166195154 -E$8)</f>
        <v>9.8378816619515402E-3</v>
      </c>
      <c r="F270">
        <f>F$9 * (4.81336116790771 -F$8)</f>
        <v>4.8133611679077104</v>
      </c>
      <c r="G270">
        <f>G$9 * (9.74418258666992 -G$8)</f>
        <v>9.7441825866699201</v>
      </c>
      <c r="I270">
        <f t="shared" si="13"/>
        <v>35.416373983025544</v>
      </c>
      <c r="J270">
        <f t="shared" si="14"/>
        <v>17328.100204467759</v>
      </c>
      <c r="K270">
        <f t="shared" si="15"/>
        <v>35079.057312011711</v>
      </c>
    </row>
    <row r="271" spans="1:11" x14ac:dyDescent="0.3">
      <c r="A271">
        <f>A$9 * (65.0002746582031 -A$8)</f>
        <v>65.000274658203097</v>
      </c>
      <c r="B271">
        <f>B$9 * (65.0002746582031 -B$8)</f>
        <v>65.000274658203097</v>
      </c>
      <c r="C271">
        <f>C$9 * (65.0002746582031 -C$8)</f>
        <v>65.000274658203097</v>
      </c>
      <c r="E271">
        <f>E$9 * (0.00983787979930639 -E$8)</f>
        <v>9.8378797993063892E-3</v>
      </c>
      <c r="F271">
        <f>F$9 * (4.81336021423339 -F$8)</f>
        <v>4.8133602142333896</v>
      </c>
      <c r="G271">
        <f>G$9 * (9.74418258666992 -G$8)</f>
        <v>9.7441825866699201</v>
      </c>
      <c r="I271">
        <f t="shared" si="13"/>
        <v>35.416367277502999</v>
      </c>
      <c r="J271">
        <f t="shared" si="14"/>
        <v>17328.096771240202</v>
      </c>
      <c r="K271">
        <f t="shared" si="15"/>
        <v>35079.057312011711</v>
      </c>
    </row>
    <row r="272" spans="1:11" x14ac:dyDescent="0.3">
      <c r="A272">
        <f>A$9 * (65.2503051757812 -A$8)</f>
        <v>65.250305175781193</v>
      </c>
      <c r="B272">
        <f>B$9 * (65.2503051757812 -B$8)</f>
        <v>65.250305175781193</v>
      </c>
      <c r="C272">
        <f>C$9 * (65.2503051757812 -C$8)</f>
        <v>65.250305175781193</v>
      </c>
      <c r="E272">
        <f>E$9 * (0.00983788166195154 -E$8)</f>
        <v>9.8378816619515402E-3</v>
      </c>
      <c r="F272">
        <f>F$9 * (4.81336116790771 -F$8)</f>
        <v>4.8133611679077104</v>
      </c>
      <c r="G272">
        <f>G$9 * (9.74418258666992 -G$8)</f>
        <v>9.7441825866699201</v>
      </c>
      <c r="I272">
        <f t="shared" si="13"/>
        <v>35.416373983025544</v>
      </c>
      <c r="J272">
        <f t="shared" si="14"/>
        <v>17328.100204467759</v>
      </c>
      <c r="K272">
        <f t="shared" si="15"/>
        <v>35079.057312011711</v>
      </c>
    </row>
    <row r="273" spans="1:11" x14ac:dyDescent="0.3">
      <c r="A273">
        <f>A$9 * (65.5003356933593 -A$8)</f>
        <v>65.500335693359304</v>
      </c>
      <c r="B273">
        <f>B$9 * (65.5003356933593 -B$8)</f>
        <v>65.500335693359304</v>
      </c>
      <c r="C273">
        <f>C$9 * (65.5003356933593 -C$8)</f>
        <v>65.500335693359304</v>
      </c>
      <c r="E273">
        <f>E$9 * (0.00983788259327411 -E$8)</f>
        <v>9.8378825932741096E-3</v>
      </c>
      <c r="F273">
        <f>F$9 * (4.81336116790771 -F$8)</f>
        <v>4.8133611679077104</v>
      </c>
      <c r="G273">
        <f>G$9 * (9.7441816329956 -G$8)</f>
        <v>9.7441816329956001</v>
      </c>
      <c r="I273">
        <f t="shared" si="13"/>
        <v>35.416377335786791</v>
      </c>
      <c r="J273">
        <f t="shared" si="14"/>
        <v>17328.100204467759</v>
      </c>
      <c r="K273">
        <f t="shared" si="15"/>
        <v>35079.053878784158</v>
      </c>
    </row>
    <row r="274" spans="1:11" x14ac:dyDescent="0.3">
      <c r="A274">
        <f>A$9 * (65.7503585815429 -A$8)</f>
        <v>65.750358581542898</v>
      </c>
      <c r="B274">
        <f>B$9 * (65.7503585815429 -B$8)</f>
        <v>65.750358581542898</v>
      </c>
      <c r="C274">
        <f>C$9 * (65.7503585815429 -C$8)</f>
        <v>65.750358581542898</v>
      </c>
      <c r="E274">
        <f>E$9 * (0.00983788259327411 -E$8)</f>
        <v>9.8378825932741096E-3</v>
      </c>
      <c r="F274">
        <f>F$9 * (4.81336116790771 -F$8)</f>
        <v>4.8133611679077104</v>
      </c>
      <c r="G274">
        <f>G$9 * (9.7441816329956 -G$8)</f>
        <v>9.7441816329956001</v>
      </c>
      <c r="I274">
        <f t="shared" si="13"/>
        <v>35.416377335786791</v>
      </c>
      <c r="J274">
        <f t="shared" si="14"/>
        <v>17328.100204467759</v>
      </c>
      <c r="K274">
        <f t="shared" si="15"/>
        <v>35079.053878784158</v>
      </c>
    </row>
    <row r="275" spans="1:11" x14ac:dyDescent="0.3">
      <c r="A275">
        <f>A$9 * (66 -A$8)</f>
        <v>66</v>
      </c>
      <c r="B275">
        <f>B$9 * (66 -B$8)</f>
        <v>66</v>
      </c>
      <c r="C275">
        <f>C$9 * (66 -C$8)</f>
        <v>66</v>
      </c>
      <c r="E275">
        <f>E$9 * (0.00983788445591926 -E$8)</f>
        <v>9.8378844559192605E-3</v>
      </c>
      <c r="F275">
        <f>F$9 * (4.81336116790771 -F$8)</f>
        <v>4.8133611679077104</v>
      </c>
      <c r="G275">
        <f>G$9 * (9.74418067932128 -G$8)</f>
        <v>9.7441806793212802</v>
      </c>
      <c r="I275">
        <f t="shared" si="13"/>
        <v>35.416384041309335</v>
      </c>
      <c r="J275">
        <f t="shared" si="14"/>
        <v>17328.100204467759</v>
      </c>
      <c r="K275">
        <f t="shared" si="15"/>
        <v>35079.050445556612</v>
      </c>
    </row>
    <row r="276" spans="1:11" x14ac:dyDescent="0.3">
      <c r="A276">
        <f>A$9 * (66.2500305175781 -A$8)</f>
        <v>66.250030517578097</v>
      </c>
      <c r="B276">
        <f>B$9 * (66.2500305175781 -B$8)</f>
        <v>66.250030517578097</v>
      </c>
      <c r="C276">
        <f>C$9 * (66.2500305175781 -C$8)</f>
        <v>66.250030517578097</v>
      </c>
      <c r="E276">
        <f>E$9 * (0.00983788073062896 -E$8)</f>
        <v>9.8378807306289603E-3</v>
      </c>
      <c r="F276">
        <f>F$9 * (4.81336021423339 -F$8)</f>
        <v>4.8133602142333896</v>
      </c>
      <c r="G276">
        <f>G$9 * (9.74418067932128 -G$8)</f>
        <v>9.7441806793212802</v>
      </c>
      <c r="I276">
        <f t="shared" si="13"/>
        <v>35.416370630264254</v>
      </c>
      <c r="J276">
        <f t="shared" si="14"/>
        <v>17328.096771240202</v>
      </c>
      <c r="K276">
        <f t="shared" si="15"/>
        <v>35079.050445556612</v>
      </c>
    </row>
    <row r="277" spans="1:11" x14ac:dyDescent="0.3">
      <c r="A277">
        <f>A$9 * (66.5000534057617 -A$8)</f>
        <v>66.500053405761705</v>
      </c>
      <c r="B277">
        <f>B$9 * (66.5000534057617 -B$8)</f>
        <v>66.500053405761705</v>
      </c>
      <c r="C277">
        <f>C$9 * (66.5000534057617 -C$8)</f>
        <v>66.500053405761705</v>
      </c>
      <c r="E277">
        <f>E$9 * (0.00983788445591926 -E$8)</f>
        <v>9.8378844559192605E-3</v>
      </c>
      <c r="F277">
        <f>F$9 * (4.81336116790771 -F$8)</f>
        <v>4.8133611679077104</v>
      </c>
      <c r="G277">
        <f>G$9 * (9.74418067932128 -G$8)</f>
        <v>9.7441806793212802</v>
      </c>
      <c r="I277">
        <f t="shared" si="13"/>
        <v>35.416384041309335</v>
      </c>
      <c r="J277">
        <f t="shared" si="14"/>
        <v>17328.100204467759</v>
      </c>
      <c r="K277">
        <f t="shared" si="15"/>
        <v>35079.050445556612</v>
      </c>
    </row>
    <row r="278" spans="1:11" x14ac:dyDescent="0.3">
      <c r="A278">
        <f>A$9 * (66.7500839233398 -A$8)</f>
        <v>66.750083923339801</v>
      </c>
      <c r="B278">
        <f>B$9 * (66.7500839233398 -B$8)</f>
        <v>66.750083923339801</v>
      </c>
      <c r="C278">
        <f>C$9 * (66.7500839233398 -C$8)</f>
        <v>66.750083923339801</v>
      </c>
      <c r="E278">
        <f>E$9 * (0.00983788073062896 -E$8)</f>
        <v>9.8378807306289603E-3</v>
      </c>
      <c r="F278">
        <f>F$9 * (4.81335878372192 -F$8)</f>
        <v>4.8133587837219203</v>
      </c>
      <c r="G278">
        <f>G$9 * (9.74417972564697 -G$8)</f>
        <v>9.7441797256469709</v>
      </c>
      <c r="I278">
        <f t="shared" si="13"/>
        <v>35.416370630264254</v>
      </c>
      <c r="J278">
        <f t="shared" si="14"/>
        <v>17328.091621398911</v>
      </c>
      <c r="K278">
        <f t="shared" si="15"/>
        <v>35079.047012329094</v>
      </c>
    </row>
    <row r="279" spans="1:11" x14ac:dyDescent="0.3">
      <c r="A279">
        <f>A$9 * (67.0001144409179 -A$8)</f>
        <v>67.000114440917898</v>
      </c>
      <c r="B279">
        <f>B$9 * (67.0001144409179 -B$8)</f>
        <v>67.000114440917898</v>
      </c>
      <c r="C279">
        <f>C$9 * (67.0001144409179 -C$8)</f>
        <v>67.000114440917898</v>
      </c>
      <c r="E279">
        <f>E$9 * (0.00983788166195154 -E$8)</f>
        <v>9.8378816619515402E-3</v>
      </c>
      <c r="F279">
        <f>F$9 * (4.81335878372192 -F$8)</f>
        <v>4.8133587837219203</v>
      </c>
      <c r="G279">
        <f>G$9 * (9.74417972564697 -G$8)</f>
        <v>9.7441797256469709</v>
      </c>
      <c r="I279">
        <f t="shared" si="13"/>
        <v>35.416373983025544</v>
      </c>
      <c r="J279">
        <f t="shared" si="14"/>
        <v>17328.091621398911</v>
      </c>
      <c r="K279">
        <f t="shared" si="15"/>
        <v>35079.047012329094</v>
      </c>
    </row>
    <row r="280" spans="1:11" x14ac:dyDescent="0.3">
      <c r="A280">
        <f>A$9 * (67.2501373291015 -A$8)</f>
        <v>67.250137329101506</v>
      </c>
      <c r="B280">
        <f>B$9 * (67.2501373291015 -B$8)</f>
        <v>67.250137329101506</v>
      </c>
      <c r="C280">
        <f>C$9 * (67.2501373291015 -C$8)</f>
        <v>67.250137329101506</v>
      </c>
      <c r="E280">
        <f>E$9 * (0.00983788073062896 -E$8)</f>
        <v>9.8378807306289603E-3</v>
      </c>
      <c r="F280">
        <f>F$9 * (4.81335878372192 -F$8)</f>
        <v>4.8133587837219203</v>
      </c>
      <c r="G280">
        <f>G$9 * (9.74417972564697 -G$8)</f>
        <v>9.7441797256469709</v>
      </c>
      <c r="I280">
        <f t="shared" si="13"/>
        <v>35.416370630264254</v>
      </c>
      <c r="J280">
        <f t="shared" si="14"/>
        <v>17328.091621398911</v>
      </c>
      <c r="K280">
        <f t="shared" si="15"/>
        <v>35079.047012329094</v>
      </c>
    </row>
    <row r="281" spans="1:11" x14ac:dyDescent="0.3">
      <c r="A281">
        <f>A$9 * (67.5001678466796 -A$8)</f>
        <v>67.500167846679602</v>
      </c>
      <c r="B281">
        <f>B$9 * (67.5001678466796 -B$8)</f>
        <v>67.500167846679602</v>
      </c>
      <c r="C281">
        <f>C$9 * (67.5001678466796 -C$8)</f>
        <v>67.500167846679602</v>
      </c>
      <c r="E281">
        <f>E$9 * (0.00983788538724184 -E$8)</f>
        <v>9.8378853872418404E-3</v>
      </c>
      <c r="F281">
        <f>F$9 * (4.81336021423339 -F$8)</f>
        <v>4.8133602142333896</v>
      </c>
      <c r="G281">
        <f>G$9 * (9.74417877197265 -G$8)</f>
        <v>9.7441787719726491</v>
      </c>
      <c r="I281">
        <f t="shared" si="13"/>
        <v>35.416387394070625</v>
      </c>
      <c r="J281">
        <f t="shared" si="14"/>
        <v>17328.096771240202</v>
      </c>
      <c r="K281">
        <f t="shared" si="15"/>
        <v>35079.043579101533</v>
      </c>
    </row>
    <row r="282" spans="1:11" x14ac:dyDescent="0.3">
      <c r="A282">
        <f>A$9 * (67.7501907348632 -A$8)</f>
        <v>67.750190734863196</v>
      </c>
      <c r="B282">
        <f>B$9 * (67.7501907348632 -B$8)</f>
        <v>67.750190734863196</v>
      </c>
      <c r="C282">
        <f>C$9 * (67.7501907348632 -C$8)</f>
        <v>67.750190734863196</v>
      </c>
      <c r="E282">
        <f>E$9 * (0.00983788259327411 -E$8)</f>
        <v>9.8378825932741096E-3</v>
      </c>
      <c r="F282">
        <f>F$9 * (4.81336021423339 -F$8)</f>
        <v>4.8133602142333896</v>
      </c>
      <c r="G282">
        <f>G$9 * (9.74417877197265 -G$8)</f>
        <v>9.7441787719726491</v>
      </c>
      <c r="I282">
        <f t="shared" si="13"/>
        <v>35.416377335786791</v>
      </c>
      <c r="J282">
        <f t="shared" si="14"/>
        <v>17328.096771240202</v>
      </c>
      <c r="K282">
        <f t="shared" si="15"/>
        <v>35079.043579101533</v>
      </c>
    </row>
    <row r="283" spans="1:11" x14ac:dyDescent="0.3">
      <c r="A283">
        <f>A$9 * (68.0002212524414 -A$8)</f>
        <v>68.000221252441406</v>
      </c>
      <c r="B283">
        <f>B$9 * (68.0002212524414 -B$8)</f>
        <v>68.000221252441406</v>
      </c>
      <c r="C283">
        <f>C$9 * (68.0002212524414 -C$8)</f>
        <v>68.000221252441406</v>
      </c>
      <c r="E283">
        <f>E$9 * (0.00983788445591926 -E$8)</f>
        <v>9.8378844559192605E-3</v>
      </c>
      <c r="F283">
        <f>F$9 * (4.81336021423339 -F$8)</f>
        <v>4.8133602142333896</v>
      </c>
      <c r="G283">
        <f>G$9 * (9.74417781829834 -G$8)</f>
        <v>9.7441778182983398</v>
      </c>
      <c r="I283">
        <f t="shared" si="13"/>
        <v>35.416384041309335</v>
      </c>
      <c r="J283">
        <f t="shared" si="14"/>
        <v>17328.096771240202</v>
      </c>
      <c r="K283">
        <f t="shared" si="15"/>
        <v>35079.040145874023</v>
      </c>
    </row>
    <row r="284" spans="1:11" x14ac:dyDescent="0.3">
      <c r="A284">
        <f>A$9 * (68.2502517700195 -A$8)</f>
        <v>68.250251770019503</v>
      </c>
      <c r="B284">
        <f>B$9 * (68.2502517700195 -B$8)</f>
        <v>68.250251770019503</v>
      </c>
      <c r="C284">
        <f>C$9 * (68.2502517700195 -C$8)</f>
        <v>68.250251770019503</v>
      </c>
      <c r="E284">
        <f>E$9 * (0.00983788259327411 -E$8)</f>
        <v>9.8378825932741096E-3</v>
      </c>
      <c r="F284">
        <f>F$9 * (4.81335878372192 -F$8)</f>
        <v>4.8133587837219203</v>
      </c>
      <c r="G284">
        <f>G$9 * (9.74417781829834 -G$8)</f>
        <v>9.7441778182983398</v>
      </c>
      <c r="I284">
        <f t="shared" si="13"/>
        <v>35.416377335786791</v>
      </c>
      <c r="J284">
        <f t="shared" si="14"/>
        <v>17328.091621398911</v>
      </c>
      <c r="K284">
        <f t="shared" si="15"/>
        <v>35079.040145874023</v>
      </c>
    </row>
    <row r="285" spans="1:11" x14ac:dyDescent="0.3">
      <c r="A285">
        <f>A$9 * (68.5002746582031 -A$8)</f>
        <v>68.500274658203097</v>
      </c>
      <c r="B285">
        <f>B$9 * (68.5002746582031 -B$8)</f>
        <v>68.500274658203097</v>
      </c>
      <c r="C285">
        <f>C$9 * (68.5002746582031 -C$8)</f>
        <v>68.500274658203097</v>
      </c>
      <c r="E285">
        <f>E$9 * (0.00983788445591926 -E$8)</f>
        <v>9.8378844559192605E-3</v>
      </c>
      <c r="F285">
        <f>F$9 * (4.81335878372192 -F$8)</f>
        <v>4.8133587837219203</v>
      </c>
      <c r="G285">
        <f>G$9 * (9.74417781829834 -G$8)</f>
        <v>9.7441778182983398</v>
      </c>
      <c r="I285">
        <f t="shared" si="13"/>
        <v>35.416384041309335</v>
      </c>
      <c r="J285">
        <f t="shared" si="14"/>
        <v>17328.091621398911</v>
      </c>
      <c r="K285">
        <f t="shared" si="15"/>
        <v>35079.040145874023</v>
      </c>
    </row>
    <row r="286" spans="1:11" x14ac:dyDescent="0.3">
      <c r="A286">
        <f>A$9 * (68.7503051757812 -A$8)</f>
        <v>68.750305175781193</v>
      </c>
      <c r="B286">
        <f>B$9 * (68.7503051757812 -B$8)</f>
        <v>68.750305175781193</v>
      </c>
      <c r="C286">
        <f>C$9 * (68.7503051757812 -C$8)</f>
        <v>68.750305175781193</v>
      </c>
      <c r="E286">
        <f>E$9 * (0.00983788259327411 -E$8)</f>
        <v>9.8378825932741096E-3</v>
      </c>
      <c r="F286">
        <f>F$9 * (4.8133578300476 -F$8)</f>
        <v>4.8133578300476003</v>
      </c>
      <c r="G286">
        <f>G$9 * (9.74417781829834 -G$8)</f>
        <v>9.7441778182983398</v>
      </c>
      <c r="I286">
        <f t="shared" si="13"/>
        <v>35.416377335786791</v>
      </c>
      <c r="J286">
        <f t="shared" si="14"/>
        <v>17328.088188171361</v>
      </c>
      <c r="K286">
        <f t="shared" si="15"/>
        <v>35079.040145874023</v>
      </c>
    </row>
    <row r="287" spans="1:11" x14ac:dyDescent="0.3">
      <c r="A287">
        <f>A$9 * (69.0003356933593 -A$8)</f>
        <v>69.000335693359304</v>
      </c>
      <c r="B287">
        <f>B$9 * (69.0003356933593 -B$8)</f>
        <v>69.000335693359304</v>
      </c>
      <c r="C287">
        <f>C$9 * (69.0003356933593 -C$8)</f>
        <v>69.000335693359304</v>
      </c>
      <c r="E287">
        <f>E$9 * (0.00983788259327411 -E$8)</f>
        <v>9.8378825932741096E-3</v>
      </c>
      <c r="F287">
        <f>F$9 * (4.8133578300476 -F$8)</f>
        <v>4.8133578300476003</v>
      </c>
      <c r="G287">
        <f>G$9 * (9.74417686462402 -G$8)</f>
        <v>9.7441768646240199</v>
      </c>
      <c r="I287">
        <f t="shared" si="13"/>
        <v>35.416377335786791</v>
      </c>
      <c r="J287">
        <f t="shared" si="14"/>
        <v>17328.088188171361</v>
      </c>
      <c r="K287">
        <f t="shared" si="15"/>
        <v>35079.03671264647</v>
      </c>
    </row>
    <row r="288" spans="1:11" x14ac:dyDescent="0.3">
      <c r="A288">
        <f>A$9 * (69.2503585815429 -A$8)</f>
        <v>69.250358581542898</v>
      </c>
      <c r="B288">
        <f>B$9 * (69.2503585815429 -B$8)</f>
        <v>69.250358581542898</v>
      </c>
      <c r="C288">
        <f>C$9 * (69.2503585815429 -C$8)</f>
        <v>69.250358581542898</v>
      </c>
      <c r="E288">
        <f>E$9 * (0.00983788259327411 -E$8)</f>
        <v>9.8378825932741096E-3</v>
      </c>
      <c r="F288">
        <f>F$9 * (4.8133578300476 -F$8)</f>
        <v>4.8133578300476003</v>
      </c>
      <c r="G288">
        <f>G$9 * (9.74417686462402 -G$8)</f>
        <v>9.7441768646240199</v>
      </c>
      <c r="I288">
        <f t="shared" si="13"/>
        <v>35.416377335786791</v>
      </c>
      <c r="J288">
        <f t="shared" si="14"/>
        <v>17328.088188171361</v>
      </c>
      <c r="K288">
        <f t="shared" si="15"/>
        <v>35079.03671264647</v>
      </c>
    </row>
    <row r="289" spans="1:11" x14ac:dyDescent="0.3">
      <c r="A289">
        <f>A$9 * (69.5 -A$8)</f>
        <v>69.5</v>
      </c>
      <c r="B289">
        <f>B$9 * (69.5 -B$8)</f>
        <v>69.5</v>
      </c>
      <c r="C289">
        <f>C$9 * (69.5 -C$8)</f>
        <v>69.5</v>
      </c>
      <c r="E289">
        <f>E$9 * (0.00983788538724184 -E$8)</f>
        <v>9.8378853872418404E-3</v>
      </c>
      <c r="F289">
        <f>F$9 * (4.81335878372192 -F$8)</f>
        <v>4.8133587837219203</v>
      </c>
      <c r="G289">
        <f>G$9 * (9.74417686462402 -G$8)</f>
        <v>9.7441768646240199</v>
      </c>
      <c r="I289">
        <f t="shared" si="13"/>
        <v>35.416387394070625</v>
      </c>
      <c r="J289">
        <f t="shared" si="14"/>
        <v>17328.091621398911</v>
      </c>
      <c r="K289">
        <f t="shared" si="15"/>
        <v>35079.03671264647</v>
      </c>
    </row>
    <row r="290" spans="1:11" x14ac:dyDescent="0.3">
      <c r="A290">
        <f>A$9 * (69.7500305175781 -A$8)</f>
        <v>69.750030517578097</v>
      </c>
      <c r="B290">
        <f>B$9 * (69.7500305175781 -B$8)</f>
        <v>69.750030517578097</v>
      </c>
      <c r="C290">
        <f>C$9 * (69.7500305175781 -C$8)</f>
        <v>69.750030517578097</v>
      </c>
      <c r="E290">
        <f>E$9 * (0.00983788166195154 -E$8)</f>
        <v>9.8378816619515402E-3</v>
      </c>
      <c r="F290">
        <f>F$9 * (4.8133578300476 -F$8)</f>
        <v>4.8133578300476003</v>
      </c>
      <c r="G290">
        <f>G$9 * (9.7441759109497 -G$8)</f>
        <v>9.7441759109496999</v>
      </c>
      <c r="I290">
        <f t="shared" si="13"/>
        <v>35.416373983025544</v>
      </c>
      <c r="J290">
        <f t="shared" si="14"/>
        <v>17328.088188171361</v>
      </c>
      <c r="K290">
        <f t="shared" si="15"/>
        <v>35079.033279418916</v>
      </c>
    </row>
    <row r="291" spans="1:11" x14ac:dyDescent="0.3">
      <c r="A291">
        <f>A$9 * (70.0000534057617 -A$8)</f>
        <v>70.000053405761705</v>
      </c>
      <c r="B291">
        <f>B$9 * (70.0000534057617 -B$8)</f>
        <v>70.000053405761705</v>
      </c>
      <c r="C291">
        <f>C$9 * (70.0000534057617 -C$8)</f>
        <v>70.000053405761705</v>
      </c>
      <c r="E291">
        <f>E$9 * (0.00983788538724184 -E$8)</f>
        <v>9.8378853872418404E-3</v>
      </c>
      <c r="F291">
        <f>F$9 * (4.81335878372192 -F$8)</f>
        <v>4.8133587837219203</v>
      </c>
      <c r="G291">
        <f>G$9 * (9.7441759109497 -G$8)</f>
        <v>9.7441759109496999</v>
      </c>
      <c r="I291">
        <f t="shared" si="13"/>
        <v>35.416387394070625</v>
      </c>
      <c r="J291">
        <f t="shared" si="14"/>
        <v>17328.091621398911</v>
      </c>
      <c r="K291">
        <f t="shared" si="15"/>
        <v>35079.033279418916</v>
      </c>
    </row>
    <row r="292" spans="1:11" x14ac:dyDescent="0.3">
      <c r="A292">
        <f>A$9 * (70.2500839233398 -A$8)</f>
        <v>70.250083923339801</v>
      </c>
      <c r="B292">
        <f>B$9 * (70.2500839233398 -B$8)</f>
        <v>70.250083923339801</v>
      </c>
      <c r="C292">
        <f>C$9 * (70.2500839233398 -C$8)</f>
        <v>70.250083923339801</v>
      </c>
      <c r="E292">
        <f>E$9 * (0.00983788166195154 -E$8)</f>
        <v>9.8378816619515402E-3</v>
      </c>
      <c r="F292">
        <f>F$9 * (4.81335687637329 -F$8)</f>
        <v>4.8133568763732901</v>
      </c>
      <c r="G292">
        <f>G$9 * (9.7441759109497 -G$8)</f>
        <v>9.7441759109496999</v>
      </c>
      <c r="I292">
        <f t="shared" si="13"/>
        <v>35.416373983025544</v>
      </c>
      <c r="J292">
        <f t="shared" si="14"/>
        <v>17328.084754943844</v>
      </c>
      <c r="K292">
        <f t="shared" si="15"/>
        <v>35079.033279418916</v>
      </c>
    </row>
    <row r="293" spans="1:11" x14ac:dyDescent="0.3">
      <c r="A293">
        <f>A$9 * (70.5001144409179 -A$8)</f>
        <v>70.500114440917898</v>
      </c>
      <c r="B293">
        <f>B$9 * (70.5001144409179 -B$8)</f>
        <v>70.500114440917898</v>
      </c>
      <c r="C293">
        <f>C$9 * (70.5001144409179 -C$8)</f>
        <v>70.500114440917898</v>
      </c>
      <c r="E293">
        <f>E$9 * (0.00983788538724184 -E$8)</f>
        <v>9.8378853872418404E-3</v>
      </c>
      <c r="F293">
        <f t="shared" ref="F293:F299" si="16">F$9 * (4.8133578300476 -F$8)</f>
        <v>4.8133578300476003</v>
      </c>
      <c r="G293">
        <f>G$9 * (9.74417495727539 -G$8)</f>
        <v>9.7441749572753906</v>
      </c>
      <c r="I293">
        <f t="shared" si="13"/>
        <v>35.416387394070625</v>
      </c>
      <c r="J293">
        <f t="shared" si="14"/>
        <v>17328.088188171361</v>
      </c>
      <c r="K293">
        <f t="shared" si="15"/>
        <v>35079.029846191406</v>
      </c>
    </row>
    <row r="294" spans="1:11" x14ac:dyDescent="0.3">
      <c r="A294">
        <f>A$9 * (70.7501373291015 -A$8)</f>
        <v>70.750137329101506</v>
      </c>
      <c r="B294">
        <f>B$9 * (70.7501373291015 -B$8)</f>
        <v>70.750137329101506</v>
      </c>
      <c r="C294">
        <f>C$9 * (70.7501373291015 -C$8)</f>
        <v>70.750137329101506</v>
      </c>
      <c r="E294">
        <f>E$9 * (0.00983788538724184 -E$8)</f>
        <v>9.8378853872418404E-3</v>
      </c>
      <c r="F294">
        <f t="shared" si="16"/>
        <v>4.8133578300476003</v>
      </c>
      <c r="G294">
        <f>G$9 * (9.74417495727539 -G$8)</f>
        <v>9.7441749572753906</v>
      </c>
      <c r="I294">
        <f t="shared" si="13"/>
        <v>35.416387394070625</v>
      </c>
      <c r="J294">
        <f t="shared" si="14"/>
        <v>17328.088188171361</v>
      </c>
      <c r="K294">
        <f t="shared" si="15"/>
        <v>35079.029846191406</v>
      </c>
    </row>
    <row r="295" spans="1:11" x14ac:dyDescent="0.3">
      <c r="A295">
        <f>A$9 * (71.0001678466796 -A$8)</f>
        <v>71.000167846679602</v>
      </c>
      <c r="B295">
        <f>B$9 * (71.0001678466796 -B$8)</f>
        <v>71.000167846679602</v>
      </c>
      <c r="C295">
        <f>C$9 * (71.0001678466796 -C$8)</f>
        <v>71.000167846679602</v>
      </c>
      <c r="E295">
        <f>E$9 * (0.00983788631856441 -E$8)</f>
        <v>9.8378863185644098E-3</v>
      </c>
      <c r="F295">
        <f t="shared" si="16"/>
        <v>4.8133578300476003</v>
      </c>
      <c r="G295">
        <f>G$9 * (9.74417495727539 -G$8)</f>
        <v>9.7441749572753906</v>
      </c>
      <c r="I295">
        <f t="shared" si="13"/>
        <v>35.416390746831873</v>
      </c>
      <c r="J295">
        <f t="shared" si="14"/>
        <v>17328.088188171361</v>
      </c>
      <c r="K295">
        <f t="shared" si="15"/>
        <v>35079.029846191406</v>
      </c>
    </row>
    <row r="296" spans="1:11" x14ac:dyDescent="0.3">
      <c r="A296">
        <f>A$9 * (71.2501907348632 -A$8)</f>
        <v>71.250190734863196</v>
      </c>
      <c r="B296">
        <f>B$9 * (71.2501907348632 -B$8)</f>
        <v>71.250190734863196</v>
      </c>
      <c r="C296">
        <f>C$9 * (71.2501907348632 -C$8)</f>
        <v>71.250190734863196</v>
      </c>
      <c r="E296">
        <f>E$9 * (0.00983788538724184 -E$8)</f>
        <v>9.8378853872418404E-3</v>
      </c>
      <c r="F296">
        <f t="shared" si="16"/>
        <v>4.8133578300476003</v>
      </c>
      <c r="G296">
        <f>G$9 * (9.74417400360107 -G$8)</f>
        <v>9.7441740036010707</v>
      </c>
      <c r="I296">
        <f t="shared" si="13"/>
        <v>35.416387394070625</v>
      </c>
      <c r="J296">
        <f t="shared" si="14"/>
        <v>17328.088188171361</v>
      </c>
      <c r="K296">
        <f t="shared" si="15"/>
        <v>35079.026412963853</v>
      </c>
    </row>
    <row r="297" spans="1:11" x14ac:dyDescent="0.3">
      <c r="A297">
        <f>A$9 * (71.5002212524414 -A$8)</f>
        <v>71.500221252441406</v>
      </c>
      <c r="B297">
        <f>B$9 * (71.5002212524414 -B$8)</f>
        <v>71.500221252441406</v>
      </c>
      <c r="C297">
        <f>C$9 * (71.5002212524414 -C$8)</f>
        <v>71.500221252441406</v>
      </c>
      <c r="E297">
        <f>E$9 * (0.00983788631856441 -E$8)</f>
        <v>9.8378863185644098E-3</v>
      </c>
      <c r="F297">
        <f t="shared" si="16"/>
        <v>4.8133578300476003</v>
      </c>
      <c r="G297">
        <f>G$9 * (9.74417400360107 -G$8)</f>
        <v>9.7441740036010707</v>
      </c>
      <c r="I297">
        <f t="shared" si="13"/>
        <v>35.416390746831873</v>
      </c>
      <c r="J297">
        <f t="shared" si="14"/>
        <v>17328.088188171361</v>
      </c>
      <c r="K297">
        <f t="shared" si="15"/>
        <v>35079.026412963853</v>
      </c>
    </row>
    <row r="298" spans="1:11" x14ac:dyDescent="0.3">
      <c r="A298">
        <f>A$9 * (71.7502517700195 -A$8)</f>
        <v>71.750251770019503</v>
      </c>
      <c r="B298">
        <f>B$9 * (71.7502517700195 -B$8)</f>
        <v>71.750251770019503</v>
      </c>
      <c r="C298">
        <f>C$9 * (71.7502517700195 -C$8)</f>
        <v>71.750251770019503</v>
      </c>
      <c r="E298">
        <f>E$9 * (0.00983788631856441 -E$8)</f>
        <v>9.8378863185644098E-3</v>
      </c>
      <c r="F298">
        <f t="shared" si="16"/>
        <v>4.8133578300476003</v>
      </c>
      <c r="G298">
        <f>G$9 * (9.74417400360107 -G$8)</f>
        <v>9.7441740036010707</v>
      </c>
      <c r="I298">
        <f t="shared" si="13"/>
        <v>35.416390746831873</v>
      </c>
      <c r="J298">
        <f t="shared" si="14"/>
        <v>17328.088188171361</v>
      </c>
      <c r="K298">
        <f t="shared" si="15"/>
        <v>35079.026412963853</v>
      </c>
    </row>
    <row r="299" spans="1:11" x14ac:dyDescent="0.3">
      <c r="A299">
        <f>A$9 * (72.0002746582031 -A$8)</f>
        <v>72.000274658203097</v>
      </c>
      <c r="B299">
        <f>B$9 * (72.0002746582031 -B$8)</f>
        <v>72.000274658203097</v>
      </c>
      <c r="C299">
        <f>C$9 * (72.0002746582031 -C$8)</f>
        <v>72.000274658203097</v>
      </c>
      <c r="E299">
        <f>E$9 * (0.00983788631856441 -E$8)</f>
        <v>9.8378863185644098E-3</v>
      </c>
      <c r="F299">
        <f t="shared" si="16"/>
        <v>4.8133578300476003</v>
      </c>
      <c r="G299">
        <f>G$9 * (9.74417400360107 -G$8)</f>
        <v>9.7441740036010707</v>
      </c>
      <c r="I299">
        <f t="shared" si="13"/>
        <v>35.416390746831873</v>
      </c>
      <c r="J299">
        <f t="shared" si="14"/>
        <v>17328.088188171361</v>
      </c>
      <c r="K299">
        <f t="shared" si="15"/>
        <v>35079.026412963853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9"/>
  <sheetViews>
    <sheetView tabSelected="1" topLeftCell="C1" workbookViewId="0">
      <selection activeCell="G20" sqref="G20"/>
    </sheetView>
  </sheetViews>
  <sheetFormatPr defaultRowHeight="14.4" x14ac:dyDescent="0.3"/>
  <cols>
    <col min="5" max="5" width="14" bestFit="1" customWidth="1"/>
    <col min="6" max="6" width="13.44140625" bestFit="1" customWidth="1"/>
    <col min="7" max="7" width="12.6640625" bestFit="1" customWidth="1"/>
  </cols>
  <sheetData>
    <row r="1" spans="1:9" x14ac:dyDescent="0.3">
      <c r="A1" s="2" t="s">
        <v>5</v>
      </c>
      <c r="B1" s="2" t="s">
        <v>5</v>
      </c>
      <c r="C1" s="2" t="s">
        <v>5</v>
      </c>
      <c r="D1" s="1"/>
      <c r="E1" s="2" t="s">
        <v>6</v>
      </c>
      <c r="F1" s="2" t="s">
        <v>7</v>
      </c>
      <c r="G1" s="2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/>
      <c r="E2" s="1" t="str">
        <f>Legends!B2</f>
        <v>Liquid at Outlet</v>
      </c>
      <c r="F2" s="1" t="str">
        <f>Legends!B3</f>
        <v>Liquid Velocity</v>
      </c>
      <c r="G2" s="1" t="str">
        <f>Legends!B4</f>
        <v>Gas Velocity</v>
      </c>
      <c r="I2" s="3" t="s">
        <v>18</v>
      </c>
    </row>
    <row r="3" spans="1:9" x14ac:dyDescent="0.3">
      <c r="A3">
        <f>MIN($A$11:$A$299)</f>
        <v>0</v>
      </c>
      <c r="B3">
        <f>MIN($B$11:$B$299)</f>
        <v>0</v>
      </c>
      <c r="C3">
        <f>MIN($C$11:$C$299)</f>
        <v>0</v>
      </c>
      <c r="D3" s="1" t="s">
        <v>12</v>
      </c>
      <c r="E3">
        <f>MIN($E$11:$E$299)</f>
        <v>-4.8303208313882299E-3</v>
      </c>
      <c r="F3">
        <f>MIN($F$11:$F$299)</f>
        <v>-4.6925950050354004</v>
      </c>
      <c r="G3">
        <f>MIN($G$11:$G$299)</f>
        <v>-2.9754819869995099</v>
      </c>
    </row>
    <row r="4" spans="1:9" x14ac:dyDescent="0.3">
      <c r="A4">
        <f>MEDIAN($A$11:$A$299)</f>
        <v>36.000083923339801</v>
      </c>
      <c r="B4">
        <f>MEDIAN($B$11:$B$299)</f>
        <v>36.000083923339801</v>
      </c>
      <c r="C4">
        <f>MEDIAN($C$11:$C$299)</f>
        <v>36.000083923339801</v>
      </c>
      <c r="D4" s="1" t="s">
        <v>13</v>
      </c>
      <c r="E4">
        <f>MEDIAN($E$11:$E$299)</f>
        <v>4.4169072061777098E-3</v>
      </c>
      <c r="F4">
        <f>MEDIAN($F$11:$F$299)</f>
        <v>0.70497339963912897</v>
      </c>
      <c r="G4">
        <f>MEDIAN($G$11:$G$299)</f>
        <v>6.4099311828613201</v>
      </c>
    </row>
    <row r="5" spans="1:9" x14ac:dyDescent="0.3">
      <c r="A5">
        <f>MAX($A$11:$A$299)</f>
        <v>72.000335693359304</v>
      </c>
      <c r="B5">
        <f>MAX($B$11:$B$299)</f>
        <v>72.000335693359304</v>
      </c>
      <c r="C5">
        <f>MAX($C$11:$C$299)</f>
        <v>72.000335693359304</v>
      </c>
      <c r="D5" s="1" t="s">
        <v>14</v>
      </c>
      <c r="E5">
        <f>MAX($E$11:$E$299)</f>
        <v>0.22869360446929901</v>
      </c>
      <c r="F5">
        <f>MAX($F$11:$F$299)</f>
        <v>22.426830291748001</v>
      </c>
      <c r="G5">
        <f>MAX($G$11:$G$299)</f>
        <v>41.738868713378899</v>
      </c>
    </row>
    <row r="6" spans="1:9" x14ac:dyDescent="0.3">
      <c r="A6">
        <f>$A5-$A3</f>
        <v>72.000335693359304</v>
      </c>
      <c r="B6">
        <f>$B5-$B3</f>
        <v>72.000335693359304</v>
      </c>
      <c r="C6">
        <f>$C5-$C3</f>
        <v>72.000335693359304</v>
      </c>
      <c r="D6" s="1" t="s">
        <v>15</v>
      </c>
      <c r="E6">
        <f>$E5-$E3</f>
        <v>0.23352392530068725</v>
      </c>
      <c r="F6">
        <f>$F5-$F3</f>
        <v>27.119425296783401</v>
      </c>
      <c r="G6">
        <f>$G5-$G3</f>
        <v>44.714350700378411</v>
      </c>
    </row>
    <row r="7" spans="1:9" x14ac:dyDescent="0.3">
      <c r="A7" s="2" t="s">
        <v>5</v>
      </c>
      <c r="B7" s="2" t="s">
        <v>5</v>
      </c>
      <c r="C7" s="2" t="s">
        <v>5</v>
      </c>
      <c r="D7" s="1"/>
      <c r="E7" s="2" t="s">
        <v>6</v>
      </c>
      <c r="F7" s="2" t="s">
        <v>7</v>
      </c>
      <c r="G7" s="2" t="s">
        <v>7</v>
      </c>
    </row>
    <row r="8" spans="1:9" x14ac:dyDescent="0.3">
      <c r="A8">
        <v>0</v>
      </c>
      <c r="B8">
        <v>0</v>
      </c>
      <c r="C8">
        <v>0</v>
      </c>
      <c r="D8" s="1" t="s">
        <v>16</v>
      </c>
      <c r="E8">
        <v>0</v>
      </c>
      <c r="F8">
        <v>0</v>
      </c>
      <c r="G8">
        <v>0</v>
      </c>
    </row>
    <row r="9" spans="1:9" x14ac:dyDescent="0.3">
      <c r="A9">
        <v>1</v>
      </c>
      <c r="B9">
        <v>1</v>
      </c>
      <c r="C9">
        <v>1</v>
      </c>
      <c r="D9" s="1" t="s">
        <v>17</v>
      </c>
      <c r="E9">
        <v>1</v>
      </c>
      <c r="F9">
        <v>1</v>
      </c>
      <c r="G9">
        <v>1</v>
      </c>
    </row>
    <row r="10" spans="1:9" x14ac:dyDescent="0.3">
      <c r="A10" s="1" t="s">
        <v>8</v>
      </c>
      <c r="B10" s="1" t="s">
        <v>9</v>
      </c>
      <c r="C10" s="1" t="s">
        <v>10</v>
      </c>
      <c r="D10" s="1"/>
      <c r="E10" s="1" t="str">
        <f>Legends!B2</f>
        <v>Liquid at Outlet</v>
      </c>
      <c r="F10" s="1" t="str">
        <f>Legends!B3</f>
        <v>Liquid Velocity</v>
      </c>
      <c r="G10" s="1" t="str">
        <f>Legends!B4</f>
        <v>Gas Velocity</v>
      </c>
    </row>
    <row r="11" spans="1:9" x14ac:dyDescent="0.3">
      <c r="A11">
        <f>A$9 * (0 -A$8)</f>
        <v>0</v>
      </c>
      <c r="B11">
        <f>B$9 * (0 -B$8)</f>
        <v>0</v>
      </c>
      <c r="C11">
        <f>C$9 * (0 -C$8)</f>
        <v>0</v>
      </c>
      <c r="E11">
        <f>E$9 * (0.0189901404082775 -E$8)</f>
        <v>1.8990140408277501E-2</v>
      </c>
      <c r="F11">
        <f>F$9 * (6.97602319717407 -F$8)</f>
        <v>6.9760231971740696</v>
      </c>
      <c r="G11">
        <f>G$9 * (9.87746524810791 -G$8)</f>
        <v>9.8774652481079102</v>
      </c>
    </row>
    <row r="12" spans="1:9" x14ac:dyDescent="0.3">
      <c r="A12">
        <f>A$9 * (0.250237703323364 -A$8)</f>
        <v>0.25023770332336398</v>
      </c>
      <c r="B12">
        <f>B$9 * (0.250237703323364 -B$8)</f>
        <v>0.25023770332336398</v>
      </c>
      <c r="C12">
        <f>C$9 * (0.250237703323364 -C$8)</f>
        <v>0.25023770332336398</v>
      </c>
      <c r="E12">
        <f>E$9 * (0.0132571095600724 -E$8)</f>
        <v>1.3257109560072399E-2</v>
      </c>
      <c r="F12">
        <f>F$9 * (6.13306379318237 -F$8)</f>
        <v>6.1330637931823704</v>
      </c>
      <c r="G12">
        <f>G$9 * (10.4192600250244 -G$8)</f>
        <v>10.4192600250244</v>
      </c>
    </row>
    <row r="13" spans="1:9" x14ac:dyDescent="0.3">
      <c r="A13">
        <f>A$9 * (0.500134468078613 -A$8)</f>
        <v>0.50013446807861295</v>
      </c>
      <c r="B13">
        <f>B$9 * (0.500134468078613 -B$8)</f>
        <v>0.50013446807861295</v>
      </c>
      <c r="C13">
        <f>C$9 * (0.500134468078613 -C$8)</f>
        <v>0.50013446807861295</v>
      </c>
      <c r="E13">
        <f>E$9 * (0.00954968109726905 -E$8)</f>
        <v>9.5496810972690496E-3</v>
      </c>
      <c r="F13">
        <f>F$9 * (4.36546611785888 -F$8)</f>
        <v>4.3654661178588796</v>
      </c>
      <c r="G13">
        <f>G$9 * (8.80455207824707 -G$8)</f>
        <v>8.8045520782470703</v>
      </c>
    </row>
    <row r="14" spans="1:9" x14ac:dyDescent="0.3">
      <c r="A14">
        <f>A$9 * (0.750216662883758 -A$8)</f>
        <v>0.75021666288375799</v>
      </c>
      <c r="B14">
        <f>B$9 * (0.750216662883758 -B$8)</f>
        <v>0.75021666288375799</v>
      </c>
      <c r="C14">
        <f>C$9 * (0.750216662883758 -C$8)</f>
        <v>0.75021666288375799</v>
      </c>
      <c r="E14">
        <f>E$9 * (0.0131569001823663 -E$8)</f>
        <v>1.31569001823663E-2</v>
      </c>
      <c r="F14">
        <f>F$9 * (5.03891992568969 -F$8)</f>
        <v>5.0389199256896902</v>
      </c>
      <c r="G14">
        <f>G$9 * (8.42787075042724 -G$8)</f>
        <v>8.4278707504272408</v>
      </c>
    </row>
    <row r="15" spans="1:9" x14ac:dyDescent="0.3">
      <c r="A15">
        <f>A$9 * (1.00029695034027 -A$8)</f>
        <v>1.0002969503402701</v>
      </c>
      <c r="B15">
        <f>B$9 * (1.00029695034027 -B$8)</f>
        <v>1.0002969503402701</v>
      </c>
      <c r="C15">
        <f>C$9 * (1.00029695034027 -C$8)</f>
        <v>1.0002969503402701</v>
      </c>
      <c r="E15">
        <f>E$9 * (0.00936556793749332 -E$8)</f>
        <v>9.3655679374933208E-3</v>
      </c>
      <c r="F15">
        <f>F$9 * (4.04002714157104 -F$8)</f>
        <v>4.0400271415710396</v>
      </c>
      <c r="G15">
        <f>G$9 * (8.20789813995361 -G$8)</f>
        <v>8.2078981399536097</v>
      </c>
    </row>
    <row r="16" spans="1:9" x14ac:dyDescent="0.3">
      <c r="A16">
        <f>A$9 * (1.25007057189941 -A$8)</f>
        <v>1.2500705718994101</v>
      </c>
      <c r="B16">
        <f>B$9 * (1.25007057189941 -B$8)</f>
        <v>1.2500705718994101</v>
      </c>
      <c r="C16">
        <f>C$9 * (1.25007057189941 -C$8)</f>
        <v>1.2500705718994101</v>
      </c>
      <c r="E16">
        <f>E$9 * (0.00831956975162029 -E$8)</f>
        <v>8.3195697516202892E-3</v>
      </c>
      <c r="F16">
        <f>F$9 * (3.14157104492187 -F$8)</f>
        <v>3.1415710449218701</v>
      </c>
      <c r="G16">
        <f>G$9 * (6.77331686019897 -G$8)</f>
        <v>6.7733168601989702</v>
      </c>
    </row>
    <row r="17" spans="1:7" x14ac:dyDescent="0.3">
      <c r="A17">
        <f>A$9 * (1.50002884864807 -A$8)</f>
        <v>1.50002884864807</v>
      </c>
      <c r="B17">
        <f>B$9 * (1.50002884864807 -B$8)</f>
        <v>1.50002884864807</v>
      </c>
      <c r="C17">
        <f>C$9 * (1.50002884864807 -C$8)</f>
        <v>1.50002884864807</v>
      </c>
      <c r="E17">
        <f>E$9 * (0.00925261620432138 -E$8)</f>
        <v>9.2526162043213792E-3</v>
      </c>
      <c r="F17">
        <f>F$9 * (4.24377298355102 -F$8)</f>
        <v>4.2437729835510201</v>
      </c>
      <c r="G17">
        <f>G$9 * (8.72288799285888 -G$8)</f>
        <v>8.7228879928588796</v>
      </c>
    </row>
    <row r="18" spans="1:7" x14ac:dyDescent="0.3">
      <c r="A18">
        <f>A$9 * (1.75000774860382 -A$8)</f>
        <v>1.7500077486038199</v>
      </c>
      <c r="B18">
        <f>B$9 * (1.75000774860382 -B$8)</f>
        <v>1.7500077486038199</v>
      </c>
      <c r="C18">
        <f>C$9 * (1.75000774860382 -C$8)</f>
        <v>1.7500077486038199</v>
      </c>
      <c r="E18">
        <f>E$9 * (0.00869770627468824 -E$8)</f>
        <v>8.6977062746882404E-3</v>
      </c>
      <c r="F18">
        <f>F$9 * (3.68141603469848 -F$8)</f>
        <v>3.6814160346984801</v>
      </c>
      <c r="G18">
        <f>G$9 * (7.79507112503051 -G$8)</f>
        <v>7.7950711250305096</v>
      </c>
    </row>
    <row r="19" spans="1:7" x14ac:dyDescent="0.3">
      <c r="A19">
        <f>A$9 * (2.00033164024353 -A$8)</f>
        <v>2.0003316402435298</v>
      </c>
      <c r="B19">
        <f>B$9 * (2.00033164024353 -B$8)</f>
        <v>2.0003316402435298</v>
      </c>
      <c r="C19">
        <f>C$9 * (2.00033164024353 -C$8)</f>
        <v>2.0003316402435298</v>
      </c>
      <c r="E19">
        <f>E$9 * (0.0115617401897907 -E$8)</f>
        <v>1.15617401897907E-2</v>
      </c>
      <c r="F19">
        <f>F$9 * (3.94794201850891 -F$8)</f>
        <v>3.9479420185089098</v>
      </c>
      <c r="G19">
        <f>G$9 * (6.99443387985229 -G$8)</f>
        <v>6.9944338798522896</v>
      </c>
    </row>
    <row r="20" spans="1:7" x14ac:dyDescent="0.3">
      <c r="A20">
        <f>A$9 * (2.25025415420532 -A$8)</f>
        <v>2.25025415420532</v>
      </c>
      <c r="B20">
        <f>B$9 * (2.25025415420532 -B$8)</f>
        <v>2.25025415420532</v>
      </c>
      <c r="C20">
        <f>C$9 * (2.25025415420532 -C$8)</f>
        <v>2.25025415420532</v>
      </c>
      <c r="E20">
        <f>E$9 * (0.00820710603147745 -E$8)</f>
        <v>8.2071060314774496E-3</v>
      </c>
      <c r="F20">
        <f>F$9 * (3.78051590919494 -F$8)</f>
        <v>3.7805159091949401</v>
      </c>
      <c r="G20">
        <f>G$9 * (8.35314655303955 -G$8)</f>
        <v>8.3531465530395508</v>
      </c>
    </row>
    <row r="21" spans="1:7" x14ac:dyDescent="0.3">
      <c r="A21">
        <f>A$9 * (2.50017666816711 -A$8)</f>
        <v>2.5001766681671098</v>
      </c>
      <c r="B21">
        <f>B$9 * (2.50017666816711 -B$8)</f>
        <v>2.5001766681671098</v>
      </c>
      <c r="C21">
        <f>C$9 * (2.50017666816711 -C$8)</f>
        <v>2.5001766681671098</v>
      </c>
      <c r="E21">
        <f>E$9 * (0.00849279016256332 -E$8)</f>
        <v>8.4927901625633205E-3</v>
      </c>
      <c r="F21">
        <f>F$9 * (3.24290704727172 -F$8)</f>
        <v>3.2429070472717201</v>
      </c>
      <c r="G21">
        <f>G$9 * (6.91018676757812 -G$8)</f>
        <v>6.9101867675781197</v>
      </c>
    </row>
    <row r="22" spans="1:7" x14ac:dyDescent="0.3">
      <c r="A22">
        <f>A$9 * (2.7500991821289 -A$8)</f>
        <v>2.7500991821289</v>
      </c>
      <c r="B22">
        <f>B$9 * (2.7500991821289 -B$8)</f>
        <v>2.7500991821289</v>
      </c>
      <c r="C22">
        <f>C$9 * (2.7500991821289 -C$8)</f>
        <v>2.7500991821289</v>
      </c>
      <c r="E22">
        <f>E$9 * (0.0104625895619392 -E$8)</f>
        <v>1.04625895619392E-2</v>
      </c>
      <c r="F22">
        <f>F$9 * (4.54508781433105 -F$8)</f>
        <v>4.5450878143310502</v>
      </c>
      <c r="G22">
        <f>G$9 * (8.67212104797363 -G$8)</f>
        <v>8.6721210479736293</v>
      </c>
    </row>
    <row r="23" spans="1:7" x14ac:dyDescent="0.3">
      <c r="A23">
        <f>A$9 * (3.00002217292785 -A$8)</f>
        <v>3.0000221729278498</v>
      </c>
      <c r="B23">
        <f>B$9 * (3.00002217292785 -B$8)</f>
        <v>3.0000221729278498</v>
      </c>
      <c r="C23">
        <f>C$9 * (3.00002217292785 -C$8)</f>
        <v>3.0000221729278498</v>
      </c>
      <c r="E23">
        <f>E$9 * (0.00839243736118078 -E$8)</f>
        <v>8.3924373611807806E-3</v>
      </c>
      <c r="F23">
        <f>F$9 * (3.62110209465026 -F$8)</f>
        <v>3.6211020946502601</v>
      </c>
      <c r="G23">
        <f>G$9 * (7.86094522476196 -G$8)</f>
        <v>7.8609452247619602</v>
      </c>
    </row>
    <row r="24" spans="1:7" x14ac:dyDescent="0.3">
      <c r="A24">
        <f>A$9 * (3.2503445148468 -A$8)</f>
        <v>3.2503445148468</v>
      </c>
      <c r="B24">
        <f>B$9 * (3.2503445148468 -B$8)</f>
        <v>3.2503445148468</v>
      </c>
      <c r="C24">
        <f>C$9 * (3.2503445148468 -C$8)</f>
        <v>3.2503445148468</v>
      </c>
      <c r="E24">
        <f>E$9 * (0.011512080207467 -E$8)</f>
        <v>1.1512080207466999E-2</v>
      </c>
      <c r="F24">
        <f>F$9 * (3.50437188148498 -F$8)</f>
        <v>3.50437188148498</v>
      </c>
      <c r="G24">
        <f>G$9 * (6.19303321838378 -G$8)</f>
        <v>6.1930332183837802</v>
      </c>
    </row>
    <row r="25" spans="1:7" x14ac:dyDescent="0.3">
      <c r="A25">
        <f>A$9 * (3.50026941299438 -A$8)</f>
        <v>3.5002694129943799</v>
      </c>
      <c r="B25">
        <f>B$9 * (3.50026941299438 -B$8)</f>
        <v>3.5002694129943799</v>
      </c>
      <c r="C25">
        <f>C$9 * (3.50026941299438 -C$8)</f>
        <v>3.5002694129943799</v>
      </c>
      <c r="E25">
        <f>E$9 * (0.0084743658080697 -E$8)</f>
        <v>8.4743658080697008E-3</v>
      </c>
      <c r="F25">
        <f>F$9 * (3.88349795341491 -F$8)</f>
        <v>3.8834979534149099</v>
      </c>
      <c r="G25">
        <f>G$9 * (8.45409107208252 -G$8)</f>
        <v>8.4540910720825195</v>
      </c>
    </row>
    <row r="26" spans="1:7" x14ac:dyDescent="0.3">
      <c r="A26">
        <f>A$9 * (3.75019168853759 -A$8)</f>
        <v>3.7501916885375901</v>
      </c>
      <c r="B26">
        <f>B$9 * (3.75019168853759 -B$8)</f>
        <v>3.7501916885375901</v>
      </c>
      <c r="C26">
        <f>C$9 * (3.75019168853759 -C$8)</f>
        <v>3.7501916885375901</v>
      </c>
      <c r="E26">
        <f>E$9 * (0.00751087395474314 -E$8)</f>
        <v>7.51087395474314E-3</v>
      </c>
      <c r="F26">
        <f>F$9 * (2.90160489082336 -F$8)</f>
        <v>2.9016048908233598</v>
      </c>
      <c r="G26">
        <f>G$9 * (6.72075605392456 -G$8)</f>
        <v>6.7207560539245597</v>
      </c>
    </row>
    <row r="27" spans="1:7" x14ac:dyDescent="0.3">
      <c r="A27">
        <f>A$9 * (4.00011396408081 -A$8)</f>
        <v>4.0001139640808097</v>
      </c>
      <c r="B27">
        <f>B$9 * (4.00011396408081 -B$8)</f>
        <v>4.0001139640808097</v>
      </c>
      <c r="C27">
        <f>C$9 * (4.00011396408081 -C$8)</f>
        <v>4.0001139640808097</v>
      </c>
      <c r="E27">
        <f>E$9 * (0.0117009095847606 -E$8)</f>
        <v>1.17009095847606E-2</v>
      </c>
      <c r="F27">
        <f>F$9 * (5.22205686569213 -F$8)</f>
        <v>5.2220568656921298</v>
      </c>
      <c r="G27">
        <f>G$9 * (9.44923400878906 -G$8)</f>
        <v>9.4492340087890607</v>
      </c>
    </row>
    <row r="28" spans="1:7" x14ac:dyDescent="0.3">
      <c r="A28">
        <f>A$9 * (4.25003623962402 -A$8)</f>
        <v>4.2500362396240199</v>
      </c>
      <c r="B28">
        <f>B$9 * (4.25003623962402 -B$8)</f>
        <v>4.2500362396240199</v>
      </c>
      <c r="C28">
        <f>C$9 * (4.25003623962402 -C$8)</f>
        <v>4.2500362396240199</v>
      </c>
      <c r="E28">
        <f>E$9 * (0.00826132483780384 -E$8)</f>
        <v>8.2613248378038406E-3</v>
      </c>
      <c r="F28">
        <f>F$9 * (3.66607999801635 -F$8)</f>
        <v>3.6660799980163499</v>
      </c>
      <c r="G28">
        <f>G$9 * (8.09494113922119 -G$8)</f>
        <v>8.0949411392211896</v>
      </c>
    </row>
    <row r="29" spans="1:7" x14ac:dyDescent="0.3">
      <c r="A29">
        <f>A$9 * (4.50035810470581 -A$8)</f>
        <v>4.5003581047058097</v>
      </c>
      <c r="B29">
        <f>B$9 * (4.50035810470581 -B$8)</f>
        <v>4.5003581047058097</v>
      </c>
      <c r="C29">
        <f>C$9 * (4.50035810470581 -C$8)</f>
        <v>4.5003581047058097</v>
      </c>
      <c r="E29">
        <f>E$9 * (0.00948974024504423 -E$8)</f>
        <v>9.4897402450442297E-3</v>
      </c>
      <c r="F29">
        <f>F$9 * (2.19545102119445 -F$8)</f>
        <v>2.19545102119445</v>
      </c>
      <c r="G29">
        <f>G$9 * (4.28318309783935 -G$8)</f>
        <v>4.2831830978393501</v>
      </c>
    </row>
    <row r="30" spans="1:7" x14ac:dyDescent="0.3">
      <c r="A30">
        <f>A$9 * (4.7503056526184 -A$8)</f>
        <v>4.7503056526184002</v>
      </c>
      <c r="B30">
        <f>B$9 * (4.7503056526184 -B$8)</f>
        <v>4.7503056526184002</v>
      </c>
      <c r="C30">
        <f>C$9 * (4.7503056526184 -C$8)</f>
        <v>4.7503056526184002</v>
      </c>
      <c r="E30">
        <f>E$9 * (0.00719790207222104 -E$8)</f>
        <v>7.1979020722210399E-3</v>
      </c>
      <c r="F30">
        <f>F$9 * (3.68671798706054 -F$8)</f>
        <v>3.6867179870605402</v>
      </c>
      <c r="G30">
        <f>G$9 * (9.03808116912841 -G$8)</f>
        <v>9.0380811691284109</v>
      </c>
    </row>
    <row r="31" spans="1:7" x14ac:dyDescent="0.3">
      <c r="A31">
        <f>A$9 * (5.00006103515625 -A$8)</f>
        <v>5.00006103515625</v>
      </c>
      <c r="B31">
        <f>B$9 * (5.00006103515625 -B$8)</f>
        <v>5.00006103515625</v>
      </c>
      <c r="C31">
        <f>C$9 * (5.00006103515625 -C$8)</f>
        <v>5.00006103515625</v>
      </c>
      <c r="E31">
        <f>E$9 * (0.00537472777068615 -E$8)</f>
        <v>5.3747277706861496E-3</v>
      </c>
      <c r="F31">
        <f>F$9 * (1.76637995243072 -F$8)</f>
        <v>1.76637995243072</v>
      </c>
      <c r="G31">
        <f>G$9 * (5.10724401473999 -G$8)</f>
        <v>5.1072440147399902</v>
      </c>
    </row>
    <row r="32" spans="1:7" x14ac:dyDescent="0.3">
      <c r="A32">
        <f>A$9 * (5.2504858970642 -A$8)</f>
        <v>5.2504858970642001</v>
      </c>
      <c r="B32">
        <f>B$9 * (5.2504858970642 -B$8)</f>
        <v>5.2504858970642001</v>
      </c>
      <c r="C32">
        <f>C$9 * (5.2504858970642 -C$8)</f>
        <v>5.2504858970642001</v>
      </c>
      <c r="E32">
        <f>E$9 * (-0.00242825597524642 -E$8)</f>
        <v>-2.4282559752464199E-3</v>
      </c>
      <c r="F32">
        <f>F$9 * (-2.11496305465698 -F$8)</f>
        <v>-2.1149630546569802</v>
      </c>
      <c r="G32">
        <f>G$9 * (0.512343406677246 -G$8)</f>
        <v>0.51234340667724598</v>
      </c>
    </row>
    <row r="33" spans="1:7" x14ac:dyDescent="0.3">
      <c r="A33">
        <f>A$9 * (5.50045824050903 -A$8)</f>
        <v>5.5004582405090297</v>
      </c>
      <c r="B33">
        <f>B$9 * (5.50045824050903 -B$8)</f>
        <v>5.5004582405090297</v>
      </c>
      <c r="C33">
        <f>C$9 * (5.50045824050903 -C$8)</f>
        <v>5.5004582405090297</v>
      </c>
      <c r="E33">
        <f>E$9 * (0.00206511793658137 -E$8)</f>
        <v>2.0651179365813702E-3</v>
      </c>
      <c r="F33">
        <f>F$9 * (-0.362122386693954 -F$8)</f>
        <v>-0.36212238669395402</v>
      </c>
      <c r="G33">
        <f>G$9 * (2.05952191352844 -G$8)</f>
        <v>2.0595219135284402</v>
      </c>
    </row>
    <row r="34" spans="1:7" x14ac:dyDescent="0.3">
      <c r="A34">
        <f>A$9 * (5.75071668624877 -A$8)</f>
        <v>5.7507166862487704</v>
      </c>
      <c r="B34">
        <f>B$9 * (5.75071668624877 -B$8)</f>
        <v>5.7507166862487704</v>
      </c>
      <c r="C34">
        <f>C$9 * (5.75071668624877 -C$8)</f>
        <v>5.7507166862487704</v>
      </c>
      <c r="E34">
        <f>E$9 * (0.0022369660437107 -E$8)</f>
        <v>2.2369660437106999E-3</v>
      </c>
      <c r="F34">
        <f>F$9 * (-2.56807303428649 -F$8)</f>
        <v>-2.5680730342864901</v>
      </c>
      <c r="G34">
        <f>G$9 * (1.2446060180664 -G$8)</f>
        <v>1.2446060180664</v>
      </c>
    </row>
    <row r="35" spans="1:7" x14ac:dyDescent="0.3">
      <c r="A35">
        <f>A$9 * (6.00056409835815 -A$8)</f>
        <v>6.0005640983581499</v>
      </c>
      <c r="B35">
        <f>B$9 * (6.00056409835815 -B$8)</f>
        <v>6.0005640983581499</v>
      </c>
      <c r="C35">
        <f>C$9 * (6.00056409835815 -C$8)</f>
        <v>6.0005640983581499</v>
      </c>
      <c r="E35">
        <f>E$9 * (0.00327861402183771 -E$8)</f>
        <v>3.27861402183771E-3</v>
      </c>
      <c r="F35">
        <f>F$9 * (-0.0803271904587745 -F$8)</f>
        <v>-8.0327190458774497E-2</v>
      </c>
      <c r="G35">
        <f>G$9 * (7.30388879776001 -G$8)</f>
        <v>7.3038887977600098</v>
      </c>
    </row>
    <row r="36" spans="1:7" x14ac:dyDescent="0.3">
      <c r="A36">
        <f>A$9 * (6.25060272216796 -A$8)</f>
        <v>6.2506027221679599</v>
      </c>
      <c r="B36">
        <f>B$9 * (6.25060272216796 -B$8)</f>
        <v>6.2506027221679599</v>
      </c>
      <c r="C36">
        <f>C$9 * (6.25060272216796 -C$8)</f>
        <v>6.2506027221679599</v>
      </c>
      <c r="E36">
        <f>E$9 * (0.0254045501351356 -E$8)</f>
        <v>2.5404550135135599E-2</v>
      </c>
      <c r="F36">
        <f>F$9 * (2.69052910804748 -F$8)</f>
        <v>2.69052910804748</v>
      </c>
      <c r="G36">
        <f>G$9 * (3.07029700279235 -G$8)</f>
        <v>3.07029700279235</v>
      </c>
    </row>
    <row r="37" spans="1:7" x14ac:dyDescent="0.3">
      <c r="A37">
        <f>A$9 * (6.50015258789062 -A$8)</f>
        <v>6.5001525878906197</v>
      </c>
      <c r="B37">
        <f>B$9 * (6.50015258789062 -B$8)</f>
        <v>6.5001525878906197</v>
      </c>
      <c r="C37">
        <f>C$9 * (6.50015258789062 -C$8)</f>
        <v>6.5001525878906197</v>
      </c>
      <c r="E37">
        <f>E$9 * (0.0104373395442962 -E$8)</f>
        <v>1.04373395442962E-2</v>
      </c>
      <c r="F37">
        <f>F$9 * (5.5378189086914 -F$8)</f>
        <v>5.5378189086914</v>
      </c>
      <c r="G37">
        <f>G$9 * (10.9554300308227 -G$8)</f>
        <v>10.955430030822701</v>
      </c>
    </row>
    <row r="38" spans="1:7" x14ac:dyDescent="0.3">
      <c r="A38">
        <f>A$9 * (6.75020265579223 -A$8)</f>
        <v>6.7502026557922301</v>
      </c>
      <c r="B38">
        <f>B$9 * (6.75020265579223 -B$8)</f>
        <v>6.7502026557922301</v>
      </c>
      <c r="C38">
        <f>C$9 * (6.75020265579223 -C$8)</f>
        <v>6.7502026557922301</v>
      </c>
      <c r="E38">
        <f>E$9 * (0.0191051494330167 -E$8)</f>
        <v>1.9105149433016701E-2</v>
      </c>
      <c r="F38">
        <f>F$9 * (7.10554504394531 -F$8)</f>
        <v>7.1055450439453098</v>
      </c>
      <c r="G38">
        <f>G$9 * (10.1106395721435 -G$8)</f>
        <v>10.1106395721435</v>
      </c>
    </row>
    <row r="39" spans="1:7" x14ac:dyDescent="0.3">
      <c r="A39">
        <f>A$9 * (7.00038909912109 -A$8)</f>
        <v>7.0003890991210902</v>
      </c>
      <c r="B39">
        <f>B$9 * (7.00038909912109 -B$8)</f>
        <v>7.0003890991210902</v>
      </c>
      <c r="C39">
        <f>C$9 * (7.00038909912109 -C$8)</f>
        <v>7.0003890991210902</v>
      </c>
      <c r="E39">
        <f>E$9 * (0.00704096816480159 -E$8)</f>
        <v>7.0409681648015898E-3</v>
      </c>
      <c r="F39">
        <f>F$9 * (3.70105290412902 -F$8)</f>
        <v>3.7010529041290199</v>
      </c>
      <c r="G39">
        <f>G$9 * (9.2607946395874 -G$8)</f>
        <v>9.2607946395874006</v>
      </c>
    </row>
    <row r="40" spans="1:7" x14ac:dyDescent="0.3">
      <c r="A40">
        <f>A$9 * (7.25005578994751 -A$8)</f>
        <v>7.2500557899475098</v>
      </c>
      <c r="B40">
        <f>B$9 * (7.25005578994751 -B$8)</f>
        <v>7.2500557899475098</v>
      </c>
      <c r="C40">
        <f>C$9 * (7.25005578994751 -C$8)</f>
        <v>7.2500557899475098</v>
      </c>
      <c r="E40">
        <f>E$9 * (0.00424628378823399 -E$8)</f>
        <v>4.2462837882339902E-3</v>
      </c>
      <c r="F40">
        <f>F$9 * (1.36589300632476 -F$8)</f>
        <v>1.3658930063247601</v>
      </c>
      <c r="G40">
        <f>G$9 * (4.74028778076171 -G$8)</f>
        <v>4.7402877807617099</v>
      </c>
    </row>
    <row r="41" spans="1:7" x14ac:dyDescent="0.3">
      <c r="A41">
        <f>A$9 * (7.50039148330688 -A$8)</f>
        <v>7.5003914833068803</v>
      </c>
      <c r="B41">
        <f>B$9 * (7.50039148330688 -B$8)</f>
        <v>7.5003914833068803</v>
      </c>
      <c r="C41">
        <f>C$9 * (7.50039148330688 -C$8)</f>
        <v>7.5003914833068803</v>
      </c>
      <c r="E41">
        <f>E$9 * (0.0133553799241781 -E$8)</f>
        <v>1.3355379924178099E-2</v>
      </c>
      <c r="F41">
        <f>F$9 * (6.80684900283813 -F$8)</f>
        <v>6.8068490028381303</v>
      </c>
      <c r="G41">
        <f>G$9 * (11.7178697586059 -G$8)</f>
        <v>11.7178697586059</v>
      </c>
    </row>
    <row r="42" spans="1:7" x14ac:dyDescent="0.3">
      <c r="A42">
        <f>A$9 * (7.75024700164794 -A$8)</f>
        <v>7.7502470016479403</v>
      </c>
      <c r="B42">
        <f>B$9 * (7.75024700164794 -B$8)</f>
        <v>7.7502470016479403</v>
      </c>
      <c r="C42">
        <f>C$9 * (7.75024700164794 -C$8)</f>
        <v>7.7502470016479403</v>
      </c>
      <c r="E42">
        <f>E$9 * (0.00732302479445934 -E$8)</f>
        <v>7.3230247944593404E-3</v>
      </c>
      <c r="F42">
        <f>F$9 * (3.29888606071472 -F$8)</f>
        <v>3.2988860607147199</v>
      </c>
      <c r="G42">
        <f>G$9 * (7.90923690795898 -G$8)</f>
        <v>7.9092369079589799</v>
      </c>
    </row>
    <row r="43" spans="1:7" x14ac:dyDescent="0.3">
      <c r="A43">
        <f>A$9 * (8.00025272369384 -A$8)</f>
        <v>8.0002527236938406</v>
      </c>
      <c r="B43">
        <f>B$9 * (8.00025272369384 -B$8)</f>
        <v>8.0002527236938406</v>
      </c>
      <c r="C43">
        <f>C$9 * (8.00025272369384 -C$8)</f>
        <v>8.0002527236938406</v>
      </c>
      <c r="E43">
        <f>E$9 * (-0.000287909409962594 -E$8)</f>
        <v>-2.8790940996259402E-4</v>
      </c>
      <c r="F43">
        <f>F$9 * (-0.484813392162323 -F$8)</f>
        <v>-0.484813392162323</v>
      </c>
      <c r="G43">
        <f>G$9 * (0.810561716556549 -G$8)</f>
        <v>0.81056171655654896</v>
      </c>
    </row>
    <row r="44" spans="1:7" x14ac:dyDescent="0.3">
      <c r="A44">
        <f>A$9 * (8.25008296966552 -A$8)</f>
        <v>8.2500829696655202</v>
      </c>
      <c r="B44">
        <f>B$9 * (8.25008296966552 -B$8)</f>
        <v>8.2500829696655202</v>
      </c>
      <c r="C44">
        <f>C$9 * (8.25008296966552 -C$8)</f>
        <v>8.2500829696655202</v>
      </c>
      <c r="E44">
        <f>E$9 * (-0.00483032083138823 -E$8)</f>
        <v>-4.8303208313882299E-3</v>
      </c>
      <c r="F44">
        <f>F$9 * (-0.574285626411438 -F$8)</f>
        <v>-0.57428562641143799</v>
      </c>
      <c r="G44">
        <f>G$9 * (-2.96237397193908 -G$8)</f>
        <v>-2.9623739719390798</v>
      </c>
    </row>
    <row r="45" spans="1:7" x14ac:dyDescent="0.3">
      <c r="A45">
        <f>A$9 * (8.50056648254394 -A$8)</f>
        <v>8.50056648254394</v>
      </c>
      <c r="B45">
        <f>B$9 * (8.50056648254394 -B$8)</f>
        <v>8.50056648254394</v>
      </c>
      <c r="C45">
        <f>C$9 * (8.50056648254394 -C$8)</f>
        <v>8.50056648254394</v>
      </c>
      <c r="E45">
        <f>E$9 * (-0.00158715900033712 -E$8)</f>
        <v>-1.58715900033712E-3</v>
      </c>
      <c r="F45">
        <f>F$9 * (-1.07711398601532 -F$8)</f>
        <v>-1.07711398601532</v>
      </c>
      <c r="G45">
        <f>G$9 * (-0.583329916000366 -G$8)</f>
        <v>-0.58332991600036599</v>
      </c>
    </row>
    <row r="46" spans="1:7" x14ac:dyDescent="0.3">
      <c r="A46">
        <f>A$9 * (8.75008010864257 -A$8)</f>
        <v>8.7500801086425692</v>
      </c>
      <c r="B46">
        <f>B$9 * (8.75008010864257 -B$8)</f>
        <v>8.7500801086425692</v>
      </c>
      <c r="C46">
        <f>C$9 * (8.75008010864257 -C$8)</f>
        <v>8.7500801086425692</v>
      </c>
      <c r="E46">
        <f>E$9 * (0.113277897238731 -E$8)</f>
        <v>0.113277897238731</v>
      </c>
      <c r="F46">
        <f>F$9 * (22.426830291748 -F$8)</f>
        <v>22.426830291748001</v>
      </c>
      <c r="G46">
        <f>G$9 * (23.9620208740234 -G$8)</f>
        <v>23.962020874023398</v>
      </c>
    </row>
    <row r="47" spans="1:7" x14ac:dyDescent="0.3">
      <c r="A47">
        <f>A$9 * (9.00037479400634 -A$8)</f>
        <v>9.0003747940063406</v>
      </c>
      <c r="B47">
        <f>B$9 * (9.00037479400634 -B$8)</f>
        <v>9.0003747940063406</v>
      </c>
      <c r="C47">
        <f>C$9 * (9.00037479400634 -C$8)</f>
        <v>9.0003747940063406</v>
      </c>
      <c r="E47">
        <f>E$9 * (0.0244416203349828 -E$8)</f>
        <v>2.4441620334982799E-2</v>
      </c>
      <c r="F47">
        <f>F$9 * (3.61676907539367 -F$8)</f>
        <v>3.6167690753936701</v>
      </c>
      <c r="G47">
        <f>G$9 * (4.3120059967041 -G$8)</f>
        <v>4.3120059967040998</v>
      </c>
    </row>
    <row r="48" spans="1:7" x14ac:dyDescent="0.3">
      <c r="A48">
        <f>A$9 * (9.25013637542724 -A$8)</f>
        <v>9.2501363754272408</v>
      </c>
      <c r="B48">
        <f>B$9 * (9.25013637542724 -B$8)</f>
        <v>9.2501363754272408</v>
      </c>
      <c r="C48">
        <f>C$9 * (9.25013637542724 -C$8)</f>
        <v>9.2501363754272408</v>
      </c>
      <c r="E48">
        <f>E$9 * (0.0118796797469258 -E$8)</f>
        <v>1.18796797469258E-2</v>
      </c>
      <c r="F48">
        <f>F$9 * (7.36172723770141 -F$8)</f>
        <v>7.3617272377014098</v>
      </c>
      <c r="G48">
        <f>G$9 * (14.1406698226928 -G$8)</f>
        <v>14.1406698226928</v>
      </c>
    </row>
    <row r="49" spans="1:7" x14ac:dyDescent="0.3">
      <c r="A49">
        <f>A$9 * (9.50034427642822 -A$8)</f>
        <v>9.5003442764282209</v>
      </c>
      <c r="B49">
        <f>B$9 * (9.50034427642822 -B$8)</f>
        <v>9.5003442764282209</v>
      </c>
      <c r="C49">
        <f>C$9 * (9.50034427642822 -C$8)</f>
        <v>9.5003442764282209</v>
      </c>
      <c r="E49">
        <f>E$9 * (0.00941176805645227 -E$8)</f>
        <v>9.4117680564522709E-3</v>
      </c>
      <c r="F49">
        <f>F$9 * (3.45369791984558 -F$8)</f>
        <v>3.4536979198455802</v>
      </c>
      <c r="G49">
        <f>G$9 * (6.97680521011352 -G$8)</f>
        <v>6.9768052101135201</v>
      </c>
    </row>
    <row r="50" spans="1:7" x14ac:dyDescent="0.3">
      <c r="A50">
        <f>A$9 * (9.75032520294189 -A$8)</f>
        <v>9.7503252029418892</v>
      </c>
      <c r="B50">
        <f>B$9 * (9.75032520294189 -B$8)</f>
        <v>9.7503252029418892</v>
      </c>
      <c r="C50">
        <f>C$9 * (9.75032520294189 -C$8)</f>
        <v>9.7503252029418892</v>
      </c>
      <c r="E50">
        <f>E$9 * (0.00873095542192459 -E$8)</f>
        <v>8.7309554219245893E-3</v>
      </c>
      <c r="F50">
        <f>F$9 * (4.21401214599609 -F$8)</f>
        <v>4.2140121459960902</v>
      </c>
      <c r="G50">
        <f>G$9 * (9.14456462860107 -G$8)</f>
        <v>9.1445646286010707</v>
      </c>
    </row>
    <row r="51" spans="1:7" x14ac:dyDescent="0.3">
      <c r="A51">
        <f>A$9 * (10.000319480896 -A$8)</f>
        <v>10.000319480896</v>
      </c>
      <c r="B51">
        <f>B$9 * (10.000319480896 -B$8)</f>
        <v>10.000319480896</v>
      </c>
      <c r="C51">
        <f>C$9 * (10.000319480896 -C$8)</f>
        <v>10.000319480896</v>
      </c>
      <c r="E51">
        <f>E$9 * (0.00570375612005591 -E$8)</f>
        <v>5.7037561200559096E-3</v>
      </c>
      <c r="F51">
        <f>F$9 * (2.91199088096618 -F$8)</f>
        <v>2.9119908809661799</v>
      </c>
      <c r="G51">
        <f>G$9 * (8.38231945037841 -G$8)</f>
        <v>8.3823194503784109</v>
      </c>
    </row>
    <row r="52" spans="1:7" x14ac:dyDescent="0.3">
      <c r="A52">
        <f>A$9 * (10.2502002716064 -A$8)</f>
        <v>10.250200271606399</v>
      </c>
      <c r="B52">
        <f>B$9 * (10.2502002716064 -B$8)</f>
        <v>10.250200271606399</v>
      </c>
      <c r="C52">
        <f>C$9 * (10.2502002716064 -C$8)</f>
        <v>10.250200271606399</v>
      </c>
      <c r="E52">
        <f>E$9 * (0.00147187104448676 -E$8)</f>
        <v>1.47187104448676E-3</v>
      </c>
      <c r="F52">
        <f>F$9 * (0.286592811346054 -F$8)</f>
        <v>0.28659281134605402</v>
      </c>
      <c r="G52">
        <f>G$9 * (2.35572504997253 -G$8)</f>
        <v>2.3557250499725302</v>
      </c>
    </row>
    <row r="53" spans="1:7" x14ac:dyDescent="0.3">
      <c r="A53">
        <f>A$9 * (10.500033378601 -A$8)</f>
        <v>10.500033378601</v>
      </c>
      <c r="B53">
        <f>B$9 * (10.500033378601 -B$8)</f>
        <v>10.500033378601</v>
      </c>
      <c r="C53">
        <f>C$9 * (10.500033378601 -C$8)</f>
        <v>10.500033378601</v>
      </c>
      <c r="E53">
        <f>E$9 * (-0.00187913898844271 -E$8)</f>
        <v>-1.8791389884427101E-3</v>
      </c>
      <c r="F53">
        <f>F$9 * (-1.93187201023101 -F$8)</f>
        <v>-1.9318720102310101</v>
      </c>
      <c r="G53">
        <f>G$9 * (0.696068584918975 -G$8)</f>
        <v>0.69606858491897505</v>
      </c>
    </row>
    <row r="54" spans="1:7" x14ac:dyDescent="0.3">
      <c r="A54">
        <f>A$9 * (10.7501249313354 -A$8)</f>
        <v>10.750124931335399</v>
      </c>
      <c r="B54">
        <f>B$9 * (10.7501249313354 -B$8)</f>
        <v>10.750124931335399</v>
      </c>
      <c r="C54">
        <f>C$9 * (10.7501249313354 -C$8)</f>
        <v>10.750124931335399</v>
      </c>
      <c r="E54">
        <f>E$9 * (0.00776952877640724 -E$8)</f>
        <v>7.7695287764072401E-3</v>
      </c>
      <c r="F54">
        <f>F$9 * (-0.705271780490875 -F$8)</f>
        <v>-0.70527178049087502</v>
      </c>
      <c r="G54">
        <f>G$9 * (1.83864402770996 -G$8)</f>
        <v>1.83864402770996</v>
      </c>
    </row>
    <row r="55" spans="1:7" x14ac:dyDescent="0.3">
      <c r="A55">
        <f>A$9 * (11.0005111694335 -A$8)</f>
        <v>11.0005111694335</v>
      </c>
      <c r="B55">
        <f>B$9 * (11.0005111694335 -B$8)</f>
        <v>11.0005111694335</v>
      </c>
      <c r="C55">
        <f>C$9 * (11.0005111694335 -C$8)</f>
        <v>11.0005111694335</v>
      </c>
      <c r="E55">
        <f>E$9 * (0.0023185599129647 -E$8)</f>
        <v>2.3185599129646999E-3</v>
      </c>
      <c r="F55">
        <f>F$9 * (-0.0518299303948879 -F$8)</f>
        <v>-5.1829930394887903E-2</v>
      </c>
      <c r="G55">
        <f>G$9 * (7.3838768005371 -G$8)</f>
        <v>7.3838768005370996</v>
      </c>
    </row>
    <row r="56" spans="1:7" x14ac:dyDescent="0.3">
      <c r="A56">
        <f>A$9 * (11.2504749298095 -A$8)</f>
        <v>11.250474929809499</v>
      </c>
      <c r="B56">
        <f>B$9 * (11.2504749298095 -B$8)</f>
        <v>11.250474929809499</v>
      </c>
      <c r="C56">
        <f>C$9 * (11.2504749298095 -C$8)</f>
        <v>11.250474929809499</v>
      </c>
      <c r="E56">
        <f>E$9 * (-0.00189168797805905 -E$8)</f>
        <v>-1.89168797805905E-3</v>
      </c>
      <c r="F56">
        <f>F$9 * (-0.638105273246765 -F$8)</f>
        <v>-0.63810527324676503</v>
      </c>
      <c r="G56">
        <f>G$9 * (-0.674281597137451 -G$8)</f>
        <v>-0.67428159713745095</v>
      </c>
    </row>
    <row r="57" spans="1:7" x14ac:dyDescent="0.3">
      <c r="A57">
        <f>A$9 * (11.5001440048217 -A$8)</f>
        <v>11.500144004821699</v>
      </c>
      <c r="B57">
        <f>B$9 * (11.5001440048217 -B$8)</f>
        <v>11.500144004821699</v>
      </c>
      <c r="C57">
        <f>C$9 * (11.5001440048217 -C$8)</f>
        <v>11.500144004821699</v>
      </c>
      <c r="E57">
        <f>E$9 * (0.000410811800975352 -E$8)</f>
        <v>4.1081180097535198E-4</v>
      </c>
      <c r="F57">
        <f>F$9 * (-0.332208812236785 -F$8)</f>
        <v>-0.332208812236785</v>
      </c>
      <c r="G57">
        <f>G$9 * (0.821928322315216 -G$8)</f>
        <v>0.82192832231521595</v>
      </c>
    </row>
    <row r="58" spans="1:7" x14ac:dyDescent="0.3">
      <c r="A58">
        <f>A$9 * (11.7502746582031 -A$8)</f>
        <v>11.7502746582031</v>
      </c>
      <c r="B58">
        <f>B$9 * (11.7502746582031 -B$8)</f>
        <v>11.7502746582031</v>
      </c>
      <c r="C58">
        <f>C$9 * (11.7502746582031 -C$8)</f>
        <v>11.7502746582031</v>
      </c>
      <c r="E58">
        <f>E$9 * (-0.000635391508694738 -E$8)</f>
        <v>-6.3539150869473804E-4</v>
      </c>
      <c r="F58">
        <f>F$9 * (-0.193189293146133 -F$8)</f>
        <v>-0.19318929314613301</v>
      </c>
      <c r="G58">
        <f>G$9 * (-0.18775899708271 -G$8)</f>
        <v>-0.18775899708270999</v>
      </c>
    </row>
    <row r="59" spans="1:7" x14ac:dyDescent="0.3">
      <c r="A59">
        <f>A$9 * (12.0000305175781 -A$8)</f>
        <v>12.0000305175781</v>
      </c>
      <c r="B59">
        <f>B$9 * (12.0000305175781 -B$8)</f>
        <v>12.0000305175781</v>
      </c>
      <c r="C59">
        <f>C$9 * (12.0000305175781 -C$8)</f>
        <v>12.0000305175781</v>
      </c>
      <c r="E59">
        <f>E$9 * (0.00901088211685419 -E$8)</f>
        <v>9.0108821168541908E-3</v>
      </c>
      <c r="F59">
        <f>F$9 * (0.280169695615768 -F$8)</f>
        <v>0.28016969561576799</v>
      </c>
      <c r="G59">
        <f>G$9 * (0.517882585525512 -G$8)</f>
        <v>0.51788258552551203</v>
      </c>
    </row>
    <row r="60" spans="1:7" x14ac:dyDescent="0.3">
      <c r="A60">
        <f>A$9 * (12.2506418228149 -A$8)</f>
        <v>12.250641822814901</v>
      </c>
      <c r="B60">
        <f>B$9 * (12.2506418228149 -B$8)</f>
        <v>12.250641822814901</v>
      </c>
      <c r="C60">
        <f>C$9 * (12.2506418228149 -C$8)</f>
        <v>12.250641822814901</v>
      </c>
      <c r="E60">
        <f>E$9 * (0.00353793706744909 -E$8)</f>
        <v>3.5379370674490898E-3</v>
      </c>
      <c r="F60">
        <f>F$9 * (0.0126754101365804 -F$8)</f>
        <v>1.26754101365804E-2</v>
      </c>
      <c r="G60">
        <f>G$9 * (7.95589780807495 -G$8)</f>
        <v>7.9558978080749503</v>
      </c>
    </row>
    <row r="61" spans="1:7" x14ac:dyDescent="0.3">
      <c r="A61">
        <f>A$9 * (12.5005025863647 -A$8)</f>
        <v>12.5005025863647</v>
      </c>
      <c r="B61">
        <f>B$9 * (12.5005025863647 -B$8)</f>
        <v>12.5005025863647</v>
      </c>
      <c r="C61">
        <f>C$9 * (12.5005025863647 -C$8)</f>
        <v>12.5005025863647</v>
      </c>
      <c r="E61">
        <f>E$9 * (0.0170581098645925 -E$8)</f>
        <v>1.70581098645925E-2</v>
      </c>
      <c r="F61">
        <f>F$9 * (9.49567699432373 -F$8)</f>
        <v>9.4956769943237305</v>
      </c>
      <c r="G61">
        <f>G$9 * (15.8199596405029 -G$8)</f>
        <v>15.819959640502899</v>
      </c>
    </row>
    <row r="62" spans="1:7" x14ac:dyDescent="0.3">
      <c r="A62">
        <f>A$9 * (12.750319480896 -A$8)</f>
        <v>12.750319480896</v>
      </c>
      <c r="B62">
        <f>B$9 * (12.750319480896 -B$8)</f>
        <v>12.750319480896</v>
      </c>
      <c r="C62">
        <f>C$9 * (12.750319480896 -C$8)</f>
        <v>12.750319480896</v>
      </c>
      <c r="E62">
        <f>E$9 * (0.0068800039589405 -E$8)</f>
        <v>6.8800039589404999E-3</v>
      </c>
      <c r="F62">
        <f>F$9 * (3.59058499336242 -F$8)</f>
        <v>3.5905849933624201</v>
      </c>
      <c r="G62">
        <f>G$9 * (9.14894580841064 -G$8)</f>
        <v>9.1489458084106392</v>
      </c>
    </row>
    <row r="63" spans="1:7" x14ac:dyDescent="0.3">
      <c r="A63">
        <f>A$9 * (13.0003471374511 -A$8)</f>
        <v>13.000347137451101</v>
      </c>
      <c r="B63">
        <f>B$9 * (13.0003471374511 -B$8)</f>
        <v>13.000347137451101</v>
      </c>
      <c r="C63">
        <f>C$9 * (13.0003471374511 -C$8)</f>
        <v>13.000347137451101</v>
      </c>
      <c r="E63">
        <f>E$9 * (0.00999962911009788 -E$8)</f>
        <v>9.9996291100978799E-3</v>
      </c>
      <c r="F63">
        <f>F$9 * (4.47964715957641 -F$8)</f>
        <v>4.4796471595764098</v>
      </c>
      <c r="G63">
        <f>G$9 * (8.93027019500732 -G$8)</f>
        <v>8.9302701950073207</v>
      </c>
    </row>
    <row r="64" spans="1:7" x14ac:dyDescent="0.3">
      <c r="A64">
        <f>A$9 * (13.2501249313354 -A$8)</f>
        <v>13.250124931335399</v>
      </c>
      <c r="B64">
        <f>B$9 * (13.2501249313354 -B$8)</f>
        <v>13.250124931335399</v>
      </c>
      <c r="C64">
        <f>C$9 * (13.2501249313354 -C$8)</f>
        <v>13.250124931335399</v>
      </c>
      <c r="E64">
        <f>E$9 * (0.00624189618974924 -E$8)</f>
        <v>6.24189618974924E-3</v>
      </c>
      <c r="F64">
        <f>F$9 * (3.05367493629455 -F$8)</f>
        <v>3.0536749362945499</v>
      </c>
      <c r="G64">
        <f>G$9 * (8.24609661102294 -G$8)</f>
        <v>8.2460966110229403</v>
      </c>
    </row>
    <row r="65" spans="1:7" x14ac:dyDescent="0.3">
      <c r="A65">
        <f>A$9 * (13.5002336502075 -A$8)</f>
        <v>13.5002336502075</v>
      </c>
      <c r="B65">
        <f>B$9 * (13.5002336502075 -B$8)</f>
        <v>13.5002336502075</v>
      </c>
      <c r="C65">
        <f>C$9 * (13.5002336502075 -C$8)</f>
        <v>13.5002336502075</v>
      </c>
      <c r="E65">
        <f>E$9 * (0.00270223803818225 -E$8)</f>
        <v>2.7022380381822499E-3</v>
      </c>
      <c r="F65">
        <f>F$9 * (0.628192007541656 -F$8)</f>
        <v>0.62819200754165605</v>
      </c>
      <c r="G65">
        <f>G$9 * (3.12716197967529 -G$8)</f>
        <v>3.1271619796752899</v>
      </c>
    </row>
    <row r="66" spans="1:7" x14ac:dyDescent="0.3">
      <c r="A66">
        <f>A$9 * (13.7500553131103 -A$8)</f>
        <v>13.7500553131103</v>
      </c>
      <c r="B66">
        <f>B$9 * (13.7500553131103 -B$8)</f>
        <v>13.7500553131103</v>
      </c>
      <c r="C66">
        <f>C$9 * (13.7500553131103 -C$8)</f>
        <v>13.7500553131103</v>
      </c>
      <c r="E66">
        <f>E$9 * (0.00469467788934707 -E$8)</f>
        <v>4.6946778893470703E-3</v>
      </c>
      <c r="F66">
        <f>F$9 * (0.633096396923065 -F$8)</f>
        <v>0.63309639692306496</v>
      </c>
      <c r="G66">
        <f>G$9 * (1.97780895233154 -G$8)</f>
        <v>1.9778089523315401</v>
      </c>
    </row>
    <row r="67" spans="1:7" x14ac:dyDescent="0.3">
      <c r="A67">
        <f>A$9 * (14.0003833770752 -A$8)</f>
        <v>14.000383377075201</v>
      </c>
      <c r="B67">
        <f>B$9 * (14.0003833770752 -B$8)</f>
        <v>14.000383377075201</v>
      </c>
      <c r="C67">
        <f>C$9 * (14.0003833770752 -C$8)</f>
        <v>14.000383377075201</v>
      </c>
      <c r="E67">
        <f>E$9 * (0.00228123995475471 -E$8)</f>
        <v>2.2812399547547102E-3</v>
      </c>
      <c r="F67">
        <f>F$9 * (1.77606499195098 -F$8)</f>
        <v>1.7760649919509801</v>
      </c>
      <c r="G67">
        <f>G$9 * (10.9381103515625 -G$8)</f>
        <v>10.9381103515625</v>
      </c>
    </row>
    <row r="68" spans="1:7" x14ac:dyDescent="0.3">
      <c r="A68">
        <f>A$9 * (14.2503004074096 -A$8)</f>
        <v>14.2503004074096</v>
      </c>
      <c r="B68">
        <f>B$9 * (14.2503004074096 -B$8)</f>
        <v>14.2503004074096</v>
      </c>
      <c r="C68">
        <f>C$9 * (14.2503004074096 -C$8)</f>
        <v>14.2503004074096</v>
      </c>
      <c r="E68">
        <f>E$9 * (0.00035532540641725 -E$8)</f>
        <v>3.5532540641724998E-4</v>
      </c>
      <c r="F68">
        <f>F$9 * (-1.14971005916595 -F$8)</f>
        <v>-1.1497100591659499</v>
      </c>
      <c r="G68">
        <f>G$9 * (1.99179995059967 -G$8)</f>
        <v>1.99179995059967</v>
      </c>
    </row>
    <row r="69" spans="1:7" x14ac:dyDescent="0.3">
      <c r="A69">
        <f>A$9 * (14.5004892349243 -A$8)</f>
        <v>14.5004892349243</v>
      </c>
      <c r="B69">
        <f>B$9 * (14.5004892349243 -B$8)</f>
        <v>14.5004892349243</v>
      </c>
      <c r="C69">
        <f>C$9 * (14.5004892349243 -C$8)</f>
        <v>14.5004892349243</v>
      </c>
      <c r="E69">
        <f>E$9 * (-0.000929668312892317 -E$8)</f>
        <v>-9.2966831289231701E-4</v>
      </c>
      <c r="F69">
        <f>F$9 * (-1.28058898448944 -F$8)</f>
        <v>-1.28058898448944</v>
      </c>
      <c r="G69">
        <f>G$9 * (0.847035229206085 -G$8)</f>
        <v>0.84703522920608498</v>
      </c>
    </row>
    <row r="70" spans="1:7" x14ac:dyDescent="0.3">
      <c r="A70">
        <f>A$9 * (14.7505807876586 -A$8)</f>
        <v>14.750580787658601</v>
      </c>
      <c r="B70">
        <f>B$9 * (14.7505807876586 -B$8)</f>
        <v>14.750580787658601</v>
      </c>
      <c r="C70">
        <f>C$9 * (14.7505807876586 -C$8)</f>
        <v>14.750580787658601</v>
      </c>
      <c r="E70">
        <f>E$9 * (0.000833252619486302 -E$8)</f>
        <v>8.3325261948630203E-4</v>
      </c>
      <c r="F70">
        <f>F$9 * (-0.759284675121307 -F$8)</f>
        <v>-0.75928467512130704</v>
      </c>
      <c r="G70">
        <f>G$9 * (2.54063010215759 -G$8)</f>
        <v>2.5406301021575901</v>
      </c>
    </row>
    <row r="71" spans="1:7" x14ac:dyDescent="0.3">
      <c r="A71">
        <f>A$9 * (15.0002059936523 -A$8)</f>
        <v>15.000205993652299</v>
      </c>
      <c r="B71">
        <f>B$9 * (15.0002059936523 -B$8)</f>
        <v>15.000205993652299</v>
      </c>
      <c r="C71">
        <f>C$9 * (15.0002059936523 -C$8)</f>
        <v>15.000205993652299</v>
      </c>
      <c r="E71">
        <f>E$9 * (-0.00042713590664789 -E$8)</f>
        <v>-4.2713590664788999E-4</v>
      </c>
      <c r="F71">
        <f>F$9 * (-0.784047305583953 -F$8)</f>
        <v>-0.78404730558395297</v>
      </c>
      <c r="G71">
        <f>G$9 * (0.329506993293762 -G$8)</f>
        <v>0.32950699329376198</v>
      </c>
    </row>
    <row r="72" spans="1:7" x14ac:dyDescent="0.3">
      <c r="A72">
        <f>A$9 * (15.2500190734863 -A$8)</f>
        <v>15.2500190734863</v>
      </c>
      <c r="B72">
        <f>B$9 * (15.2500190734863 -B$8)</f>
        <v>15.2500190734863</v>
      </c>
      <c r="C72">
        <f>C$9 * (15.2500190734863 -C$8)</f>
        <v>15.2500190734863</v>
      </c>
      <c r="E72">
        <f>E$9 * (0.0027043130248785 -E$8)</f>
        <v>2.7043130248785002E-3</v>
      </c>
      <c r="F72">
        <f>F$9 * (0.144426107406616 -F$8)</f>
        <v>0.14442610740661599</v>
      </c>
      <c r="G72">
        <f>G$9 * (27.2390403747558 -G$8)</f>
        <v>27.239040374755799</v>
      </c>
    </row>
    <row r="73" spans="1:7" x14ac:dyDescent="0.3">
      <c r="A73">
        <f>A$9 * (15.5004386901855 -A$8)</f>
        <v>15.500438690185501</v>
      </c>
      <c r="B73">
        <f>B$9 * (15.5004386901855 -B$8)</f>
        <v>15.500438690185501</v>
      </c>
      <c r="C73">
        <f>C$9 * (15.5004386901855 -C$8)</f>
        <v>15.500438690185501</v>
      </c>
      <c r="E73">
        <f>E$9 * (0.0401204414665699 -E$8)</f>
        <v>4.0120441466569901E-2</v>
      </c>
      <c r="F73">
        <f>F$9 * (15.480429649353 -F$8)</f>
        <v>15.480429649353001</v>
      </c>
      <c r="G73">
        <f>G$9 * (18.9420890808105 -G$8)</f>
        <v>18.942089080810501</v>
      </c>
    </row>
    <row r="74" spans="1:7" x14ac:dyDescent="0.3">
      <c r="A74">
        <f>A$9 * (15.7500944137573 -A$8)</f>
        <v>15.750094413757299</v>
      </c>
      <c r="B74">
        <f>B$9 * (15.7500944137573 -B$8)</f>
        <v>15.750094413757299</v>
      </c>
      <c r="C74">
        <f>C$9 * (15.7500944137573 -C$8)</f>
        <v>15.750094413757299</v>
      </c>
      <c r="E74">
        <f>E$9 * (0.00963817071169614 -E$8)</f>
        <v>9.6381707116961392E-3</v>
      </c>
      <c r="F74">
        <f>F$9 * (5.81568622589111 -F$8)</f>
        <v>5.8156862258911097</v>
      </c>
      <c r="G74">
        <f>G$9 * (12.2244100570678 -G$8)</f>
        <v>12.2244100570678</v>
      </c>
    </row>
    <row r="75" spans="1:7" x14ac:dyDescent="0.3">
      <c r="A75">
        <f>A$9 * (16.0000190734863 -A$8)</f>
        <v>16.0000190734863</v>
      </c>
      <c r="B75">
        <f>B$9 * (16.0000190734863 -B$8)</f>
        <v>16.0000190734863</v>
      </c>
      <c r="C75">
        <f>C$9 * (16.0000190734863 -C$8)</f>
        <v>16.0000190734863</v>
      </c>
      <c r="E75">
        <f>E$9 * (0.014255310408771 -E$8)</f>
        <v>1.4255310408771E-2</v>
      </c>
      <c r="F75">
        <f>F$9 * (4.26087379455566 -F$8)</f>
        <v>4.2608737945556596</v>
      </c>
      <c r="G75">
        <f>G$9 * (6.7981572151184 -G$8)</f>
        <v>6.7981572151184002</v>
      </c>
    </row>
    <row r="76" spans="1:7" x14ac:dyDescent="0.3">
      <c r="A76">
        <f>A$9 * (16.2500972747802 -A$8)</f>
        <v>16.250097274780199</v>
      </c>
      <c r="B76">
        <f>B$9 * (16.2500972747802 -B$8)</f>
        <v>16.250097274780199</v>
      </c>
      <c r="C76">
        <f>C$9 * (16.2500972747802 -C$8)</f>
        <v>16.250097274780199</v>
      </c>
      <c r="E76">
        <f>E$9 * (0.00709551805630326 -E$8)</f>
        <v>7.0955180563032601E-3</v>
      </c>
      <c r="F76">
        <f>F$9 * (3.48452591896057 -F$8)</f>
        <v>3.48452591896057</v>
      </c>
      <c r="G76">
        <f>G$9 * (8.65031623840332 -G$8)</f>
        <v>8.6503162384033203</v>
      </c>
    </row>
    <row r="77" spans="1:7" x14ac:dyDescent="0.3">
      <c r="A77">
        <f>A$9 * (16.5001335144043 -A$8)</f>
        <v>16.5001335144043</v>
      </c>
      <c r="B77">
        <f>B$9 * (16.5001335144043 -B$8)</f>
        <v>16.5001335144043</v>
      </c>
      <c r="C77">
        <f>C$9 * (16.5001335144043 -C$8)</f>
        <v>16.5001335144043</v>
      </c>
      <c r="E77">
        <f>E$9 * (0.00412219483405351 -E$8)</f>
        <v>4.1221948340535103E-3</v>
      </c>
      <c r="F77">
        <f>F$9 * (1.54637205600738 -F$8)</f>
        <v>1.5463720560073799</v>
      </c>
      <c r="G77">
        <f>G$9 * (5.53260421752929 -G$8)</f>
        <v>5.5326042175292898</v>
      </c>
    </row>
    <row r="78" spans="1:7" x14ac:dyDescent="0.3">
      <c r="A78">
        <f>A$9 * (16.7502079010009 -A$8)</f>
        <v>16.750207901000898</v>
      </c>
      <c r="B78">
        <f>B$9 * (16.7502079010009 -B$8)</f>
        <v>16.750207901000898</v>
      </c>
      <c r="C78">
        <f>C$9 * (16.7502079010009 -C$8)</f>
        <v>16.750207901000898</v>
      </c>
      <c r="E78">
        <f>E$9 * (-0.00248006102629005 -E$8)</f>
        <v>-2.48006102629005E-3</v>
      </c>
      <c r="F78">
        <f>F$9 * (-0.533696174621582 -F$8)</f>
        <v>-0.53369617462158203</v>
      </c>
      <c r="G78">
        <f>G$9 * (1.35956394672393 -G$8)</f>
        <v>1.35956394672393</v>
      </c>
    </row>
    <row r="79" spans="1:7" x14ac:dyDescent="0.3">
      <c r="A79">
        <f>A$9 * (17.0002880096435 -A$8)</f>
        <v>17.000288009643501</v>
      </c>
      <c r="B79">
        <f>B$9 * (17.0002880096435 -B$8)</f>
        <v>17.000288009643501</v>
      </c>
      <c r="C79">
        <f>C$9 * (17.0002880096435 -C$8)</f>
        <v>17.000288009643501</v>
      </c>
      <c r="E79">
        <f>E$9 * (-0.00336190592497587 -E$8)</f>
        <v>-3.3619059249758699E-3</v>
      </c>
      <c r="F79">
        <f>F$9 * (-0.507326126098632 -F$8)</f>
        <v>-0.50732612609863204</v>
      </c>
      <c r="G79">
        <f>G$9 * (-1.93887197971344 -G$8)</f>
        <v>-1.9388719797134399</v>
      </c>
    </row>
    <row r="80" spans="1:7" x14ac:dyDescent="0.3">
      <c r="A80">
        <f>A$9 * (17.2501525878906 -A$8)</f>
        <v>17.2501525878906</v>
      </c>
      <c r="B80">
        <f>B$9 * (17.2501525878906 -B$8)</f>
        <v>17.2501525878906</v>
      </c>
      <c r="C80">
        <f>C$9 * (17.2501525878906 -C$8)</f>
        <v>17.2501525878906</v>
      </c>
      <c r="E80">
        <f>E$9 * (0.0747817680239677 -E$8)</f>
        <v>7.4781768023967701E-2</v>
      </c>
      <c r="F80">
        <f>F$9 * (3.28612208366394 -F$8)</f>
        <v>3.28612208366394</v>
      </c>
      <c r="G80">
        <f>G$9 * (3.44827008247375 -G$8)</f>
        <v>3.44827008247375</v>
      </c>
    </row>
    <row r="81" spans="1:7" x14ac:dyDescent="0.3">
      <c r="A81">
        <f>A$9 * (17.5003662109375 -A$8)</f>
        <v>17.5003662109375</v>
      </c>
      <c r="B81">
        <f>B$9 * (17.5003662109375 -B$8)</f>
        <v>17.5003662109375</v>
      </c>
      <c r="C81">
        <f>C$9 * (17.5003662109375 -C$8)</f>
        <v>17.5003662109375</v>
      </c>
      <c r="E81">
        <f>E$9 * (0.00857678521424531 -E$8)</f>
        <v>8.5767852142453107E-3</v>
      </c>
      <c r="F81">
        <f>F$9 * (2.25915503501892 -F$8)</f>
        <v>2.25915503501892</v>
      </c>
      <c r="G81">
        <f>G$9 * (4.75150680541992 -G$8)</f>
        <v>4.7515068054199201</v>
      </c>
    </row>
    <row r="82" spans="1:7" x14ac:dyDescent="0.3">
      <c r="A82">
        <f>A$9 * (17.7500247955322 -A$8)</f>
        <v>17.750024795532202</v>
      </c>
      <c r="B82">
        <f>B$9 * (17.7500247955322 -B$8)</f>
        <v>17.750024795532202</v>
      </c>
      <c r="C82">
        <f>C$9 * (17.7500247955322 -C$8)</f>
        <v>17.750024795532202</v>
      </c>
      <c r="E82">
        <f>E$9 * (-0.000284715788438916 -E$8)</f>
        <v>-2.8471578843891599E-4</v>
      </c>
      <c r="F82">
        <f>F$9 * (-0.771025300025939 -F$8)</f>
        <v>-0.77102530002593905</v>
      </c>
      <c r="G82">
        <f>G$9 * (1.358078956604 -G$8)</f>
        <v>1.3580789566039999</v>
      </c>
    </row>
    <row r="83" spans="1:7" x14ac:dyDescent="0.3">
      <c r="A83">
        <f>A$9 * (18.000467300415 -A$8)</f>
        <v>18.000467300415</v>
      </c>
      <c r="B83">
        <f>B$9 * (18.000467300415 -B$8)</f>
        <v>18.000467300415</v>
      </c>
      <c r="C83">
        <f>C$9 * (18.000467300415 -C$8)</f>
        <v>18.000467300415</v>
      </c>
      <c r="E83">
        <f>E$9 * (-0.00106563197914511 -E$8)</f>
        <v>-1.0656319791451101E-3</v>
      </c>
      <c r="F83">
        <f>F$9 * (-1.02801394462585 -F$8)</f>
        <v>-1.0280139446258501</v>
      </c>
      <c r="G83">
        <f>G$9 * (-0.254233509302139 -G$8)</f>
        <v>-0.254233509302139</v>
      </c>
    </row>
    <row r="84" spans="1:7" x14ac:dyDescent="0.3">
      <c r="A84">
        <f>A$9 * (18.2505912780761 -A$8)</f>
        <v>18.250591278076101</v>
      </c>
      <c r="B84">
        <f>B$9 * (18.2505912780761 -B$8)</f>
        <v>18.250591278076101</v>
      </c>
      <c r="C84">
        <f>C$9 * (18.2505912780761 -C$8)</f>
        <v>18.250591278076101</v>
      </c>
      <c r="E84">
        <f>E$9 * (-0.0000788456018199212 -E$8)</f>
        <v>-7.8845601819921204E-5</v>
      </c>
      <c r="F84">
        <f>F$9 * (-0.560851395130157 -F$8)</f>
        <v>-0.56085139513015703</v>
      </c>
      <c r="G84">
        <f>G$9 * (0.406901895999908 -G$8)</f>
        <v>0.406901895999908</v>
      </c>
    </row>
    <row r="85" spans="1:7" x14ac:dyDescent="0.3">
      <c r="A85">
        <f>A$9 * (18.5000629425048 -A$8)</f>
        <v>18.500062942504801</v>
      </c>
      <c r="B85">
        <f>B$9 * (18.5000629425048 -B$8)</f>
        <v>18.500062942504801</v>
      </c>
      <c r="C85">
        <f>C$9 * (18.5000629425048 -C$8)</f>
        <v>18.500062942504801</v>
      </c>
      <c r="E85">
        <f>E$9 * (0.165263503789901 -E$8)</f>
        <v>0.16526350378990101</v>
      </c>
      <c r="F85">
        <f>F$9 * (8.48819160461425 -F$8)</f>
        <v>8.4881916046142507</v>
      </c>
      <c r="G85">
        <f>G$9 * (8.74162483215332 -G$8)</f>
        <v>8.7416248321533203</v>
      </c>
    </row>
    <row r="86" spans="1:7" x14ac:dyDescent="0.3">
      <c r="A86">
        <f>A$9 * (18.7500972747802 -A$8)</f>
        <v>18.750097274780199</v>
      </c>
      <c r="B86">
        <f>B$9 * (18.7500972747802 -B$8)</f>
        <v>18.750097274780199</v>
      </c>
      <c r="C86">
        <f>C$9 * (18.7500972747802 -C$8)</f>
        <v>18.750097274780199</v>
      </c>
      <c r="E86">
        <f>E$9 * (0.0428698994219303 -E$8)</f>
        <v>4.2869899421930299E-2</v>
      </c>
      <c r="F86">
        <f>F$9 * (6.65730381011962 -F$8)</f>
        <v>6.65730381011962</v>
      </c>
      <c r="G86">
        <f>G$9 * (7.08848619461059 -G$8)</f>
        <v>7.0884861946105904</v>
      </c>
    </row>
    <row r="87" spans="1:7" x14ac:dyDescent="0.3">
      <c r="A87">
        <f>A$9 * (19.0000972747802 -A$8)</f>
        <v>19.000097274780199</v>
      </c>
      <c r="B87">
        <f>B$9 * (19.0000972747802 -B$8)</f>
        <v>19.000097274780199</v>
      </c>
      <c r="C87">
        <f>C$9 * (19.0000972747802 -C$8)</f>
        <v>19.000097274780199</v>
      </c>
      <c r="E87">
        <f>E$9 * (0.0130777200683951 -E$8)</f>
        <v>1.30777200683951E-2</v>
      </c>
      <c r="F87">
        <f>F$9 * (7.70834016799926 -F$8)</f>
        <v>7.7083401679992596</v>
      </c>
      <c r="G87">
        <f>G$9 * (13.942099571228 -G$8)</f>
        <v>13.942099571228001</v>
      </c>
    </row>
    <row r="88" spans="1:7" x14ac:dyDescent="0.3">
      <c r="A88">
        <f>A$9 * (19.2501144409179 -A$8)</f>
        <v>19.250114440917901</v>
      </c>
      <c r="B88">
        <f>B$9 * (19.2501144409179 -B$8)</f>
        <v>19.250114440917901</v>
      </c>
      <c r="C88">
        <f>C$9 * (19.2501144409179 -C$8)</f>
        <v>19.250114440917901</v>
      </c>
      <c r="E88">
        <f>E$9 * (0.00960553996264934 -E$8)</f>
        <v>9.6055399626493402E-3</v>
      </c>
      <c r="F88">
        <f>F$9 * (3.37281799316406 -F$8)</f>
        <v>3.3728179931640598</v>
      </c>
      <c r="G88">
        <f>G$9 * (6.74241781234741 -G$8)</f>
        <v>6.7424178123474103</v>
      </c>
    </row>
    <row r="89" spans="1:7" x14ac:dyDescent="0.3">
      <c r="A89">
        <f>A$9 * (19.5001277923584 -A$8)</f>
        <v>19.500127792358398</v>
      </c>
      <c r="B89">
        <f>B$9 * (19.5001277923584 -B$8)</f>
        <v>19.500127792358398</v>
      </c>
      <c r="C89">
        <f>C$9 * (19.5001277923584 -C$8)</f>
        <v>19.500127792358398</v>
      </c>
      <c r="E89">
        <f>E$9 * (0.00847840216010808 -E$8)</f>
        <v>8.4784021601080808E-3</v>
      </c>
      <c r="F89">
        <f>F$9 * (3.90983510017395 -F$8)</f>
        <v>3.9098351001739502</v>
      </c>
      <c r="G89">
        <f>G$9 * (8.62456607818603 -G$8)</f>
        <v>8.6245660781860298</v>
      </c>
    </row>
    <row r="90" spans="1:7" x14ac:dyDescent="0.3">
      <c r="A90">
        <f>A$9 * (19.7502994537353 -A$8)</f>
        <v>19.750299453735298</v>
      </c>
      <c r="B90">
        <f>B$9 * (19.7502994537353 -B$8)</f>
        <v>19.750299453735298</v>
      </c>
      <c r="C90">
        <f>C$9 * (19.7502994537353 -C$8)</f>
        <v>19.750299453735298</v>
      </c>
      <c r="E90">
        <f>E$9 * (0.00591352023184299 -E$8)</f>
        <v>5.9135202318429904E-3</v>
      </c>
      <c r="F90">
        <f>F$9 * (2.88125300407409 -F$8)</f>
        <v>2.88125300407409</v>
      </c>
      <c r="G90">
        <f>G$9 * (8.06549644470214 -G$8)</f>
        <v>8.0654964447021396</v>
      </c>
    </row>
    <row r="91" spans="1:7" x14ac:dyDescent="0.3">
      <c r="A91">
        <f>A$9 * (20.0000495910644 -A$8)</f>
        <v>20.0000495910644</v>
      </c>
      <c r="B91">
        <f>B$9 * (20.0000495910644 -B$8)</f>
        <v>20.0000495910644</v>
      </c>
      <c r="C91">
        <f>C$9 * (20.0000495910644 -C$8)</f>
        <v>20.0000495910644</v>
      </c>
      <c r="E91">
        <f>E$9 * (0.00176434102468192 -E$8)</f>
        <v>1.7643410246819199E-3</v>
      </c>
      <c r="F91">
        <f>F$9 * (0.343750804662704 -F$8)</f>
        <v>0.34375080466270402</v>
      </c>
      <c r="G91">
        <f>G$9 * (2.41727805137634 -G$8)</f>
        <v>2.4172780513763401</v>
      </c>
    </row>
    <row r="92" spans="1:7" x14ac:dyDescent="0.3">
      <c r="A92">
        <f>A$9 * (20.250165939331 -A$8)</f>
        <v>20.250165939331001</v>
      </c>
      <c r="B92">
        <f>B$9 * (20.250165939331 -B$8)</f>
        <v>20.250165939331001</v>
      </c>
      <c r="C92">
        <f>C$9 * (20.250165939331 -C$8)</f>
        <v>20.250165939331001</v>
      </c>
      <c r="E92">
        <f>E$9 * (0.000719149596989154 -E$8)</f>
        <v>7.1914959698915395E-4</v>
      </c>
      <c r="F92">
        <f>F$9 * (-0.324681401252746 -F$8)</f>
        <v>-0.32468140125274603</v>
      </c>
      <c r="G92">
        <f>G$9 * (0.604373276233673 -G$8)</f>
        <v>0.60437327623367298</v>
      </c>
    </row>
    <row r="93" spans="1:7" x14ac:dyDescent="0.3">
      <c r="A93">
        <f>A$9 * (20.5003032684326 -A$8)</f>
        <v>20.500303268432599</v>
      </c>
      <c r="B93">
        <f>B$9 * (20.5003032684326 -B$8)</f>
        <v>20.500303268432599</v>
      </c>
      <c r="C93">
        <f>C$9 * (20.5003032684326 -C$8)</f>
        <v>20.500303268432599</v>
      </c>
      <c r="E93">
        <f>E$9 * (0.0641085132956504 -E$8)</f>
        <v>6.4108513295650399E-2</v>
      </c>
      <c r="F93">
        <f>F$9 * (3.62002396583557 -F$8)</f>
        <v>3.62002396583557</v>
      </c>
      <c r="G93">
        <f>G$9 * (3.79082703590393 -G$8)</f>
        <v>3.7908270359039302</v>
      </c>
    </row>
    <row r="94" spans="1:7" x14ac:dyDescent="0.3">
      <c r="A94">
        <f>A$9 * (20.750108718872 -A$8)</f>
        <v>20.750108718871999</v>
      </c>
      <c r="B94">
        <f>B$9 * (20.750108718872 -B$8)</f>
        <v>20.750108718871999</v>
      </c>
      <c r="C94">
        <f>C$9 * (20.750108718872 -C$8)</f>
        <v>20.750108718871999</v>
      </c>
      <c r="E94">
        <f>E$9 * (0.00321645406074821 -E$8)</f>
        <v>3.2164540607482099E-3</v>
      </c>
      <c r="F94">
        <f>F$9 * (-0.307259202003479 -F$8)</f>
        <v>-0.307259202003479</v>
      </c>
      <c r="G94">
        <f>G$9 * (5.60597419738769 -G$8)</f>
        <v>5.60597419738769</v>
      </c>
    </row>
    <row r="95" spans="1:7" x14ac:dyDescent="0.3">
      <c r="A95">
        <f>A$9 * (21.0001277923584 -A$8)</f>
        <v>21.000127792358398</v>
      </c>
      <c r="B95">
        <f>B$9 * (21.0001277923584 -B$8)</f>
        <v>21.000127792358398</v>
      </c>
      <c r="C95">
        <f>C$9 * (21.0001277923584 -C$8)</f>
        <v>21.000127792358398</v>
      </c>
      <c r="E95">
        <f>E$9 * (-0.00172745005693286 -E$8)</f>
        <v>-1.7274500569328601E-3</v>
      </c>
      <c r="F95">
        <f>F$9 * (-1.83051598072052 -F$8)</f>
        <v>-1.83051598072052</v>
      </c>
      <c r="G95">
        <f>G$9 * (2.48757195472717 -G$8)</f>
        <v>2.4875719547271702</v>
      </c>
    </row>
    <row r="96" spans="1:7" x14ac:dyDescent="0.3">
      <c r="A96">
        <f>A$9 * (21.2502422332763 -A$8)</f>
        <v>21.2502422332763</v>
      </c>
      <c r="B96">
        <f>B$9 * (21.2502422332763 -B$8)</f>
        <v>21.2502422332763</v>
      </c>
      <c r="C96">
        <f>C$9 * (21.2502422332763 -C$8)</f>
        <v>21.2502422332763</v>
      </c>
      <c r="E96">
        <f>E$9 * (-0.00051569181960076 -E$8)</f>
        <v>-5.1569181960075996E-4</v>
      </c>
      <c r="F96">
        <f>F$9 * (-0.857061207294464 -F$8)</f>
        <v>-0.857061207294464</v>
      </c>
      <c r="G96">
        <f>G$9 * (0.27997550368309 -G$8)</f>
        <v>0.27997550368308999</v>
      </c>
    </row>
    <row r="97" spans="1:7" x14ac:dyDescent="0.3">
      <c r="A97">
        <f>A$9 * (21.5003337860107 -A$8)</f>
        <v>21.5003337860107</v>
      </c>
      <c r="B97">
        <f>B$9 * (21.5003337860107 -B$8)</f>
        <v>21.5003337860107</v>
      </c>
      <c r="C97">
        <f>C$9 * (21.5003337860107 -C$8)</f>
        <v>21.5003337860107</v>
      </c>
      <c r="E97">
        <f>E$9 * (-0.000911444600205868 -E$8)</f>
        <v>-9.1144460020586805E-4</v>
      </c>
      <c r="F97">
        <f>F$9 * (-0.292677700519561 -F$8)</f>
        <v>-0.29267770051956099</v>
      </c>
      <c r="G97">
        <f>G$9 * (-0.361928313970565 -G$8)</f>
        <v>-0.36192831397056502</v>
      </c>
    </row>
    <row r="98" spans="1:7" x14ac:dyDescent="0.3">
      <c r="A98">
        <f>A$9 * (21.750389099121 -A$8)</f>
        <v>21.750389099121001</v>
      </c>
      <c r="B98">
        <f>B$9 * (21.750389099121 -B$8)</f>
        <v>21.750389099121001</v>
      </c>
      <c r="C98">
        <f>C$9 * (21.750389099121 -C$8)</f>
        <v>21.750389099121001</v>
      </c>
      <c r="E98">
        <f>E$9 * (0.00956899020820856 -E$8)</f>
        <v>9.5689902082085592E-3</v>
      </c>
      <c r="F98">
        <f>F$9 * (0.299324512481689 -F$8)</f>
        <v>0.29932451248168901</v>
      </c>
      <c r="G98">
        <f>G$9 * (0.380557507276535 -G$8)</f>
        <v>0.38055750727653498</v>
      </c>
    </row>
    <row r="99" spans="1:7" x14ac:dyDescent="0.3">
      <c r="A99">
        <f>A$9 * (22.0002384185791 -A$8)</f>
        <v>22.000238418579102</v>
      </c>
      <c r="B99">
        <f>B$9 * (22.0002384185791 -B$8)</f>
        <v>22.000238418579102</v>
      </c>
      <c r="C99">
        <f>C$9 * (22.0002384185791 -C$8)</f>
        <v>22.000238418579102</v>
      </c>
      <c r="E99">
        <f>E$9 * (0.0035641030408442 -E$8)</f>
        <v>3.5641030408441999E-3</v>
      </c>
      <c r="F99">
        <f>F$9 * (-0.00232803495600819 -F$8)</f>
        <v>-2.3280349560081898E-3</v>
      </c>
      <c r="G99">
        <f>G$9 * (7.81195783615112 -G$8)</f>
        <v>7.8119578361511204</v>
      </c>
    </row>
    <row r="100" spans="1:7" x14ac:dyDescent="0.3">
      <c r="A100">
        <f>A$9 * (22.2500324249267 -A$8)</f>
        <v>22.250032424926701</v>
      </c>
      <c r="B100">
        <f>B$9 * (22.2500324249267 -B$8)</f>
        <v>22.250032424926701</v>
      </c>
      <c r="C100">
        <f>C$9 * (22.2500324249267 -C$8)</f>
        <v>22.250032424926701</v>
      </c>
      <c r="E100">
        <f>E$9 * (0.017104709520936 -E$8)</f>
        <v>1.7104709520935998E-2</v>
      </c>
      <c r="F100">
        <f>F$9 * (9.51878929138183 -F$8)</f>
        <v>9.5187892913818306</v>
      </c>
      <c r="G100">
        <f>G$9 * (15.8573198318481 -G$8)</f>
        <v>15.8573198318481</v>
      </c>
    </row>
    <row r="101" spans="1:7" x14ac:dyDescent="0.3">
      <c r="A101">
        <f>A$9 * (22.5002937316894 -A$8)</f>
        <v>22.5002937316894</v>
      </c>
      <c r="B101">
        <f>B$9 * (22.5002937316894 -B$8)</f>
        <v>22.5002937316894</v>
      </c>
      <c r="C101">
        <f>C$9 * (22.5002937316894 -C$8)</f>
        <v>22.5002937316894</v>
      </c>
      <c r="E101">
        <f>E$9 * (0.0071236421354115 -E$8)</f>
        <v>7.1236421354115001E-3</v>
      </c>
      <c r="F101">
        <f>F$9 * (3.63425493240356 -F$8)</f>
        <v>3.63425493240356</v>
      </c>
      <c r="G101">
        <f>G$9 * (9.03498363494873 -G$8)</f>
        <v>9.0349836349487305</v>
      </c>
    </row>
    <row r="102" spans="1:7" x14ac:dyDescent="0.3">
      <c r="A102">
        <f>A$9 * (22.7503509521484 -A$8)</f>
        <v>22.750350952148398</v>
      </c>
      <c r="B102">
        <f>B$9 * (22.7503509521484 -B$8)</f>
        <v>22.750350952148398</v>
      </c>
      <c r="C102">
        <f>C$9 * (22.7503509521484 -C$8)</f>
        <v>22.750350952148398</v>
      </c>
      <c r="E102">
        <f>E$9 * (0.00989977736026048 -E$8)</f>
        <v>9.8997773602604797E-3</v>
      </c>
      <c r="F102">
        <f>F$9 * (4.44300889968872 -F$8)</f>
        <v>4.4430088996887198</v>
      </c>
      <c r="G102">
        <f>G$9 * (8.91380786895752 -G$8)</f>
        <v>8.9138078689575195</v>
      </c>
    </row>
    <row r="103" spans="1:7" x14ac:dyDescent="0.3">
      <c r="A103">
        <f>A$9 * (23.0001201629638 -A$8)</f>
        <v>23.0001201629638</v>
      </c>
      <c r="B103">
        <f>B$9 * (23.0001201629638 -B$8)</f>
        <v>23.0001201629638</v>
      </c>
      <c r="C103">
        <f>C$9 * (23.0001201629638 -C$8)</f>
        <v>23.0001201629638</v>
      </c>
      <c r="E103">
        <f>E$9 * (0.00623241905122995 -E$8)</f>
        <v>6.2324190512299503E-3</v>
      </c>
      <c r="F103">
        <f>F$9 * (3.04317498207092 -F$8)</f>
        <v>3.0431749820709202</v>
      </c>
      <c r="G103">
        <f>G$9 * (8.22737216949462 -G$8)</f>
        <v>8.22737216949462</v>
      </c>
    </row>
    <row r="104" spans="1:7" x14ac:dyDescent="0.3">
      <c r="A104">
        <f>A$9 * (23.2501525878906 -A$8)</f>
        <v>23.2501525878906</v>
      </c>
      <c r="B104">
        <f>B$9 * (23.2501525878906 -B$8)</f>
        <v>23.2501525878906</v>
      </c>
      <c r="C104">
        <f>C$9 * (23.2501525878906 -C$8)</f>
        <v>23.2501525878906</v>
      </c>
      <c r="E104">
        <f>E$9 * (0.00269210897386074 -E$8)</f>
        <v>2.6921089738607398E-3</v>
      </c>
      <c r="F104">
        <f>F$9 * (0.621737897396087 -F$8)</f>
        <v>0.62173789739608698</v>
      </c>
      <c r="G104">
        <f>G$9 * (3.10463905334472 -G$8)</f>
        <v>3.1046390533447199</v>
      </c>
    </row>
    <row r="105" spans="1:7" x14ac:dyDescent="0.3">
      <c r="A105">
        <f>A$9 * (23.5002784729003 -A$8)</f>
        <v>23.500278472900298</v>
      </c>
      <c r="B105">
        <f>B$9 * (23.5002784729003 -B$8)</f>
        <v>23.500278472900298</v>
      </c>
      <c r="C105">
        <f>C$9 * (23.5002784729003 -C$8)</f>
        <v>23.500278472900298</v>
      </c>
      <c r="E105">
        <f>E$9 * (0.00803099665790796 -E$8)</f>
        <v>8.0309966579079593E-3</v>
      </c>
      <c r="F105">
        <f>F$9 * (1.09317100048065 -F$8)</f>
        <v>1.0931710004806501</v>
      </c>
      <c r="G105">
        <f>G$9 * (2.32788395881652 -G$8)</f>
        <v>2.3278839588165199</v>
      </c>
    </row>
    <row r="106" spans="1:7" x14ac:dyDescent="0.3">
      <c r="A106">
        <f>A$9 * (23.7503948211669 -A$8)</f>
        <v>23.7503948211669</v>
      </c>
      <c r="B106">
        <f>B$9 * (23.7503948211669 -B$8)</f>
        <v>23.7503948211669</v>
      </c>
      <c r="C106">
        <f>C$9 * (23.7503948211669 -C$8)</f>
        <v>23.7503948211669</v>
      </c>
      <c r="E106">
        <f>E$9 * (0.00192009494639933 -E$8)</f>
        <v>1.92009494639933E-3</v>
      </c>
      <c r="F106">
        <f>F$9 * (1.358736038208 -F$8)</f>
        <v>1.358736038208</v>
      </c>
      <c r="G106">
        <f>G$9 * (9.43757152557373 -G$8)</f>
        <v>9.4375715255737305</v>
      </c>
    </row>
    <row r="107" spans="1:7" x14ac:dyDescent="0.3">
      <c r="A107">
        <f>A$9 * (24.0003185272216 -A$8)</f>
        <v>24.000318527221602</v>
      </c>
      <c r="B107">
        <f>B$9 * (24.0003185272216 -B$8)</f>
        <v>24.000318527221602</v>
      </c>
      <c r="C107">
        <f>C$9 * (24.0003185272216 -C$8)</f>
        <v>24.000318527221602</v>
      </c>
      <c r="E107">
        <f>E$9 * (0.000874006072990596 -E$8)</f>
        <v>8.7400607299059597E-4</v>
      </c>
      <c r="F107">
        <f>F$9 * (-0.836629509925842 -F$8)</f>
        <v>-0.83662950992584195</v>
      </c>
      <c r="G107">
        <f>G$9 * (0.949629008769989 -G$8)</f>
        <v>0.94962900876998901</v>
      </c>
    </row>
    <row r="108" spans="1:7" x14ac:dyDescent="0.3">
      <c r="A108">
        <f>A$9 * (24.2501144409179 -A$8)</f>
        <v>24.250114440917901</v>
      </c>
      <c r="B108">
        <f>B$9 * (24.2501144409179 -B$8)</f>
        <v>24.250114440917901</v>
      </c>
      <c r="C108">
        <f>C$9 * (24.2501144409179 -C$8)</f>
        <v>24.250114440917901</v>
      </c>
      <c r="E108">
        <f>E$9 * (-0.00305718602612614 -E$8)</f>
        <v>-3.0571860261261398E-3</v>
      </c>
      <c r="F108">
        <f>F$9 * (-0.463930398225784 -F$8)</f>
        <v>-0.46393039822578402</v>
      </c>
      <c r="G108">
        <f>G$9 * (-2.51293110847473 -G$8)</f>
        <v>-2.5129311084747301</v>
      </c>
    </row>
    <row r="109" spans="1:7" x14ac:dyDescent="0.3">
      <c r="A109">
        <f>A$9 * (24.5004730224609 -A$8)</f>
        <v>24.500473022460898</v>
      </c>
      <c r="B109">
        <f>B$9 * (24.5004730224609 -B$8)</f>
        <v>24.500473022460898</v>
      </c>
      <c r="C109">
        <f>C$9 * (24.5004730224609 -C$8)</f>
        <v>24.500473022460898</v>
      </c>
      <c r="E109">
        <f>E$9 * (-0.000617846206296235 -E$8)</f>
        <v>-6.17846206296235E-4</v>
      </c>
      <c r="F109">
        <f>F$9 * (-1.07974803447723 -F$8)</f>
        <v>-1.0797480344772299</v>
      </c>
      <c r="G109">
        <f>G$9 * (0.951571285724639 -G$8)</f>
        <v>0.951571285724639</v>
      </c>
    </row>
    <row r="110" spans="1:7" x14ac:dyDescent="0.3">
      <c r="A110">
        <f>A$9 * (24.7501201629638 -A$8)</f>
        <v>24.7501201629638</v>
      </c>
      <c r="B110">
        <f>B$9 * (24.7501201629638 -B$8)</f>
        <v>24.7501201629638</v>
      </c>
      <c r="C110">
        <f>C$9 * (24.7501201629638 -C$8)</f>
        <v>24.7501201629638</v>
      </c>
      <c r="E110">
        <f>E$9 * (-0.000188788704690523 -E$8)</f>
        <v>-1.8878870469052301E-4</v>
      </c>
      <c r="F110">
        <f>F$9 * (-0.750236093997955 -F$8)</f>
        <v>-0.75023609399795499</v>
      </c>
      <c r="G110">
        <f>G$9 * (0.479404807090759 -G$8)</f>
        <v>0.479404807090759</v>
      </c>
    </row>
    <row r="111" spans="1:7" x14ac:dyDescent="0.3">
      <c r="A111">
        <f>A$9 * (25.0001201629638 -A$8)</f>
        <v>25.0001201629638</v>
      </c>
      <c r="B111">
        <f>B$9 * (25.0001201629638 -B$8)</f>
        <v>25.0001201629638</v>
      </c>
      <c r="C111">
        <f>C$9 * (25.0001201629638 -C$8)</f>
        <v>25.0001201629638</v>
      </c>
      <c r="E111">
        <f>E$9 * (0.00396787095814943 -E$8)</f>
        <v>3.9678709581494297E-3</v>
      </c>
      <c r="F111">
        <f>F$9 * (0.169710800051689 -F$8)</f>
        <v>0.16971080005168901</v>
      </c>
      <c r="G111">
        <f>G$9 * (18.6508808135986 -G$8)</f>
        <v>18.650880813598601</v>
      </c>
    </row>
    <row r="112" spans="1:7" x14ac:dyDescent="0.3">
      <c r="A112">
        <f>A$9 * (25.2500839233398 -A$8)</f>
        <v>25.250083923339801</v>
      </c>
      <c r="B112">
        <f>B$9 * (25.2500839233398 -B$8)</f>
        <v>25.250083923339801</v>
      </c>
      <c r="C112">
        <f>C$9 * (25.2500839233398 -C$8)</f>
        <v>25.250083923339801</v>
      </c>
      <c r="E112">
        <f>E$9 * (0.0261568296700716 -E$8)</f>
        <v>2.6156829670071598E-2</v>
      </c>
      <c r="F112">
        <f>F$9 * (12.1969003677368 -F$8)</f>
        <v>12.1969003677368</v>
      </c>
      <c r="G112">
        <f>G$9 * (17.2101097106933 -G$8)</f>
        <v>17.210109710693299</v>
      </c>
    </row>
    <row r="113" spans="1:7" x14ac:dyDescent="0.3">
      <c r="A113">
        <f>A$9 * (25.5003833770752 -A$8)</f>
        <v>25.500383377075199</v>
      </c>
      <c r="B113">
        <f>B$9 * (25.5003833770752 -B$8)</f>
        <v>25.500383377075199</v>
      </c>
      <c r="C113">
        <f>C$9 * (25.5003833770752 -C$8)</f>
        <v>25.500383377075199</v>
      </c>
      <c r="E113">
        <f>E$9 * (0.0084756975993514 -E$8)</f>
        <v>8.4756975993513992E-3</v>
      </c>
      <c r="F113">
        <f>F$9 * (5.23698616027832 -F$8)</f>
        <v>5.2369861602783203</v>
      </c>
      <c r="G113">
        <f>G$9 * (11.9092998504638 -G$8)</f>
        <v>11.9092998504638</v>
      </c>
    </row>
    <row r="114" spans="1:7" x14ac:dyDescent="0.3">
      <c r="A114">
        <f>A$9 * (25.7502994537353 -A$8)</f>
        <v>25.750299453735298</v>
      </c>
      <c r="B114">
        <f>B$9 * (25.7502994537353 -B$8)</f>
        <v>25.750299453735298</v>
      </c>
      <c r="C114">
        <f>C$9 * (25.7502994537353 -C$8)</f>
        <v>25.750299453735298</v>
      </c>
      <c r="E114">
        <f>E$9 * (0.0153956301510334 -E$8)</f>
        <v>1.53956301510334E-2</v>
      </c>
      <c r="F114">
        <f>F$9 * (4.92158222198486 -F$8)</f>
        <v>4.9215822219848597</v>
      </c>
      <c r="G114">
        <f>G$9 * (7.60674381256103 -G$8)</f>
        <v>7.6067438125610298</v>
      </c>
    </row>
    <row r="115" spans="1:7" x14ac:dyDescent="0.3">
      <c r="A115">
        <f>A$9 * (26.0003852844238 -A$8)</f>
        <v>26.0003852844238</v>
      </c>
      <c r="B115">
        <f>B$9 * (26.0003852844238 -B$8)</f>
        <v>26.0003852844238</v>
      </c>
      <c r="C115">
        <f>C$9 * (26.0003852844238 -C$8)</f>
        <v>26.0003852844238</v>
      </c>
      <c r="E115">
        <f>E$9 * (0.00667540822178125 -E$8)</f>
        <v>6.6754082217812503E-3</v>
      </c>
      <c r="F115">
        <f>F$9 * (3.3225998878479 -F$8)</f>
        <v>3.3225998878478999</v>
      </c>
      <c r="G115">
        <f>G$9 * (8.59801197052002 -G$8)</f>
        <v>8.5980119705200195</v>
      </c>
    </row>
    <row r="116" spans="1:7" x14ac:dyDescent="0.3">
      <c r="A116">
        <f>A$9 * (26.250186920166 -A$8)</f>
        <v>26.250186920166001</v>
      </c>
      <c r="B116">
        <f>B$9 * (26.250186920166 -B$8)</f>
        <v>26.250186920166001</v>
      </c>
      <c r="C116">
        <f>C$9 * (26.250186920166 -C$8)</f>
        <v>26.250186920166001</v>
      </c>
      <c r="E116">
        <f>E$9 * (0.00345059297978878 -E$8)</f>
        <v>3.4505929797887802E-3</v>
      </c>
      <c r="F116">
        <f>F$9 * (1.09833896160125 -F$8)</f>
        <v>1.09833896160125</v>
      </c>
      <c r="G116">
        <f>G$9 * (4.49563789367675 -G$8)</f>
        <v>4.4956378936767498</v>
      </c>
    </row>
    <row r="117" spans="1:7" x14ac:dyDescent="0.3">
      <c r="A117">
        <f>A$9 * (26.5003967285156 -A$8)</f>
        <v>26.5003967285156</v>
      </c>
      <c r="B117">
        <f>B$9 * (26.5003967285156 -B$8)</f>
        <v>26.5003967285156</v>
      </c>
      <c r="C117">
        <f>C$9 * (26.5003967285156 -C$8)</f>
        <v>26.5003967285156</v>
      </c>
      <c r="E117">
        <f>E$9 * (-0.0040724161081016 -E$8)</f>
        <v>-4.0724161081016003E-3</v>
      </c>
      <c r="F117">
        <f>F$9 * (-1.99015700817108 -F$8)</f>
        <v>-1.99015700817108</v>
      </c>
      <c r="G117">
        <f>G$9 * (1.0953220129013 -G$8)</f>
        <v>1.0953220129012999</v>
      </c>
    </row>
    <row r="118" spans="1:7" x14ac:dyDescent="0.3">
      <c r="A118">
        <f>A$9 * (26.7504558563232 -A$8)</f>
        <v>26.7504558563232</v>
      </c>
      <c r="B118">
        <f>B$9 * (26.7504558563232 -B$8)</f>
        <v>26.7504558563232</v>
      </c>
      <c r="C118">
        <f>C$9 * (26.7504558563232 -C$8)</f>
        <v>26.7504558563232</v>
      </c>
      <c r="E118">
        <f>E$9 * (-0.0000448778009740635 -E$8)</f>
        <v>-4.4877800974063501E-5</v>
      </c>
      <c r="F118">
        <f>F$9 * (-1.2618989944458 -F$8)</f>
        <v>-1.2618989944457999</v>
      </c>
      <c r="G118">
        <f>G$9 * (2.0777850151062 -G$8)</f>
        <v>2.0777850151061998</v>
      </c>
    </row>
    <row r="119" spans="1:7" x14ac:dyDescent="0.3">
      <c r="A119">
        <f>A$9 * (27.0005130767822 -A$8)</f>
        <v>27.000513076782202</v>
      </c>
      <c r="B119">
        <f>B$9 * (27.0005130767822 -B$8)</f>
        <v>27.000513076782202</v>
      </c>
      <c r="C119">
        <f>C$9 * (27.0005130767822 -C$8)</f>
        <v>27.000513076782202</v>
      </c>
      <c r="E119">
        <f>E$9 * (0.108436599373817 -E$8)</f>
        <v>0.108436599373817</v>
      </c>
      <c r="F119">
        <f>F$9 * (11.4134702682495 -F$8)</f>
        <v>11.413470268249499</v>
      </c>
      <c r="G119">
        <f>G$9 * (11.8790397644043 -G$8)</f>
        <v>11.8790397644043</v>
      </c>
    </row>
    <row r="120" spans="1:7" x14ac:dyDescent="0.3">
      <c r="A120">
        <f>A$9 * (27.2500057220459 -A$8)</f>
        <v>27.250005722045898</v>
      </c>
      <c r="B120">
        <f>B$9 * (27.2500057220459 -B$8)</f>
        <v>27.250005722045898</v>
      </c>
      <c r="C120">
        <f>C$9 * (27.2500057220459 -C$8)</f>
        <v>27.250005722045898</v>
      </c>
      <c r="E120">
        <f>E$9 * (0.0110723497346043 -E$8)</f>
        <v>1.10723497346043E-2</v>
      </c>
      <c r="F120">
        <f>F$9 * (2.13820004463195 -F$8)</f>
        <v>2.13820004463195</v>
      </c>
      <c r="G120">
        <f>G$9 * (3.7950599193573 -G$8)</f>
        <v>3.7950599193572998</v>
      </c>
    </row>
    <row r="121" spans="1:7" x14ac:dyDescent="0.3">
      <c r="A121">
        <f>A$9 * (27.5005226135253 -A$8)</f>
        <v>27.500522613525298</v>
      </c>
      <c r="B121">
        <f>B$9 * (27.5005226135253 -B$8)</f>
        <v>27.500522613525298</v>
      </c>
      <c r="C121">
        <f>C$9 * (27.5005226135253 -C$8)</f>
        <v>27.500522613525298</v>
      </c>
      <c r="E121">
        <f>E$9 * (-0.00238378695212304 -E$8)</f>
        <v>-2.3837869521230398E-3</v>
      </c>
      <c r="F121">
        <f>F$9 * (-0.249944493174552 -F$8)</f>
        <v>-0.249944493174552</v>
      </c>
      <c r="G121">
        <f>G$9 * (-1.0746910572052 -G$8)</f>
        <v>-1.0746910572052</v>
      </c>
    </row>
    <row r="122" spans="1:7" x14ac:dyDescent="0.3">
      <c r="A122">
        <f>A$9 * (27.7500629425048 -A$8)</f>
        <v>27.750062942504801</v>
      </c>
      <c r="B122">
        <f>B$9 * (27.7500629425048 -B$8)</f>
        <v>27.750062942504801</v>
      </c>
      <c r="C122">
        <f>C$9 * (27.7500629425048 -C$8)</f>
        <v>27.750062942504801</v>
      </c>
      <c r="E122">
        <f>E$9 * (-0.00154419697355479 -E$8)</f>
        <v>-1.54419697355479E-3</v>
      </c>
      <c r="F122">
        <f>F$9 * (-0.330863386392593 -F$8)</f>
        <v>-0.330863386392593</v>
      </c>
      <c r="G122">
        <f>G$9 * (-0.918278574943542 -G$8)</f>
        <v>-0.91827857494354204</v>
      </c>
    </row>
    <row r="123" spans="1:7" x14ac:dyDescent="0.3">
      <c r="A123">
        <f>A$9 * (28.0003337860107 -A$8)</f>
        <v>28.0003337860107</v>
      </c>
      <c r="B123">
        <f>B$9 * (28.0003337860107 -B$8)</f>
        <v>28.0003337860107</v>
      </c>
      <c r="C123">
        <f>C$9 * (28.0003337860107 -C$8)</f>
        <v>28.0003337860107</v>
      </c>
      <c r="E123">
        <f>E$9 * (0.000327297108015045 -E$8)</f>
        <v>3.2729710801504498E-4</v>
      </c>
      <c r="F123">
        <f>F$9 * (-0.712749123573303 -F$8)</f>
        <v>-0.712749123573303</v>
      </c>
      <c r="G123">
        <f>G$9 * (0.453351408243179 -G$8)</f>
        <v>0.45335140824317899</v>
      </c>
    </row>
    <row r="124" spans="1:7" x14ac:dyDescent="0.3">
      <c r="A124">
        <f>A$9 * (28.2501392364502 -A$8)</f>
        <v>28.250139236450199</v>
      </c>
      <c r="B124">
        <f>B$9 * (28.2501392364502 -B$8)</f>
        <v>28.250139236450199</v>
      </c>
      <c r="C124">
        <f>C$9 * (28.2501392364502 -C$8)</f>
        <v>28.250139236450199</v>
      </c>
      <c r="E124">
        <f>E$9 * (0.220224395394325 -E$8)</f>
        <v>0.22022439539432501</v>
      </c>
      <c r="F124">
        <f>F$9 * (20.9529304504394 -F$8)</f>
        <v>20.9529304504394</v>
      </c>
      <c r="G124">
        <f>G$9 * (21.6660499572753 -G$8)</f>
        <v>21.666049957275298</v>
      </c>
    </row>
    <row r="125" spans="1:7" x14ac:dyDescent="0.3">
      <c r="A125">
        <f>A$9 * (28.5000286102294 -A$8)</f>
        <v>28.5000286102294</v>
      </c>
      <c r="B125">
        <f>B$9 * (28.5000286102294 -B$8)</f>
        <v>28.5000286102294</v>
      </c>
      <c r="C125">
        <f>C$9 * (28.5000286102294 -C$8)</f>
        <v>28.5000286102294</v>
      </c>
      <c r="E125">
        <f>E$9 * (0.0543829090893268 -E$8)</f>
        <v>5.4382909089326803E-2</v>
      </c>
      <c r="F125">
        <f>F$9 * (7.58102178573608 -F$8)</f>
        <v>7.5810217857360804</v>
      </c>
      <c r="G125">
        <f>G$9 * (8.01835823059082 -G$8)</f>
        <v>8.0183582305908203</v>
      </c>
    </row>
    <row r="126" spans="1:7" x14ac:dyDescent="0.3">
      <c r="A126">
        <f>A$9 * (28.7503604888916 -A$8)</f>
        <v>28.750360488891602</v>
      </c>
      <c r="B126">
        <f>B$9 * (28.7503604888916 -B$8)</f>
        <v>28.750360488891602</v>
      </c>
      <c r="C126">
        <f>C$9 * (28.7503604888916 -C$8)</f>
        <v>28.750360488891602</v>
      </c>
      <c r="E126">
        <f>E$9 * (0.0121169695630669 -E$8)</f>
        <v>1.21169695630669E-2</v>
      </c>
      <c r="F126">
        <f>F$9 * (7.27737998962402 -F$8)</f>
        <v>7.2773799896240199</v>
      </c>
      <c r="G126">
        <f>G$9 * (13.5349702835083 -G$8)</f>
        <v>13.534970283508301</v>
      </c>
    </row>
    <row r="127" spans="1:7" x14ac:dyDescent="0.3">
      <c r="A127">
        <f>A$9 * (29.0003337860107 -A$8)</f>
        <v>29.0003337860107</v>
      </c>
      <c r="B127">
        <f>B$9 * (29.0003337860107 -B$8)</f>
        <v>29.0003337860107</v>
      </c>
      <c r="C127">
        <f>C$9 * (29.0003337860107 -C$8)</f>
        <v>29.0003337860107</v>
      </c>
      <c r="E127">
        <f>E$9 * (0.010712319985032 -E$8)</f>
        <v>1.0712319985032E-2</v>
      </c>
      <c r="F127">
        <f>F$9 * (3.46717691421508 -F$8)</f>
        <v>3.4671769142150799</v>
      </c>
      <c r="G127">
        <f>G$9 * (6.47371912002563 -G$8)</f>
        <v>6.4737191200256303</v>
      </c>
    </row>
    <row r="128" spans="1:7" x14ac:dyDescent="0.3">
      <c r="A128">
        <f>A$9 * (29.2502784729003 -A$8)</f>
        <v>29.250278472900298</v>
      </c>
      <c r="B128">
        <f>B$9 * (29.2502784729003 -B$8)</f>
        <v>29.250278472900298</v>
      </c>
      <c r="C128">
        <f>C$9 * (29.2502784729003 -C$8)</f>
        <v>29.250278472900298</v>
      </c>
      <c r="E128">
        <f>E$9 * (0.00826557073742151 -E$8)</f>
        <v>8.2655707374215091E-3</v>
      </c>
      <c r="F128">
        <f>F$9 * (3.8359990119934 -F$8)</f>
        <v>3.8359990119934002</v>
      </c>
      <c r="G128">
        <f>G$9 * (8.6007080078125 -G$8)</f>
        <v>8.6007080078125</v>
      </c>
    </row>
    <row r="129" spans="1:7" x14ac:dyDescent="0.3">
      <c r="A129">
        <f>A$9 * (29.50022315979 -A$8)</f>
        <v>29.50022315979</v>
      </c>
      <c r="B129">
        <f>B$9 * (29.50022315979 -B$8)</f>
        <v>29.50022315979</v>
      </c>
      <c r="C129">
        <f>C$9 * (29.50022315979 -C$8)</f>
        <v>29.50022315979</v>
      </c>
      <c r="E129">
        <f>E$9 * (0.00567470304667949 -E$8)</f>
        <v>5.6747030466794898E-3</v>
      </c>
      <c r="F129">
        <f>F$9 * (2.75108909606933 -F$8)</f>
        <v>2.7510890960693302</v>
      </c>
      <c r="G129">
        <f>G$9 * (7.91878986358642 -G$8)</f>
        <v>7.9187898635864196</v>
      </c>
    </row>
    <row r="130" spans="1:7" x14ac:dyDescent="0.3">
      <c r="A130">
        <f>A$9 * (29.7503051757812 -A$8)</f>
        <v>29.7503051757812</v>
      </c>
      <c r="B130">
        <f>B$9 * (29.7503051757812 -B$8)</f>
        <v>29.7503051757812</v>
      </c>
      <c r="C130">
        <f>C$9 * (29.7503051757812 -C$8)</f>
        <v>29.7503051757812</v>
      </c>
      <c r="E130">
        <f>E$9 * (0.00134254398290067 -E$8)</f>
        <v>1.34254398290067E-3</v>
      </c>
      <c r="F130">
        <f>F$9 * (0.249731793999671 -F$8)</f>
        <v>0.24973179399967099</v>
      </c>
      <c r="G130">
        <f>G$9 * (2.22277903556823 -G$8)</f>
        <v>2.2227790355682302</v>
      </c>
    </row>
    <row r="131" spans="1:7" x14ac:dyDescent="0.3">
      <c r="A131">
        <f>A$9 * (30.000389099121 -A$8)</f>
        <v>30.000389099121001</v>
      </c>
      <c r="B131">
        <f>B$9 * (30.000389099121 -B$8)</f>
        <v>30.000389099121001</v>
      </c>
      <c r="C131">
        <f>C$9 * (30.000389099121 -C$8)</f>
        <v>30.000389099121001</v>
      </c>
      <c r="E131">
        <f>E$9 * (-0.000896883895620703 -E$8)</f>
        <v>-8.9688389562070305E-4</v>
      </c>
      <c r="F131">
        <f>F$9 * (-0.654602527618408 -F$8)</f>
        <v>-0.65460252761840798</v>
      </c>
      <c r="G131">
        <f>G$9 * (-1.10392105579376 -G$8)</f>
        <v>-1.10392105579376</v>
      </c>
    </row>
    <row r="132" spans="1:7" x14ac:dyDescent="0.3">
      <c r="A132">
        <f>A$9 * (30.2504730224609 -A$8)</f>
        <v>30.250473022460898</v>
      </c>
      <c r="B132">
        <f>B$9 * (30.2504730224609 -B$8)</f>
        <v>30.250473022460898</v>
      </c>
      <c r="C132">
        <f>C$9 * (30.2504730224609 -C$8)</f>
        <v>30.250473022460898</v>
      </c>
      <c r="E132">
        <f>E$9 * (0.005855408962816 -E$8)</f>
        <v>5.855408962816E-3</v>
      </c>
      <c r="F132">
        <f>F$9 * (-1.06862294673919 -F$8)</f>
        <v>-1.0686229467391899</v>
      </c>
      <c r="G132">
        <f>G$9 * (1.77985000610351 -G$8)</f>
        <v>1.7798500061035101</v>
      </c>
    </row>
    <row r="133" spans="1:7" x14ac:dyDescent="0.3">
      <c r="A133">
        <f>A$9 * (30.5 -A$8)</f>
        <v>30.5</v>
      </c>
      <c r="B133">
        <f>B$9 * (30.5 -B$8)</f>
        <v>30.5</v>
      </c>
      <c r="C133">
        <f>C$9 * (30.5 -C$8)</f>
        <v>30.5</v>
      </c>
      <c r="E133">
        <f>E$9 * (0.00231350096873939 -E$8)</f>
        <v>2.3135009687393899E-3</v>
      </c>
      <c r="F133">
        <f>F$9 * (-0.0993436872959137 -F$8)</f>
        <v>-9.9343687295913696E-2</v>
      </c>
      <c r="G133">
        <f>G$9 * (6.67545318603515 -G$8)</f>
        <v>6.67545318603515</v>
      </c>
    </row>
    <row r="134" spans="1:7" x14ac:dyDescent="0.3">
      <c r="A134">
        <f>A$9 * (30.7504158020019 -A$8)</f>
        <v>30.7504158020019</v>
      </c>
      <c r="B134">
        <f>B$9 * (30.7504158020019 -B$8)</f>
        <v>30.7504158020019</v>
      </c>
      <c r="C134">
        <f>C$9 * (30.7504158020019 -C$8)</f>
        <v>30.7504158020019</v>
      </c>
      <c r="E134">
        <f>E$9 * (-0.000706320628523826 -E$8)</f>
        <v>-7.0632062852382595E-4</v>
      </c>
      <c r="F134">
        <f>F$9 * (-1.88445699214935 -F$8)</f>
        <v>-1.8844569921493499</v>
      </c>
      <c r="G134">
        <f>G$9 * (1.82662403583526 -G$8)</f>
        <v>1.8266240358352599</v>
      </c>
    </row>
    <row r="135" spans="1:7" x14ac:dyDescent="0.3">
      <c r="A135">
        <f>A$9 * (31.0003051757812 -A$8)</f>
        <v>31.0003051757812</v>
      </c>
      <c r="B135">
        <f>B$9 * (31.0003051757812 -B$8)</f>
        <v>31.0003051757812</v>
      </c>
      <c r="C135">
        <f>C$9 * (31.0003051757812 -C$8)</f>
        <v>31.0003051757812</v>
      </c>
      <c r="E135">
        <f>E$9 * (-0.000247343588853254 -E$8)</f>
        <v>-2.4734358885325399E-4</v>
      </c>
      <c r="F135">
        <f>F$9 * (-1.26438605785369 -F$8)</f>
        <v>-1.2643860578536901</v>
      </c>
      <c r="G135">
        <f>G$9 * (0.777758300304412 -G$8)</f>
        <v>0.77775830030441195</v>
      </c>
    </row>
    <row r="136" spans="1:7" x14ac:dyDescent="0.3">
      <c r="A136">
        <f>A$9 * (31.2506103515625 -A$8)</f>
        <v>31.2506103515625</v>
      </c>
      <c r="B136">
        <f>B$9 * (31.2506103515625 -B$8)</f>
        <v>31.2506103515625</v>
      </c>
      <c r="C136">
        <f>C$9 * (31.2506103515625 -C$8)</f>
        <v>31.2506103515625</v>
      </c>
      <c r="E136">
        <f>E$9 * (-0.000368675391655415 -E$8)</f>
        <v>-3.6867539165541503E-4</v>
      </c>
      <c r="F136">
        <f>F$9 * (-0.823655605316162 -F$8)</f>
        <v>-0.823655605316162</v>
      </c>
      <c r="G136">
        <f>G$9 * (0.302172899246215 -G$8)</f>
        <v>0.30217289924621499</v>
      </c>
    </row>
    <row r="137" spans="1:7" x14ac:dyDescent="0.3">
      <c r="A137">
        <f>A$9 * (31.5006942749023 -A$8)</f>
        <v>31.500694274902301</v>
      </c>
      <c r="B137">
        <f>B$9 * (31.5006942749023 -B$8)</f>
        <v>31.500694274902301</v>
      </c>
      <c r="C137">
        <f>C$9 * (31.5006942749023 -C$8)</f>
        <v>31.500694274902301</v>
      </c>
      <c r="E137">
        <f>E$9 * (0.00594441406428813 -E$8)</f>
        <v>5.9444140642881298E-3</v>
      </c>
      <c r="F137">
        <f>F$9 * (0.185648202896118 -F$8)</f>
        <v>0.185648202896118</v>
      </c>
      <c r="G137">
        <f>G$9 * (0.253744900226593 -G$8)</f>
        <v>0.25374490022659302</v>
      </c>
    </row>
    <row r="138" spans="1:7" x14ac:dyDescent="0.3">
      <c r="A138">
        <f>A$9 * (31.7501945495605 -A$8)</f>
        <v>31.750194549560501</v>
      </c>
      <c r="B138">
        <f>B$9 * (31.7501945495605 -B$8)</f>
        <v>31.750194549560501</v>
      </c>
      <c r="C138">
        <f>C$9 * (31.7501945495605 -C$8)</f>
        <v>31.750194549560501</v>
      </c>
      <c r="E138">
        <f>E$9 * (0.00345796695910394 -E$8)</f>
        <v>3.4579669591039402E-3</v>
      </c>
      <c r="F138">
        <f>F$9 * (0.0513412505388259 -F$8)</f>
        <v>5.1341250538825899E-2</v>
      </c>
      <c r="G138">
        <f>G$9 * (8.80835533142089 -G$8)</f>
        <v>8.8083553314208896</v>
      </c>
    </row>
    <row r="139" spans="1:7" x14ac:dyDescent="0.3">
      <c r="A139">
        <f>A$9 * (32.0004730224609 -A$8)</f>
        <v>32.000473022460902</v>
      </c>
      <c r="B139">
        <f>B$9 * (32.0004730224609 -B$8)</f>
        <v>32.000473022460902</v>
      </c>
      <c r="C139">
        <f>C$9 * (32.0004730224609 -C$8)</f>
        <v>32.000473022460902</v>
      </c>
      <c r="E139">
        <f>E$9 * (0.0172848794609308 -E$8)</f>
        <v>1.72848794609308E-2</v>
      </c>
      <c r="F139">
        <f>F$9 * (9.60774898529052 -F$8)</f>
        <v>9.6077489852905202</v>
      </c>
      <c r="G139">
        <f>G$9 * (15.9760303497314 -G$8)</f>
        <v>15.976030349731399</v>
      </c>
    </row>
    <row r="140" spans="1:7" x14ac:dyDescent="0.3">
      <c r="A140">
        <f>A$9 * (32.250389099121 -A$8)</f>
        <v>32.250389099121001</v>
      </c>
      <c r="B140">
        <f>B$9 * (32.250389099121 -B$8)</f>
        <v>32.250389099121001</v>
      </c>
      <c r="C140">
        <f>C$9 * (32.250389099121 -C$8)</f>
        <v>32.250389099121001</v>
      </c>
      <c r="E140">
        <f>E$9 * (0.00689373910427093 -E$8)</f>
        <v>6.8937391042709299E-3</v>
      </c>
      <c r="F140">
        <f>F$9 * (3.60308003425598 -F$8)</f>
        <v>3.6030800342559801</v>
      </c>
      <c r="G140">
        <f>G$9 * (9.17701053619384 -G$8)</f>
        <v>9.1770105361938406</v>
      </c>
    </row>
    <row r="141" spans="1:7" x14ac:dyDescent="0.3">
      <c r="A141">
        <f>A$9 * (32.5 -A$8)</f>
        <v>32.5</v>
      </c>
      <c r="B141">
        <f>B$9 * (32.5 -B$8)</f>
        <v>32.5</v>
      </c>
      <c r="C141">
        <f>C$9 * (32.5 -C$8)</f>
        <v>32.5</v>
      </c>
      <c r="E141">
        <f>E$9 * (0.010003070347011 -E$8)</f>
        <v>1.0003070347011001E-2</v>
      </c>
      <c r="F141">
        <f>F$9 * (4.47091388702392 -F$8)</f>
        <v>4.4709138870239196</v>
      </c>
      <c r="G141">
        <f>G$9 * (8.91238117218017 -G$8)</f>
        <v>8.9123811721801705</v>
      </c>
    </row>
    <row r="142" spans="1:7" x14ac:dyDescent="0.3">
      <c r="A142">
        <f>A$9 * (32.7502517700195 -A$8)</f>
        <v>32.750251770019503</v>
      </c>
      <c r="B142">
        <f>B$9 * (32.7502517700195 -B$8)</f>
        <v>32.750251770019503</v>
      </c>
      <c r="C142">
        <f>C$9 * (32.7502517700195 -C$8)</f>
        <v>32.750251770019503</v>
      </c>
      <c r="E142">
        <f>E$9 * (0.00623127818107605 -E$8)</f>
        <v>6.2312781810760498E-3</v>
      </c>
      <c r="F142">
        <f>F$9 * (3.0456519126892 -F$8)</f>
        <v>3.0456519126892001</v>
      </c>
      <c r="G142">
        <f>G$9 * (8.23623943328857 -G$8)</f>
        <v>8.2362394332885707</v>
      </c>
    </row>
    <row r="143" spans="1:7" x14ac:dyDescent="0.3">
      <c r="A143">
        <f>A$9 * (33.0002784729003 -A$8)</f>
        <v>33.000278472900298</v>
      </c>
      <c r="B143">
        <f>B$9 * (33.0002784729003 -B$8)</f>
        <v>33.000278472900298</v>
      </c>
      <c r="C143">
        <f>C$9 * (33.0002784729003 -C$8)</f>
        <v>33.000278472900298</v>
      </c>
      <c r="E143">
        <f>E$9 * (0.00273616588674485 -E$8)</f>
        <v>2.7361658867448499E-3</v>
      </c>
      <c r="F143">
        <f>F$9 * (0.638597428798675 -F$8)</f>
        <v>0.63859742879867498</v>
      </c>
      <c r="G143">
        <f>G$9 * (3.14749693870544 -G$8)</f>
        <v>3.1474969387054399</v>
      </c>
    </row>
    <row r="144" spans="1:7" x14ac:dyDescent="0.3">
      <c r="A144">
        <f>A$9 * (33.2500267028808 -A$8)</f>
        <v>33.250026702880803</v>
      </c>
      <c r="B144">
        <f>B$9 * (33.2500267028808 -B$8)</f>
        <v>33.250026702880803</v>
      </c>
      <c r="C144">
        <f>C$9 * (33.2500267028808 -C$8)</f>
        <v>33.250026702880803</v>
      </c>
      <c r="E144">
        <f>E$9 * (0.0078671146184206 -E$8)</f>
        <v>7.8671146184205992E-3</v>
      </c>
      <c r="F144">
        <f>F$9 * (1.07820999622345 -F$8)</f>
        <v>1.0782099962234499</v>
      </c>
      <c r="G144">
        <f>G$9 * (2.32864999771118 -G$8)</f>
        <v>2.3286499977111799</v>
      </c>
    </row>
    <row r="145" spans="1:7" x14ac:dyDescent="0.3">
      <c r="A145">
        <f>A$9 * (33.5000267028808 -A$8)</f>
        <v>33.500026702880803</v>
      </c>
      <c r="B145">
        <f>B$9 * (33.5000267028808 -B$8)</f>
        <v>33.500026702880803</v>
      </c>
      <c r="C145">
        <f>C$9 * (33.5000267028808 -C$8)</f>
        <v>33.500026702880803</v>
      </c>
      <c r="E145">
        <f>E$9 * (0.00196397211402654 -E$8)</f>
        <v>1.96397211402654E-3</v>
      </c>
      <c r="F145">
        <f>F$9 * (1.39151501655578 -F$8)</f>
        <v>1.3915150165557799</v>
      </c>
      <c r="G145">
        <f>G$9 * (9.49670982360839 -G$8)</f>
        <v>9.4967098236083896</v>
      </c>
    </row>
    <row r="146" spans="1:7" x14ac:dyDescent="0.3">
      <c r="A146">
        <f>A$9 * (33.7500572204589 -A$8)</f>
        <v>33.750057220458899</v>
      </c>
      <c r="B146">
        <f>B$9 * (33.7500572204589 -B$8)</f>
        <v>33.750057220458899</v>
      </c>
      <c r="C146">
        <f>C$9 * (33.7500572204589 -C$8)</f>
        <v>33.750057220458899</v>
      </c>
      <c r="E146">
        <f>E$9 * (-0.00369079993106424 -E$8)</f>
        <v>-3.6907999310642398E-3</v>
      </c>
      <c r="F146">
        <f>F$9 * (-0.332471191883087 -F$8)</f>
        <v>-0.33247119188308699</v>
      </c>
      <c r="G146">
        <f>G$9 * (-2.37666797637939 -G$8)</f>
        <v>-2.3766679763793901</v>
      </c>
    </row>
    <row r="147" spans="1:7" x14ac:dyDescent="0.3">
      <c r="A147">
        <f>A$9 * (34.0001945495605 -A$8)</f>
        <v>34.000194549560497</v>
      </c>
      <c r="B147">
        <f>B$9 * (34.0001945495605 -B$8)</f>
        <v>34.000194549560497</v>
      </c>
      <c r="C147">
        <f>C$9 * (34.0001945495605 -C$8)</f>
        <v>34.000194549560497</v>
      </c>
      <c r="E147">
        <f>E$9 * (0.00106032402254641 -E$8)</f>
        <v>1.0603240225464099E-3</v>
      </c>
      <c r="F147">
        <f>F$9 * (-1.1497950553894 -F$8)</f>
        <v>-1.1497950553894001</v>
      </c>
      <c r="G147">
        <f>G$9 * (3.94856595993042 -G$8)</f>
        <v>3.9485659599304199</v>
      </c>
    </row>
    <row r="148" spans="1:7" x14ac:dyDescent="0.3">
      <c r="A148">
        <f>A$9 * (34.2505569458007 -A$8)</f>
        <v>34.250556945800703</v>
      </c>
      <c r="B148">
        <f>B$9 * (34.2505569458007 -B$8)</f>
        <v>34.250556945800703</v>
      </c>
      <c r="C148">
        <f>C$9 * (34.2505569458007 -C$8)</f>
        <v>34.250556945800703</v>
      </c>
      <c r="E148">
        <f>E$9 * (-0.00104161305353045 -E$8)</f>
        <v>-1.0416130535304501E-3</v>
      </c>
      <c r="F148">
        <f>F$9 * (-1.2794599533081 -F$8)</f>
        <v>-1.2794599533080999</v>
      </c>
      <c r="G148">
        <f>G$9 * (0.260248094797134 -G$8)</f>
        <v>0.26024809479713401</v>
      </c>
    </row>
    <row r="149" spans="1:7" x14ac:dyDescent="0.3">
      <c r="A149">
        <f>A$9 * (34.5001678466796 -A$8)</f>
        <v>34.500167846679602</v>
      </c>
      <c r="B149">
        <f>B$9 * (34.5001678466796 -B$8)</f>
        <v>34.500167846679602</v>
      </c>
      <c r="C149">
        <f>C$9 * (34.5001678466796 -C$8)</f>
        <v>34.500167846679602</v>
      </c>
      <c r="E149">
        <f>E$9 * (-0.000186398101504892 -E$8)</f>
        <v>-1.86398101504892E-4</v>
      </c>
      <c r="F149">
        <f>F$9 * (-0.289752006530761 -F$8)</f>
        <v>-0.289752006530761</v>
      </c>
      <c r="G149">
        <f>G$9 * (0.20640629529953 -G$8)</f>
        <v>0.20640629529953</v>
      </c>
    </row>
    <row r="150" spans="1:7" x14ac:dyDescent="0.3">
      <c r="A150">
        <f>A$9 * (34.7501106262207 -A$8)</f>
        <v>34.750110626220703</v>
      </c>
      <c r="B150">
        <f>B$9 * (34.7501106262207 -B$8)</f>
        <v>34.750110626220703</v>
      </c>
      <c r="C150">
        <f>C$9 * (34.7501106262207 -C$8)</f>
        <v>34.750110626220703</v>
      </c>
      <c r="E150">
        <f>E$9 * (0.00326190888881683 -E$8)</f>
        <v>3.26190888881683E-3</v>
      </c>
      <c r="F150">
        <f>F$9 * (0.141893804073333 -F$8)</f>
        <v>0.14189380407333299</v>
      </c>
      <c r="G150">
        <f>G$9 * (21.3166904449462 -G$8)</f>
        <v>21.3166904449462</v>
      </c>
    </row>
    <row r="151" spans="1:7" x14ac:dyDescent="0.3">
      <c r="A151">
        <f>A$9 * (35.0003318786621 -A$8)</f>
        <v>35.000331878662102</v>
      </c>
      <c r="B151">
        <f>B$9 * (35.0003318786621 -B$8)</f>
        <v>35.000331878662102</v>
      </c>
      <c r="C151">
        <f>C$9 * (35.0003318786621 -C$8)</f>
        <v>35.000331878662102</v>
      </c>
      <c r="E151">
        <f>E$9 * (0.0283304005861282 -E$8)</f>
        <v>2.83304005861282E-2</v>
      </c>
      <c r="F151">
        <f>F$9 * (13.0724802017211 -F$8)</f>
        <v>13.072480201721101</v>
      </c>
      <c r="G151">
        <f>G$9 * (18.2197303771972 -G$8)</f>
        <v>18.219730377197202</v>
      </c>
    </row>
    <row r="152" spans="1:7" x14ac:dyDescent="0.3">
      <c r="A152">
        <f>A$9 * (35.2502212524414 -A$8)</f>
        <v>35.250221252441399</v>
      </c>
      <c r="B152">
        <f>B$9 * (35.2502212524414 -B$8)</f>
        <v>35.250221252441399</v>
      </c>
      <c r="C152">
        <f>C$9 * (35.2502212524414 -C$8)</f>
        <v>35.250221252441399</v>
      </c>
      <c r="E152">
        <f>E$9 * (0.00892819184809923 -E$8)</f>
        <v>8.92819184809923E-3</v>
      </c>
      <c r="F152">
        <f>F$9 * (5.47899913787841 -F$8)</f>
        <v>5.47899913787841</v>
      </c>
      <c r="G152">
        <f>G$9 * (12.0685396194458 -G$8)</f>
        <v>12.068539619445801</v>
      </c>
    </row>
    <row r="153" spans="1:7" x14ac:dyDescent="0.3">
      <c r="A153">
        <f>A$9 * (35.5001106262207 -A$8)</f>
        <v>35.500110626220703</v>
      </c>
      <c r="B153">
        <f>B$9 * (35.5001106262207 -B$8)</f>
        <v>35.500110626220703</v>
      </c>
      <c r="C153">
        <f>C$9 * (35.5001106262207 -C$8)</f>
        <v>35.500110626220703</v>
      </c>
      <c r="E153">
        <f>E$9 * (0.0151810897514224 -E$8)</f>
        <v>1.51810897514224E-2</v>
      </c>
      <c r="F153">
        <f>F$9 * (4.75882387161254 -F$8)</f>
        <v>4.7588238716125399</v>
      </c>
      <c r="G153">
        <f>G$9 * (7.3910961151123 -G$8)</f>
        <v>7.3910961151123002</v>
      </c>
    </row>
    <row r="154" spans="1:7" x14ac:dyDescent="0.3">
      <c r="A154">
        <f>A$9 * (35.7501106262207 -A$8)</f>
        <v>35.750110626220703</v>
      </c>
      <c r="B154">
        <f>B$9 * (35.7501106262207 -B$8)</f>
        <v>35.750110626220703</v>
      </c>
      <c r="C154">
        <f>C$9 * (35.7501106262207 -C$8)</f>
        <v>35.750110626220703</v>
      </c>
      <c r="E154">
        <f>E$9 * (0.00680813519284129 -E$8)</f>
        <v>6.8081351928412897E-3</v>
      </c>
      <c r="F154">
        <f>F$9 * (3.37688398361206 -F$8)</f>
        <v>3.3768839836120601</v>
      </c>
      <c r="G154">
        <f>G$9 * (8.61989593505859 -G$8)</f>
        <v>8.6198959350585902</v>
      </c>
    </row>
    <row r="155" spans="1:7" x14ac:dyDescent="0.3">
      <c r="A155">
        <f>A$9 * (36.0000839233398 -A$8)</f>
        <v>36.000083923339801</v>
      </c>
      <c r="B155">
        <f>B$9 * (36.0000839233398 -B$8)</f>
        <v>36.000083923339801</v>
      </c>
      <c r="C155">
        <f>C$9 * (36.0000839233398 -C$8)</f>
        <v>36.000083923339801</v>
      </c>
      <c r="E155">
        <f>E$9 * (0.00367785198614001 -E$8)</f>
        <v>3.6778519861400101E-3</v>
      </c>
      <c r="F155">
        <f>F$9 * (1.23466002941131 -F$8)</f>
        <v>1.2346600294113099</v>
      </c>
      <c r="G155">
        <f>G$9 * (4.80919790267944 -G$8)</f>
        <v>4.8091979026794398</v>
      </c>
    </row>
    <row r="156" spans="1:7" x14ac:dyDescent="0.3">
      <c r="A156">
        <f>A$9 * (36.2500267028808 -A$8)</f>
        <v>36.250026702880803</v>
      </c>
      <c r="B156">
        <f>B$9 * (36.2500267028808 -B$8)</f>
        <v>36.250026702880803</v>
      </c>
      <c r="C156">
        <f>C$9 * (36.2500267028808 -C$8)</f>
        <v>36.250026702880803</v>
      </c>
      <c r="E156">
        <f>E$9 * (7.93639992480166E-06 -E$8)</f>
        <v>7.9363999248016592E-6</v>
      </c>
      <c r="F156">
        <f>F$9 * (0.00140611198730766 -F$8)</f>
        <v>1.4061119873076599E-3</v>
      </c>
      <c r="G156">
        <f>G$9 * (1.33739399909973 -G$8)</f>
        <v>1.3373939990997299</v>
      </c>
    </row>
    <row r="157" spans="1:7" x14ac:dyDescent="0.3">
      <c r="A157">
        <f>A$9 * (36.50044631958 -A$8)</f>
        <v>36.50044631958</v>
      </c>
      <c r="B157">
        <f>B$9 * (36.50044631958 -B$8)</f>
        <v>36.50044631958</v>
      </c>
      <c r="C157">
        <f>C$9 * (36.50044631958 -C$8)</f>
        <v>36.50044631958</v>
      </c>
      <c r="E157">
        <f>E$9 * (-0.000480939314002171 -E$8)</f>
        <v>-4.80939314002171E-4</v>
      </c>
      <c r="F157">
        <f>F$9 * (-1.31872296333313 -F$8)</f>
        <v>-1.3187229633331301</v>
      </c>
      <c r="G157">
        <f>G$9 * (1.22596001625061 -G$8)</f>
        <v>1.2259600162506099</v>
      </c>
    </row>
    <row r="158" spans="1:7" x14ac:dyDescent="0.3">
      <c r="A158">
        <f>A$9 * (36.7505836486816 -A$8)</f>
        <v>36.750583648681598</v>
      </c>
      <c r="B158">
        <f>B$9 * (36.7505836486816 -B$8)</f>
        <v>36.750583648681598</v>
      </c>
      <c r="C158">
        <f>C$9 * (36.7505836486816 -C$8)</f>
        <v>36.750583648681598</v>
      </c>
      <c r="E158">
        <f>E$9 * (0.100442998111248 -E$8)</f>
        <v>0.100442998111248</v>
      </c>
      <c r="F158">
        <f>F$9 * (12.3882904052734 -F$8)</f>
        <v>12.3882904052734</v>
      </c>
      <c r="G158">
        <f>G$9 * (12.9621801376342 -G$8)</f>
        <v>12.962180137634199</v>
      </c>
    </row>
    <row r="159" spans="1:7" x14ac:dyDescent="0.3">
      <c r="A159">
        <f>A$9 * (37.0002212524414 -A$8)</f>
        <v>37.000221252441399</v>
      </c>
      <c r="B159">
        <f>B$9 * (37.0002212524414 -B$8)</f>
        <v>37.000221252441399</v>
      </c>
      <c r="C159">
        <f>C$9 * (37.0002212524414 -C$8)</f>
        <v>37.000221252441399</v>
      </c>
      <c r="E159">
        <f>E$9 * (0.0101530896499753 -E$8)</f>
        <v>1.01530896499753E-2</v>
      </c>
      <c r="F159">
        <f>F$9 * (1.93664002418518 -F$8)</f>
        <v>1.93664002418518</v>
      </c>
      <c r="G159">
        <f>G$9 * (3.60934710502624 -G$8)</f>
        <v>3.6093471050262398</v>
      </c>
    </row>
    <row r="160" spans="1:7" x14ac:dyDescent="0.3">
      <c r="A160">
        <f>A$9 * (37.2504997253418 -A$8)</f>
        <v>37.250499725341797</v>
      </c>
      <c r="B160">
        <f>B$9 * (37.2504997253418 -B$8)</f>
        <v>37.250499725341797</v>
      </c>
      <c r="C160">
        <f>C$9 * (37.2504997253418 -C$8)</f>
        <v>37.250499725341797</v>
      </c>
      <c r="E160">
        <f>E$9 * (-0.00265117199160158 -E$8)</f>
        <v>-2.6511719916015798E-3</v>
      </c>
      <c r="F160">
        <f>F$9 * (-0.573212087154388 -F$8)</f>
        <v>-0.57321208715438798</v>
      </c>
      <c r="G160">
        <f>G$9 * (-1.51164400577545 -G$8)</f>
        <v>-1.5116440057754501</v>
      </c>
    </row>
    <row r="161" spans="1:7" x14ac:dyDescent="0.3">
      <c r="A161">
        <f>A$9 * (37.5006370544433 -A$8)</f>
        <v>37.500637054443303</v>
      </c>
      <c r="B161">
        <f>B$9 * (37.5006370544433 -B$8)</f>
        <v>37.500637054443303</v>
      </c>
      <c r="C161">
        <f>C$9 * (37.5006370544433 -C$8)</f>
        <v>37.500637054443303</v>
      </c>
      <c r="E161">
        <f>E$9 * (-0.00114334805402904 -E$8)</f>
        <v>-1.1433480540290399E-3</v>
      </c>
      <c r="F161">
        <f>F$9 * (-0.642178893089294 -F$8)</f>
        <v>-0.64217889308929399</v>
      </c>
      <c r="G161">
        <f>G$9 * (-0.376103401184082 -G$8)</f>
        <v>-0.37610340118408198</v>
      </c>
    </row>
    <row r="162" spans="1:7" x14ac:dyDescent="0.3">
      <c r="A162">
        <f>A$9 * (37.7500267028808 -A$8)</f>
        <v>37.750026702880803</v>
      </c>
      <c r="B162">
        <f>B$9 * (37.7500267028808 -B$8)</f>
        <v>37.750026702880803</v>
      </c>
      <c r="C162">
        <f>C$9 * (37.7500267028808 -C$8)</f>
        <v>37.750026702880803</v>
      </c>
      <c r="E162">
        <f>E$9 * (-0.00133423903025686 -E$8)</f>
        <v>-1.33423903025686E-3</v>
      </c>
      <c r="F162">
        <f>F$9 * (-1.10839295387268 -F$8)</f>
        <v>-1.10839295387268</v>
      </c>
      <c r="G162">
        <f>G$9 * (0.476889014244079 -G$8)</f>
        <v>0.47688901424407898</v>
      </c>
    </row>
    <row r="163" spans="1:7" x14ac:dyDescent="0.3">
      <c r="A163">
        <f>A$9 * (38.0003623962402 -A$8)</f>
        <v>38.000362396240199</v>
      </c>
      <c r="B163">
        <f>B$9 * (38.0003623962402 -B$8)</f>
        <v>38.000362396240199</v>
      </c>
      <c r="C163">
        <f>C$9 * (38.0003623962402 -C$8)</f>
        <v>38.000362396240199</v>
      </c>
      <c r="E163">
        <f>E$9 * (0.228693604469299 -E$8)</f>
        <v>0.22869360446929901</v>
      </c>
      <c r="F163">
        <f>F$9 * (17.0891094207763 -F$8)</f>
        <v>17.0891094207763</v>
      </c>
      <c r="G163">
        <f>G$9 * (17.5918292999267 -G$8)</f>
        <v>17.591829299926701</v>
      </c>
    </row>
    <row r="164" spans="1:7" x14ac:dyDescent="0.3">
      <c r="A164">
        <f>A$9 * (38.2504158020019 -A$8)</f>
        <v>38.250415802001903</v>
      </c>
      <c r="B164">
        <f>B$9 * (38.2504158020019 -B$8)</f>
        <v>38.250415802001903</v>
      </c>
      <c r="C164">
        <f>C$9 * (38.2504158020019 -C$8)</f>
        <v>38.250415802001903</v>
      </c>
      <c r="E164">
        <f>E$9 * (0.0528636910021305 -E$8)</f>
        <v>5.2863691002130501E-2</v>
      </c>
      <c r="F164">
        <f>F$9 * (7.44865608215332 -F$8)</f>
        <v>7.4486560821533203</v>
      </c>
      <c r="G164">
        <f>G$9 * (7.88379621505737 -G$8)</f>
        <v>7.8837962150573704</v>
      </c>
    </row>
    <row r="165" spans="1:7" x14ac:dyDescent="0.3">
      <c r="A165">
        <f>A$9 * (38.50044631958 -A$8)</f>
        <v>38.50044631958</v>
      </c>
      <c r="B165">
        <f>B$9 * (38.50044631958 -B$8)</f>
        <v>38.50044631958</v>
      </c>
      <c r="C165">
        <f>C$9 * (38.50044631958 -C$8)</f>
        <v>38.50044631958</v>
      </c>
      <c r="E165">
        <f>E$9 * (0.0123045099899172 -E$8)</f>
        <v>1.23045099899172E-2</v>
      </c>
      <c r="F165">
        <f>F$9 * (7.36261701583862 -F$8)</f>
        <v>7.3626170158386204</v>
      </c>
      <c r="G165">
        <f>G$9 * (13.6156196594238 -G$8)</f>
        <v>13.6156196594238</v>
      </c>
    </row>
    <row r="166" spans="1:7" x14ac:dyDescent="0.3">
      <c r="A166">
        <f>A$9 * (38.7502517700195 -A$8)</f>
        <v>38.750251770019503</v>
      </c>
      <c r="B166">
        <f>B$9 * (38.7502517700195 -B$8)</f>
        <v>38.750251770019503</v>
      </c>
      <c r="C166">
        <f>C$9 * (38.7502517700195 -C$8)</f>
        <v>38.750251770019503</v>
      </c>
      <c r="E166">
        <f>E$9 * (0.0104676103219389 -E$8)</f>
        <v>1.04676103219389E-2</v>
      </c>
      <c r="F166">
        <f>F$9 * (3.43804502487182 -F$8)</f>
        <v>3.43804502487182</v>
      </c>
      <c r="G166">
        <f>G$9 * (6.51066017150878 -G$8)</f>
        <v>6.5106601715087802</v>
      </c>
    </row>
    <row r="167" spans="1:7" x14ac:dyDescent="0.3">
      <c r="A167">
        <f>A$9 * (39.0001945495605 -A$8)</f>
        <v>39.000194549560497</v>
      </c>
      <c r="B167">
        <f>B$9 * (39.0001945495605 -B$8)</f>
        <v>39.000194549560497</v>
      </c>
      <c r="C167">
        <f>C$9 * (39.0001945495605 -C$8)</f>
        <v>39.000194549560497</v>
      </c>
      <c r="E167">
        <f>E$9 * (0.00831373501569032 -E$8)</f>
        <v>8.3137350156903198E-3</v>
      </c>
      <c r="F167">
        <f>F$9 * (3.85069608688354 -F$8)</f>
        <v>3.85069608688354</v>
      </c>
      <c r="G167">
        <f>G$9 * (8.60159301757812 -G$8)</f>
        <v>8.6015930175781197</v>
      </c>
    </row>
    <row r="168" spans="1:7" x14ac:dyDescent="0.3">
      <c r="A168">
        <f>A$9 * (39.2503623962402 -A$8)</f>
        <v>39.250362396240199</v>
      </c>
      <c r="B168">
        <f>B$9 * (39.2503623962402 -B$8)</f>
        <v>39.250362396240199</v>
      </c>
      <c r="C168">
        <f>C$9 * (39.2503623962402 -C$8)</f>
        <v>39.250362396240199</v>
      </c>
      <c r="E168">
        <f>E$9 * (0.0057340320199728 -E$8)</f>
        <v>5.7340320199728003E-3</v>
      </c>
      <c r="F168">
        <f>F$9 * (2.78292393684387 -F$8)</f>
        <v>2.7829239368438698</v>
      </c>
      <c r="G168">
        <f>G$9 * (7.95420312881469 -G$8)</f>
        <v>7.9542031288146902</v>
      </c>
    </row>
    <row r="169" spans="1:7" x14ac:dyDescent="0.3">
      <c r="A169">
        <f>A$9 * (39.5000839233398 -A$8)</f>
        <v>39.500083923339801</v>
      </c>
      <c r="B169">
        <f>B$9 * (39.5000839233398 -B$8)</f>
        <v>39.500083923339801</v>
      </c>
      <c r="C169">
        <f>C$9 * (39.5000839233398 -C$8)</f>
        <v>39.500083923339801</v>
      </c>
      <c r="E169">
        <f>E$9 * (0.001457403996028 -E$8)</f>
        <v>1.457403996028E-3</v>
      </c>
      <c r="F169">
        <f>F$9 * (0.273471295833587 -F$8)</f>
        <v>0.27347129583358698</v>
      </c>
      <c r="G169">
        <f>G$9 * (2.26717495918273 -G$8)</f>
        <v>2.2671749591827299</v>
      </c>
    </row>
    <row r="170" spans="1:7" x14ac:dyDescent="0.3">
      <c r="A170">
        <f>A$9 * (39.750389099121 -A$8)</f>
        <v>39.750389099121001</v>
      </c>
      <c r="B170">
        <f>B$9 * (39.750389099121 -B$8)</f>
        <v>39.750389099121001</v>
      </c>
      <c r="C170">
        <f>C$9 * (39.750389099121 -C$8)</f>
        <v>39.750389099121001</v>
      </c>
      <c r="E170">
        <f>E$9 * (0.0000494396990688983 -E$8)</f>
        <v>4.9439699068898301E-5</v>
      </c>
      <c r="F170">
        <f>F$9 * (-0.82690691947937 -F$8)</f>
        <v>-0.82690691947937001</v>
      </c>
      <c r="G170">
        <f>G$9 * (1.09833395481109 -G$8)</f>
        <v>1.09833395481109</v>
      </c>
    </row>
    <row r="171" spans="1:7" x14ac:dyDescent="0.3">
      <c r="A171">
        <f>A$9 * (40.0000572204589 -A$8)</f>
        <v>40.000057220458899</v>
      </c>
      <c r="B171">
        <f>B$9 * (40.0000572204589 -B$8)</f>
        <v>40.000057220458899</v>
      </c>
      <c r="C171">
        <f>C$9 * (40.0000572204589 -C$8)</f>
        <v>40.000057220458899</v>
      </c>
      <c r="E171">
        <f>E$9 * (0.000674988492392003 -E$8)</f>
        <v>6.7498849239200299E-4</v>
      </c>
      <c r="F171">
        <f>F$9 * (-2.34718799591064 -F$8)</f>
        <v>-2.3471879959106401</v>
      </c>
      <c r="G171">
        <f>G$9 * (1.38607597351074 -G$8)</f>
        <v>1.38607597351074</v>
      </c>
    </row>
    <row r="172" spans="1:7" x14ac:dyDescent="0.3">
      <c r="A172">
        <f>A$9 * (40.2503051757812 -A$8)</f>
        <v>40.2503051757812</v>
      </c>
      <c r="B172">
        <f>B$9 * (40.2503051757812 -B$8)</f>
        <v>40.2503051757812</v>
      </c>
      <c r="C172">
        <f>C$9 * (40.2503051757812 -C$8)</f>
        <v>40.2503051757812</v>
      </c>
      <c r="E172">
        <f>E$9 * (0.00158212997484952 -E$8)</f>
        <v>1.5821299748495199E-3</v>
      </c>
      <c r="F172">
        <f>F$9 * (0.000715192523784935 -F$8)</f>
        <v>7.1519252378493504E-4</v>
      </c>
      <c r="G172">
        <f>G$9 * (8.51914691925048 -G$8)</f>
        <v>8.5191469192504794</v>
      </c>
    </row>
    <row r="173" spans="1:7" x14ac:dyDescent="0.3">
      <c r="A173">
        <f>A$9 * (40.5002212524414 -A$8)</f>
        <v>40.500221252441399</v>
      </c>
      <c r="B173">
        <f>B$9 * (40.5002212524414 -B$8)</f>
        <v>40.500221252441399</v>
      </c>
      <c r="C173">
        <f>C$9 * (40.5002212524414 -C$8)</f>
        <v>40.500221252441399</v>
      </c>
      <c r="E173">
        <f>E$9 * (-0.00129054195713251 -E$8)</f>
        <v>-1.2905419571325101E-3</v>
      </c>
      <c r="F173">
        <f>F$9 * (-1.04833197593689 -F$8)</f>
        <v>-1.0483319759368901</v>
      </c>
      <c r="G173">
        <f>G$9 * (-0.220519095659256 -G$8)</f>
        <v>-0.22051909565925601</v>
      </c>
    </row>
    <row r="174" spans="1:7" x14ac:dyDescent="0.3">
      <c r="A174">
        <f>A$9 * (40.7500267028808 -A$8)</f>
        <v>40.750026702880803</v>
      </c>
      <c r="B174">
        <f>B$9 * (40.7500267028808 -B$8)</f>
        <v>40.750026702880803</v>
      </c>
      <c r="C174">
        <f>C$9 * (40.7500267028808 -C$8)</f>
        <v>40.750026702880803</v>
      </c>
      <c r="E174">
        <f>E$9 * (-0.00100232497788965 -E$8)</f>
        <v>-1.0023249778896501E-3</v>
      </c>
      <c r="F174">
        <f>F$9 * (-1.35797405242919 -F$8)</f>
        <v>-1.3579740524291899</v>
      </c>
      <c r="G174">
        <f>G$9 * (0.173305407166481 -G$8)</f>
        <v>0.17330540716648099</v>
      </c>
    </row>
    <row r="175" spans="1:7" x14ac:dyDescent="0.3">
      <c r="A175">
        <f>A$9 * (41.0002517700195 -A$8)</f>
        <v>41.000251770019503</v>
      </c>
      <c r="B175">
        <f>B$9 * (41.0002517700195 -B$8)</f>
        <v>41.000251770019503</v>
      </c>
      <c r="C175">
        <f>C$9 * (41.0002517700195 -C$8)</f>
        <v>41.000251770019503</v>
      </c>
      <c r="E175">
        <f>E$9 * (-0.000650487781967967 -E$8)</f>
        <v>-6.5048778196796699E-4</v>
      </c>
      <c r="F175">
        <f>F$9 * (-0.103025503456592 -F$8)</f>
        <v>-0.103025503456592</v>
      </c>
      <c r="G175">
        <f>G$9 * (-0.279991298913955 -G$8)</f>
        <v>-0.27999129891395502</v>
      </c>
    </row>
    <row r="176" spans="1:7" x14ac:dyDescent="0.3">
      <c r="A176">
        <f>A$9 * (41.2501945495605 -A$8)</f>
        <v>41.250194549560497</v>
      </c>
      <c r="B176">
        <f>B$9 * (41.2501945495605 -B$8)</f>
        <v>41.250194549560497</v>
      </c>
      <c r="C176">
        <f>C$9 * (41.2501945495605 -C$8)</f>
        <v>41.250194549560497</v>
      </c>
      <c r="E176">
        <f>E$9 * (0.00807856302708387 -E$8)</f>
        <v>8.0785630270838703E-3</v>
      </c>
      <c r="F176">
        <f>F$9 * (0.25073629617691 -F$8)</f>
        <v>0.25073629617691001</v>
      </c>
      <c r="G176">
        <f>G$9 * (0.56594830751419 -G$8)</f>
        <v>0.56594830751419001</v>
      </c>
    </row>
    <row r="177" spans="1:7" x14ac:dyDescent="0.3">
      <c r="A177">
        <f>A$9 * (41.5006370544433 -A$8)</f>
        <v>41.500637054443303</v>
      </c>
      <c r="B177">
        <f>B$9 * (41.5006370544433 -B$8)</f>
        <v>41.500637054443303</v>
      </c>
      <c r="C177">
        <f>C$9 * (41.5006370544433 -C$8)</f>
        <v>41.500637054443303</v>
      </c>
      <c r="E177">
        <f>E$9 * (0.0037191049195826 -E$8)</f>
        <v>3.7191049195826002E-3</v>
      </c>
      <c r="F177">
        <f>F$9 * (0.0649816319346427 -F$8)</f>
        <v>6.4981631934642695E-2</v>
      </c>
      <c r="G177">
        <f>G$9 * (8.93383312225341 -G$8)</f>
        <v>8.9338331222534109</v>
      </c>
    </row>
    <row r="178" spans="1:7" x14ac:dyDescent="0.3">
      <c r="A178">
        <f>A$9 * (41.7501945495605 -A$8)</f>
        <v>41.750194549560497</v>
      </c>
      <c r="B178">
        <f>B$9 * (41.7501945495605 -B$8)</f>
        <v>41.750194549560497</v>
      </c>
      <c r="C178">
        <f>C$9 * (41.7501945495605 -C$8)</f>
        <v>41.750194549560497</v>
      </c>
      <c r="E178">
        <f>E$9 * (0.0172124002128839 -E$8)</f>
        <v>1.7212400212883901E-2</v>
      </c>
      <c r="F178">
        <f>F$9 * (9.53822040557861 -F$8)</f>
        <v>9.5382204055786097</v>
      </c>
      <c r="G178">
        <f>G$9 * (15.8211297988891 -G$8)</f>
        <v>15.8211297988891</v>
      </c>
    </row>
    <row r="179" spans="1:7" x14ac:dyDescent="0.3">
      <c r="A179">
        <f>A$9 * (42.0000839233398 -A$8)</f>
        <v>42.000083923339801</v>
      </c>
      <c r="B179">
        <f>B$9 * (42.0000839233398 -B$8)</f>
        <v>42.000083923339801</v>
      </c>
      <c r="C179">
        <f>C$9 * (42.0000839233398 -C$8)</f>
        <v>42.000083923339801</v>
      </c>
      <c r="E179">
        <f>E$9 * (0.00670137116685509 -E$8)</f>
        <v>6.7013711668550899E-3</v>
      </c>
      <c r="F179">
        <f>F$9 * (3.55601501464843 -F$8)</f>
        <v>3.55601501464843</v>
      </c>
      <c r="G179">
        <f>G$9 * (9.24273872375488 -G$8)</f>
        <v>9.2427387237548793</v>
      </c>
    </row>
    <row r="180" spans="1:7" x14ac:dyDescent="0.3">
      <c r="A180">
        <f>A$9 * (42.25 -A$8)</f>
        <v>42.25</v>
      </c>
      <c r="B180">
        <f>B$9 * (42.25 -B$8)</f>
        <v>42.25</v>
      </c>
      <c r="C180">
        <f>C$9 * (42.25 -C$8)</f>
        <v>42.25</v>
      </c>
      <c r="E180">
        <f>E$9 * (0.0101423198357224 -E$8)</f>
        <v>1.01423198357224E-2</v>
      </c>
      <c r="F180">
        <f>F$9 * (4.52761220932006 -F$8)</f>
        <v>4.5276122093200604</v>
      </c>
      <c r="G180">
        <f>G$9 * (8.95292854309082 -G$8)</f>
        <v>8.9529285430908203</v>
      </c>
    </row>
    <row r="181" spans="1:7" x14ac:dyDescent="0.3">
      <c r="A181">
        <f>A$9 * (42.5003318786621 -A$8)</f>
        <v>42.500331878662102</v>
      </c>
      <c r="B181">
        <f>B$9 * (42.5003318786621 -B$8)</f>
        <v>42.500331878662102</v>
      </c>
      <c r="C181">
        <f>C$9 * (42.5003318786621 -C$8)</f>
        <v>42.500331878662102</v>
      </c>
      <c r="E181">
        <f>E$9 * (0.00625050999224185 -E$8)</f>
        <v>6.2505099922418499E-3</v>
      </c>
      <c r="F181">
        <f>F$9 * (3.0537040233612 -F$8)</f>
        <v>3.0537040233611998</v>
      </c>
      <c r="G181">
        <f>G$9 * (8.24107360839843 -G$8)</f>
        <v>8.2410736083984304</v>
      </c>
    </row>
    <row r="182" spans="1:7" x14ac:dyDescent="0.3">
      <c r="A182">
        <f>A$9 * (42.7501373291015 -A$8)</f>
        <v>42.750137329101499</v>
      </c>
      <c r="B182">
        <f>B$9 * (42.7501373291015 -B$8)</f>
        <v>42.750137329101499</v>
      </c>
      <c r="C182">
        <f>C$9 * (42.7501373291015 -C$8)</f>
        <v>42.750137329101499</v>
      </c>
      <c r="E182">
        <f>E$9 * (0.00253157294355332 -E$8)</f>
        <v>2.5315729435533198E-3</v>
      </c>
      <c r="F182">
        <f>F$9 * (0.590508699417114 -F$8)</f>
        <v>0.59050869941711404</v>
      </c>
      <c r="G182">
        <f>G$9 * (3.09540009498596 -G$8)</f>
        <v>3.0954000949859601</v>
      </c>
    </row>
    <row r="183" spans="1:7" x14ac:dyDescent="0.3">
      <c r="A183">
        <f>A$9 * (43.0004730224609 -A$8)</f>
        <v>43.000473022460902</v>
      </c>
      <c r="B183">
        <f>B$9 * (43.0004730224609 -B$8)</f>
        <v>43.000473022460902</v>
      </c>
      <c r="C183">
        <f>C$9 * (43.0004730224609 -C$8)</f>
        <v>43.000473022460902</v>
      </c>
      <c r="E183">
        <f>E$9 * (0.000225694093387574 -E$8)</f>
        <v>2.2569409338757401E-4</v>
      </c>
      <c r="F183">
        <f>F$9 * (0.0346087515354156 -F$8)</f>
        <v>3.4608751535415601E-2</v>
      </c>
      <c r="G183">
        <f>G$9 * (1.60591495037078 -G$8)</f>
        <v>1.6059149503707799</v>
      </c>
    </row>
    <row r="184" spans="1:7" x14ac:dyDescent="0.3">
      <c r="A184">
        <f>A$9 * (43.2504730224609 -A$8)</f>
        <v>43.250473022460902</v>
      </c>
      <c r="B184">
        <f>B$9 * (43.2504730224609 -B$8)</f>
        <v>43.250473022460902</v>
      </c>
      <c r="C184">
        <f>C$9 * (43.2504730224609 -C$8)</f>
        <v>43.250473022460902</v>
      </c>
      <c r="E184">
        <f>E$9 * (-0.0000298439008474815 -E$8)</f>
        <v>-2.9843900847481499E-5</v>
      </c>
      <c r="F184">
        <f>F$9 * (-0.975950419902801 -F$8)</f>
        <v>-0.97595041990280096</v>
      </c>
      <c r="G184">
        <f>G$9 * (0.553440272808075 -G$8)</f>
        <v>0.55344027280807495</v>
      </c>
    </row>
    <row r="185" spans="1:7" x14ac:dyDescent="0.3">
      <c r="A185">
        <f>A$9 * (43.5000267028808 -A$8)</f>
        <v>43.500026702880803</v>
      </c>
      <c r="B185">
        <f>B$9 * (43.5000267028808 -B$8)</f>
        <v>43.500026702880803</v>
      </c>
      <c r="C185">
        <f>C$9 * (43.5000267028808 -C$8)</f>
        <v>43.500026702880803</v>
      </c>
      <c r="E185">
        <f>E$9 * (0.00147190503776073 -E$8)</f>
        <v>1.47190503776073E-3</v>
      </c>
      <c r="F185">
        <f>F$9 * (0.0472269207239151 -F$8)</f>
        <v>4.72269207239151E-2</v>
      </c>
      <c r="G185">
        <f>G$9 * (11.2074003219604 -G$8)</f>
        <v>11.207400321960399</v>
      </c>
    </row>
    <row r="186" spans="1:7" x14ac:dyDescent="0.3">
      <c r="A186">
        <f>A$9 * (43.750389099121 -A$8)</f>
        <v>43.750389099121001</v>
      </c>
      <c r="B186">
        <f>B$9 * (43.750389099121 -B$8)</f>
        <v>43.750389099121001</v>
      </c>
      <c r="C186">
        <f>C$9 * (43.750389099121 -C$8)</f>
        <v>43.750389099121001</v>
      </c>
      <c r="E186">
        <f>E$9 * (-0.000843538204208016 -E$8)</f>
        <v>-8.4353820420801596E-4</v>
      </c>
      <c r="F186">
        <f>F$9 * (-0.786308825016021 -F$8)</f>
        <v>-0.78630882501602095</v>
      </c>
      <c r="G186">
        <f>G$9 * (-0.116939298808574 -G$8)</f>
        <v>-0.116939298808574</v>
      </c>
    </row>
    <row r="187" spans="1:7" x14ac:dyDescent="0.3">
      <c r="A187">
        <f>A$9 * (44.0003623962402 -A$8)</f>
        <v>44.000362396240199</v>
      </c>
      <c r="B187">
        <f>B$9 * (44.0003623962402 -B$8)</f>
        <v>44.000362396240199</v>
      </c>
      <c r="C187">
        <f>C$9 * (44.0003623962402 -C$8)</f>
        <v>44.000362396240199</v>
      </c>
      <c r="E187">
        <f>E$9 * (-0.000931637128815054 -E$8)</f>
        <v>-9.3163712881505403E-4</v>
      </c>
      <c r="F187">
        <f>F$9 * (-1.18506598472595 -F$8)</f>
        <v>-1.1850659847259499</v>
      </c>
      <c r="G187">
        <f>G$9 * (1.03428602218627 -G$8)</f>
        <v>1.03428602218627</v>
      </c>
    </row>
    <row r="188" spans="1:7" x14ac:dyDescent="0.3">
      <c r="A188">
        <f>A$9 * (44.2502212524414 -A$8)</f>
        <v>44.250221252441399</v>
      </c>
      <c r="B188">
        <f>B$9 * (44.2502212524414 -B$8)</f>
        <v>44.250221252441399</v>
      </c>
      <c r="C188">
        <f>C$9 * (44.2502212524414 -C$8)</f>
        <v>44.250221252441399</v>
      </c>
      <c r="E188">
        <f>E$9 * (-0.0000746141013223677 -E$8)</f>
        <v>-7.4614101322367706E-5</v>
      </c>
      <c r="F188">
        <f>F$9 * (-0.340952306985855 -F$8)</f>
        <v>-0.34095230698585499</v>
      </c>
      <c r="G188">
        <f>G$9 * (0.302421510219574 -G$8)</f>
        <v>0.30242151021957397</v>
      </c>
    </row>
    <row r="189" spans="1:7" x14ac:dyDescent="0.3">
      <c r="A189">
        <f>A$9 * (44.5003318786621 -A$8)</f>
        <v>44.500331878662102</v>
      </c>
      <c r="B189">
        <f>B$9 * (44.5003318786621 -B$8)</f>
        <v>44.500331878662102</v>
      </c>
      <c r="C189">
        <f>C$9 * (44.5003318786621 -C$8)</f>
        <v>44.500331878662102</v>
      </c>
      <c r="E189">
        <f>E$9 * (0.00178251403849571 -E$8)</f>
        <v>1.7825140384957099E-3</v>
      </c>
      <c r="F189">
        <f>F$9 * (-1.89923095703125 -F$8)</f>
        <v>-1.89923095703125</v>
      </c>
      <c r="G189">
        <f>G$9 * (0.878736674785614 -G$8)</f>
        <v>0.87873667478561401</v>
      </c>
    </row>
    <row r="190" spans="1:7" x14ac:dyDescent="0.3">
      <c r="A190">
        <f>A$9 * (44.7501678466796 -A$8)</f>
        <v>44.750167846679602</v>
      </c>
      <c r="B190">
        <f>B$9 * (44.7501678466796 -B$8)</f>
        <v>44.750167846679602</v>
      </c>
      <c r="C190">
        <f>C$9 * (44.7501678466796 -C$8)</f>
        <v>44.750167846679602</v>
      </c>
      <c r="E190">
        <f>E$9 * (0.00682175112888217 -E$8)</f>
        <v>6.8217511288821697E-3</v>
      </c>
      <c r="F190">
        <f>F$9 * (0.279519885778427 -F$8)</f>
        <v>0.27951988577842701</v>
      </c>
      <c r="G190">
        <f>G$9 * (19.8451995849609 -G$8)</f>
        <v>19.845199584960898</v>
      </c>
    </row>
    <row r="191" spans="1:7" x14ac:dyDescent="0.3">
      <c r="A191">
        <f>A$9 * (45.0004997253418 -A$8)</f>
        <v>45.000499725341797</v>
      </c>
      <c r="B191">
        <f>B$9 * (45.0004997253418 -B$8)</f>
        <v>45.000499725341797</v>
      </c>
      <c r="C191">
        <f>C$9 * (45.0004997253418 -C$8)</f>
        <v>45.000499725341797</v>
      </c>
      <c r="E191">
        <f>E$9 * (0.0263603292405605 -E$8)</f>
        <v>2.63603292405605E-2</v>
      </c>
      <c r="F191">
        <f>F$9 * (12.3613195419311 -F$8)</f>
        <v>12.361319541931101</v>
      </c>
      <c r="G191">
        <f>G$9 * (17.4802494049072 -G$8)</f>
        <v>17.480249404907202</v>
      </c>
    </row>
    <row r="192" spans="1:7" x14ac:dyDescent="0.3">
      <c r="A192">
        <f>A$9 * (45.2503623962402 -A$8)</f>
        <v>45.250362396240199</v>
      </c>
      <c r="B192">
        <f>B$9 * (45.2503623962402 -B$8)</f>
        <v>45.250362396240199</v>
      </c>
      <c r="C192">
        <f>C$9 * (45.2503623962402 -C$8)</f>
        <v>45.250362396240199</v>
      </c>
      <c r="E192">
        <f>E$9 * (0.00729745905846357 -E$8)</f>
        <v>7.29745905846357E-3</v>
      </c>
      <c r="F192">
        <f>F$9 * (4.75829601287841 -F$8)</f>
        <v>4.75829601287841</v>
      </c>
      <c r="G192">
        <f>G$9 * (11.9841299057006 -G$8)</f>
        <v>11.9841299057006</v>
      </c>
    </row>
    <row r="193" spans="1:7" x14ac:dyDescent="0.3">
      <c r="A193">
        <f>A$9 * (45.5002212524414 -A$8)</f>
        <v>45.500221252441399</v>
      </c>
      <c r="B193">
        <f>B$9 * (45.5002212524414 -B$8)</f>
        <v>45.500221252441399</v>
      </c>
      <c r="C193">
        <f>C$9 * (45.5002212524414 -C$8)</f>
        <v>45.500221252441399</v>
      </c>
      <c r="E193">
        <f>E$9 * (0.013874189928174 -E$8)</f>
        <v>1.3874189928174E-2</v>
      </c>
      <c r="F193">
        <f>F$9 * (5.20487117767334 -F$8)</f>
        <v>5.2048711776733398</v>
      </c>
      <c r="G193">
        <f>G$9 * (8.57013988494873 -G$8)</f>
        <v>8.5701398849487305</v>
      </c>
    </row>
    <row r="194" spans="1:7" x14ac:dyDescent="0.3">
      <c r="A194">
        <f>A$9 * (45.7500572204589 -A$8)</f>
        <v>45.750057220458899</v>
      </c>
      <c r="B194">
        <f>B$9 * (45.7500572204589 -B$8)</f>
        <v>45.750057220458899</v>
      </c>
      <c r="C194">
        <f>C$9 * (45.7500572204589 -C$8)</f>
        <v>45.750057220458899</v>
      </c>
      <c r="E194">
        <f>E$9 * (0.00646308623254299 -E$8)</f>
        <v>6.4630862325429899E-3</v>
      </c>
      <c r="F194">
        <f>F$9 * (3.19596409797668 -F$8)</f>
        <v>3.1959640979766801</v>
      </c>
      <c r="G194">
        <f>G$9 * (8.44668197631835 -G$8)</f>
        <v>8.4466819763183505</v>
      </c>
    </row>
    <row r="195" spans="1:7" x14ac:dyDescent="0.3">
      <c r="A195">
        <f>A$9 * (46.0001373291015 -A$8)</f>
        <v>46.000137329101499</v>
      </c>
      <c r="B195">
        <f>B$9 * (46.0001373291015 -B$8)</f>
        <v>46.000137329101499</v>
      </c>
      <c r="C195">
        <f>C$9 * (46.0001373291015 -C$8)</f>
        <v>46.000137329101499</v>
      </c>
      <c r="E195">
        <f>E$9 * (0.00344195193611085 -E$8)</f>
        <v>3.4419519361108498E-3</v>
      </c>
      <c r="F195">
        <f>F$9 * (1.03813195228576 -F$8)</f>
        <v>1.0381319522857599</v>
      </c>
      <c r="G195">
        <f>G$9 * (4.25217914581298 -G$8)</f>
        <v>4.2521791458129803</v>
      </c>
    </row>
    <row r="196" spans="1:7" x14ac:dyDescent="0.3">
      <c r="A196">
        <f>A$9 * (46.2504158020019 -A$8)</f>
        <v>46.250415802001903</v>
      </c>
      <c r="B196">
        <f>B$9 * (46.2504158020019 -B$8)</f>
        <v>46.250415802001903</v>
      </c>
      <c r="C196">
        <f>C$9 * (46.2504158020019 -C$8)</f>
        <v>46.250415802001903</v>
      </c>
      <c r="E196">
        <f>E$9 * (0.00332331610843539 -E$8)</f>
        <v>3.3233161084353902E-3</v>
      </c>
      <c r="F196">
        <f>F$9 * (0.496788412332534 -F$8)</f>
        <v>0.49678841233253401</v>
      </c>
      <c r="G196">
        <f>G$9 * (2.05409693717956 -G$8)</f>
        <v>2.0540969371795601</v>
      </c>
    </row>
    <row r="197" spans="1:7" x14ac:dyDescent="0.3">
      <c r="A197">
        <f>A$9 * (46.5002784729003 -A$8)</f>
        <v>46.500278472900298</v>
      </c>
      <c r="B197">
        <f>B$9 * (46.5002784729003 -B$8)</f>
        <v>46.500278472900298</v>
      </c>
      <c r="C197">
        <f>C$9 * (46.5002784729003 -C$8)</f>
        <v>46.500278472900298</v>
      </c>
      <c r="E197">
        <f>E$9 * (0.00286558596417307 -E$8)</f>
        <v>2.8655859641730699E-3</v>
      </c>
      <c r="F197">
        <f>F$9 * (2.32427310943603 -F$8)</f>
        <v>2.3242731094360298</v>
      </c>
      <c r="G197">
        <f>G$9 * (12.0496397018432 -G$8)</f>
        <v>12.0496397018432</v>
      </c>
    </row>
    <row r="198" spans="1:7" x14ac:dyDescent="0.3">
      <c r="A198">
        <f>A$9 * (46.7501678466796 -A$8)</f>
        <v>46.750167846679602</v>
      </c>
      <c r="B198">
        <f>B$9 * (46.7501678466796 -B$8)</f>
        <v>46.750167846679602</v>
      </c>
      <c r="C198">
        <f>C$9 * (46.7501678466796 -C$8)</f>
        <v>46.750167846679602</v>
      </c>
      <c r="E198">
        <f>E$9 * (-0.00301410094834864 -E$8)</f>
        <v>-3.0141009483486401E-3</v>
      </c>
      <c r="F198">
        <f>F$9 * (-0.751192271709442 -F$8)</f>
        <v>-0.75119227170944203</v>
      </c>
      <c r="G198">
        <f>G$9 * (1.30156505107879 -G$8)</f>
        <v>1.3015650510787899</v>
      </c>
    </row>
    <row r="199" spans="1:7" x14ac:dyDescent="0.3">
      <c r="A199">
        <f>A$9 * (47.0004730224609 -A$8)</f>
        <v>47.000473022460902</v>
      </c>
      <c r="B199">
        <f>B$9 * (47.0004730224609 -B$8)</f>
        <v>47.000473022460902</v>
      </c>
      <c r="C199">
        <f>C$9 * (47.0004730224609 -C$8)</f>
        <v>47.000473022460902</v>
      </c>
      <c r="E199">
        <f>E$9 * (0.000365066196536645 -E$8)</f>
        <v>3.6506619653664502E-4</v>
      </c>
      <c r="F199">
        <f>F$9 * (-1.16379904747009 -F$8)</f>
        <v>-1.1637990474700901</v>
      </c>
      <c r="G199">
        <f>G$9 * (1.82546496391296 -G$8)</f>
        <v>1.8254649639129601</v>
      </c>
    </row>
    <row r="200" spans="1:7" x14ac:dyDescent="0.3">
      <c r="A200">
        <f>A$9 * (47.25044631958 -A$8)</f>
        <v>47.25044631958</v>
      </c>
      <c r="B200">
        <f>B$9 * (47.25044631958 -B$8)</f>
        <v>47.25044631958</v>
      </c>
      <c r="C200">
        <f>C$9 * (47.25044631958 -C$8)</f>
        <v>47.25044631958</v>
      </c>
      <c r="E200">
        <f>E$9 * (-0.00128797104116529 -E$8)</f>
        <v>-1.2879710411652901E-3</v>
      </c>
      <c r="F200">
        <f>F$9 * (-1.42764496803283 -F$8)</f>
        <v>-1.42764496803283</v>
      </c>
      <c r="G200">
        <f>G$9 * (-0.288583606481552 -G$8)</f>
        <v>-0.28858360648155201</v>
      </c>
    </row>
    <row r="201" spans="1:7" x14ac:dyDescent="0.3">
      <c r="A201">
        <f>A$9 * (47.5006675720214 -A$8)</f>
        <v>47.500667572021399</v>
      </c>
      <c r="B201">
        <f>B$9 * (47.5006675720214 -B$8)</f>
        <v>47.500667572021399</v>
      </c>
      <c r="C201">
        <f>C$9 * (47.5006675720214 -C$8)</f>
        <v>47.500667572021399</v>
      </c>
      <c r="E201">
        <f>E$9 * (-0.000656961929053068 -E$8)</f>
        <v>-6.5696192905306805E-4</v>
      </c>
      <c r="F201">
        <f>F$9 * (-0.44220021367073 -F$8)</f>
        <v>-0.44220021367072998</v>
      </c>
      <c r="G201">
        <f>G$9 * (-0.0693635120987892 -G$8)</f>
        <v>-6.9363512098789201E-2</v>
      </c>
    </row>
    <row r="202" spans="1:7" x14ac:dyDescent="0.3">
      <c r="A202">
        <f>A$9 * (47.75 -A$8)</f>
        <v>47.75</v>
      </c>
      <c r="B202">
        <f>B$9 * (47.75 -B$8)</f>
        <v>47.75</v>
      </c>
      <c r="C202">
        <f>C$9 * (47.75 -C$8)</f>
        <v>47.75</v>
      </c>
      <c r="E202">
        <f>E$9 * (0.00354762095957994 -E$8)</f>
        <v>3.5476209595799398E-3</v>
      </c>
      <c r="F202">
        <f>F$9 * (0.282379299402236 -F$8)</f>
        <v>0.28237929940223599</v>
      </c>
      <c r="G202">
        <f>G$9 * (41.7388687133789 -G$8)</f>
        <v>41.738868713378899</v>
      </c>
    </row>
    <row r="203" spans="1:7" x14ac:dyDescent="0.3">
      <c r="A203">
        <f>A$9 * (48.0002784729003 -A$8)</f>
        <v>48.000278472900298</v>
      </c>
      <c r="B203">
        <f>B$9 * (48.0002784729003 -B$8)</f>
        <v>48.000278472900298</v>
      </c>
      <c r="C203">
        <f>C$9 * (48.0002784729003 -C$8)</f>
        <v>48.000278472900298</v>
      </c>
      <c r="E203">
        <f>E$9 * (0.0635330528020858 -E$8)</f>
        <v>6.3533052802085793E-2</v>
      </c>
      <c r="F203">
        <f>F$9 * (9.60061931610107 -F$8)</f>
        <v>9.6006193161010707</v>
      </c>
      <c r="G203">
        <f>G$9 * (10.1650295257568 -G$8)</f>
        <v>10.1650295257568</v>
      </c>
    </row>
    <row r="204" spans="1:7" x14ac:dyDescent="0.3">
      <c r="A204">
        <f>A$9 * (48.2501106262207 -A$8)</f>
        <v>48.250110626220703</v>
      </c>
      <c r="B204">
        <f>B$9 * (48.2501106262207 -B$8)</f>
        <v>48.250110626220703</v>
      </c>
      <c r="C204">
        <f>C$9 * (48.2501106262207 -C$8)</f>
        <v>48.250110626220703</v>
      </c>
      <c r="E204">
        <f>E$9 * (0.0112127996981144 -E$8)</f>
        <v>1.12127996981144E-2</v>
      </c>
      <c r="F204">
        <f>F$9 * (6.44594383239746 -F$8)</f>
        <v>6.44594383239746</v>
      </c>
      <c r="G204">
        <f>G$9 * (12.3799200057983 -G$8)</f>
        <v>12.379920005798301</v>
      </c>
    </row>
    <row r="205" spans="1:7" x14ac:dyDescent="0.3">
      <c r="A205">
        <f>A$9 * (48.5003623962402 -A$8)</f>
        <v>48.500362396240199</v>
      </c>
      <c r="B205">
        <f>B$9 * (48.5003623962402 -B$8)</f>
        <v>48.500362396240199</v>
      </c>
      <c r="C205">
        <f>C$9 * (48.5003623962402 -C$8)</f>
        <v>48.500362396240199</v>
      </c>
      <c r="E205">
        <f>E$9 * (0.0120248198509216 -E$8)</f>
        <v>1.20248198509216E-2</v>
      </c>
      <c r="F205">
        <f>F$9 * (3.5178849697113 -F$8)</f>
        <v>3.5178849697113002</v>
      </c>
      <c r="G205">
        <f>G$9 * (6.11858701705932 -G$8)</f>
        <v>6.11858701705932</v>
      </c>
    </row>
    <row r="206" spans="1:7" x14ac:dyDescent="0.3">
      <c r="A206">
        <f>A$9 * (48.7500572204589 -A$8)</f>
        <v>48.750057220458899</v>
      </c>
      <c r="B206">
        <f>B$9 * (48.7500572204589 -B$8)</f>
        <v>48.750057220458899</v>
      </c>
      <c r="C206">
        <f>C$9 * (48.7500572204589 -C$8)</f>
        <v>48.750057220458899</v>
      </c>
      <c r="E206">
        <f>E$9 * (0.00771386083215475 -E$8)</f>
        <v>7.71386083215475E-3</v>
      </c>
      <c r="F206">
        <f>F$9 * (3.69011902809143 -F$8)</f>
        <v>3.6901190280914302</v>
      </c>
      <c r="G206">
        <f>G$9 * (8.66127204895019 -G$8)</f>
        <v>8.66127204895019</v>
      </c>
    </row>
    <row r="207" spans="1:7" x14ac:dyDescent="0.3">
      <c r="A207">
        <f>A$9 * (49.0001678466796 -A$8)</f>
        <v>49.000167846679602</v>
      </c>
      <c r="B207">
        <f>B$9 * (49.0001678466796 -B$8)</f>
        <v>49.000167846679602</v>
      </c>
      <c r="C207">
        <f>C$9 * (49.0001678466796 -C$8)</f>
        <v>49.000167846679602</v>
      </c>
      <c r="E207">
        <f>E$9 * (0.00496347388252615 -E$8)</f>
        <v>4.9634738825261497E-3</v>
      </c>
      <c r="F207">
        <f>F$9 * (2.23333311080932 -F$8)</f>
        <v>2.23333311080932</v>
      </c>
      <c r="G207">
        <f>G$9 * (7.02776479721069 -G$8)</f>
        <v>7.0277647972106898</v>
      </c>
    </row>
    <row r="208" spans="1:7" x14ac:dyDescent="0.3">
      <c r="A208">
        <f>A$9 * (49.2502784729003 -A$8)</f>
        <v>49.250278472900298</v>
      </c>
      <c r="B208">
        <f>B$9 * (49.2502784729003 -B$8)</f>
        <v>49.250278472900298</v>
      </c>
      <c r="C208">
        <f>C$9 * (49.2502784729003 -C$8)</f>
        <v>49.250278472900298</v>
      </c>
      <c r="E208">
        <f>E$9 * (-0.001245763967745 -E$8)</f>
        <v>-1.245763967745E-3</v>
      </c>
      <c r="F208">
        <f>F$9 * (-0.244867801666259 -F$8)</f>
        <v>-0.24486780166625899</v>
      </c>
      <c r="G208">
        <f>G$9 * (1.62625694274902 -G$8)</f>
        <v>1.6262569427490201</v>
      </c>
    </row>
    <row r="209" spans="1:7" x14ac:dyDescent="0.3">
      <c r="A209">
        <f>A$9 * (49.5001678466796 -A$8)</f>
        <v>49.500167846679602</v>
      </c>
      <c r="B209">
        <f>B$9 * (49.5001678466796 -B$8)</f>
        <v>49.500167846679602</v>
      </c>
      <c r="C209">
        <f>C$9 * (49.5001678466796 -C$8)</f>
        <v>49.500167846679602</v>
      </c>
      <c r="E209">
        <f>E$9 * (-0.00168078695423901 -E$8)</f>
        <v>-1.6807869542390099E-3</v>
      </c>
      <c r="F209">
        <f>F$9 * (-0.753322720527648 -F$8)</f>
        <v>-0.75332272052764804</v>
      </c>
      <c r="G209">
        <f>G$9 * (-0.498811811208725 -G$8)</f>
        <v>-0.49881181120872498</v>
      </c>
    </row>
    <row r="210" spans="1:7" x14ac:dyDescent="0.3">
      <c r="A210">
        <f>A$9 * (49.7504730224609 -A$8)</f>
        <v>49.750473022460902</v>
      </c>
      <c r="B210">
        <f>B$9 * (49.7504730224609 -B$8)</f>
        <v>49.750473022460902</v>
      </c>
      <c r="C210">
        <f>C$9 * (49.7504730224609 -C$8)</f>
        <v>49.750473022460902</v>
      </c>
      <c r="E210">
        <f>E$9 * (0.0000432568995165638 -E$8)</f>
        <v>4.3256899516563802E-5</v>
      </c>
      <c r="F210">
        <f>F$9 * (-1.44014298915863 -F$8)</f>
        <v>-1.4401429891586299</v>
      </c>
      <c r="G210">
        <f>G$9 * (0.802244424819946 -G$8)</f>
        <v>0.80224442481994596</v>
      </c>
    </row>
    <row r="211" spans="1:7" x14ac:dyDescent="0.3">
      <c r="A211">
        <f>A$9 * (50.0001945495605 -A$8)</f>
        <v>50.000194549560497</v>
      </c>
      <c r="B211">
        <f>B$9 * (50.0001945495605 -B$8)</f>
        <v>50.000194549560497</v>
      </c>
      <c r="C211">
        <f>C$9 * (50.0001945495605 -C$8)</f>
        <v>50.000194549560497</v>
      </c>
      <c r="E211">
        <f>E$9 * (0.00159253901802003 -E$8)</f>
        <v>1.5925390180200299E-3</v>
      </c>
      <c r="F211">
        <f>F$9 * (0.0191739797592163 -F$8)</f>
        <v>1.9173979759216302E-2</v>
      </c>
      <c r="G211">
        <f>G$9 * (9.09818744659423 -G$8)</f>
        <v>9.0981874465942294</v>
      </c>
    </row>
    <row r="212" spans="1:7" x14ac:dyDescent="0.3">
      <c r="A212">
        <f>A$9 * (50.2501945495605 -A$8)</f>
        <v>50.250194549560497</v>
      </c>
      <c r="B212">
        <f>B$9 * (50.2501945495605 -B$8)</f>
        <v>50.250194549560497</v>
      </c>
      <c r="C212">
        <f>C$9 * (50.2501945495605 -C$8)</f>
        <v>50.250194549560497</v>
      </c>
      <c r="E212">
        <f>E$9 * (-0.000897660676855593 -E$8)</f>
        <v>-8.9766067685559305E-4</v>
      </c>
      <c r="F212">
        <f>F$9 * (-0.10992269963026 -F$8)</f>
        <v>-0.10992269963026</v>
      </c>
      <c r="G212">
        <f>G$9 * (-0.444755285978317 -G$8)</f>
        <v>-0.44475528597831698</v>
      </c>
    </row>
    <row r="213" spans="1:7" x14ac:dyDescent="0.3">
      <c r="A213">
        <f>A$9 * (50.5002212524414 -A$8)</f>
        <v>50.500221252441399</v>
      </c>
      <c r="B213">
        <f>B$9 * (50.5002212524414 -B$8)</f>
        <v>50.500221252441399</v>
      </c>
      <c r="C213">
        <f>C$9 * (50.5002212524414 -C$8)</f>
        <v>50.500221252441399</v>
      </c>
      <c r="E213">
        <f>E$9 * (-0.000526298710610717 -E$8)</f>
        <v>-5.2629871061071699E-4</v>
      </c>
      <c r="F213">
        <f>F$9 * (-0.806465923786163 -F$8)</f>
        <v>-0.806465923786163</v>
      </c>
      <c r="G213">
        <f>G$9 * (0.685126602649688 -G$8)</f>
        <v>0.68512660264968805</v>
      </c>
    </row>
    <row r="214" spans="1:7" x14ac:dyDescent="0.3">
      <c r="A214">
        <f>A$9 * (50.7505264282226 -A$8)</f>
        <v>50.750526428222599</v>
      </c>
      <c r="B214">
        <f>B$9 * (50.7505264282226 -B$8)</f>
        <v>50.750526428222599</v>
      </c>
      <c r="C214">
        <f>C$9 * (50.7505264282226 -C$8)</f>
        <v>50.750526428222599</v>
      </c>
      <c r="E214">
        <f>E$9 * (-0.000601613312028348 -E$8)</f>
        <v>-6.0161331202834801E-4</v>
      </c>
      <c r="F214">
        <f>F$9 * (-0.400382101535797 -F$8)</f>
        <v>-0.40038210153579701</v>
      </c>
      <c r="G214">
        <f>G$9 * (-0.0940359607338905 -G$8)</f>
        <v>-9.4035960733890506E-2</v>
      </c>
    </row>
    <row r="215" spans="1:7" x14ac:dyDescent="0.3">
      <c r="A215">
        <f>A$9 * (51.0002212524414 -A$8)</f>
        <v>51.000221252441399</v>
      </c>
      <c r="B215">
        <f>B$9 * (51.0002212524414 -B$8)</f>
        <v>51.000221252441399</v>
      </c>
      <c r="C215">
        <f>C$9 * (51.0002212524414 -C$8)</f>
        <v>51.000221252441399</v>
      </c>
      <c r="E215">
        <f>E$9 * (0.0108912298455834 -E$8)</f>
        <v>1.0891229845583401E-2</v>
      </c>
      <c r="F215">
        <f>F$9 * (0.350165694952011 -F$8)</f>
        <v>0.350165694952011</v>
      </c>
      <c r="G215">
        <f>G$9 * (0.443693310022354 -G$8)</f>
        <v>0.44369331002235401</v>
      </c>
    </row>
    <row r="216" spans="1:7" x14ac:dyDescent="0.3">
      <c r="A216">
        <f>A$9 * (51.2501106262207 -A$8)</f>
        <v>51.250110626220703</v>
      </c>
      <c r="B216">
        <f>B$9 * (51.2501106262207 -B$8)</f>
        <v>51.250110626220703</v>
      </c>
      <c r="C216">
        <f>C$9 * (51.2501106262207 -C$8)</f>
        <v>51.250110626220703</v>
      </c>
      <c r="E216">
        <f>E$9 * (0.0150235202163457 -E$8)</f>
        <v>1.50235202163457E-2</v>
      </c>
      <c r="F216">
        <f>F$9 * (4.61096715927124 -F$8)</f>
        <v>4.6109671592712402</v>
      </c>
      <c r="G216">
        <f>G$9 * (7.31604814529418 -G$8)</f>
        <v>7.3160481452941797</v>
      </c>
    </row>
    <row r="217" spans="1:7" x14ac:dyDescent="0.3">
      <c r="A217">
        <f>A$9 * (51.5000839233398 -A$8)</f>
        <v>51.500083923339801</v>
      </c>
      <c r="B217">
        <f>B$9 * (51.5000839233398 -B$8)</f>
        <v>51.500083923339801</v>
      </c>
      <c r="C217">
        <f>C$9 * (51.5000839233398 -C$8)</f>
        <v>51.500083923339801</v>
      </c>
      <c r="E217">
        <f>E$9 * (0.0154397003352642 -E$8)</f>
        <v>1.5439700335264201E-2</v>
      </c>
      <c r="F217">
        <f>F$9 * (8.78558254241943 -F$8)</f>
        <v>8.78558254241943</v>
      </c>
      <c r="G217">
        <f>G$9 * (15.0913400650024 -G$8)</f>
        <v>15.091340065002401</v>
      </c>
    </row>
    <row r="218" spans="1:7" x14ac:dyDescent="0.3">
      <c r="A218">
        <f>A$9 * (51.7504158020019 -A$8)</f>
        <v>51.750415802001903</v>
      </c>
      <c r="B218">
        <f>B$9 * (51.7504158020019 -B$8)</f>
        <v>51.750415802001903</v>
      </c>
      <c r="C218">
        <f>C$9 * (51.7504158020019 -C$8)</f>
        <v>51.750415802001903</v>
      </c>
      <c r="E218">
        <f>E$9 * (0.00746386777609586 -E$8)</f>
        <v>7.4638677760958602E-3</v>
      </c>
      <c r="F218">
        <f>F$9 * (3.47584295272827 -F$8)</f>
        <v>3.4758429527282702</v>
      </c>
      <c r="G218">
        <f>G$9 * (8.29650115966796 -G$8)</f>
        <v>8.2965011596679599</v>
      </c>
    </row>
    <row r="219" spans="1:7" x14ac:dyDescent="0.3">
      <c r="A219">
        <f>A$9 * (52.0001945495605 -A$8)</f>
        <v>52.000194549560497</v>
      </c>
      <c r="B219">
        <f>B$9 * (52.0001945495605 -B$8)</f>
        <v>52.000194549560497</v>
      </c>
      <c r="C219">
        <f>C$9 * (52.0001945495605 -C$8)</f>
        <v>52.000194549560497</v>
      </c>
      <c r="E219">
        <f>E$9 * (0.00935037899762392 -E$8)</f>
        <v>9.3503789976239204E-3</v>
      </c>
      <c r="F219">
        <f>F$9 * (4.2501049041748 -F$8)</f>
        <v>4.2501049041748002</v>
      </c>
      <c r="G219">
        <f>G$9 * (8.82477569580078 -G$8)</f>
        <v>8.8247756958007795</v>
      </c>
    </row>
    <row r="220" spans="1:7" x14ac:dyDescent="0.3">
      <c r="A220">
        <f>A$9 * (52.250389099121 -A$8)</f>
        <v>52.250389099121001</v>
      </c>
      <c r="B220">
        <f>B$9 * (52.250389099121 -B$8)</f>
        <v>52.250389099121001</v>
      </c>
      <c r="C220">
        <f>C$9 * (52.250389099121 -C$8)</f>
        <v>52.250389099121001</v>
      </c>
      <c r="E220">
        <f>E$9 * (0.00618441496044397 -E$8)</f>
        <v>6.1844149604439701E-3</v>
      </c>
      <c r="F220">
        <f>F$9 * (3.01330089569091 -F$8)</f>
        <v>3.01330089569091</v>
      </c>
      <c r="G220">
        <f>G$9 * (8.18587112426757 -G$8)</f>
        <v>8.1858711242675692</v>
      </c>
    </row>
    <row r="221" spans="1:7" x14ac:dyDescent="0.3">
      <c r="A221">
        <f>A$9 * (52.5002784729003 -A$8)</f>
        <v>52.500278472900298</v>
      </c>
      <c r="B221">
        <f>B$9 * (52.5002784729003 -B$8)</f>
        <v>52.500278472900298</v>
      </c>
      <c r="C221">
        <f>C$9 * (52.5002784729003 -C$8)</f>
        <v>52.500278472900298</v>
      </c>
      <c r="E221">
        <f>E$9 * (0.00222973804920911 -E$8)</f>
        <v>2.2297380492091101E-3</v>
      </c>
      <c r="F221">
        <f>F$9 * (0.490908712148666 -F$8)</f>
        <v>0.49090871214866599</v>
      </c>
      <c r="G221">
        <f>G$9 * (2.84643697738647 -G$8)</f>
        <v>2.8464369773864702</v>
      </c>
    </row>
    <row r="222" spans="1:7" x14ac:dyDescent="0.3">
      <c r="A222">
        <f>A$9 * (52.7502784729003 -A$8)</f>
        <v>52.750278472900298</v>
      </c>
      <c r="B222">
        <f>B$9 * (52.7502784729003 -B$8)</f>
        <v>52.750278472900298</v>
      </c>
      <c r="C222">
        <f>C$9 * (52.7502784729003 -C$8)</f>
        <v>52.750278472900298</v>
      </c>
      <c r="E222">
        <f>E$9 * (-0.000314993609208613 -E$8)</f>
        <v>-3.1499360920861298E-4</v>
      </c>
      <c r="F222">
        <f>F$9 * (-1.29074203968048 -F$8)</f>
        <v>-1.2907420396804801</v>
      </c>
      <c r="G222">
        <f>G$9 * (1.19061803817749 -G$8)</f>
        <v>1.19061803817749</v>
      </c>
    </row>
    <row r="223" spans="1:7" x14ac:dyDescent="0.3">
      <c r="A223">
        <f>A$9 * (53.0002784729003 -A$8)</f>
        <v>53.000278472900298</v>
      </c>
      <c r="B223">
        <f>B$9 * (53.0002784729003 -B$8)</f>
        <v>53.000278472900298</v>
      </c>
      <c r="C223">
        <f>C$9 * (53.0002784729003 -C$8)</f>
        <v>53.000278472900298</v>
      </c>
      <c r="E223">
        <f>E$9 * (-0.000151090498548001 -E$8)</f>
        <v>-1.51090498548001E-4</v>
      </c>
      <c r="F223">
        <f>F$9 * (-2.09953498840332 -F$8)</f>
        <v>-2.0995349884033199</v>
      </c>
      <c r="G223">
        <f>G$9 * (0.843311429023742 -G$8)</f>
        <v>0.84331142902374201</v>
      </c>
    </row>
    <row r="224" spans="1:7" x14ac:dyDescent="0.3">
      <c r="A224">
        <f>A$9 * (53.2505264282226 -A$8)</f>
        <v>53.250526428222599</v>
      </c>
      <c r="B224">
        <f>B$9 * (53.2505264282226 -B$8)</f>
        <v>53.250526428222599</v>
      </c>
      <c r="C224">
        <f>C$9 * (53.2505264282226 -C$8)</f>
        <v>53.250526428222599</v>
      </c>
      <c r="E224">
        <f>E$9 * (0.00143453700002282 -E$8)</f>
        <v>1.4345370000228199E-3</v>
      </c>
      <c r="F224">
        <f>F$9 * (0.021024340763688 -F$8)</f>
        <v>2.1024340763688001E-2</v>
      </c>
      <c r="G224">
        <f>G$9 * (9.51318454742431 -G$8)</f>
        <v>9.5131845474243093</v>
      </c>
    </row>
    <row r="225" spans="1:7" x14ac:dyDescent="0.3">
      <c r="A225">
        <f>A$9 * (53.5003623962402 -A$8)</f>
        <v>53.500362396240199</v>
      </c>
      <c r="B225">
        <f>B$9 * (53.5003623962402 -B$8)</f>
        <v>53.500362396240199</v>
      </c>
      <c r="C225">
        <f>C$9 * (53.5003623962402 -C$8)</f>
        <v>53.500362396240199</v>
      </c>
      <c r="E225">
        <f>E$9 * (0.000650442379992455 -E$8)</f>
        <v>6.5044237999245503E-4</v>
      </c>
      <c r="F225">
        <f>F$9 * (-1.15739905834198 -F$8)</f>
        <v>-1.15739905834198</v>
      </c>
      <c r="G225">
        <f>G$9 * (0.772360980510711 -G$8)</f>
        <v>0.772360980510711</v>
      </c>
    </row>
    <row r="226" spans="1:7" x14ac:dyDescent="0.3">
      <c r="A226">
        <f>A$9 * (53.750389099121 -A$8)</f>
        <v>53.750389099121001</v>
      </c>
      <c r="B226">
        <f>B$9 * (53.750389099121 -B$8)</f>
        <v>53.750389099121001</v>
      </c>
      <c r="C226">
        <f>C$9 * (53.750389099121 -C$8)</f>
        <v>53.750389099121001</v>
      </c>
      <c r="E226">
        <f>E$9 * (-0.00139619503170251 -E$8)</f>
        <v>-1.39619503170251E-3</v>
      </c>
      <c r="F226">
        <f>F$9 * (-1.65706205368042 -F$8)</f>
        <v>-1.6570620536804199</v>
      </c>
      <c r="G226">
        <f>G$9 * (0.822542786598205 -G$8)</f>
        <v>0.82254278659820501</v>
      </c>
    </row>
    <row r="227" spans="1:7" x14ac:dyDescent="0.3">
      <c r="A227">
        <f>A$9 * (54.0001678466796 -A$8)</f>
        <v>54.000167846679602</v>
      </c>
      <c r="B227">
        <f>B$9 * (54.0001678466796 -B$8)</f>
        <v>54.000167846679602</v>
      </c>
      <c r="C227">
        <f>C$9 * (54.0001678466796 -C$8)</f>
        <v>54.000167846679602</v>
      </c>
      <c r="E227">
        <f>E$9 * (-0.000401283294195309 -E$8)</f>
        <v>-4.0128329419530901E-4</v>
      </c>
      <c r="F227">
        <f>F$9 * (-0.916344285011291 -F$8)</f>
        <v>-0.91634428501129095</v>
      </c>
      <c r="G227">
        <f>G$9 * (0.344341695308685 -G$8)</f>
        <v>0.34434169530868503</v>
      </c>
    </row>
    <row r="228" spans="1:7" x14ac:dyDescent="0.3">
      <c r="A228">
        <f>A$9 * (54.2502517700195 -A$8)</f>
        <v>54.250251770019503</v>
      </c>
      <c r="B228">
        <f>B$9 * (54.2502517700195 -B$8)</f>
        <v>54.250251770019503</v>
      </c>
      <c r="C228">
        <f>C$9 * (54.2502517700195 -C$8)</f>
        <v>54.250251770019503</v>
      </c>
      <c r="E228">
        <f>E$9 * (-0.00306257093325257 -E$8)</f>
        <v>-3.06257093325257E-3</v>
      </c>
      <c r="F228">
        <f>F$9 * (-4.6925950050354 -F$8)</f>
        <v>-4.6925950050354004</v>
      </c>
      <c r="G228">
        <f>G$9 * (2.99580788612365 -G$8)</f>
        <v>2.9958078861236501</v>
      </c>
    </row>
    <row r="229" spans="1:7" x14ac:dyDescent="0.3">
      <c r="A229">
        <f>A$9 * (54.5001678466796 -A$8)</f>
        <v>54.500167846679602</v>
      </c>
      <c r="B229">
        <f>B$9 * (54.5001678466796 -B$8)</f>
        <v>54.500167846679602</v>
      </c>
      <c r="C229">
        <f>C$9 * (54.5001678466796 -C$8)</f>
        <v>54.500167846679602</v>
      </c>
      <c r="E229">
        <f>E$9 * (0.00710456818342208 -E$8)</f>
        <v>7.1045681834220799E-3</v>
      </c>
      <c r="F229">
        <f>F$9 * (0.322730898857116 -F$8)</f>
        <v>0.32273089885711598</v>
      </c>
      <c r="G229">
        <f>G$9 * (17.068260192871 -G$8)</f>
        <v>17.068260192871001</v>
      </c>
    </row>
    <row r="230" spans="1:7" x14ac:dyDescent="0.3">
      <c r="A230">
        <f>A$9 * (54.7505836486816 -A$8)</f>
        <v>54.750583648681598</v>
      </c>
      <c r="B230">
        <f>B$9 * (54.7505836486816 -B$8)</f>
        <v>54.750583648681598</v>
      </c>
      <c r="C230">
        <f>C$9 * (54.7505836486816 -C$8)</f>
        <v>54.750583648681598</v>
      </c>
      <c r="E230">
        <f>E$9 * (0.0241665206849575 -E$8)</f>
        <v>2.4166520684957501E-2</v>
      </c>
      <c r="F230">
        <f>F$9 * (11.797360420227 -F$8)</f>
        <v>11.797360420226999</v>
      </c>
      <c r="G230">
        <f>G$9 * (17.2292709350585 -G$8)</f>
        <v>17.229270935058501</v>
      </c>
    </row>
    <row r="231" spans="1:7" x14ac:dyDescent="0.3">
      <c r="A231">
        <f>A$9 * (55.0003051757812 -A$8)</f>
        <v>55.0003051757812</v>
      </c>
      <c r="B231">
        <f>B$9 * (55.0003051757812 -B$8)</f>
        <v>55.0003051757812</v>
      </c>
      <c r="C231">
        <f>C$9 * (55.0003051757812 -C$8)</f>
        <v>55.0003051757812</v>
      </c>
      <c r="E231">
        <f>E$9 * (0.00678169587627053 -E$8)</f>
        <v>6.78169587627053E-3</v>
      </c>
      <c r="F231">
        <f>F$9 * (4.40508604049682 -F$8)</f>
        <v>4.40508604049682</v>
      </c>
      <c r="G231">
        <f>G$9 * (11.6264696121215 -G$8)</f>
        <v>11.6264696121215</v>
      </c>
    </row>
    <row r="232" spans="1:7" x14ac:dyDescent="0.3">
      <c r="A232">
        <f>A$9 * (55.2503623962402 -A$8)</f>
        <v>55.250362396240199</v>
      </c>
      <c r="B232">
        <f>B$9 * (55.2503623962402 -B$8)</f>
        <v>55.250362396240199</v>
      </c>
      <c r="C232">
        <f>C$9 * (55.2503623962402 -C$8)</f>
        <v>55.250362396240199</v>
      </c>
      <c r="E232">
        <f>E$9 * (0.0129764797165989 -E$8)</f>
        <v>1.2976479716598901E-2</v>
      </c>
      <c r="F232">
        <f>F$9 * (5.15368700027465 -F$8)</f>
        <v>5.1536870002746502</v>
      </c>
      <c r="G232">
        <f>G$9 * (8.82100677490234 -G$8)</f>
        <v>8.8210067749023402</v>
      </c>
    </row>
    <row r="233" spans="1:7" x14ac:dyDescent="0.3">
      <c r="A233">
        <f>A$9 * (55.5000839233398 -A$8)</f>
        <v>55.500083923339801</v>
      </c>
      <c r="B233">
        <f>B$9 * (55.5000839233398 -B$8)</f>
        <v>55.500083923339801</v>
      </c>
      <c r="C233">
        <f>C$9 * (55.5000839233398 -C$8)</f>
        <v>55.500083923339801</v>
      </c>
      <c r="E233">
        <f>E$9 * (0.00635585514828562 -E$8)</f>
        <v>6.3558551482856204E-3</v>
      </c>
      <c r="F233">
        <f>F$9 * (3.13544106483459 -F$8)</f>
        <v>3.1354410648345898</v>
      </c>
      <c r="G233">
        <f>G$9 * (8.37804317474365 -G$8)</f>
        <v>8.3780431747436506</v>
      </c>
    </row>
    <row r="234" spans="1:7" x14ac:dyDescent="0.3">
      <c r="A234">
        <f>A$9 * (55.7500839233398 -A$8)</f>
        <v>55.750083923339801</v>
      </c>
      <c r="B234">
        <f>B$9 * (55.7500839233398 -B$8)</f>
        <v>55.750083923339801</v>
      </c>
      <c r="C234">
        <f>C$9 * (55.7500839233398 -C$8)</f>
        <v>55.750083923339801</v>
      </c>
      <c r="E234">
        <f>E$9 * (0.0033269920386374 -E$8)</f>
        <v>3.3269920386374001E-3</v>
      </c>
      <c r="F234">
        <f>F$9 * (0.937902212142944 -F$8)</f>
        <v>0.937902212142944</v>
      </c>
      <c r="G234">
        <f>G$9 * (3.9428539276123 -G$8)</f>
        <v>3.9428539276122998</v>
      </c>
    </row>
    <row r="235" spans="1:7" x14ac:dyDescent="0.3">
      <c r="A235">
        <f>A$9 * (56.00044631958 -A$8)</f>
        <v>56.00044631958</v>
      </c>
      <c r="B235">
        <f>B$9 * (56.00044631958 -B$8)</f>
        <v>56.00044631958</v>
      </c>
      <c r="C235">
        <f>C$9 * (56.00044631958 -C$8)</f>
        <v>56.00044631958</v>
      </c>
      <c r="E235">
        <f>E$9 * (0.00445762323215603 -E$8)</f>
        <v>4.4576232321560296E-3</v>
      </c>
      <c r="F235">
        <f>F$9 * (0.654410719871521 -F$8)</f>
        <v>0.654410719871521</v>
      </c>
      <c r="G235">
        <f>G$9 * (2.13625597953796 -G$8)</f>
        <v>2.1362559795379599</v>
      </c>
    </row>
    <row r="236" spans="1:7" x14ac:dyDescent="0.3">
      <c r="A236">
        <f>A$9 * (56.2503051757812 -A$8)</f>
        <v>56.2503051757812</v>
      </c>
      <c r="B236">
        <f>B$9 * (56.2503051757812 -B$8)</f>
        <v>56.2503051757812</v>
      </c>
      <c r="C236">
        <f>C$9 * (56.2503051757812 -C$8)</f>
        <v>56.2503051757812</v>
      </c>
      <c r="E236">
        <f>E$9 * (0.0027572379913181 -E$8)</f>
        <v>2.7572379913181001E-3</v>
      </c>
      <c r="F236">
        <f>F$9 * (2.09102201461792 -F$8)</f>
        <v>2.0910220146179199</v>
      </c>
      <c r="G236">
        <f>G$9 * (11.0584001541137 -G$8)</f>
        <v>11.0584001541137</v>
      </c>
    </row>
    <row r="237" spans="1:7" x14ac:dyDescent="0.3">
      <c r="A237">
        <f>A$9 * (56.5003051757812 -A$8)</f>
        <v>56.5003051757812</v>
      </c>
      <c r="B237">
        <f>B$9 * (56.5003051757812 -B$8)</f>
        <v>56.5003051757812</v>
      </c>
      <c r="C237">
        <f>C$9 * (56.5003051757812 -C$8)</f>
        <v>56.5003051757812</v>
      </c>
      <c r="E237">
        <f>E$9 * (-0.000772116181906312 -E$8)</f>
        <v>-7.7211618190631205E-4</v>
      </c>
      <c r="F237">
        <f>F$9 * (-0.343462795019149 -F$8)</f>
        <v>-0.343462795019149</v>
      </c>
      <c r="G237">
        <f>G$9 * (-0.0868963971734046 -G$8)</f>
        <v>-8.6896397173404596E-2</v>
      </c>
    </row>
    <row r="238" spans="1:7" x14ac:dyDescent="0.3">
      <c r="A238">
        <f>A$9 * (56.7502784729003 -A$8)</f>
        <v>56.750278472900298</v>
      </c>
      <c r="B238">
        <f>B$9 * (56.7502784729003 -B$8)</f>
        <v>56.750278472900298</v>
      </c>
      <c r="C238">
        <f>C$9 * (56.7502784729003 -C$8)</f>
        <v>56.750278472900298</v>
      </c>
      <c r="E238">
        <f>E$9 * (0.0000188457997865043 -E$8)</f>
        <v>1.88457997865043E-5</v>
      </c>
      <c r="F238">
        <f>F$9 * (-1.0672709941864 -F$8)</f>
        <v>-1.0672709941864</v>
      </c>
      <c r="G238">
        <f>G$9 * (1.86842799186706 -G$8)</f>
        <v>1.8684279918670601</v>
      </c>
    </row>
    <row r="239" spans="1:7" x14ac:dyDescent="0.3">
      <c r="A239">
        <f>A$9 * (57.0004730224609 -A$8)</f>
        <v>57.000473022460902</v>
      </c>
      <c r="B239">
        <f>B$9 * (57.0004730224609 -B$8)</f>
        <v>57.000473022460902</v>
      </c>
      <c r="C239">
        <f>C$9 * (57.0004730224609 -C$8)</f>
        <v>57.000473022460902</v>
      </c>
      <c r="E239">
        <f>E$9 * (-0.00442318804562091 -E$8)</f>
        <v>-4.4231880456209096E-3</v>
      </c>
      <c r="F239">
        <f>F$9 * (-0.272304892539978 -F$8)</f>
        <v>-0.27230489253997803</v>
      </c>
      <c r="G239">
        <f>G$9 * (-2.97548198699951 -G$8)</f>
        <v>-2.9754819869995099</v>
      </c>
    </row>
    <row r="240" spans="1:7" x14ac:dyDescent="0.3">
      <c r="A240">
        <f>A$9 * (57.2508316040039 -A$8)</f>
        <v>57.250831604003899</v>
      </c>
      <c r="B240">
        <f>B$9 * (57.2508316040039 -B$8)</f>
        <v>57.250831604003899</v>
      </c>
      <c r="C240">
        <f>C$9 * (57.2508316040039 -C$8)</f>
        <v>57.250831604003899</v>
      </c>
      <c r="E240">
        <f>E$9 * (-0.000661752710584551 -E$8)</f>
        <v>-6.6175271058455099E-4</v>
      </c>
      <c r="F240">
        <f>F$9 * (-0.217261806130409 -F$8)</f>
        <v>-0.21726180613040899</v>
      </c>
      <c r="G240">
        <f>G$9 * (-0.102550603449344 -G$8)</f>
        <v>-0.102550603449344</v>
      </c>
    </row>
    <row r="241" spans="1:7" x14ac:dyDescent="0.3">
      <c r="A241">
        <f>A$9 * (57.5000267028808 -A$8)</f>
        <v>57.500026702880803</v>
      </c>
      <c r="B241">
        <f>B$9 * (57.5000267028808 -B$8)</f>
        <v>57.500026702880803</v>
      </c>
      <c r="C241">
        <f>C$9 * (57.5000267028808 -C$8)</f>
        <v>57.500026702880803</v>
      </c>
      <c r="E241">
        <f>E$9 * (0.00253621605224907 -E$8)</f>
        <v>2.5362160522490701E-3</v>
      </c>
      <c r="F241">
        <f>F$9 * (0.16446229815483 -F$8)</f>
        <v>0.16446229815482999</v>
      </c>
      <c r="G241">
        <f>G$9 * (31.2608394622802 -G$8)</f>
        <v>31.260839462280199</v>
      </c>
    </row>
    <row r="242" spans="1:7" x14ac:dyDescent="0.3">
      <c r="A242">
        <f>A$9 * (57.7500572204589 -A$8)</f>
        <v>57.750057220458899</v>
      </c>
      <c r="B242">
        <f>B$9 * (57.7500572204589 -B$8)</f>
        <v>57.750057220458899</v>
      </c>
      <c r="C242">
        <f>C$9 * (57.7500572204589 -C$8)</f>
        <v>57.750057220458899</v>
      </c>
      <c r="E242">
        <f>E$9 * (0.0596355982124805 -E$8)</f>
        <v>5.9635598212480503E-2</v>
      </c>
      <c r="F242">
        <f>F$9 * (14.1541500091552 -F$8)</f>
        <v>14.154150009155201</v>
      </c>
      <c r="G242">
        <f>G$9 * (15.3613500595092 -G$8)</f>
        <v>15.361350059509199</v>
      </c>
    </row>
    <row r="243" spans="1:7" x14ac:dyDescent="0.3">
      <c r="A243">
        <f>A$9 * (58.0001106262207 -A$8)</f>
        <v>58.000110626220703</v>
      </c>
      <c r="B243">
        <f>B$9 * (58.0001106262207 -B$8)</f>
        <v>58.000110626220703</v>
      </c>
      <c r="C243">
        <f>C$9 * (58.0001106262207 -C$8)</f>
        <v>58.000110626220703</v>
      </c>
      <c r="E243">
        <f>E$9 * (0.0104024996981024 -E$8)</f>
        <v>1.04024996981024E-2</v>
      </c>
      <c r="F243">
        <f>F$9 * (6.09118700027465 -F$8)</f>
        <v>6.0911870002746502</v>
      </c>
      <c r="G243">
        <f>G$9 * (12.2164897918701 -G$8)</f>
        <v>12.216489791870099</v>
      </c>
    </row>
    <row r="244" spans="1:7" x14ac:dyDescent="0.3">
      <c r="A244">
        <f>A$9 * (58.2504158020019 -A$8)</f>
        <v>58.250415802001903</v>
      </c>
      <c r="B244">
        <f>B$9 * (58.2504158020019 -B$8)</f>
        <v>58.250415802001903</v>
      </c>
      <c r="C244">
        <f>C$9 * (58.2504158020019 -C$8)</f>
        <v>58.250415802001903</v>
      </c>
      <c r="E244">
        <f>E$9 * (0.0134428795427084 -E$8)</f>
        <v>1.34428795427084E-2</v>
      </c>
      <c r="F244">
        <f>F$9 * (3.90943098068237 -F$8)</f>
        <v>3.9094309806823699</v>
      </c>
      <c r="G244">
        <f>G$9 * (6.40993118286132 -G$8)</f>
        <v>6.4099311828613201</v>
      </c>
    </row>
    <row r="245" spans="1:7" x14ac:dyDescent="0.3">
      <c r="A245">
        <f>A$9 * (58.5003051757812 -A$8)</f>
        <v>58.5003051757812</v>
      </c>
      <c r="B245">
        <f>B$9 * (58.5003051757812 -B$8)</f>
        <v>58.5003051757812</v>
      </c>
      <c r="C245">
        <f>C$9 * (58.5003051757812 -C$8)</f>
        <v>58.5003051757812</v>
      </c>
      <c r="E245">
        <f>E$9 * (0.00733196409419179 -E$8)</f>
        <v>7.3319640941917896E-3</v>
      </c>
      <c r="F245">
        <f>F$9 * (3.57084393501281 -F$8)</f>
        <v>3.5708439350128098</v>
      </c>
      <c r="G245">
        <f>G$9 * (8.66947269439697 -G$8)</f>
        <v>8.6694726943969709</v>
      </c>
    </row>
    <row r="246" spans="1:7" x14ac:dyDescent="0.3">
      <c r="A246">
        <f>A$9 * (58.7503623962402 -A$8)</f>
        <v>58.750362396240199</v>
      </c>
      <c r="B246">
        <f>B$9 * (58.7503623962402 -B$8)</f>
        <v>58.750362396240199</v>
      </c>
      <c r="C246">
        <f>C$9 * (58.7503623962402 -C$8)</f>
        <v>58.750362396240199</v>
      </c>
      <c r="E246">
        <f>E$9 * (0.00441690720617771 -E$8)</f>
        <v>4.4169072061777098E-3</v>
      </c>
      <c r="F246">
        <f>F$9 * (1.78351497650146 -F$8)</f>
        <v>1.78351497650146</v>
      </c>
      <c r="G246">
        <f>G$9 * (6.07549381256103 -G$8)</f>
        <v>6.0754938125610298</v>
      </c>
    </row>
    <row r="247" spans="1:7" x14ac:dyDescent="0.3">
      <c r="A247">
        <f>A$9 * (59 -A$8)</f>
        <v>59</v>
      </c>
      <c r="B247">
        <f>B$9 * (59 -B$8)</f>
        <v>59</v>
      </c>
      <c r="C247">
        <f>C$9 * (59 -C$8)</f>
        <v>59</v>
      </c>
      <c r="E247">
        <f>E$9 * (-0.00233851093798875 -E$8)</f>
        <v>-2.3385109379887498E-3</v>
      </c>
      <c r="F247">
        <f>F$9 * (-0.502013385295867 -F$8)</f>
        <v>-0.50201338529586703</v>
      </c>
      <c r="G247">
        <f>G$9 * (1.41510200500488 -G$8)</f>
        <v>1.4151020050048799</v>
      </c>
    </row>
    <row r="248" spans="1:7" x14ac:dyDescent="0.3">
      <c r="A248">
        <f>A$9 * (59.2504158020019 -A$8)</f>
        <v>59.250415802001903</v>
      </c>
      <c r="B248">
        <f>B$9 * (59.2504158020019 -B$8)</f>
        <v>59.250415802001903</v>
      </c>
      <c r="C248">
        <f>C$9 * (59.2504158020019 -C$8)</f>
        <v>59.250415802001903</v>
      </c>
      <c r="E248">
        <f>E$9 * (-0.00115009397268295 -E$8)</f>
        <v>-1.1500939726829501E-3</v>
      </c>
      <c r="F248">
        <f>F$9 * (-0.915606498718261 -F$8)</f>
        <v>-0.91560649871826105</v>
      </c>
      <c r="G248">
        <f>G$9 * (-0.177745804190635 -G$8)</f>
        <v>-0.17774580419063499</v>
      </c>
    </row>
    <row r="249" spans="1:7" x14ac:dyDescent="0.3">
      <c r="A249">
        <f>A$9 * (59.5002784729003 -A$8)</f>
        <v>59.500278472900298</v>
      </c>
      <c r="B249">
        <f>B$9 * (59.5002784729003 -B$8)</f>
        <v>59.500278472900298</v>
      </c>
      <c r="C249">
        <f>C$9 * (59.5002784729003 -C$8)</f>
        <v>59.500278472900298</v>
      </c>
      <c r="E249">
        <f>E$9 * (0.00369019689969718 -E$8)</f>
        <v>3.6901968996971798E-3</v>
      </c>
      <c r="F249">
        <f>F$9 * (-2.46510505676269 -F$8)</f>
        <v>-2.46510505676269</v>
      </c>
      <c r="G249">
        <f>G$9 * (1.48394894599914 -G$8)</f>
        <v>1.48394894599914</v>
      </c>
    </row>
    <row r="250" spans="1:7" x14ac:dyDescent="0.3">
      <c r="A250">
        <f>A$9 * (59.7504158020019 -A$8)</f>
        <v>59.750415802001903</v>
      </c>
      <c r="B250">
        <f>B$9 * (59.7504158020019 -B$8)</f>
        <v>59.750415802001903</v>
      </c>
      <c r="C250">
        <f>C$9 * (59.7504158020019 -C$8)</f>
        <v>59.750415802001903</v>
      </c>
      <c r="E250">
        <f>E$9 * (0.00249648606404662 -E$8)</f>
        <v>2.49648606404662E-3</v>
      </c>
      <c r="F250">
        <f>F$9 * (-0.0708702132105827 -F$8)</f>
        <v>-7.0870213210582705E-2</v>
      </c>
      <c r="G250">
        <f>G$9 * (7.05977296829223 -G$8)</f>
        <v>7.0597729682922301</v>
      </c>
    </row>
    <row r="251" spans="1:7" x14ac:dyDescent="0.3">
      <c r="A251">
        <f>A$9 * (60.0003318786621 -A$8)</f>
        <v>60.000331878662102</v>
      </c>
      <c r="B251">
        <f>B$9 * (60.0003318786621 -B$8)</f>
        <v>60.000331878662102</v>
      </c>
      <c r="C251">
        <f>C$9 * (60.0003318786621 -C$8)</f>
        <v>60.000331878662102</v>
      </c>
      <c r="E251">
        <f>E$9 * (0.000181909097591415 -E$8)</f>
        <v>1.8190909759141499E-4</v>
      </c>
      <c r="F251">
        <f>F$9 * (-0.727217197418212 -F$8)</f>
        <v>-0.727217197418212</v>
      </c>
      <c r="G251">
        <f>G$9 * (1.3047080039978 -G$8)</f>
        <v>1.3047080039978001</v>
      </c>
    </row>
    <row r="252" spans="1:7" x14ac:dyDescent="0.3">
      <c r="A252">
        <f>A$9 * (60.2506103515625 -A$8)</f>
        <v>60.2506103515625</v>
      </c>
      <c r="B252">
        <f>B$9 * (60.2506103515625 -B$8)</f>
        <v>60.2506103515625</v>
      </c>
      <c r="C252">
        <f>C$9 * (60.2506103515625 -C$8)</f>
        <v>60.2506103515625</v>
      </c>
      <c r="E252">
        <f>E$9 * (-0.000196221997612156 -E$8)</f>
        <v>-1.96221997612156E-4</v>
      </c>
      <c r="F252">
        <f>F$9 * (-0.894390523433685 -F$8)</f>
        <v>-0.89439052343368497</v>
      </c>
      <c r="G252">
        <f>G$9 * (0.84771317243576 -G$8)</f>
        <v>0.84771317243576005</v>
      </c>
    </row>
    <row r="253" spans="1:7" x14ac:dyDescent="0.3">
      <c r="A253">
        <f>A$9 * (60.5004158020019 -A$8)</f>
        <v>60.500415802001903</v>
      </c>
      <c r="B253">
        <f>B$9 * (60.5004158020019 -B$8)</f>
        <v>60.500415802001903</v>
      </c>
      <c r="C253">
        <f>C$9 * (60.5004158020019 -C$8)</f>
        <v>60.500415802001903</v>
      </c>
      <c r="E253">
        <f>E$9 * (-0.0000989737018244341 -E$8)</f>
        <v>-9.8973701824434102E-5</v>
      </c>
      <c r="F253">
        <f>F$9 * (-0.21989619731903 -F$8)</f>
        <v>-0.21989619731903001</v>
      </c>
      <c r="G253">
        <f>G$9 * (0.342932701110839 -G$8)</f>
        <v>0.34293270111083901</v>
      </c>
    </row>
    <row r="254" spans="1:7" x14ac:dyDescent="0.3">
      <c r="A254">
        <f>A$9 * (60.7504997253418 -A$8)</f>
        <v>60.750499725341797</v>
      </c>
      <c r="B254">
        <f>B$9 * (60.7504997253418 -B$8)</f>
        <v>60.750499725341797</v>
      </c>
      <c r="C254">
        <f>C$9 * (60.7504997253418 -C$8)</f>
        <v>60.750499725341797</v>
      </c>
      <c r="E254">
        <f>E$9 * (0.048274390399456 -E$8)</f>
        <v>4.8274390399456003E-2</v>
      </c>
      <c r="F254">
        <f>F$9 * (1.62354099750518 -F$8)</f>
        <v>1.62354099750518</v>
      </c>
      <c r="G254">
        <f>G$9 * (1.76891505718231 -G$8)</f>
        <v>1.76891505718231</v>
      </c>
    </row>
    <row r="255" spans="1:7" x14ac:dyDescent="0.3">
      <c r="A255">
        <f>A$9 * (61.0002784729003 -A$8)</f>
        <v>61.000278472900298</v>
      </c>
      <c r="B255">
        <f>B$9 * (61.0002784729003 -B$8)</f>
        <v>61.000278472900298</v>
      </c>
      <c r="C255">
        <f>C$9 * (61.0002784729003 -C$8)</f>
        <v>61.000278472900298</v>
      </c>
      <c r="E255">
        <f>E$9 * (0.031214790418744 -E$8)</f>
        <v>3.1214790418744E-2</v>
      </c>
      <c r="F255">
        <f>F$9 * (6.02898693084716 -F$8)</f>
        <v>6.02898693084716</v>
      </c>
      <c r="G255">
        <f>G$9 * (6.87212085723877 -G$8)</f>
        <v>6.8721208572387704</v>
      </c>
    </row>
    <row r="256" spans="1:7" x14ac:dyDescent="0.3">
      <c r="A256">
        <f>A$9 * (61.25 -A$8)</f>
        <v>61.25</v>
      </c>
      <c r="B256">
        <f>B$9 * (61.25 -B$8)</f>
        <v>61.25</v>
      </c>
      <c r="C256">
        <f>C$9 * (61.25 -C$8)</f>
        <v>61.25</v>
      </c>
      <c r="E256">
        <f>E$9 * (0.0142912101000547 -E$8)</f>
        <v>1.4291210100054699E-2</v>
      </c>
      <c r="F256">
        <f>F$9 * (8.27268028259277 -F$8)</f>
        <v>8.2726802825927699</v>
      </c>
      <c r="G256">
        <f>G$9 * (14.5569400787353 -G$8)</f>
        <v>14.5569400787353</v>
      </c>
    </row>
    <row r="257" spans="1:7" x14ac:dyDescent="0.3">
      <c r="A257">
        <f>A$9 * (61.500389099121 -A$8)</f>
        <v>61.500389099121001</v>
      </c>
      <c r="B257">
        <f>B$9 * (61.500389099121 -B$8)</f>
        <v>61.500389099121001</v>
      </c>
      <c r="C257">
        <f>C$9 * (61.500389099121 -C$8)</f>
        <v>61.500389099121001</v>
      </c>
      <c r="E257">
        <f>E$9 * (0.0083569698035717 -E$8)</f>
        <v>8.3569698035716993E-3</v>
      </c>
      <c r="F257">
        <f>F$9 * (3.37455296516418 -F$8)</f>
        <v>3.3745529651641801</v>
      </c>
      <c r="G257">
        <f>G$9 * (7.41555404663085 -G$8)</f>
        <v>7.4155540466308496</v>
      </c>
    </row>
    <row r="258" spans="1:7" x14ac:dyDescent="0.3">
      <c r="A258">
        <f>A$9 * (61.75 -A$8)</f>
        <v>61.75</v>
      </c>
      <c r="B258">
        <f>B$9 * (61.75 -B$8)</f>
        <v>61.75</v>
      </c>
      <c r="C258">
        <f>C$9 * (61.75 -C$8)</f>
        <v>61.75</v>
      </c>
      <c r="E258">
        <f>E$9 * (0.0088592879474163 -E$8)</f>
        <v>8.8592879474163003E-3</v>
      </c>
      <c r="F258">
        <f>F$9 * (4.05509805679321 -F$8)</f>
        <v>4.0550980567932102</v>
      </c>
      <c r="G258">
        <f>G$9 * (8.70571422576904 -G$8)</f>
        <v>8.7057142257690394</v>
      </c>
    </row>
    <row r="259" spans="1:7" x14ac:dyDescent="0.3">
      <c r="A259">
        <f>A$9 * (62.0001945495605 -A$8)</f>
        <v>62.000194549560497</v>
      </c>
      <c r="B259">
        <f>B$9 * (62.0001945495605 -B$8)</f>
        <v>62.000194549560497</v>
      </c>
      <c r="C259">
        <f>C$9 * (62.0001945495605 -C$8)</f>
        <v>62.000194549560497</v>
      </c>
      <c r="E259">
        <f>E$9 * (0.00609410880133509 -E$8)</f>
        <v>6.0941088013350903E-3</v>
      </c>
      <c r="F259">
        <f>F$9 * (2.9682240486145 -F$8)</f>
        <v>2.9682240486145002</v>
      </c>
      <c r="G259">
        <f>G$9 * (8.1443223953247 -G$8)</f>
        <v>8.1443223953246999</v>
      </c>
    </row>
    <row r="260" spans="1:7" x14ac:dyDescent="0.3">
      <c r="A260">
        <f>A$9 * (62.2502517700195 -A$8)</f>
        <v>62.250251770019503</v>
      </c>
      <c r="B260">
        <f>B$9 * (62.2502517700195 -B$8)</f>
        <v>62.250251770019503</v>
      </c>
      <c r="C260">
        <f>C$9 * (62.2502517700195 -C$8)</f>
        <v>62.250251770019503</v>
      </c>
      <c r="E260">
        <f>E$9 * (0.00202850392088294 -E$8)</f>
        <v>2.0285039208829399E-3</v>
      </c>
      <c r="F260">
        <f>F$9 * (0.420112699270248 -F$8)</f>
        <v>0.42011269927024802</v>
      </c>
      <c r="G260">
        <f>G$9 * (2.63042998313903 -G$8)</f>
        <v>2.6304299831390301</v>
      </c>
    </row>
    <row r="261" spans="1:7" x14ac:dyDescent="0.3">
      <c r="A261">
        <f>A$9 * (62.5004997253418 -A$8)</f>
        <v>62.500499725341797</v>
      </c>
      <c r="B261">
        <f>B$9 * (62.5004997253418 -B$8)</f>
        <v>62.500499725341797</v>
      </c>
      <c r="C261">
        <f>C$9 * (62.5004997253418 -C$8)</f>
        <v>62.500499725341797</v>
      </c>
      <c r="E261">
        <f>E$9 * (-0.00187873397953808 -E$8)</f>
        <v>-1.87873397953808E-3</v>
      </c>
      <c r="F261">
        <f>F$9 * (-1.60224199295043 -F$8)</f>
        <v>-1.6022419929504299</v>
      </c>
      <c r="G261">
        <f>G$9 * (-0.155422404408454 -G$8)</f>
        <v>-0.15542240440845401</v>
      </c>
    </row>
    <row r="262" spans="1:7" x14ac:dyDescent="0.3">
      <c r="A262">
        <f>A$9 * (62.7500267028808 -A$8)</f>
        <v>62.750026702880803</v>
      </c>
      <c r="B262">
        <f>B$9 * (62.7500267028808 -B$8)</f>
        <v>62.750026702880803</v>
      </c>
      <c r="C262">
        <f>C$9 * (62.7500267028808 -C$8)</f>
        <v>62.750026702880803</v>
      </c>
      <c r="E262">
        <f>E$9 * (0.000125046499306336 -E$8)</f>
        <v>1.2504649930633599E-4</v>
      </c>
      <c r="F262">
        <f>F$9 * (-0.263139396905899 -F$8)</f>
        <v>-0.26313939690589899</v>
      </c>
      <c r="G262">
        <f>G$9 * (0.370695114135742 -G$8)</f>
        <v>0.37069511413574202</v>
      </c>
    </row>
    <row r="263" spans="1:7" x14ac:dyDescent="0.3">
      <c r="A263">
        <f>A$9 * (63.00044631958 -A$8)</f>
        <v>63.00044631958</v>
      </c>
      <c r="B263">
        <f>B$9 * (63.00044631958 -B$8)</f>
        <v>63.00044631958</v>
      </c>
      <c r="C263">
        <f>C$9 * (63.00044631958 -C$8)</f>
        <v>63.00044631958</v>
      </c>
      <c r="E263">
        <f>E$9 * (0.00150366500020027 -E$8)</f>
        <v>1.5036650002002701E-3</v>
      </c>
      <c r="F263">
        <f>F$9 * (0.0327444784343242 -F$8)</f>
        <v>3.2744478434324202E-2</v>
      </c>
      <c r="G263">
        <f>G$9 * (9.9893798828125 -G$8)</f>
        <v>9.9893798828125</v>
      </c>
    </row>
    <row r="264" spans="1:7" x14ac:dyDescent="0.3">
      <c r="A264">
        <f>A$9 * (63.2500267028808 -A$8)</f>
        <v>63.250026702880803</v>
      </c>
      <c r="B264">
        <f>B$9 * (63.2500267028808 -B$8)</f>
        <v>63.250026702880803</v>
      </c>
      <c r="C264">
        <f>C$9 * (63.2500267028808 -C$8)</f>
        <v>63.250026702880803</v>
      </c>
      <c r="E264">
        <f>E$9 * (-0.00116947898641228 -E$8)</f>
        <v>-1.16947898641228E-3</v>
      </c>
      <c r="F264">
        <f>F$9 * (-0.589478313922882 -F$8)</f>
        <v>-0.58947831392288197</v>
      </c>
      <c r="G264">
        <f>G$9 * (-0.252384096384048 -G$8)</f>
        <v>-0.25238409638404802</v>
      </c>
    </row>
    <row r="265" spans="1:7" x14ac:dyDescent="0.3">
      <c r="A265">
        <f>A$9 * (63.5006103515625 -A$8)</f>
        <v>63.5006103515625</v>
      </c>
      <c r="B265">
        <f>B$9 * (63.5006103515625 -B$8)</f>
        <v>63.5006103515625</v>
      </c>
      <c r="C265">
        <f>C$9 * (63.5006103515625 -C$8)</f>
        <v>63.5006103515625</v>
      </c>
      <c r="E265">
        <f>E$9 * (-0.00100877496879547 -E$8)</f>
        <v>-1.0087749687954701E-3</v>
      </c>
      <c r="F265">
        <f>F$9 * (-1.10459005832672 -F$8)</f>
        <v>-1.1045900583267201</v>
      </c>
      <c r="G265">
        <f>G$9 * (-0.27762758731842 -G$8)</f>
        <v>-0.27762758731842002</v>
      </c>
    </row>
    <row r="266" spans="1:7" x14ac:dyDescent="0.3">
      <c r="A266">
        <f>A$9 * (63.75044631958 -A$8)</f>
        <v>63.75044631958</v>
      </c>
      <c r="B266">
        <f>B$9 * (63.75044631958 -B$8)</f>
        <v>63.75044631958</v>
      </c>
      <c r="C266">
        <f>C$9 * (63.75044631958 -C$8)</f>
        <v>63.75044631958</v>
      </c>
      <c r="E266">
        <f>E$9 * (-0.00100461998954415 -E$8)</f>
        <v>-1.00461998954415E-3</v>
      </c>
      <c r="F266">
        <f>F$9 * (-0.21417960524559 -F$8)</f>
        <v>-0.21417960524558999</v>
      </c>
      <c r="G266">
        <f>G$9 * (-0.297644585371017 -G$8)</f>
        <v>-0.29764458537101701</v>
      </c>
    </row>
    <row r="267" spans="1:7" x14ac:dyDescent="0.3">
      <c r="A267">
        <f>A$9 * (64.0008316040039 -A$8)</f>
        <v>64.000831604003906</v>
      </c>
      <c r="B267">
        <f>B$9 * (64.0008316040039 -B$8)</f>
        <v>64.000831604003906</v>
      </c>
      <c r="C267">
        <f>C$9 * (64.0008316040039 -C$8)</f>
        <v>64.000831604003906</v>
      </c>
      <c r="E267">
        <f>E$9 * (-0.00161336502060294 -E$8)</f>
        <v>-1.61336502060294E-3</v>
      </c>
      <c r="F267">
        <f>F$9 * (-2.63910603523254 -F$8)</f>
        <v>-2.6391060352325399</v>
      </c>
      <c r="G267">
        <f>G$9 * (2.36939907073974 -G$8)</f>
        <v>2.3693990707397399</v>
      </c>
    </row>
    <row r="268" spans="1:7" x14ac:dyDescent="0.3">
      <c r="A268">
        <f>A$9 * (64.2501907348632 -A$8)</f>
        <v>64.250190734863196</v>
      </c>
      <c r="B268">
        <f>B$9 * (64.2501907348632 -B$8)</f>
        <v>64.250190734863196</v>
      </c>
      <c r="C268">
        <f>C$9 * (64.2501907348632 -C$8)</f>
        <v>64.250190734863196</v>
      </c>
      <c r="E268">
        <f>E$9 * (0.00692692399024963 -E$8)</f>
        <v>6.9269239902496303E-3</v>
      </c>
      <c r="F268">
        <f>F$9 * (0.342630088329315 -F$8)</f>
        <v>0.34263008832931502</v>
      </c>
      <c r="G268">
        <f>G$9 * (15.0959396362304 -G$8)</f>
        <v>15.095939636230399</v>
      </c>
    </row>
    <row r="269" spans="1:7" x14ac:dyDescent="0.3">
      <c r="A269">
        <f>A$9 * (64.5004196166992 -A$8)</f>
        <v>64.500419616699205</v>
      </c>
      <c r="B269">
        <f>B$9 * (64.5004196166992 -B$8)</f>
        <v>64.500419616699205</v>
      </c>
      <c r="C269">
        <f>C$9 * (64.5004196166992 -C$8)</f>
        <v>64.500419616699205</v>
      </c>
      <c r="E269">
        <f>E$9 * (0.0219718497246503 -E$8)</f>
        <v>2.19718497246503E-2</v>
      </c>
      <c r="F269">
        <f>F$9 * (11.1755399703979 -F$8)</f>
        <v>11.175539970397899</v>
      </c>
      <c r="G269">
        <f>G$9 * (16.926679611206 -G$8)</f>
        <v>16.926679611206001</v>
      </c>
    </row>
    <row r="270" spans="1:7" x14ac:dyDescent="0.3">
      <c r="A270">
        <f>A$9 * (64.7500534057617 -A$8)</f>
        <v>64.750053405761705</v>
      </c>
      <c r="B270">
        <f>B$9 * (64.7500534057617 -B$8)</f>
        <v>64.750053405761705</v>
      </c>
      <c r="C270">
        <f>C$9 * (64.7500534057617 -C$8)</f>
        <v>64.750053405761705</v>
      </c>
      <c r="E270">
        <f>E$9 * (0.00643064081668853 -E$8)</f>
        <v>6.4306408166885298E-3</v>
      </c>
      <c r="F270">
        <f>F$9 * (4.09061193466186 -F$8)</f>
        <v>4.0906119346618599</v>
      </c>
      <c r="G270">
        <f>G$9 * (11.1514701843261 -G$8)</f>
        <v>11.151470184326101</v>
      </c>
    </row>
    <row r="271" spans="1:7" x14ac:dyDescent="0.3">
      <c r="A271">
        <f>A$9 * (65.0003356933593 -A$8)</f>
        <v>65.000335693359304</v>
      </c>
      <c r="B271">
        <f>B$9 * (65.0003356933593 -B$8)</f>
        <v>65.000335693359304</v>
      </c>
      <c r="C271">
        <f>C$9 * (65.0003356933593 -C$8)</f>
        <v>65.000335693359304</v>
      </c>
      <c r="E271">
        <f>E$9 * (0.0122996997088193 -E$8)</f>
        <v>1.2299699708819299E-2</v>
      </c>
      <c r="F271">
        <f>F$9 * (5.10223722457885 -F$8)</f>
        <v>5.1022372245788503</v>
      </c>
      <c r="G271">
        <f>G$9 * (9.01427745819091 -G$8)</f>
        <v>9.0142774581909109</v>
      </c>
    </row>
    <row r="272" spans="1:7" x14ac:dyDescent="0.3">
      <c r="A272">
        <f>A$9 * (65.2501144409179 -A$8)</f>
        <v>65.250114440917898</v>
      </c>
      <c r="B272">
        <f>B$9 * (65.2501144409179 -B$8)</f>
        <v>65.250114440917898</v>
      </c>
      <c r="C272">
        <f>C$9 * (65.2501144409179 -C$8)</f>
        <v>65.250114440917898</v>
      </c>
      <c r="E272">
        <f>E$9 * (0.00633036717772483 -E$8)</f>
        <v>6.3303671777248296E-3</v>
      </c>
      <c r="F272">
        <f>F$9 * (3.11878991127014 -F$8)</f>
        <v>3.1187899112701398</v>
      </c>
      <c r="G272">
        <f>G$9 * (8.35571384429931 -G$8)</f>
        <v>8.3557138442993093</v>
      </c>
    </row>
    <row r="273" spans="1:7" x14ac:dyDescent="0.3">
      <c r="A273">
        <f>A$9 * (65.5003356933593 -A$8)</f>
        <v>65.500335693359304</v>
      </c>
      <c r="B273">
        <f>B$9 * (65.5003356933593 -B$8)</f>
        <v>65.500335693359304</v>
      </c>
      <c r="C273">
        <f>C$9 * (65.5003356933593 -C$8)</f>
        <v>65.500335693359304</v>
      </c>
      <c r="E273">
        <f>E$9 * (0.00315671996213495 -E$8)</f>
        <v>3.1567199621349499E-3</v>
      </c>
      <c r="F273">
        <f>F$9 * (0.839106798171997 -F$8)</f>
        <v>0.83910679817199696</v>
      </c>
      <c r="G273">
        <f>G$9 * (3.67867493629455 -G$8)</f>
        <v>3.6786749362945499</v>
      </c>
    </row>
    <row r="274" spans="1:7" x14ac:dyDescent="0.3">
      <c r="A274">
        <f>A$9 * (65.7503356933593 -A$8)</f>
        <v>65.750335693359304</v>
      </c>
      <c r="B274">
        <f>B$9 * (65.7503356933593 -B$8)</f>
        <v>65.750335693359304</v>
      </c>
      <c r="C274">
        <f>C$9 * (65.7503356933593 -C$8)</f>
        <v>65.750335693359304</v>
      </c>
      <c r="E274">
        <f>E$9 * (0.000881657004356384 -E$8)</f>
        <v>8.8165700435638395E-4</v>
      </c>
      <c r="F274">
        <f>F$9 * (0.124824896454811 -F$8)</f>
        <v>0.124824896454811</v>
      </c>
      <c r="G274">
        <f>G$9 * (1.61141598224639 -G$8)</f>
        <v>1.61141598224639</v>
      </c>
    </row>
    <row r="275" spans="1:7" x14ac:dyDescent="0.3">
      <c r="A275">
        <f>A$9 * (66.0000839233398 -A$8)</f>
        <v>66.000083923339801</v>
      </c>
      <c r="B275">
        <f>B$9 * (66.0000839233398 -B$8)</f>
        <v>66.000083923339801</v>
      </c>
      <c r="C275">
        <f>C$9 * (66.0000839233398 -C$8)</f>
        <v>66.000083923339801</v>
      </c>
      <c r="E275">
        <f>E$9 * (0.00465010711923241 -E$8)</f>
        <v>4.6501071192324101E-3</v>
      </c>
      <c r="F275">
        <f>F$9 * (4.14550399780273 -F$8)</f>
        <v>4.1455039978027299</v>
      </c>
      <c r="G275">
        <f>G$9 * (18.4431896209716 -G$8)</f>
        <v>18.443189620971602</v>
      </c>
    </row>
    <row r="276" spans="1:7" x14ac:dyDescent="0.3">
      <c r="A276">
        <f>A$9 * (66.2504196166992 -A$8)</f>
        <v>66.250419616699205</v>
      </c>
      <c r="B276">
        <f>B$9 * (66.2504196166992 -B$8)</f>
        <v>66.250419616699205</v>
      </c>
      <c r="C276">
        <f>C$9 * (66.2504196166992 -C$8)</f>
        <v>66.250419616699205</v>
      </c>
      <c r="E276">
        <f>E$9 * (0.000695298018399626 -E$8)</f>
        <v>6.9529801839962602E-4</v>
      </c>
      <c r="F276">
        <f>F$9 * (0.138096198439598 -F$8)</f>
        <v>0.138096198439598</v>
      </c>
      <c r="G276">
        <f>G$9 * (2.2161910533905 -G$8)</f>
        <v>2.2161910533904998</v>
      </c>
    </row>
    <row r="277" spans="1:7" x14ac:dyDescent="0.3">
      <c r="A277">
        <f>A$9 * (66.5000305175781 -A$8)</f>
        <v>66.500030517578097</v>
      </c>
      <c r="B277">
        <f>B$9 * (66.5000305175781 -B$8)</f>
        <v>66.500030517578097</v>
      </c>
      <c r="C277">
        <f>C$9 * (66.5000305175781 -C$8)</f>
        <v>66.500030517578097</v>
      </c>
      <c r="E277">
        <f>E$9 * (-0.00151359103620052 -E$8)</f>
        <v>-1.5135910362005199E-3</v>
      </c>
      <c r="F277">
        <f>F$9 * (-1.43557500839233 -F$8)</f>
        <v>-1.43557500839233</v>
      </c>
      <c r="G277">
        <f>G$9 * (-0.044242650270462 -G$8)</f>
        <v>-4.4242650270462001E-2</v>
      </c>
    </row>
    <row r="278" spans="1:7" x14ac:dyDescent="0.3">
      <c r="A278">
        <f>A$9 * (66.750389099121 -A$8)</f>
        <v>66.750389099120994</v>
      </c>
      <c r="B278">
        <f>B$9 * (66.750389099121 -B$8)</f>
        <v>66.750389099120994</v>
      </c>
      <c r="C278">
        <f>C$9 * (66.750389099121 -C$8)</f>
        <v>66.750389099120994</v>
      </c>
      <c r="E278">
        <f>E$9 * (-0.00116810598410666 -E$8)</f>
        <v>-1.1681059841066601E-3</v>
      </c>
      <c r="F278">
        <f>F$9 * (-1.11921894550323 -F$8)</f>
        <v>-1.11921894550323</v>
      </c>
      <c r="G278">
        <f>G$9 * (-0.312252402305603 -G$8)</f>
        <v>-0.31225240230560303</v>
      </c>
    </row>
    <row r="279" spans="1:7" x14ac:dyDescent="0.3">
      <c r="A279">
        <f>A$9 * (67.0007781982421 -A$8)</f>
        <v>67.000778198242102</v>
      </c>
      <c r="B279">
        <f>B$9 * (67.0007781982421 -B$8)</f>
        <v>67.000778198242102</v>
      </c>
      <c r="C279">
        <f>C$9 * (67.0007781982421 -C$8)</f>
        <v>67.000778198242102</v>
      </c>
      <c r="E279">
        <f>E$9 * (-0.000744393619243055 -E$8)</f>
        <v>-7.4439361924305504E-4</v>
      </c>
      <c r="F279">
        <f>F$9 * (-0.688591301441192 -F$8)</f>
        <v>-0.68859130144119196</v>
      </c>
      <c r="G279">
        <f>G$9 * (0.0816056132316589 -G$8)</f>
        <v>8.1605613231658894E-2</v>
      </c>
    </row>
    <row r="280" spans="1:7" x14ac:dyDescent="0.3">
      <c r="A280">
        <f>A$9 * (67.2504425048828 -A$8)</f>
        <v>67.250442504882798</v>
      </c>
      <c r="B280">
        <f>B$9 * (67.2504425048828 -B$8)</f>
        <v>67.250442504882798</v>
      </c>
      <c r="C280">
        <f>C$9 * (67.2504425048828 -C$8)</f>
        <v>67.250442504882798</v>
      </c>
      <c r="E280">
        <f>E$9 * (0.205762296915054 -E$8)</f>
        <v>0.20576229691505399</v>
      </c>
      <c r="F280">
        <f>F$9 * (17.9133396148681 -F$8)</f>
        <v>17.9133396148681</v>
      </c>
      <c r="G280">
        <f>G$9 * (18.4989490509033 -G$8)</f>
        <v>18.498949050903299</v>
      </c>
    </row>
    <row r="281" spans="1:7" x14ac:dyDescent="0.3">
      <c r="A281">
        <f>A$9 * (67.5001373291015 -A$8)</f>
        <v>67.500137329101506</v>
      </c>
      <c r="B281">
        <f>B$9 * (67.5001373291015 -B$8)</f>
        <v>67.500137329101506</v>
      </c>
      <c r="C281">
        <f>C$9 * (67.5001373291015 -C$8)</f>
        <v>67.500137329101506</v>
      </c>
      <c r="E281">
        <f>E$9 * (0.0433418117463588 -E$8)</f>
        <v>4.3341811746358802E-2</v>
      </c>
      <c r="F281">
        <f>F$9 * (6.20185708999633 -F$8)</f>
        <v>6.2018570899963299</v>
      </c>
      <c r="G281">
        <f>G$9 * (6.58058023452758 -G$8)</f>
        <v>6.5805802345275799</v>
      </c>
    </row>
    <row r="282" spans="1:7" x14ac:dyDescent="0.3">
      <c r="A282">
        <f>A$9 * (67.7503051757812 -A$8)</f>
        <v>67.750305175781193</v>
      </c>
      <c r="B282">
        <f>B$9 * (67.7503051757812 -B$8)</f>
        <v>67.750305175781193</v>
      </c>
      <c r="C282">
        <f>C$9 * (67.7503051757812 -C$8)</f>
        <v>67.750305175781193</v>
      </c>
      <c r="E282">
        <f>E$9 * (0.0127280196174979 -E$8)</f>
        <v>1.27280196174979E-2</v>
      </c>
      <c r="F282">
        <f>F$9 * (7.37197208404541 -F$8)</f>
        <v>7.3719720840454102</v>
      </c>
      <c r="G282">
        <f>G$9 * (13.2837295532226 -G$8)</f>
        <v>13.283729553222599</v>
      </c>
    </row>
    <row r="283" spans="1:7" x14ac:dyDescent="0.3">
      <c r="A283">
        <f>A$9 * (68.0002212524414 -A$8)</f>
        <v>68.000221252441406</v>
      </c>
      <c r="B283">
        <f>B$9 * (68.0002212524414 -B$8)</f>
        <v>68.000221252441406</v>
      </c>
      <c r="C283">
        <f>C$9 * (68.0002212524414 -C$8)</f>
        <v>68.000221252441406</v>
      </c>
      <c r="E283">
        <f>E$9 * (0.00976466573774814 -E$8)</f>
        <v>9.7646657377481409E-3</v>
      </c>
      <c r="F283">
        <f>F$9 * (3.26928305625915 -F$8)</f>
        <v>3.2692830562591499</v>
      </c>
      <c r="G283">
        <f>G$9 * (6.44941091537475 -G$8)</f>
        <v>6.4494109153747496</v>
      </c>
    </row>
    <row r="284" spans="1:7" x14ac:dyDescent="0.3">
      <c r="A284">
        <f>A$9 * (68.2500305175781 -A$8)</f>
        <v>68.250030517578097</v>
      </c>
      <c r="B284">
        <f>B$9 * (68.2500305175781 -B$8)</f>
        <v>68.250030517578097</v>
      </c>
      <c r="C284">
        <f>C$9 * (68.2500305175781 -C$8)</f>
        <v>68.250030517578097</v>
      </c>
      <c r="E284">
        <f>E$9 * (0.00828841887414455 -E$8)</f>
        <v>8.2884188741445507E-3</v>
      </c>
      <c r="F284">
        <f>F$9 * (3.85443305969238 -F$8)</f>
        <v>3.8544330596923801</v>
      </c>
      <c r="G284">
        <f>G$9 * (8.62880802154541 -G$8)</f>
        <v>8.6288080215454102</v>
      </c>
    </row>
    <row r="285" spans="1:7" x14ac:dyDescent="0.3">
      <c r="A285">
        <f>A$9 * (68.5 -A$8)</f>
        <v>68.5</v>
      </c>
      <c r="B285">
        <f>B$9 * (68.5 -B$8)</f>
        <v>68.5</v>
      </c>
      <c r="C285">
        <f>C$9 * (68.5 -C$8)</f>
        <v>68.5</v>
      </c>
      <c r="E285">
        <f>E$9 * (0.00582139892503619 -E$8)</f>
        <v>5.8213989250361902E-3</v>
      </c>
      <c r="F285">
        <f>F$9 * (2.83577108383178 -F$8)</f>
        <v>2.83577108383178</v>
      </c>
      <c r="G285">
        <f>G$9 * (8.02541446685791 -G$8)</f>
        <v>8.0254144668579102</v>
      </c>
    </row>
    <row r="286" spans="1:7" x14ac:dyDescent="0.3">
      <c r="A286">
        <f>A$9 * (68.7503356933593 -A$8)</f>
        <v>68.750335693359304</v>
      </c>
      <c r="B286">
        <f>B$9 * (68.7503356933593 -B$8)</f>
        <v>68.750335693359304</v>
      </c>
      <c r="C286">
        <f>C$9 * (68.7503356933593 -C$8)</f>
        <v>68.750335693359304</v>
      </c>
      <c r="E286">
        <f>E$9 * (0.000919611193239688 -E$8)</f>
        <v>9.1961119323968801E-4</v>
      </c>
      <c r="F286">
        <f>F$9 * (0.17369270324707 -F$8)</f>
        <v>0.17369270324707001</v>
      </c>
      <c r="G286">
        <f>G$9 * (2.16689991950988 -G$8)</f>
        <v>2.1668999195098801</v>
      </c>
    </row>
    <row r="287" spans="1:7" x14ac:dyDescent="0.3">
      <c r="A287">
        <f>A$9 * (69.0000839233398 -A$8)</f>
        <v>69.000083923339801</v>
      </c>
      <c r="B287">
        <f>B$9 * (69.0000839233398 -B$8)</f>
        <v>69.000083923339801</v>
      </c>
      <c r="C287">
        <f>C$9 * (69.0000839233398 -C$8)</f>
        <v>69.000083923339801</v>
      </c>
      <c r="E287">
        <f>E$9 * (-0.000089102701167576 -E$8)</f>
        <v>-8.9102701167576001E-5</v>
      </c>
      <c r="F287">
        <f>F$9 * (-1.34108805656433 -F$8)</f>
        <v>-1.3410880565643299</v>
      </c>
      <c r="G287">
        <f>G$9 * (1.98570299148559 -G$8)</f>
        <v>1.9857029914855899</v>
      </c>
    </row>
    <row r="288" spans="1:7" x14ac:dyDescent="0.3">
      <c r="A288">
        <f>A$9 * (69.2502212524414 -A$8)</f>
        <v>69.250221252441406</v>
      </c>
      <c r="B288">
        <f>B$9 * (69.2502212524414 -B$8)</f>
        <v>69.250221252441406</v>
      </c>
      <c r="C288">
        <f>C$9 * (69.2502212524414 -C$8)</f>
        <v>69.250221252441406</v>
      </c>
      <c r="E288">
        <f>E$9 * (-0.000164739598403684 -E$8)</f>
        <v>-1.6473959840368401E-4</v>
      </c>
      <c r="F288">
        <f>F$9 * (-0.995534121990203 -F$8)</f>
        <v>-0.99553412199020297</v>
      </c>
      <c r="G288">
        <f>G$9 * (0.482519507408142 -G$8)</f>
        <v>0.48251950740814198</v>
      </c>
    </row>
    <row r="289" spans="1:7" x14ac:dyDescent="0.3">
      <c r="A289">
        <f>A$9 * (69.5000839233398 -A$8)</f>
        <v>69.500083923339801</v>
      </c>
      <c r="B289">
        <f>B$9 * (69.5000839233398 -B$8)</f>
        <v>69.500083923339801</v>
      </c>
      <c r="C289">
        <f>C$9 * (69.5000839233398 -C$8)</f>
        <v>69.500083923339801</v>
      </c>
      <c r="E289">
        <f>E$9 * (0.00150798598770052 -E$8)</f>
        <v>1.50798598770052E-3</v>
      </c>
      <c r="F289">
        <f>F$9 * (0.0320318788290023 -F$8)</f>
        <v>3.2031878829002297E-2</v>
      </c>
      <c r="G289">
        <f>G$9 * (9.93073940277099 -G$8)</f>
        <v>9.9307394027709908</v>
      </c>
    </row>
    <row r="290" spans="1:7" x14ac:dyDescent="0.3">
      <c r="A290">
        <f>A$9 * (69.750503540039 -A$8)</f>
        <v>69.750503540039006</v>
      </c>
      <c r="B290">
        <f>B$9 * (69.750503540039 -B$8)</f>
        <v>69.750503540039006</v>
      </c>
      <c r="C290">
        <f>C$9 * (69.750503540039 -C$8)</f>
        <v>69.750503540039006</v>
      </c>
      <c r="E290">
        <f>E$9 * (-0.00271026999689638 -E$8)</f>
        <v>-2.7102699968963801E-3</v>
      </c>
      <c r="F290">
        <f>F$9 * (-1.90459501743316 -F$8)</f>
        <v>-1.9045950174331601</v>
      </c>
      <c r="G290">
        <f>G$9 * (0.410180211067199 -G$8)</f>
        <v>0.41018021106719899</v>
      </c>
    </row>
    <row r="291" spans="1:7" x14ac:dyDescent="0.3">
      <c r="A291">
        <f>A$9 * (70.0005264282226 -A$8)</f>
        <v>70.000526428222599</v>
      </c>
      <c r="B291">
        <f>B$9 * (70.0005264282226 -B$8)</f>
        <v>70.000526428222599</v>
      </c>
      <c r="C291">
        <f>C$9 * (70.0005264282226 -C$8)</f>
        <v>70.000526428222599</v>
      </c>
      <c r="E291">
        <f>E$9 * (-0.000763875781558454 -E$8)</f>
        <v>-7.6387578155845404E-4</v>
      </c>
      <c r="F291">
        <f>F$9 * (-0.222909301519393 -F$8)</f>
        <v>-0.222909301519393</v>
      </c>
      <c r="G291">
        <f>G$9 * (-0.168119803071022 -G$8)</f>
        <v>-0.16811980307102201</v>
      </c>
    </row>
    <row r="292" spans="1:7" x14ac:dyDescent="0.3">
      <c r="A292">
        <f>A$9 * (70.2506103515625 -A$8)</f>
        <v>70.2506103515625</v>
      </c>
      <c r="B292">
        <f>B$9 * (70.2506103515625 -B$8)</f>
        <v>70.2506103515625</v>
      </c>
      <c r="C292">
        <f>C$9 * (70.2506103515625 -C$8)</f>
        <v>70.2506103515625</v>
      </c>
      <c r="E292">
        <f>E$9 * (-0.000989904860034585 -E$8)</f>
        <v>-9.89904860034585E-4</v>
      </c>
      <c r="F292">
        <f>F$9 * (-0.329901695251464 -F$8)</f>
        <v>-0.32990169525146401</v>
      </c>
      <c r="G292">
        <f>G$9 * (-0.38545998930931 -G$8)</f>
        <v>-0.38545998930931002</v>
      </c>
    </row>
    <row r="293" spans="1:7" x14ac:dyDescent="0.3">
      <c r="A293">
        <f>A$9 * (70.5006103515625 -A$8)</f>
        <v>70.5006103515625</v>
      </c>
      <c r="B293">
        <f>B$9 * (70.5006103515625 -B$8)</f>
        <v>70.5006103515625</v>
      </c>
      <c r="C293">
        <f>C$9 * (70.5006103515625 -C$8)</f>
        <v>70.5006103515625</v>
      </c>
      <c r="E293">
        <f>E$9 * (-0.000146694903378374 -E$8)</f>
        <v>-1.4669490337837401E-4</v>
      </c>
      <c r="F293">
        <f>F$9 * (-0.449005812406539 -F$8)</f>
        <v>-0.44900581240653897</v>
      </c>
      <c r="G293">
        <f>G$9 * (3.03395009040832 -G$8)</f>
        <v>3.0339500904083199</v>
      </c>
    </row>
    <row r="294" spans="1:7" x14ac:dyDescent="0.3">
      <c r="A294">
        <f>A$9 * (70.7503585815429 -A$8)</f>
        <v>70.750358581542898</v>
      </c>
      <c r="B294">
        <f>B$9 * (70.7503585815429 -B$8)</f>
        <v>70.750358581542898</v>
      </c>
      <c r="C294">
        <f>C$9 * (70.7503585815429 -C$8)</f>
        <v>70.750358581542898</v>
      </c>
      <c r="E294">
        <f>E$9 * (0.00502302404493093 -E$8)</f>
        <v>5.0230240449309297E-3</v>
      </c>
      <c r="F294">
        <f>F$9 * (0.236552998423576 -F$8)</f>
        <v>0.23655299842357599</v>
      </c>
      <c r="G294">
        <f>G$9 * (11.355990409851 -G$8)</f>
        <v>11.355990409851</v>
      </c>
    </row>
    <row r="295" spans="1:7" x14ac:dyDescent="0.3">
      <c r="A295">
        <f>A$9 * (71.000389099121 -A$8)</f>
        <v>71.000389099120994</v>
      </c>
      <c r="B295">
        <f>B$9 * (71.000389099121 -B$8)</f>
        <v>71.000389099120994</v>
      </c>
      <c r="C295">
        <f>C$9 * (71.000389099121 -C$8)</f>
        <v>71.000389099120994</v>
      </c>
      <c r="E295">
        <f>E$9 * (0.0192022304981946 -E$8)</f>
        <v>1.9202230498194601E-2</v>
      </c>
      <c r="F295">
        <f>F$9 * (10.2929897308349 -F$8)</f>
        <v>10.292989730834901</v>
      </c>
      <c r="G295">
        <f>G$9 * (16.4292907714843 -G$8)</f>
        <v>16.4292907714843</v>
      </c>
    </row>
    <row r="296" spans="1:7" x14ac:dyDescent="0.3">
      <c r="A296">
        <f>A$9 * (71.2500839233398 -A$8)</f>
        <v>71.250083923339801</v>
      </c>
      <c r="B296">
        <f>B$9 * (71.2500839233398 -B$8)</f>
        <v>71.250083923339801</v>
      </c>
      <c r="C296">
        <f>C$9 * (71.2500839233398 -C$8)</f>
        <v>71.250083923339801</v>
      </c>
      <c r="E296">
        <f>E$9 * (0.00620569009333849 -E$8)</f>
        <v>6.2056900933384904E-3</v>
      </c>
      <c r="F296">
        <f>F$9 * (3.68498110771179 -F$8)</f>
        <v>3.6849811077117902</v>
      </c>
      <c r="G296">
        <f>G$9 * (10.1972103118896 -G$8)</f>
        <v>10.1972103118896</v>
      </c>
    </row>
    <row r="297" spans="1:7" x14ac:dyDescent="0.3">
      <c r="A297">
        <f>A$9 * (71.5000305175781 -A$8)</f>
        <v>71.500030517578097</v>
      </c>
      <c r="B297">
        <f>B$9 * (71.5000305175781 -B$8)</f>
        <v>71.500030517578097</v>
      </c>
      <c r="C297">
        <f>C$9 * (71.5000305175781 -C$8)</f>
        <v>71.500030517578097</v>
      </c>
      <c r="E297">
        <f>E$9 * (0.0109912799671292 -E$8)</f>
        <v>1.0991279967129199E-2</v>
      </c>
      <c r="F297">
        <f>F$9 * (4.7789249420166 -F$8)</f>
        <v>4.7789249420165998</v>
      </c>
      <c r="G297">
        <f>G$9 * (9.0098237991333 -G$8)</f>
        <v>9.0098237991333008</v>
      </c>
    </row>
    <row r="298" spans="1:7" x14ac:dyDescent="0.3">
      <c r="A298">
        <f>A$9 * (71.7502212524414 -A$8)</f>
        <v>71.750221252441406</v>
      </c>
      <c r="B298">
        <f>B$9 * (71.7502212524414 -B$8)</f>
        <v>71.750221252441406</v>
      </c>
      <c r="C298">
        <f>C$9 * (71.7502212524414 -C$8)</f>
        <v>71.750221252441406</v>
      </c>
      <c r="E298">
        <f>E$9 * (0.0062863091006875 -E$8)</f>
        <v>6.2863091006875003E-3</v>
      </c>
      <c r="F298">
        <f>F$9 * (3.07912302017211 -F$8)</f>
        <v>3.0791230201721098</v>
      </c>
      <c r="G298">
        <f>G$9 * (8.28182697296142 -G$8)</f>
        <v>8.2818269729614205</v>
      </c>
    </row>
    <row r="299" spans="1:7" x14ac:dyDescent="0.3">
      <c r="A299">
        <f>A$9 * (72.0003356933593 -A$8)</f>
        <v>72.000335693359304</v>
      </c>
      <c r="B299">
        <f>B$9 * (72.0003356933593 -B$8)</f>
        <v>72.000335693359304</v>
      </c>
      <c r="C299">
        <f>C$9 * (72.0003356933593 -C$8)</f>
        <v>72.000335693359304</v>
      </c>
      <c r="E299">
        <f>E$9 * (0.00284445006400346 -E$8)</f>
        <v>2.8444500640034602E-3</v>
      </c>
      <c r="F299">
        <f>F$9 * (0.704973399639129 -F$8)</f>
        <v>0.70497339963912897</v>
      </c>
      <c r="G299">
        <f>G$9 * (3.36578011512756 -G$8)</f>
        <v>3.3657801151275599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9"/>
  <sheetViews>
    <sheetView workbookViewId="0">
      <selection activeCell="L9" sqref="L9"/>
    </sheetView>
  </sheetViews>
  <sheetFormatPr defaultRowHeight="14.4" x14ac:dyDescent="0.3"/>
  <sheetData>
    <row r="1" spans="1:9" x14ac:dyDescent="0.3">
      <c r="A1" s="2" t="s">
        <v>5</v>
      </c>
      <c r="B1" s="2" t="s">
        <v>5</v>
      </c>
      <c r="C1" s="2" t="s">
        <v>5</v>
      </c>
      <c r="D1" s="1"/>
      <c r="E1" s="2" t="s">
        <v>6</v>
      </c>
      <c r="F1" s="2" t="s">
        <v>7</v>
      </c>
      <c r="G1" s="2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/>
      <c r="E2" s="1" t="str">
        <f>Legends!B2</f>
        <v>Liquid at Outlet</v>
      </c>
      <c r="F2" s="1" t="str">
        <f>Legends!B3</f>
        <v>Liquid Velocity</v>
      </c>
      <c r="G2" s="1" t="str">
        <f>Legends!B4</f>
        <v>Gas Velocity</v>
      </c>
      <c r="I2" s="3" t="s">
        <v>19</v>
      </c>
    </row>
    <row r="3" spans="1:9" x14ac:dyDescent="0.3">
      <c r="A3">
        <f>MIN($A$11:$A$299)</f>
        <v>0</v>
      </c>
      <c r="B3">
        <f>MIN($B$11:$B$299)</f>
        <v>0</v>
      </c>
      <c r="C3">
        <f>MIN($C$11:$C$299)</f>
        <v>0</v>
      </c>
      <c r="D3" s="1" t="s">
        <v>12</v>
      </c>
      <c r="E3">
        <f>MIN($E$11:$E$299)</f>
        <v>0</v>
      </c>
      <c r="F3">
        <f>MIN($F$11:$F$299)</f>
        <v>0</v>
      </c>
      <c r="G3">
        <f>MIN($G$11:$G$299)</f>
        <v>0</v>
      </c>
    </row>
    <row r="4" spans="1:9" x14ac:dyDescent="0.3">
      <c r="A4">
        <f>MEDIAN($A$11:$A$299)</f>
        <v>36.000499725341797</v>
      </c>
      <c r="B4">
        <f>MEDIAN($B$11:$B$299)</f>
        <v>36.000499725341797</v>
      </c>
      <c r="C4">
        <f>MEDIAN($C$11:$C$299)</f>
        <v>36.000499725341797</v>
      </c>
      <c r="D4" s="1" t="s">
        <v>13</v>
      </c>
      <c r="E4">
        <f>MEDIAN($E$11:$E$299)</f>
        <v>466566476.44042969</v>
      </c>
      <c r="F4">
        <f>MEDIAN($F$11:$F$299)</f>
        <v>466566476.44042969</v>
      </c>
      <c r="G4">
        <f>MEDIAN($G$11:$G$299)</f>
        <v>466566476.44042969</v>
      </c>
    </row>
    <row r="5" spans="1:9" x14ac:dyDescent="0.3">
      <c r="A5">
        <f>MAX($A$11:$A$299)</f>
        <v>72.000358581542898</v>
      </c>
      <c r="B5">
        <f>MAX($B$11:$B$299)</f>
        <v>72.000358581542898</v>
      </c>
      <c r="C5">
        <f>MAX($C$11:$C$299)</f>
        <v>72.000358581542898</v>
      </c>
      <c r="D5" s="1" t="s">
        <v>14</v>
      </c>
      <c r="E5">
        <f>MAX($E$11:$E$299)</f>
        <v>933124647.21679592</v>
      </c>
      <c r="F5">
        <f>MAX($F$11:$F$299)</f>
        <v>933124647.21679592</v>
      </c>
      <c r="G5">
        <f>MAX($G$11:$G$299)</f>
        <v>933124647.21679592</v>
      </c>
    </row>
    <row r="6" spans="1:9" x14ac:dyDescent="0.3">
      <c r="A6">
        <f>$A5-$A3</f>
        <v>72.000358581542898</v>
      </c>
      <c r="B6">
        <f>$B5-$B3</f>
        <v>72.000358581542898</v>
      </c>
      <c r="C6">
        <f>$C5-$C3</f>
        <v>72.000358581542898</v>
      </c>
      <c r="D6" s="1" t="s">
        <v>15</v>
      </c>
      <c r="E6">
        <f>$E5-$E3</f>
        <v>933124647.21679592</v>
      </c>
      <c r="F6">
        <f>$F5-$F3</f>
        <v>933124647.21679592</v>
      </c>
      <c r="G6">
        <f>$G5-$G3</f>
        <v>933124647.21679592</v>
      </c>
    </row>
    <row r="7" spans="1:9" x14ac:dyDescent="0.3">
      <c r="A7" s="2" t="s">
        <v>5</v>
      </c>
      <c r="B7" s="2" t="s">
        <v>5</v>
      </c>
      <c r="C7" s="2" t="s">
        <v>5</v>
      </c>
      <c r="D7" s="1"/>
      <c r="E7" s="2" t="s">
        <v>6</v>
      </c>
      <c r="F7" s="2" t="s">
        <v>7</v>
      </c>
      <c r="G7" s="2" t="s">
        <v>7</v>
      </c>
    </row>
    <row r="8" spans="1:9" x14ac:dyDescent="0.3">
      <c r="A8">
        <v>0</v>
      </c>
      <c r="B8">
        <v>0</v>
      </c>
      <c r="C8">
        <v>0</v>
      </c>
      <c r="D8" s="1" t="s">
        <v>16</v>
      </c>
      <c r="E8">
        <v>0</v>
      </c>
      <c r="F8">
        <v>0</v>
      </c>
      <c r="G8">
        <v>0</v>
      </c>
    </row>
    <row r="9" spans="1:9" x14ac:dyDescent="0.3">
      <c r="A9">
        <v>1</v>
      </c>
      <c r="B9">
        <v>1</v>
      </c>
      <c r="C9">
        <v>1</v>
      </c>
      <c r="D9" s="1" t="s">
        <v>17</v>
      </c>
      <c r="E9">
        <v>1</v>
      </c>
      <c r="F9">
        <v>1</v>
      </c>
      <c r="G9">
        <v>1</v>
      </c>
    </row>
    <row r="10" spans="1:9" x14ac:dyDescent="0.3">
      <c r="A10" s="1" t="s">
        <v>8</v>
      </c>
      <c r="B10" s="1" t="s">
        <v>9</v>
      </c>
      <c r="C10" s="1" t="s">
        <v>10</v>
      </c>
      <c r="D10" s="1"/>
      <c r="E10" s="1" t="str">
        <f>Legends!B2</f>
        <v>Liquid at Outlet</v>
      </c>
      <c r="F10" s="1" t="str">
        <f>Legends!B3</f>
        <v>Liquid Velocity</v>
      </c>
      <c r="G10" s="1" t="str">
        <f>Legends!B4</f>
        <v>Gas Velocity</v>
      </c>
    </row>
    <row r="11" spans="1:9" x14ac:dyDescent="0.3">
      <c r="A11">
        <f>A$9 * (0 -A$8)</f>
        <v>0</v>
      </c>
      <c r="B11">
        <f>B$9 * (0 -B$8)</f>
        <v>0</v>
      </c>
      <c r="C11">
        <f>C$9 * (0 -C$8)</f>
        <v>0</v>
      </c>
      <c r="E11">
        <v>0</v>
      </c>
      <c r="F11">
        <v>0</v>
      </c>
      <c r="G11">
        <v>0</v>
      </c>
    </row>
    <row r="12" spans="1:9" x14ac:dyDescent="0.3">
      <c r="A12">
        <f>A$9 * (0.25001123547554 -A$8)</f>
        <v>0.25001123547553999</v>
      </c>
      <c r="B12">
        <f>B$9 * (0.25001123547554 -B$8)</f>
        <v>0.25001123547553999</v>
      </c>
      <c r="C12">
        <f>C$9 * (0.25001123547554 -C$8)</f>
        <v>0.25001123547553999</v>
      </c>
      <c r="E12">
        <v>3240145.6117629986</v>
      </c>
      <c r="F12">
        <v>3240145.6117629986</v>
      </c>
      <c r="G12">
        <v>3240145.6117629986</v>
      </c>
    </row>
    <row r="13" spans="1:9" x14ac:dyDescent="0.3">
      <c r="A13">
        <f>A$9 * (0.500121116638183 -A$8)</f>
        <v>0.50012111663818304</v>
      </c>
      <c r="B13">
        <f>B$9 * (0.500121116638183 -B$8)</f>
        <v>0.50012111663818304</v>
      </c>
      <c r="C13">
        <f>C$9 * (0.500121116638183 -C$8)</f>
        <v>0.50012111663818304</v>
      </c>
      <c r="E13">
        <v>6481569.6716308519</v>
      </c>
      <c r="F13">
        <v>6481569.6716308519</v>
      </c>
      <c r="G13">
        <v>6481569.6716308519</v>
      </c>
    </row>
    <row r="14" spans="1:9" x14ac:dyDescent="0.3">
      <c r="A14">
        <f>A$9 * (0.750061094760894 -A$8)</f>
        <v>0.750061094760894</v>
      </c>
      <c r="B14">
        <f>B$9 * (0.750061094760894 -B$8)</f>
        <v>0.750061094760894</v>
      </c>
      <c r="C14">
        <f>C$9 * (0.750061094760894 -C$8)</f>
        <v>0.750061094760894</v>
      </c>
      <c r="E14">
        <v>9720791.788101187</v>
      </c>
      <c r="F14">
        <v>9720791.788101187</v>
      </c>
      <c r="G14">
        <v>9720791.788101187</v>
      </c>
    </row>
    <row r="15" spans="1:9" x14ac:dyDescent="0.3">
      <c r="A15">
        <f>A$9 * (1.00013864040374 -A$8)</f>
        <v>1.00013864040374</v>
      </c>
      <c r="B15">
        <f>B$9 * (1.00013864040374 -B$8)</f>
        <v>1.00013864040374</v>
      </c>
      <c r="C15">
        <f>C$9 * (1.00013864040374 -C$8)</f>
        <v>1.00013864040374</v>
      </c>
      <c r="E15">
        <v>12961796.77963247</v>
      </c>
      <c r="F15">
        <v>12961796.77963247</v>
      </c>
      <c r="G15">
        <v>12961796.77963247</v>
      </c>
    </row>
    <row r="16" spans="1:9" x14ac:dyDescent="0.3">
      <c r="A16">
        <f>A$9 * (1.25046443939209 -A$8)</f>
        <v>1.2504644393920901</v>
      </c>
      <c r="B16">
        <f>B$9 * (1.25046443939209 -B$8)</f>
        <v>1.2504644393920901</v>
      </c>
      <c r="C16">
        <f>C$9 * (1.25046443939209 -C$8)</f>
        <v>1.2504644393920901</v>
      </c>
      <c r="E16">
        <v>16206019.134521488</v>
      </c>
      <c r="F16">
        <v>16206019.134521488</v>
      </c>
      <c r="G16">
        <v>16206019.134521488</v>
      </c>
    </row>
    <row r="17" spans="1:7" x14ac:dyDescent="0.3">
      <c r="A17">
        <f>A$9 * (1.50049471855163 -A$8)</f>
        <v>1.50049471855163</v>
      </c>
      <c r="B17">
        <f>B$9 * (1.50049471855163 -B$8)</f>
        <v>1.50049471855163</v>
      </c>
      <c r="C17">
        <f>C$9 * (1.50049471855163 -C$8)</f>
        <v>1.50049471855163</v>
      </c>
      <c r="E17">
        <v>19446411.552429125</v>
      </c>
      <c r="F17">
        <v>19446411.552429125</v>
      </c>
      <c r="G17">
        <v>19446411.552429125</v>
      </c>
    </row>
    <row r="18" spans="1:7" x14ac:dyDescent="0.3">
      <c r="A18">
        <f>A$9 * (1.75000417232513 -A$8)</f>
        <v>1.7500041723251301</v>
      </c>
      <c r="B18">
        <f>B$9 * (1.75000417232513 -B$8)</f>
        <v>1.7500041723251301</v>
      </c>
      <c r="C18">
        <f>C$9 * (1.75000417232513 -C$8)</f>
        <v>1.7500041723251301</v>
      </c>
      <c r="E18">
        <v>22680054.073333684</v>
      </c>
      <c r="F18">
        <v>22680054.073333684</v>
      </c>
      <c r="G18">
        <v>22680054.073333684</v>
      </c>
    </row>
    <row r="19" spans="1:7" x14ac:dyDescent="0.3">
      <c r="A19">
        <f>A$9 * (2.00042057037353 -A$8)</f>
        <v>2.0004205703735298</v>
      </c>
      <c r="B19">
        <f>B$9 * (2.00042057037353 -B$8)</f>
        <v>2.0004205703735298</v>
      </c>
      <c r="C19">
        <f>C$9 * (2.00042057037353 -C$8)</f>
        <v>2.0004205703735298</v>
      </c>
      <c r="E19">
        <v>25925450.592040949</v>
      </c>
      <c r="F19">
        <v>25925450.592040949</v>
      </c>
      <c r="G19">
        <v>25925450.592040949</v>
      </c>
    </row>
    <row r="20" spans="1:7" x14ac:dyDescent="0.3">
      <c r="A20">
        <f>A$9 * (2.25022411346435 -A$8)</f>
        <v>2.2502241134643501</v>
      </c>
      <c r="B20">
        <f>B$9 * (2.25022411346435 -B$8)</f>
        <v>2.2502241134643501</v>
      </c>
      <c r="C20">
        <f>C$9 * (2.25022411346435 -C$8)</f>
        <v>2.2502241134643501</v>
      </c>
      <c r="E20">
        <v>29162904.51049798</v>
      </c>
      <c r="F20">
        <v>29162904.51049798</v>
      </c>
      <c r="G20">
        <v>29162904.51049798</v>
      </c>
    </row>
    <row r="21" spans="1:7" x14ac:dyDescent="0.3">
      <c r="A21">
        <f>A$9 * (2.50036907196044 -A$8)</f>
        <v>2.5003690719604399</v>
      </c>
      <c r="B21">
        <f>B$9 * (2.50036907196044 -B$8)</f>
        <v>2.5003690719604399</v>
      </c>
      <c r="C21">
        <f>C$9 * (2.50036907196044 -C$8)</f>
        <v>2.5003690719604399</v>
      </c>
      <c r="E21">
        <v>32404783.172607303</v>
      </c>
      <c r="F21">
        <v>32404783.172607303</v>
      </c>
      <c r="G21">
        <v>32404783.172607303</v>
      </c>
    </row>
    <row r="22" spans="1:7" x14ac:dyDescent="0.3">
      <c r="A22">
        <f>A$9 * (2.75002408027648 -A$8)</f>
        <v>2.7500240802764799</v>
      </c>
      <c r="B22">
        <f>B$9 * (2.75002408027648 -B$8)</f>
        <v>2.7500240802764799</v>
      </c>
      <c r="C22">
        <f>C$9 * (2.75002408027648 -C$8)</f>
        <v>2.7500240802764799</v>
      </c>
      <c r="E22">
        <v>35640312.080383182</v>
      </c>
      <c r="F22">
        <v>35640312.080383182</v>
      </c>
      <c r="G22">
        <v>35640312.080383182</v>
      </c>
    </row>
    <row r="23" spans="1:7" x14ac:dyDescent="0.3">
      <c r="A23">
        <f>A$9 * (3.00020837783813 -A$8)</f>
        <v>3.0002083778381299</v>
      </c>
      <c r="B23">
        <f>B$9 * (3.00020837783813 -B$8)</f>
        <v>3.0002083778381299</v>
      </c>
      <c r="C23">
        <f>C$9 * (3.00020837783813 -C$8)</f>
        <v>3.0002083778381299</v>
      </c>
      <c r="E23">
        <v>38882700.57678216</v>
      </c>
      <c r="F23">
        <v>38882700.57678216</v>
      </c>
      <c r="G23">
        <v>38882700.57678216</v>
      </c>
    </row>
    <row r="24" spans="1:7" x14ac:dyDescent="0.3">
      <c r="A24">
        <f>A$9 * (3.25011396408081 -A$8)</f>
        <v>3.2501139640808101</v>
      </c>
      <c r="B24">
        <f>B$9 * (3.25011396408081 -B$8)</f>
        <v>3.2501139640808101</v>
      </c>
      <c r="C24">
        <f>C$9 * (3.25011396408081 -C$8)</f>
        <v>3.2501139640808101</v>
      </c>
      <c r="E24">
        <v>42121476.974487297</v>
      </c>
      <c r="F24">
        <v>42121476.974487297</v>
      </c>
      <c r="G24">
        <v>42121476.974487297</v>
      </c>
    </row>
    <row r="25" spans="1:7" x14ac:dyDescent="0.3">
      <c r="A25">
        <f>A$9 * (3.50045275688171 -A$8)</f>
        <v>3.5004527568817099</v>
      </c>
      <c r="B25">
        <f>B$9 * (3.50045275688171 -B$8)</f>
        <v>3.5004527568817099</v>
      </c>
      <c r="C25">
        <f>C$9 * (3.50045275688171 -C$8)</f>
        <v>3.5004527568817099</v>
      </c>
      <c r="E25">
        <v>45365867.72918696</v>
      </c>
      <c r="F25">
        <v>45365867.72918696</v>
      </c>
      <c r="G25">
        <v>45365867.72918696</v>
      </c>
    </row>
    <row r="26" spans="1:7" x14ac:dyDescent="0.3">
      <c r="A26">
        <f>A$9 * (3.75038337707519 -A$8)</f>
        <v>3.75038337707519</v>
      </c>
      <c r="B26">
        <f>B$9 * (3.75038337707519 -B$8)</f>
        <v>3.75038337707519</v>
      </c>
      <c r="C26">
        <f>C$9 * (3.75038337707519 -C$8)</f>
        <v>3.75038337707519</v>
      </c>
      <c r="E26">
        <v>48604968.566894457</v>
      </c>
      <c r="F26">
        <v>48604968.566894457</v>
      </c>
      <c r="G26">
        <v>48604968.566894457</v>
      </c>
    </row>
    <row r="27" spans="1:7" x14ac:dyDescent="0.3">
      <c r="A27">
        <f>A$9 * (4.00034427642822 -A$8)</f>
        <v>4.00034427642822</v>
      </c>
      <c r="B27">
        <f>B$9 * (4.00034427642822 -B$8)</f>
        <v>4.00034427642822</v>
      </c>
      <c r="C27">
        <f>C$9 * (4.00034427642822 -C$8)</f>
        <v>4.00034427642822</v>
      </c>
      <c r="E27">
        <v>51844461.822509736</v>
      </c>
      <c r="F27">
        <v>51844461.822509736</v>
      </c>
      <c r="G27">
        <v>51844461.822509736</v>
      </c>
    </row>
    <row r="28" spans="1:7" x14ac:dyDescent="0.3">
      <c r="A28">
        <f>A$9 * (4.25049448013305 -A$8)</f>
        <v>4.2504944801330504</v>
      </c>
      <c r="B28">
        <f>B$9 * (4.25049448013305 -B$8)</f>
        <v>4.2504944801330504</v>
      </c>
      <c r="C28">
        <f>C$9 * (4.25049448013305 -C$8)</f>
        <v>4.2504944801330504</v>
      </c>
      <c r="E28">
        <v>55086408.462524332</v>
      </c>
      <c r="F28">
        <v>55086408.462524332</v>
      </c>
      <c r="G28">
        <v>55086408.462524332</v>
      </c>
    </row>
    <row r="29" spans="1:7" x14ac:dyDescent="0.3">
      <c r="A29">
        <f>A$9 * (4.50046110153198 -A$8)</f>
        <v>4.5004611015319798</v>
      </c>
      <c r="B29">
        <f>B$9 * (4.50046110153198 -B$8)</f>
        <v>4.5004611015319798</v>
      </c>
      <c r="C29">
        <f>C$9 * (4.50046110153198 -C$8)</f>
        <v>4.5004611015319798</v>
      </c>
      <c r="E29">
        <v>58325975.875854462</v>
      </c>
      <c r="F29">
        <v>58325975.875854462</v>
      </c>
      <c r="G29">
        <v>58325975.875854462</v>
      </c>
    </row>
    <row r="30" spans="1:7" x14ac:dyDescent="0.3">
      <c r="A30">
        <f>A$9 * (4.75026369094848 -A$8)</f>
        <v>4.7502636909484801</v>
      </c>
      <c r="B30">
        <f>B$9 * (4.75026369094848 -B$8)</f>
        <v>4.7502636909484801</v>
      </c>
      <c r="C30">
        <f>C$9 * (4.75026369094848 -C$8)</f>
        <v>4.7502636909484801</v>
      </c>
      <c r="E30">
        <v>61563417.434692301</v>
      </c>
      <c r="F30">
        <v>61563417.434692301</v>
      </c>
      <c r="G30">
        <v>61563417.434692301</v>
      </c>
    </row>
    <row r="31" spans="1:7" x14ac:dyDescent="0.3">
      <c r="A31">
        <f>A$9 * (5.00053071975708 -A$8)</f>
        <v>5.0005307197570801</v>
      </c>
      <c r="B31">
        <f>B$9 * (5.00053071975708 -B$8)</f>
        <v>5.0005307197570801</v>
      </c>
      <c r="C31">
        <f>C$9 * (5.00053071975708 -C$8)</f>
        <v>5.0005307197570801</v>
      </c>
      <c r="E31">
        <v>64806878.128051758</v>
      </c>
      <c r="F31">
        <v>64806878.128051758</v>
      </c>
      <c r="G31">
        <v>64806878.128051758</v>
      </c>
    </row>
    <row r="32" spans="1:7" x14ac:dyDescent="0.3">
      <c r="A32">
        <f>A$9 * (5.25008344650268 -A$8)</f>
        <v>5.2500834465026802</v>
      </c>
      <c r="B32">
        <f>B$9 * (5.25008344650268 -B$8)</f>
        <v>5.2500834465026802</v>
      </c>
      <c r="C32">
        <f>C$9 * (5.25008344650268 -C$8)</f>
        <v>5.2500834465026802</v>
      </c>
      <c r="E32">
        <v>68041081.466674745</v>
      </c>
      <c r="F32">
        <v>68041081.466674745</v>
      </c>
      <c r="G32">
        <v>68041081.466674745</v>
      </c>
    </row>
    <row r="33" spans="1:7" x14ac:dyDescent="0.3">
      <c r="A33">
        <f>A$9 * (5.50014162063598 -A$8)</f>
        <v>5.5001416206359801</v>
      </c>
      <c r="B33">
        <f>B$9 * (5.50014162063598 -B$8)</f>
        <v>5.5001416206359801</v>
      </c>
      <c r="C33">
        <f>C$9 * (5.50014162063598 -C$8)</f>
        <v>5.5001416206359801</v>
      </c>
      <c r="E33">
        <v>71281835.403442308</v>
      </c>
      <c r="F33">
        <v>71281835.403442308</v>
      </c>
      <c r="G33">
        <v>71281835.403442308</v>
      </c>
    </row>
    <row r="34" spans="1:7" x14ac:dyDescent="0.3">
      <c r="A34">
        <f>A$9 * (5.75021648406982 -A$8)</f>
        <v>5.7502164840698198</v>
      </c>
      <c r="B34">
        <f>B$9 * (5.75021648406982 -B$8)</f>
        <v>5.7502164840698198</v>
      </c>
      <c r="C34">
        <f>C$9 * (5.75021648406982 -C$8)</f>
        <v>5.7502164840698198</v>
      </c>
      <c r="E34">
        <v>74522805.633544862</v>
      </c>
      <c r="F34">
        <v>74522805.633544862</v>
      </c>
      <c r="G34">
        <v>74522805.633544862</v>
      </c>
    </row>
    <row r="35" spans="1:7" x14ac:dyDescent="0.3">
      <c r="A35">
        <f>A$9 * (6.0005497932434 -A$8)</f>
        <v>6.0005497932434002</v>
      </c>
      <c r="B35">
        <f>B$9 * (6.0005497932434 -B$8)</f>
        <v>6.0005497932434002</v>
      </c>
      <c r="C35">
        <f>C$9 * (6.0005497932434 -C$8)</f>
        <v>6.0005497932434002</v>
      </c>
      <c r="E35">
        <v>77767125.320434466</v>
      </c>
      <c r="F35">
        <v>77767125.320434466</v>
      </c>
      <c r="G35">
        <v>77767125.320434466</v>
      </c>
    </row>
    <row r="36" spans="1:7" x14ac:dyDescent="0.3">
      <c r="A36">
        <f>A$9 * (6.25009155273437 -A$8)</f>
        <v>6.2500915527343697</v>
      </c>
      <c r="B36">
        <f>B$9 * (6.25009155273437 -B$8)</f>
        <v>6.2500915527343697</v>
      </c>
      <c r="C36">
        <f>C$9 * (6.25009155273437 -C$8)</f>
        <v>6.2500915527343697</v>
      </c>
      <c r="E36">
        <v>81001186.52343744</v>
      </c>
      <c r="F36">
        <v>81001186.52343744</v>
      </c>
      <c r="G36">
        <v>81001186.52343744</v>
      </c>
    </row>
    <row r="37" spans="1:7" x14ac:dyDescent="0.3">
      <c r="A37">
        <f>A$9 * (6.50034189224243 -A$8)</f>
        <v>6.5003418922424299</v>
      </c>
      <c r="B37">
        <f>B$9 * (6.50034189224243 -B$8)</f>
        <v>6.5003418922424299</v>
      </c>
      <c r="C37">
        <f>C$9 * (6.50034189224243 -C$8)</f>
        <v>6.5003418922424299</v>
      </c>
      <c r="E37">
        <v>84244430.923461884</v>
      </c>
      <c r="F37">
        <v>84244430.923461884</v>
      </c>
      <c r="G37">
        <v>84244430.923461884</v>
      </c>
    </row>
    <row r="38" spans="1:7" x14ac:dyDescent="0.3">
      <c r="A38">
        <f>A$9 * (6.75011682510376 -A$8)</f>
        <v>6.7501168251037598</v>
      </c>
      <c r="B38">
        <f>B$9 * (6.75011682510376 -B$8)</f>
        <v>6.7501168251037598</v>
      </c>
      <c r="C38">
        <f>C$9 * (6.75011682510376 -C$8)</f>
        <v>6.7501168251037598</v>
      </c>
      <c r="E38">
        <v>87481514.053344727</v>
      </c>
      <c r="F38">
        <v>87481514.053344727</v>
      </c>
      <c r="G38">
        <v>87481514.053344727</v>
      </c>
    </row>
    <row r="39" spans="1:7" x14ac:dyDescent="0.3">
      <c r="A39">
        <f>A$9 * (7.00020551681518 -A$8)</f>
        <v>7.0002055168151802</v>
      </c>
      <c r="B39">
        <f>B$9 * (7.00020551681518 -B$8)</f>
        <v>7.0002055168151802</v>
      </c>
      <c r="C39">
        <f>C$9 * (7.00020551681518 -C$8)</f>
        <v>7.0002055168151802</v>
      </c>
      <c r="E39">
        <v>90722663.497924745</v>
      </c>
      <c r="F39">
        <v>90722663.497924745</v>
      </c>
      <c r="G39">
        <v>90722663.497924745</v>
      </c>
    </row>
    <row r="40" spans="1:7" x14ac:dyDescent="0.3">
      <c r="A40">
        <f>A$9 * (7.25024461746215 -A$8)</f>
        <v>7.2502446174621502</v>
      </c>
      <c r="B40">
        <f>B$9 * (7.25024461746215 -B$8)</f>
        <v>7.2502446174621502</v>
      </c>
      <c r="C40">
        <f>C$9 * (7.25024461746215 -C$8)</f>
        <v>7.2502446174621502</v>
      </c>
      <c r="E40">
        <v>93963170.242309466</v>
      </c>
      <c r="F40">
        <v>93963170.242309466</v>
      </c>
      <c r="G40">
        <v>93963170.242309466</v>
      </c>
    </row>
    <row r="41" spans="1:7" x14ac:dyDescent="0.3">
      <c r="A41">
        <f>A$9 * (7.50013589859008 -A$8)</f>
        <v>7.5001358985900799</v>
      </c>
      <c r="B41">
        <f>B$9 * (7.50013589859008 -B$8)</f>
        <v>7.5001358985900799</v>
      </c>
      <c r="C41">
        <f>C$9 * (7.50013589859008 -C$8)</f>
        <v>7.5001358985900799</v>
      </c>
      <c r="E41">
        <v>97201761.245727435</v>
      </c>
      <c r="F41">
        <v>97201761.245727435</v>
      </c>
      <c r="G41">
        <v>97201761.245727435</v>
      </c>
    </row>
    <row r="42" spans="1:7" x14ac:dyDescent="0.3">
      <c r="A42">
        <f>A$9 * (7.75033903121948 -A$8)</f>
        <v>7.7503390312194798</v>
      </c>
      <c r="B42">
        <f>B$9 * (7.75033903121948 -B$8)</f>
        <v>7.7503390312194798</v>
      </c>
      <c r="C42">
        <f>C$9 * (7.75033903121948 -C$8)</f>
        <v>7.7503390312194798</v>
      </c>
      <c r="E42">
        <v>100444393.84460445</v>
      </c>
      <c r="F42">
        <v>100444393.84460445</v>
      </c>
      <c r="G42">
        <v>100444393.84460445</v>
      </c>
    </row>
    <row r="43" spans="1:7" x14ac:dyDescent="0.3">
      <c r="A43">
        <f>A$9 * (8.00033855438232 -A$8)</f>
        <v>8.0003385543823207</v>
      </c>
      <c r="B43">
        <f>B$9 * (8.00033855438232 -B$8)</f>
        <v>8.0003385543823207</v>
      </c>
      <c r="C43">
        <f>C$9 * (8.00033855438232 -C$8)</f>
        <v>8.0003385543823207</v>
      </c>
      <c r="E43">
        <v>103684387.66479486</v>
      </c>
      <c r="F43">
        <v>103684387.66479486</v>
      </c>
      <c r="G43">
        <v>103684387.66479486</v>
      </c>
    </row>
    <row r="44" spans="1:7" x14ac:dyDescent="0.3">
      <c r="A44">
        <f>A$9 * (8.25045585632324 -A$8)</f>
        <v>8.2504558563232404</v>
      </c>
      <c r="B44">
        <f>B$9 * (8.25045585632324 -B$8)</f>
        <v>8.2504558563232404</v>
      </c>
      <c r="C44">
        <f>C$9 * (8.25045585632324 -C$8)</f>
        <v>8.2504558563232404</v>
      </c>
      <c r="E44">
        <v>106925907.89794919</v>
      </c>
      <c r="F44">
        <v>106925907.89794919</v>
      </c>
      <c r="G44">
        <v>106925907.89794919</v>
      </c>
    </row>
    <row r="45" spans="1:7" x14ac:dyDescent="0.3">
      <c r="A45">
        <f>A$9 * (8.50054454803466 -A$8)</f>
        <v>8.5005445480346609</v>
      </c>
      <c r="B45">
        <f>B$9 * (8.50054454803466 -B$8)</f>
        <v>8.5005445480346609</v>
      </c>
      <c r="C45">
        <f>C$9 * (8.50054454803466 -C$8)</f>
        <v>8.5005445480346609</v>
      </c>
      <c r="E45">
        <v>110167057.34252921</v>
      </c>
      <c r="F45">
        <v>110167057.34252921</v>
      </c>
      <c r="G45">
        <v>110167057.34252921</v>
      </c>
    </row>
    <row r="46" spans="1:7" x14ac:dyDescent="0.3">
      <c r="A46">
        <f>A$9 * (8.75 -A$8)</f>
        <v>8.75</v>
      </c>
      <c r="B46">
        <f>B$9 * (8.75 -B$8)</f>
        <v>8.75</v>
      </c>
      <c r="C46">
        <f>C$9 * (8.75 -C$8)</f>
        <v>8.75</v>
      </c>
      <c r="E46">
        <v>113400000</v>
      </c>
      <c r="F46">
        <v>113400000</v>
      </c>
      <c r="G46">
        <v>113400000</v>
      </c>
    </row>
    <row r="47" spans="1:7" x14ac:dyDescent="0.3">
      <c r="A47">
        <f>A$9 * (9.00047206878662 -A$8)</f>
        <v>9.0004720687866193</v>
      </c>
      <c r="B47">
        <f>B$9 * (9.00047206878662 -B$8)</f>
        <v>9.0004720687866193</v>
      </c>
      <c r="C47">
        <f>C$9 * (9.00047206878662 -C$8)</f>
        <v>9.0004720687866193</v>
      </c>
      <c r="E47">
        <v>116646118.01147458</v>
      </c>
      <c r="F47">
        <v>116646118.01147458</v>
      </c>
      <c r="G47">
        <v>116646118.01147458</v>
      </c>
    </row>
    <row r="48" spans="1:7" x14ac:dyDescent="0.3">
      <c r="A48">
        <f>A$9 * (9.25011157989502 -A$8)</f>
        <v>9.2501115798950195</v>
      </c>
      <c r="B48">
        <f>B$9 * (9.25011157989502 -B$8)</f>
        <v>9.2501115798950195</v>
      </c>
      <c r="C48">
        <f>C$9 * (9.25011157989502 -C$8)</f>
        <v>9.2501115798950195</v>
      </c>
      <c r="E48">
        <v>119881446.07543945</v>
      </c>
      <c r="F48">
        <v>119881446.07543945</v>
      </c>
      <c r="G48">
        <v>119881446.07543945</v>
      </c>
    </row>
    <row r="49" spans="1:7" x14ac:dyDescent="0.3">
      <c r="A49">
        <f>A$9 * (9.50068378448486 -A$8)</f>
        <v>9.5006837844848597</v>
      </c>
      <c r="B49">
        <f>B$9 * (9.50068378448486 -B$8)</f>
        <v>9.5006837844848597</v>
      </c>
      <c r="C49">
        <f>C$9 * (9.50068378448486 -C$8)</f>
        <v>9.5006837844848597</v>
      </c>
      <c r="E49">
        <v>123128861.84692377</v>
      </c>
      <c r="F49">
        <v>123128861.84692377</v>
      </c>
      <c r="G49">
        <v>123128861.84692377</v>
      </c>
    </row>
    <row r="50" spans="1:7" x14ac:dyDescent="0.3">
      <c r="A50">
        <f>A$9 * (9.75043010711669 -A$8)</f>
        <v>9.7504301071166903</v>
      </c>
      <c r="B50">
        <f>B$9 * (9.75043010711669 -B$8)</f>
        <v>9.7504301071166903</v>
      </c>
      <c r="C50">
        <f>C$9 * (9.75043010711669 -C$8)</f>
        <v>9.7504301071166903</v>
      </c>
      <c r="E50">
        <v>126365574.18823232</v>
      </c>
      <c r="F50">
        <v>126365574.18823232</v>
      </c>
      <c r="G50">
        <v>126365574.18823232</v>
      </c>
    </row>
    <row r="51" spans="1:7" x14ac:dyDescent="0.3">
      <c r="A51">
        <f>A$9 * (10.0001640319824 -A$8)</f>
        <v>10.000164031982401</v>
      </c>
      <c r="B51">
        <f>B$9 * (10.0001640319824 -B$8)</f>
        <v>10.000164031982401</v>
      </c>
      <c r="C51">
        <f>C$9 * (10.0001640319824 -C$8)</f>
        <v>10.000164031982401</v>
      </c>
      <c r="E51">
        <v>129602125.8544919</v>
      </c>
      <c r="F51">
        <v>129602125.8544919</v>
      </c>
      <c r="G51">
        <v>129602125.8544919</v>
      </c>
    </row>
    <row r="52" spans="1:7" x14ac:dyDescent="0.3">
      <c r="A52">
        <f>A$9 * (10.2501277923584 -A$8)</f>
        <v>10.2501277923584</v>
      </c>
      <c r="B52">
        <f>B$9 * (10.2501277923584 -B$8)</f>
        <v>10.2501277923584</v>
      </c>
      <c r="C52">
        <f>C$9 * (10.2501277923584 -C$8)</f>
        <v>10.2501277923584</v>
      </c>
      <c r="E52">
        <v>132841656.18896487</v>
      </c>
      <c r="F52">
        <v>132841656.18896487</v>
      </c>
      <c r="G52">
        <v>132841656.18896487</v>
      </c>
    </row>
    <row r="53" spans="1:7" x14ac:dyDescent="0.3">
      <c r="A53">
        <f>A$9 * (10.5003356933593 -A$8)</f>
        <v>10.5003356933593</v>
      </c>
      <c r="B53">
        <f>B$9 * (10.5003356933593 -B$8)</f>
        <v>10.5003356933593</v>
      </c>
      <c r="C53">
        <f>C$9 * (10.5003356933593 -C$8)</f>
        <v>10.5003356933593</v>
      </c>
      <c r="E53">
        <v>136084350.58593652</v>
      </c>
      <c r="F53">
        <v>136084350.58593652</v>
      </c>
      <c r="G53">
        <v>136084350.58593652</v>
      </c>
    </row>
    <row r="54" spans="1:7" x14ac:dyDescent="0.3">
      <c r="A54">
        <f>A$9 * (10.7501611709594 -A$8)</f>
        <v>10.7501611709594</v>
      </c>
      <c r="B54">
        <f>B$9 * (10.7501611709594 -B$8)</f>
        <v>10.7501611709594</v>
      </c>
      <c r="C54">
        <f>C$9 * (10.7501611709594 -C$8)</f>
        <v>10.7501611709594</v>
      </c>
      <c r="E54">
        <v>139322088.77563381</v>
      </c>
      <c r="F54">
        <v>139322088.77563381</v>
      </c>
      <c r="G54">
        <v>139322088.77563381</v>
      </c>
    </row>
    <row r="55" spans="1:7" x14ac:dyDescent="0.3">
      <c r="A55">
        <f>A$9 * (11.0002717971801 -A$8)</f>
        <v>11.000271797180099</v>
      </c>
      <c r="B55">
        <f>B$9 * (11.0002717971801 -B$8)</f>
        <v>11.000271797180099</v>
      </c>
      <c r="C55">
        <f>C$9 * (11.0002717971801 -C$8)</f>
        <v>11.000271797180099</v>
      </c>
      <c r="E55">
        <v>142563522.49145409</v>
      </c>
      <c r="F55">
        <v>142563522.49145409</v>
      </c>
      <c r="G55">
        <v>142563522.49145409</v>
      </c>
    </row>
    <row r="56" spans="1:7" x14ac:dyDescent="0.3">
      <c r="A56">
        <f>A$9 * (11.2506999969482 -A$8)</f>
        <v>11.2506999969482</v>
      </c>
      <c r="B56">
        <f>B$9 * (11.2506999969482 -B$8)</f>
        <v>11.2506999969482</v>
      </c>
      <c r="C56">
        <f>C$9 * (11.2506999969482 -C$8)</f>
        <v>11.2506999969482</v>
      </c>
      <c r="E56">
        <v>145809071.96044868</v>
      </c>
      <c r="F56">
        <v>145809071.96044868</v>
      </c>
      <c r="G56">
        <v>145809071.96044868</v>
      </c>
    </row>
    <row r="57" spans="1:7" x14ac:dyDescent="0.3">
      <c r="A57">
        <f>A$9 * (11.5005416870117 -A$8)</f>
        <v>11.500541687011699</v>
      </c>
      <c r="B57">
        <f>B$9 * (11.5005416870117 -B$8)</f>
        <v>11.500541687011699</v>
      </c>
      <c r="C57">
        <f>C$9 * (11.5005416870117 -C$8)</f>
        <v>11.500541687011699</v>
      </c>
      <c r="E57">
        <v>149047020.26367161</v>
      </c>
      <c r="F57">
        <v>149047020.26367161</v>
      </c>
      <c r="G57">
        <v>149047020.26367161</v>
      </c>
    </row>
    <row r="58" spans="1:7" x14ac:dyDescent="0.3">
      <c r="A58">
        <f>A$9 * (11.7501306533813 -A$8)</f>
        <v>11.7501306533813</v>
      </c>
      <c r="B58">
        <f>B$9 * (11.7501306533813 -B$8)</f>
        <v>11.7501306533813</v>
      </c>
      <c r="C58">
        <f>C$9 * (11.7501306533813 -C$8)</f>
        <v>11.7501306533813</v>
      </c>
      <c r="E58">
        <v>152281693.26782164</v>
      </c>
      <c r="F58">
        <v>152281693.26782164</v>
      </c>
      <c r="G58">
        <v>152281693.26782164</v>
      </c>
    </row>
    <row r="59" spans="1:7" x14ac:dyDescent="0.3">
      <c r="A59">
        <f>A$9 * (12.0003023147583 -A$8)</f>
        <v>12.000302314758301</v>
      </c>
      <c r="B59">
        <f>B$9 * (12.0003023147583 -B$8)</f>
        <v>12.000302314758301</v>
      </c>
      <c r="C59">
        <f>C$9 * (12.0003023147583 -C$8)</f>
        <v>12.000302314758301</v>
      </c>
      <c r="E59">
        <v>155523917.99926758</v>
      </c>
      <c r="F59">
        <v>155523917.99926758</v>
      </c>
      <c r="G59">
        <v>155523917.99926758</v>
      </c>
    </row>
    <row r="60" spans="1:7" x14ac:dyDescent="0.3">
      <c r="A60">
        <f>A$9 * (12.2502031326293 -A$8)</f>
        <v>12.2502031326293</v>
      </c>
      <c r="B60">
        <f>B$9 * (12.2502031326293 -B$8)</f>
        <v>12.2502031326293</v>
      </c>
      <c r="C60">
        <f>C$9 * (12.2502031326293 -C$8)</f>
        <v>12.2502031326293</v>
      </c>
      <c r="E60">
        <v>158762632.59887573</v>
      </c>
      <c r="F60">
        <v>158762632.59887573</v>
      </c>
      <c r="G60">
        <v>158762632.59887573</v>
      </c>
    </row>
    <row r="61" spans="1:7" x14ac:dyDescent="0.3">
      <c r="A61">
        <f>A$9 * (12.5003414154052 -A$8)</f>
        <v>12.500341415405201</v>
      </c>
      <c r="B61">
        <f>B$9 * (12.5003414154052 -B$8)</f>
        <v>12.500341415405201</v>
      </c>
      <c r="C61">
        <f>C$9 * (12.5003414154052 -C$8)</f>
        <v>12.500341415405201</v>
      </c>
      <c r="E61">
        <v>162004424.74365139</v>
      </c>
      <c r="F61">
        <v>162004424.74365139</v>
      </c>
      <c r="G61">
        <v>162004424.74365139</v>
      </c>
    </row>
    <row r="62" spans="1:7" x14ac:dyDescent="0.3">
      <c r="A62">
        <f>A$9 * (12.7502164840698 -A$8)</f>
        <v>12.750216484069799</v>
      </c>
      <c r="B62">
        <f>B$9 * (12.7502164840698 -B$8)</f>
        <v>12.750216484069799</v>
      </c>
      <c r="C62">
        <f>C$9 * (12.7502164840698 -C$8)</f>
        <v>12.750216484069799</v>
      </c>
      <c r="E62">
        <v>165242805.63354459</v>
      </c>
      <c r="F62">
        <v>165242805.63354459</v>
      </c>
      <c r="G62">
        <v>165242805.63354459</v>
      </c>
    </row>
    <row r="63" spans="1:7" x14ac:dyDescent="0.3">
      <c r="A63">
        <f>A$9 * (13.0002279281616 -A$8)</f>
        <v>13.0002279281616</v>
      </c>
      <c r="B63">
        <f>B$9 * (13.0002279281616 -B$8)</f>
        <v>13.0002279281616</v>
      </c>
      <c r="C63">
        <f>C$9 * (13.0002279281616 -C$8)</f>
        <v>13.0002279281616</v>
      </c>
      <c r="E63">
        <v>168482953.94897431</v>
      </c>
      <c r="F63">
        <v>168482953.94897431</v>
      </c>
      <c r="G63">
        <v>168482953.94897431</v>
      </c>
    </row>
    <row r="64" spans="1:7" x14ac:dyDescent="0.3">
      <c r="A64">
        <f>A$9 * (13.2505941390991 -A$8)</f>
        <v>13.2505941390991</v>
      </c>
      <c r="B64">
        <f>B$9 * (13.2505941390991 -B$8)</f>
        <v>13.2505941390991</v>
      </c>
      <c r="C64">
        <f>C$9 * (13.2505941390991 -C$8)</f>
        <v>13.2505941390991</v>
      </c>
      <c r="E64">
        <v>171727700.04272431</v>
      </c>
      <c r="F64">
        <v>171727700.04272431</v>
      </c>
      <c r="G64">
        <v>171727700.04272431</v>
      </c>
    </row>
    <row r="65" spans="1:7" x14ac:dyDescent="0.3">
      <c r="A65">
        <f>A$9 * (13.5005502700805 -A$8)</f>
        <v>13.500550270080501</v>
      </c>
      <c r="B65">
        <f>B$9 * (13.5005502700805 -B$8)</f>
        <v>13.500550270080501</v>
      </c>
      <c r="C65">
        <f>C$9 * (13.5005502700805 -C$8)</f>
        <v>13.500550270080501</v>
      </c>
      <c r="E65">
        <v>174967131.50024328</v>
      </c>
      <c r="F65">
        <v>174967131.50024328</v>
      </c>
      <c r="G65">
        <v>174967131.50024328</v>
      </c>
    </row>
    <row r="66" spans="1:7" x14ac:dyDescent="0.3">
      <c r="A66">
        <f>A$9 * (13.7501220703125 -A$8)</f>
        <v>13.7501220703125</v>
      </c>
      <c r="B66">
        <f>B$9 * (13.7501220703125 -B$8)</f>
        <v>13.7501220703125</v>
      </c>
      <c r="C66">
        <f>C$9 * (13.7501220703125 -C$8)</f>
        <v>13.7501220703125</v>
      </c>
      <c r="E66">
        <v>178201582.03125</v>
      </c>
      <c r="F66">
        <v>178201582.03125</v>
      </c>
      <c r="G66">
        <v>178201582.03125</v>
      </c>
    </row>
    <row r="67" spans="1:7" x14ac:dyDescent="0.3">
      <c r="A67">
        <f>A$9 * (14.0000667572021 -A$8)</f>
        <v>14.0000667572021</v>
      </c>
      <c r="B67">
        <f>B$9 * (14.0000667572021 -B$8)</f>
        <v>14.0000667572021</v>
      </c>
      <c r="C67">
        <f>C$9 * (14.0000667572021 -C$8)</f>
        <v>14.0000667572021</v>
      </c>
      <c r="E67">
        <v>181440865.17333922</v>
      </c>
      <c r="F67">
        <v>181440865.17333922</v>
      </c>
      <c r="G67">
        <v>181440865.17333922</v>
      </c>
    </row>
    <row r="68" spans="1:7" x14ac:dyDescent="0.3">
      <c r="A68">
        <f>A$9 * (14.2505559921264 -A$8)</f>
        <v>14.250555992126399</v>
      </c>
      <c r="B68">
        <f>B$9 * (14.2505559921264 -B$8)</f>
        <v>14.250555992126399</v>
      </c>
      <c r="C68">
        <f>C$9 * (14.2505559921264 -C$8)</f>
        <v>14.250555992126399</v>
      </c>
      <c r="E68">
        <v>184687205.65795812</v>
      </c>
      <c r="F68">
        <v>184687205.65795812</v>
      </c>
      <c r="G68">
        <v>184687205.65795812</v>
      </c>
    </row>
    <row r="69" spans="1:7" x14ac:dyDescent="0.3">
      <c r="A69">
        <f>A$9 * (14.5004634857177 -A$8)</f>
        <v>14.500463485717701</v>
      </c>
      <c r="B69">
        <f>B$9 * (14.5004634857177 -B$8)</f>
        <v>14.500463485717701</v>
      </c>
      <c r="C69">
        <f>C$9 * (14.5004634857177 -C$8)</f>
        <v>14.500463485717701</v>
      </c>
      <c r="E69">
        <v>187926006.77490139</v>
      </c>
      <c r="F69">
        <v>187926006.77490139</v>
      </c>
      <c r="G69">
        <v>187926006.77490139</v>
      </c>
    </row>
    <row r="70" spans="1:7" x14ac:dyDescent="0.3">
      <c r="A70">
        <f>A$9 * (14.750280380249 -A$8)</f>
        <v>14.750280380249</v>
      </c>
      <c r="B70">
        <f>B$9 * (14.750280380249 -B$8)</f>
        <v>14.750280380249</v>
      </c>
      <c r="C70">
        <f>C$9 * (14.750280380249 -C$8)</f>
        <v>14.750280380249</v>
      </c>
      <c r="E70">
        <v>191163633.72802705</v>
      </c>
      <c r="F70">
        <v>191163633.72802705</v>
      </c>
      <c r="G70">
        <v>191163633.72802705</v>
      </c>
    </row>
    <row r="71" spans="1:7" x14ac:dyDescent="0.3">
      <c r="A71">
        <f>A$9 * (15.0000610351562 -A$8)</f>
        <v>15.0000610351562</v>
      </c>
      <c r="B71">
        <f>B$9 * (15.0000610351562 -B$8)</f>
        <v>15.0000610351562</v>
      </c>
      <c r="C71">
        <f>C$9 * (15.0000610351562 -C$8)</f>
        <v>15.0000610351562</v>
      </c>
      <c r="E71">
        <v>194400791.01562434</v>
      </c>
      <c r="F71">
        <v>194400791.01562434</v>
      </c>
      <c r="G71">
        <v>194400791.01562434</v>
      </c>
    </row>
    <row r="72" spans="1:7" x14ac:dyDescent="0.3">
      <c r="A72">
        <f>A$9 * (15.2504529953002 -A$8)</f>
        <v>15.250452995300201</v>
      </c>
      <c r="B72">
        <f>B$9 * (15.2504529953002 -B$8)</f>
        <v>15.250452995300201</v>
      </c>
      <c r="C72">
        <f>C$9 * (15.2504529953002 -C$8)</f>
        <v>15.250452995300201</v>
      </c>
      <c r="E72">
        <v>197645870.8190906</v>
      </c>
      <c r="F72">
        <v>197645870.8190906</v>
      </c>
      <c r="G72">
        <v>197645870.8190906</v>
      </c>
    </row>
    <row r="73" spans="1:7" x14ac:dyDescent="0.3">
      <c r="A73">
        <f>A$9 * (15.5000162124633 -A$8)</f>
        <v>15.500016212463301</v>
      </c>
      <c r="B73">
        <f>B$9 * (15.5000162124633 -B$8)</f>
        <v>15.500016212463301</v>
      </c>
      <c r="C73">
        <f>C$9 * (15.5000162124633 -C$8)</f>
        <v>15.500016212463301</v>
      </c>
      <c r="E73">
        <v>200880210.11352438</v>
      </c>
      <c r="F73">
        <v>200880210.11352438</v>
      </c>
      <c r="G73">
        <v>200880210.11352438</v>
      </c>
    </row>
    <row r="74" spans="1:7" x14ac:dyDescent="0.3">
      <c r="A74">
        <f>A$9 * (15.7503585815429 -A$8)</f>
        <v>15.750358581542899</v>
      </c>
      <c r="B74">
        <f>B$9 * (15.7503585815429 -B$8)</f>
        <v>15.750358581542899</v>
      </c>
      <c r="C74">
        <f>C$9 * (15.7503585815429 -C$8)</f>
        <v>15.750358581542899</v>
      </c>
      <c r="E74">
        <v>204124647.21679598</v>
      </c>
      <c r="F74">
        <v>204124647.21679598</v>
      </c>
      <c r="G74">
        <v>204124647.21679598</v>
      </c>
    </row>
    <row r="75" spans="1:7" x14ac:dyDescent="0.3">
      <c r="A75">
        <f>A$9 * (16.0000057220459 -A$8)</f>
        <v>16.000005722045898</v>
      </c>
      <c r="B75">
        <f>B$9 * (16.0000057220459 -B$8)</f>
        <v>16.000005722045898</v>
      </c>
      <c r="C75">
        <f>C$9 * (16.0000057220459 -C$8)</f>
        <v>16.000005722045898</v>
      </c>
      <c r="E75">
        <v>207360074.15771484</v>
      </c>
      <c r="F75">
        <v>207360074.15771484</v>
      </c>
      <c r="G75">
        <v>207360074.15771484</v>
      </c>
    </row>
    <row r="76" spans="1:7" x14ac:dyDescent="0.3">
      <c r="A76">
        <f>A$9 * (16.2501716613769 -A$8)</f>
        <v>16.2501716613769</v>
      </c>
      <c r="B76">
        <f>B$9 * (16.2501716613769 -B$8)</f>
        <v>16.2501716613769</v>
      </c>
      <c r="C76">
        <f>C$9 * (16.2501716613769 -C$8)</f>
        <v>16.2501716613769</v>
      </c>
      <c r="E76">
        <v>210602224.73144463</v>
      </c>
      <c r="F76">
        <v>210602224.73144463</v>
      </c>
      <c r="G76">
        <v>210602224.73144463</v>
      </c>
    </row>
    <row r="77" spans="1:7" x14ac:dyDescent="0.3">
      <c r="A77">
        <f>A$9 * (16.500280380249 -A$8)</f>
        <v>16.500280380248999</v>
      </c>
      <c r="B77">
        <f>B$9 * (16.500280380249 -B$8)</f>
        <v>16.500280380248999</v>
      </c>
      <c r="C77">
        <f>C$9 * (16.500280380249 -C$8)</f>
        <v>16.500280380248999</v>
      </c>
      <c r="E77">
        <v>213843633.72802702</v>
      </c>
      <c r="F77">
        <v>213843633.72802702</v>
      </c>
      <c r="G77">
        <v>213843633.72802702</v>
      </c>
    </row>
    <row r="78" spans="1:7" x14ac:dyDescent="0.3">
      <c r="A78">
        <f>A$9 * (16.7503414154052 -A$8)</f>
        <v>16.750341415405199</v>
      </c>
      <c r="B78">
        <f>B$9 * (16.7503414154052 -B$8)</f>
        <v>16.750341415405199</v>
      </c>
      <c r="C78">
        <f>C$9 * (16.7503414154052 -C$8)</f>
        <v>16.750341415405199</v>
      </c>
      <c r="E78">
        <v>217084424.74365136</v>
      </c>
      <c r="F78">
        <v>217084424.74365136</v>
      </c>
      <c r="G78">
        <v>217084424.74365136</v>
      </c>
    </row>
    <row r="79" spans="1:7" x14ac:dyDescent="0.3">
      <c r="A79">
        <f>A$9 * (17.0003814697265 -A$8)</f>
        <v>17.000381469726499</v>
      </c>
      <c r="B79">
        <f>B$9 * (17.0003814697265 -B$8)</f>
        <v>17.000381469726499</v>
      </c>
      <c r="C79">
        <f>C$9 * (17.0003814697265 -C$8)</f>
        <v>17.000381469726499</v>
      </c>
      <c r="E79">
        <v>220324943.84765542</v>
      </c>
      <c r="F79">
        <v>220324943.84765542</v>
      </c>
      <c r="G79">
        <v>220324943.84765542</v>
      </c>
    </row>
    <row r="80" spans="1:7" x14ac:dyDescent="0.3">
      <c r="A80">
        <f>A$9 * (17.25022315979 -A$8)</f>
        <v>17.25022315979</v>
      </c>
      <c r="B80">
        <f>B$9 * (17.25022315979 -B$8)</f>
        <v>17.25022315979</v>
      </c>
      <c r="C80">
        <f>C$9 * (17.25022315979 -C$8)</f>
        <v>17.25022315979</v>
      </c>
      <c r="E80">
        <v>223562892.1508784</v>
      </c>
      <c r="F80">
        <v>223562892.1508784</v>
      </c>
      <c r="G80">
        <v>223562892.1508784</v>
      </c>
    </row>
    <row r="81" spans="1:7" x14ac:dyDescent="0.3">
      <c r="A81">
        <f>A$9 * (17.5002784729003 -A$8)</f>
        <v>17.500278472900298</v>
      </c>
      <c r="B81">
        <f>B$9 * (17.5002784729003 -B$8)</f>
        <v>17.500278472900298</v>
      </c>
      <c r="C81">
        <f>C$9 * (17.5002784729003 -C$8)</f>
        <v>17.500278472900298</v>
      </c>
      <c r="E81">
        <v>226803609.00878787</v>
      </c>
      <c r="F81">
        <v>226803609.00878787</v>
      </c>
      <c r="G81">
        <v>226803609.00878787</v>
      </c>
    </row>
    <row r="82" spans="1:7" x14ac:dyDescent="0.3">
      <c r="A82">
        <f>A$9 * (17.7501831054687 -A$8)</f>
        <v>17.7501831054687</v>
      </c>
      <c r="B82">
        <f>B$9 * (17.7501831054687 -B$8)</f>
        <v>17.7501831054687</v>
      </c>
      <c r="C82">
        <f>C$9 * (17.7501831054687 -C$8)</f>
        <v>17.7501831054687</v>
      </c>
      <c r="E82">
        <v>230042373.04687434</v>
      </c>
      <c r="F82">
        <v>230042373.04687434</v>
      </c>
      <c r="G82">
        <v>230042373.04687434</v>
      </c>
    </row>
    <row r="83" spans="1:7" x14ac:dyDescent="0.3">
      <c r="A83">
        <f>A$9 * (18.0006256103515 -A$8)</f>
        <v>18.000625610351499</v>
      </c>
      <c r="B83">
        <f>B$9 * (18.0006256103515 -B$8)</f>
        <v>18.000625610351499</v>
      </c>
      <c r="C83">
        <f>C$9 * (18.0006256103515 -C$8)</f>
        <v>18.000625610351499</v>
      </c>
      <c r="E83">
        <v>233288107.91015542</v>
      </c>
      <c r="F83">
        <v>233288107.91015542</v>
      </c>
      <c r="G83">
        <v>233288107.91015542</v>
      </c>
    </row>
    <row r="84" spans="1:7" x14ac:dyDescent="0.3">
      <c r="A84">
        <f>A$9 * (18.2503757476806 -A$8)</f>
        <v>18.2503757476806</v>
      </c>
      <c r="B84">
        <f>B$9 * (18.2503757476806 -B$8)</f>
        <v>18.2503757476806</v>
      </c>
      <c r="C84">
        <f>C$9 * (18.2503757476806 -C$8)</f>
        <v>18.2503757476806</v>
      </c>
      <c r="E84">
        <v>236524869.68994057</v>
      </c>
      <c r="F84">
        <v>236524869.68994057</v>
      </c>
      <c r="G84">
        <v>236524869.68994057</v>
      </c>
    </row>
    <row r="85" spans="1:7" x14ac:dyDescent="0.3">
      <c r="A85">
        <f>A$9 * (18.5000743865966 -A$8)</f>
        <v>18.500074386596602</v>
      </c>
      <c r="B85">
        <f>B$9 * (18.5000743865966 -B$8)</f>
        <v>18.500074386596602</v>
      </c>
      <c r="C85">
        <f>C$9 * (18.5000743865966 -C$8)</f>
        <v>18.500074386596602</v>
      </c>
      <c r="E85">
        <v>239760964.05029199</v>
      </c>
      <c r="F85">
        <v>239760964.05029199</v>
      </c>
      <c r="G85">
        <v>239760964.05029199</v>
      </c>
    </row>
    <row r="86" spans="1:7" x14ac:dyDescent="0.3">
      <c r="A86">
        <f>A$9 * (18.7503395080566 -A$8)</f>
        <v>18.750339508056602</v>
      </c>
      <c r="B86">
        <f>B$9 * (18.7503395080566 -B$8)</f>
        <v>18.750339508056602</v>
      </c>
      <c r="C86">
        <f>C$9 * (18.7503395080566 -C$8)</f>
        <v>18.750339508056602</v>
      </c>
      <c r="E86">
        <v>243004400.02441353</v>
      </c>
      <c r="F86">
        <v>243004400.02441353</v>
      </c>
      <c r="G86">
        <v>243004400.02441353</v>
      </c>
    </row>
    <row r="87" spans="1:7" x14ac:dyDescent="0.3">
      <c r="A87">
        <f>A$9 * (19.0004138946533 -A$8)</f>
        <v>19.000413894653299</v>
      </c>
      <c r="B87">
        <f>B$9 * (19.0004138946533 -B$8)</f>
        <v>19.000413894653299</v>
      </c>
      <c r="C87">
        <f>C$9 * (19.0004138946533 -C$8)</f>
        <v>19.000413894653299</v>
      </c>
      <c r="E87">
        <v>246245364.07470676</v>
      </c>
      <c r="F87">
        <v>246245364.07470676</v>
      </c>
      <c r="G87">
        <v>246245364.07470676</v>
      </c>
    </row>
    <row r="88" spans="1:7" x14ac:dyDescent="0.3">
      <c r="A88">
        <f>A$9 * (19.2500896453857 -A$8)</f>
        <v>19.2500896453857</v>
      </c>
      <c r="B88">
        <f>B$9 * (19.2500896453857 -B$8)</f>
        <v>19.2500896453857</v>
      </c>
      <c r="C88">
        <f>C$9 * (19.2500896453857 -C$8)</f>
        <v>19.2500896453857</v>
      </c>
      <c r="E88">
        <v>249481161.80419865</v>
      </c>
      <c r="F88">
        <v>249481161.80419865</v>
      </c>
      <c r="G88">
        <v>249481161.80419865</v>
      </c>
    </row>
    <row r="89" spans="1:7" x14ac:dyDescent="0.3">
      <c r="A89">
        <f>A$9 * (19.5004119873046 -A$8)</f>
        <v>19.500411987304599</v>
      </c>
      <c r="B89">
        <f>B$9 * (19.5004119873046 -B$8)</f>
        <v>19.500411987304599</v>
      </c>
      <c r="C89">
        <f>C$9 * (19.5004119873046 -C$8)</f>
        <v>19.500411987304599</v>
      </c>
      <c r="E89">
        <v>252725339.35546759</v>
      </c>
      <c r="F89">
        <v>252725339.35546759</v>
      </c>
      <c r="G89">
        <v>252725339.35546759</v>
      </c>
    </row>
    <row r="90" spans="1:7" x14ac:dyDescent="0.3">
      <c r="A90">
        <f>A$9 * (19.7503414154052 -A$8)</f>
        <v>19.750341415405199</v>
      </c>
      <c r="B90">
        <f>B$9 * (19.7503414154052 -B$8)</f>
        <v>19.750341415405199</v>
      </c>
      <c r="C90">
        <f>C$9 * (19.7503414154052 -C$8)</f>
        <v>19.750341415405199</v>
      </c>
      <c r="E90">
        <v>255964424.74365139</v>
      </c>
      <c r="F90">
        <v>255964424.74365139</v>
      </c>
      <c r="G90">
        <v>255964424.74365139</v>
      </c>
    </row>
    <row r="91" spans="1:7" x14ac:dyDescent="0.3">
      <c r="A91">
        <f>A$9 * (20.0003585815429 -A$8)</f>
        <v>20.000358581542901</v>
      </c>
      <c r="B91">
        <f>B$9 * (20.0003585815429 -B$8)</f>
        <v>20.000358581542901</v>
      </c>
      <c r="C91">
        <f>C$9 * (20.0003585815429 -C$8)</f>
        <v>20.000358581542901</v>
      </c>
      <c r="E91">
        <v>259204647.21679598</v>
      </c>
      <c r="F91">
        <v>259204647.21679598</v>
      </c>
      <c r="G91">
        <v>259204647.21679598</v>
      </c>
    </row>
    <row r="92" spans="1:7" x14ac:dyDescent="0.3">
      <c r="A92">
        <f>A$9 * (20.2501144409179 -A$8)</f>
        <v>20.250114440917901</v>
      </c>
      <c r="B92">
        <f>B$9 * (20.2501144409179 -B$8)</f>
        <v>20.250114440917901</v>
      </c>
      <c r="C92">
        <f>C$9 * (20.2501144409179 -C$8)</f>
        <v>20.250114440917901</v>
      </c>
      <c r="E92">
        <v>262441483.15429598</v>
      </c>
      <c r="F92">
        <v>262441483.15429598</v>
      </c>
      <c r="G92">
        <v>262441483.15429598</v>
      </c>
    </row>
    <row r="93" spans="1:7" x14ac:dyDescent="0.3">
      <c r="A93">
        <f>A$9 * (20.500539779663 -A$8)</f>
        <v>20.500539779663001</v>
      </c>
      <c r="B93">
        <f>B$9 * (20.500539779663 -B$8)</f>
        <v>20.500539779663001</v>
      </c>
      <c r="C93">
        <f>C$9 * (20.500539779663 -C$8)</f>
        <v>20.500539779663001</v>
      </c>
      <c r="E93">
        <v>265686995.54443249</v>
      </c>
      <c r="F93">
        <v>265686995.54443249</v>
      </c>
      <c r="G93">
        <v>265686995.54443249</v>
      </c>
    </row>
    <row r="94" spans="1:7" x14ac:dyDescent="0.3">
      <c r="A94">
        <f>A$9 * (20.7503280639648 -A$8)</f>
        <v>20.750328063964801</v>
      </c>
      <c r="B94">
        <f>B$9 * (20.7503280639648 -B$8)</f>
        <v>20.750328063964801</v>
      </c>
      <c r="C94">
        <f>C$9 * (20.7503280639648 -C$8)</f>
        <v>20.750328063964801</v>
      </c>
      <c r="E94">
        <v>268924251.70898378</v>
      </c>
      <c r="F94">
        <v>268924251.70898378</v>
      </c>
      <c r="G94">
        <v>268924251.70898378</v>
      </c>
    </row>
    <row r="95" spans="1:7" x14ac:dyDescent="0.3">
      <c r="A95">
        <f>A$9 * (21.0003051757812 -A$8)</f>
        <v>21.0003051757812</v>
      </c>
      <c r="B95">
        <f>B$9 * (21.0003051757812 -B$8)</f>
        <v>21.0003051757812</v>
      </c>
      <c r="C95">
        <f>C$9 * (21.0003051757812 -C$8)</f>
        <v>21.0003051757812</v>
      </c>
      <c r="E95">
        <v>272163955.07812434</v>
      </c>
      <c r="F95">
        <v>272163955.07812434</v>
      </c>
      <c r="G95">
        <v>272163955.07812434</v>
      </c>
    </row>
    <row r="96" spans="1:7" x14ac:dyDescent="0.3">
      <c r="A96">
        <f>A$9 * (21.2501697540283 -A$8)</f>
        <v>21.250169754028299</v>
      </c>
      <c r="B96">
        <f>B$9 * (21.2501697540283 -B$8)</f>
        <v>21.250169754028299</v>
      </c>
      <c r="C96">
        <f>C$9 * (21.2501697540283 -C$8)</f>
        <v>21.250169754028299</v>
      </c>
      <c r="E96">
        <v>275402200.01220679</v>
      </c>
      <c r="F96">
        <v>275402200.01220679</v>
      </c>
      <c r="G96">
        <v>275402200.01220679</v>
      </c>
    </row>
    <row r="97" spans="1:7" x14ac:dyDescent="0.3">
      <c r="A97">
        <f>A$9 * (21.5000553131103 -A$8)</f>
        <v>21.500055313110298</v>
      </c>
      <c r="B97">
        <f>B$9 * (21.5000553131103 -B$8)</f>
        <v>21.500055313110298</v>
      </c>
      <c r="C97">
        <f>C$9 * (21.5000553131103 -C$8)</f>
        <v>21.500055313110298</v>
      </c>
      <c r="E97">
        <v>278640716.8579095</v>
      </c>
      <c r="F97">
        <v>278640716.8579095</v>
      </c>
      <c r="G97">
        <v>278640716.8579095</v>
      </c>
    </row>
    <row r="98" spans="1:7" x14ac:dyDescent="0.3">
      <c r="A98">
        <f>A$9 * (21.750352859497 -A$8)</f>
        <v>21.750352859496999</v>
      </c>
      <c r="B98">
        <f>B$9 * (21.750352859497 -B$8)</f>
        <v>21.750352859496999</v>
      </c>
      <c r="C98">
        <f>C$9 * (21.750352859497 -C$8)</f>
        <v>21.750352859496999</v>
      </c>
      <c r="E98">
        <v>281884573.05908108</v>
      </c>
      <c r="F98">
        <v>281884573.05908108</v>
      </c>
      <c r="G98">
        <v>281884573.05908108</v>
      </c>
    </row>
    <row r="99" spans="1:7" x14ac:dyDescent="0.3">
      <c r="A99">
        <f>A$9 * (22.0003395080566 -A$8)</f>
        <v>22.000339508056602</v>
      </c>
      <c r="B99">
        <f>B$9 * (22.0003395080566 -B$8)</f>
        <v>22.000339508056602</v>
      </c>
      <c r="C99">
        <f>C$9 * (22.0003395080566 -C$8)</f>
        <v>22.000339508056602</v>
      </c>
      <c r="E99">
        <v>285124400.02441353</v>
      </c>
      <c r="F99">
        <v>285124400.02441353</v>
      </c>
      <c r="G99">
        <v>285124400.02441353</v>
      </c>
    </row>
    <row r="100" spans="1:7" x14ac:dyDescent="0.3">
      <c r="A100">
        <f>A$9 * (22.2503280639648 -A$8)</f>
        <v>22.250328063964801</v>
      </c>
      <c r="B100">
        <f>B$9 * (22.2503280639648 -B$8)</f>
        <v>22.250328063964801</v>
      </c>
      <c r="C100">
        <f>C$9 * (22.2503280639648 -C$8)</f>
        <v>22.250328063964801</v>
      </c>
      <c r="E100">
        <v>288364251.70898378</v>
      </c>
      <c r="F100">
        <v>288364251.70898378</v>
      </c>
      <c r="G100">
        <v>288364251.70898378</v>
      </c>
    </row>
    <row r="101" spans="1:7" x14ac:dyDescent="0.3">
      <c r="A101">
        <f>A$9 * (22.500108718872 -A$8)</f>
        <v>22.500108718871999</v>
      </c>
      <c r="B101">
        <f>B$9 * (22.500108718872 -B$8)</f>
        <v>22.500108718871999</v>
      </c>
      <c r="C101">
        <f>C$9 * (22.500108718872 -C$8)</f>
        <v>22.500108718871999</v>
      </c>
      <c r="E101">
        <v>291601408.99658108</v>
      </c>
      <c r="F101">
        <v>291601408.99658108</v>
      </c>
      <c r="G101">
        <v>291601408.99658108</v>
      </c>
    </row>
    <row r="102" spans="1:7" x14ac:dyDescent="0.3">
      <c r="A102">
        <f>A$9 * (22.7506027221679 -A$8)</f>
        <v>22.750602722167901</v>
      </c>
      <c r="B102">
        <f>B$9 * (22.7506027221679 -B$8)</f>
        <v>22.750602722167901</v>
      </c>
      <c r="C102">
        <f>C$9 * (22.7506027221679 -C$8)</f>
        <v>22.750602722167901</v>
      </c>
      <c r="E102">
        <v>294847811.27929598</v>
      </c>
      <c r="F102">
        <v>294847811.27929598</v>
      </c>
      <c r="G102">
        <v>294847811.27929598</v>
      </c>
    </row>
    <row r="103" spans="1:7" x14ac:dyDescent="0.3">
      <c r="A103">
        <f>A$9 * (23.0000495910644 -A$8)</f>
        <v>23.0000495910644</v>
      </c>
      <c r="B103">
        <f>B$9 * (23.0000495910644 -B$8)</f>
        <v>23.0000495910644</v>
      </c>
      <c r="C103">
        <f>C$9 * (23.0000495910644 -C$8)</f>
        <v>23.0000495910644</v>
      </c>
      <c r="E103">
        <v>298080642.70019466</v>
      </c>
      <c r="F103">
        <v>298080642.70019466</v>
      </c>
      <c r="G103">
        <v>298080642.70019466</v>
      </c>
    </row>
    <row r="104" spans="1:7" x14ac:dyDescent="0.3">
      <c r="A104">
        <f>A$9 * (23.2501811981201 -A$8)</f>
        <v>23.250181198120099</v>
      </c>
      <c r="B104">
        <f>B$9 * (23.2501811981201 -B$8)</f>
        <v>23.250181198120099</v>
      </c>
      <c r="C104">
        <f>C$9 * (23.2501811981201 -C$8)</f>
        <v>23.250181198120099</v>
      </c>
      <c r="E104">
        <v>301322348.32763648</v>
      </c>
      <c r="F104">
        <v>301322348.32763648</v>
      </c>
      <c r="G104">
        <v>301322348.32763648</v>
      </c>
    </row>
    <row r="105" spans="1:7" x14ac:dyDescent="0.3">
      <c r="A105">
        <f>A$9 * (23.5000419616699 -A$8)</f>
        <v>23.500041961669901</v>
      </c>
      <c r="B105">
        <f>B$9 * (23.5000419616699 -B$8)</f>
        <v>23.500041961669901</v>
      </c>
      <c r="C105">
        <f>C$9 * (23.5000419616699 -C$8)</f>
        <v>23.500041961669901</v>
      </c>
      <c r="E105">
        <v>304560543.82324195</v>
      </c>
      <c r="F105">
        <v>304560543.82324195</v>
      </c>
      <c r="G105">
        <v>304560543.82324195</v>
      </c>
    </row>
    <row r="106" spans="1:7" x14ac:dyDescent="0.3">
      <c r="A106">
        <f>A$9 * (23.7502613067627 -A$8)</f>
        <v>23.750261306762699</v>
      </c>
      <c r="B106">
        <f>B$9 * (23.7502613067627 -B$8)</f>
        <v>23.750261306762699</v>
      </c>
      <c r="C106">
        <f>C$9 * (23.7502613067627 -C$8)</f>
        <v>23.750261306762699</v>
      </c>
      <c r="E106">
        <v>307803386.53564459</v>
      </c>
      <c r="F106">
        <v>307803386.53564459</v>
      </c>
      <c r="G106">
        <v>307803386.53564459</v>
      </c>
    </row>
    <row r="107" spans="1:7" x14ac:dyDescent="0.3">
      <c r="A107">
        <f>A$9 * (24.0000915527343 -A$8)</f>
        <v>24.0000915527343</v>
      </c>
      <c r="B107">
        <f>B$9 * (24.0000915527343 -B$8)</f>
        <v>24.0000915527343</v>
      </c>
      <c r="C107">
        <f>C$9 * (24.0000915527343 -C$8)</f>
        <v>24.0000915527343</v>
      </c>
      <c r="E107">
        <v>311041186.52343655</v>
      </c>
      <c r="F107">
        <v>311041186.52343655</v>
      </c>
      <c r="G107">
        <v>311041186.52343655</v>
      </c>
    </row>
    <row r="108" spans="1:7" x14ac:dyDescent="0.3">
      <c r="A108">
        <f>A$9 * (24.2501163482666 -A$8)</f>
        <v>24.250116348266602</v>
      </c>
      <c r="B108">
        <f>B$9 * (24.2501163482666 -B$8)</f>
        <v>24.250116348266602</v>
      </c>
      <c r="C108">
        <f>C$9 * (24.2501163482666 -C$8)</f>
        <v>24.250116348266602</v>
      </c>
      <c r="E108">
        <v>314281507.87353516</v>
      </c>
      <c r="F108">
        <v>314281507.87353516</v>
      </c>
      <c r="G108">
        <v>314281507.87353516</v>
      </c>
    </row>
    <row r="109" spans="1:7" x14ac:dyDescent="0.3">
      <c r="A109">
        <f>A$9 * (24.5003089904785 -A$8)</f>
        <v>24.500308990478501</v>
      </c>
      <c r="B109">
        <f>B$9 * (24.5003089904785 -B$8)</f>
        <v>24.500308990478501</v>
      </c>
      <c r="C109">
        <f>C$9 * (24.5003089904785 -C$8)</f>
        <v>24.500308990478501</v>
      </c>
      <c r="E109">
        <v>317524004.51660132</v>
      </c>
      <c r="F109">
        <v>317524004.51660132</v>
      </c>
      <c r="G109">
        <v>317524004.51660132</v>
      </c>
    </row>
    <row r="110" spans="1:7" x14ac:dyDescent="0.3">
      <c r="A110">
        <f>A$9 * (24.7503356933593 -A$8)</f>
        <v>24.7503356933593</v>
      </c>
      <c r="B110">
        <f>B$9 * (24.7503356933593 -B$8)</f>
        <v>24.7503356933593</v>
      </c>
      <c r="C110">
        <f>C$9 * (24.7503356933593 -C$8)</f>
        <v>24.7503356933593</v>
      </c>
      <c r="E110">
        <v>320764350.58593655</v>
      </c>
      <c r="F110">
        <v>320764350.58593655</v>
      </c>
      <c r="G110">
        <v>320764350.58593655</v>
      </c>
    </row>
    <row r="111" spans="1:7" x14ac:dyDescent="0.3">
      <c r="A111">
        <f>A$9 * (25.0001583099365 -A$8)</f>
        <v>25.000158309936499</v>
      </c>
      <c r="B111">
        <f>B$9 * (25.0001583099365 -B$8)</f>
        <v>25.000158309936499</v>
      </c>
      <c r="C111">
        <f>C$9 * (25.0001583099365 -C$8)</f>
        <v>25.000158309936499</v>
      </c>
      <c r="E111">
        <v>324002051.69677705</v>
      </c>
      <c r="F111">
        <v>324002051.69677705</v>
      </c>
      <c r="G111">
        <v>324002051.69677705</v>
      </c>
    </row>
    <row r="112" spans="1:7" x14ac:dyDescent="0.3">
      <c r="A112">
        <f>A$9 * (25.2502174377441 -A$8)</f>
        <v>25.250217437744102</v>
      </c>
      <c r="B112">
        <f>B$9 * (25.2502174377441 -B$8)</f>
        <v>25.250217437744102</v>
      </c>
      <c r="C112">
        <f>C$9 * (25.2502174377441 -C$8)</f>
        <v>25.250217437744102</v>
      </c>
      <c r="E112">
        <v>327242817.99316353</v>
      </c>
      <c r="F112">
        <v>327242817.99316353</v>
      </c>
      <c r="G112">
        <v>327242817.99316353</v>
      </c>
    </row>
    <row r="113" spans="1:7" x14ac:dyDescent="0.3">
      <c r="A113">
        <f>A$9 * (25.5007381439209 -A$8)</f>
        <v>25.500738143920898</v>
      </c>
      <c r="B113">
        <f>B$9 * (25.5007381439209 -B$8)</f>
        <v>25.500738143920898</v>
      </c>
      <c r="C113">
        <f>C$9 * (25.5007381439209 -C$8)</f>
        <v>25.500738143920898</v>
      </c>
      <c r="E113">
        <v>330489566.34521484</v>
      </c>
      <c r="F113">
        <v>330489566.34521484</v>
      </c>
      <c r="G113">
        <v>330489566.34521484</v>
      </c>
    </row>
    <row r="114" spans="1:7" x14ac:dyDescent="0.3">
      <c r="A114">
        <f>A$9 * (25.750768661499 -A$8)</f>
        <v>25.750768661498999</v>
      </c>
      <c r="B114">
        <f>B$9 * (25.750768661499 -B$8)</f>
        <v>25.750768661498999</v>
      </c>
      <c r="C114">
        <f>C$9 * (25.750768661499 -C$8)</f>
        <v>25.750768661498999</v>
      </c>
      <c r="E114">
        <v>333729961.85302705</v>
      </c>
      <c r="F114">
        <v>333729961.85302705</v>
      </c>
      <c r="G114">
        <v>333729961.85302705</v>
      </c>
    </row>
    <row r="115" spans="1:7" x14ac:dyDescent="0.3">
      <c r="A115">
        <f>A$9 * (26.0002365112304 -A$8)</f>
        <v>26.000236511230401</v>
      </c>
      <c r="B115">
        <f>B$9 * (26.0002365112304 -B$8)</f>
        <v>26.000236511230401</v>
      </c>
      <c r="C115">
        <f>C$9 * (26.0002365112304 -C$8)</f>
        <v>26.000236511230401</v>
      </c>
      <c r="E115">
        <v>336963065.18554598</v>
      </c>
      <c r="F115">
        <v>336963065.18554598</v>
      </c>
      <c r="G115">
        <v>336963065.18554598</v>
      </c>
    </row>
    <row r="116" spans="1:7" x14ac:dyDescent="0.3">
      <c r="A116">
        <f>A$9 * (26.250280380249 -A$8)</f>
        <v>26.250280380248999</v>
      </c>
      <c r="B116">
        <f>B$9 * (26.250280380249 -B$8)</f>
        <v>26.250280380248999</v>
      </c>
      <c r="C116">
        <f>C$9 * (26.250280380249 -C$8)</f>
        <v>26.250280380248999</v>
      </c>
      <c r="E116">
        <v>340203633.72802705</v>
      </c>
      <c r="F116">
        <v>340203633.72802705</v>
      </c>
      <c r="G116">
        <v>340203633.72802705</v>
      </c>
    </row>
    <row r="117" spans="1:7" x14ac:dyDescent="0.3">
      <c r="A117">
        <f>A$9 * (26.5004425048828 -A$8)</f>
        <v>26.500442504882798</v>
      </c>
      <c r="B117">
        <f>B$9 * (26.5004425048828 -B$8)</f>
        <v>26.500442504882798</v>
      </c>
      <c r="C117">
        <f>C$9 * (26.5004425048828 -C$8)</f>
        <v>26.500442504882798</v>
      </c>
      <c r="E117">
        <v>343445734.86328101</v>
      </c>
      <c r="F117">
        <v>343445734.86328101</v>
      </c>
      <c r="G117">
        <v>343445734.86328101</v>
      </c>
    </row>
    <row r="118" spans="1:7" x14ac:dyDescent="0.3">
      <c r="A118">
        <f>A$9 * (26.7501697540283 -A$8)</f>
        <v>26.750169754028299</v>
      </c>
      <c r="B118">
        <f>B$9 * (26.7501697540283 -B$8)</f>
        <v>26.750169754028299</v>
      </c>
      <c r="C118">
        <f>C$9 * (26.7501697540283 -C$8)</f>
        <v>26.750169754028299</v>
      </c>
      <c r="E118">
        <v>346682200.01220679</v>
      </c>
      <c r="F118">
        <v>346682200.01220679</v>
      </c>
      <c r="G118">
        <v>346682200.01220679</v>
      </c>
    </row>
    <row r="119" spans="1:7" x14ac:dyDescent="0.3">
      <c r="A119">
        <f>A$9 * (27.0000324249267 -A$8)</f>
        <v>27.000032424926701</v>
      </c>
      <c r="B119">
        <f>B$9 * (27.0000324249267 -B$8)</f>
        <v>27.000032424926701</v>
      </c>
      <c r="C119">
        <f>C$9 * (27.0000324249267 -C$8)</f>
        <v>27.000032424926701</v>
      </c>
      <c r="E119">
        <v>349920420.22705007</v>
      </c>
      <c r="F119">
        <v>349920420.22705007</v>
      </c>
      <c r="G119">
        <v>349920420.22705007</v>
      </c>
    </row>
    <row r="120" spans="1:7" x14ac:dyDescent="0.3">
      <c r="A120">
        <f>A$9 * (27.2504138946533 -A$8)</f>
        <v>27.250413894653299</v>
      </c>
      <c r="B120">
        <f>B$9 * (27.2504138946533 -B$8)</f>
        <v>27.250413894653299</v>
      </c>
      <c r="C120">
        <f>C$9 * (27.2504138946533 -C$8)</f>
        <v>27.250413894653299</v>
      </c>
      <c r="E120">
        <v>353165364.07470679</v>
      </c>
      <c r="F120">
        <v>353165364.07470679</v>
      </c>
      <c r="G120">
        <v>353165364.07470679</v>
      </c>
    </row>
    <row r="121" spans="1:7" x14ac:dyDescent="0.3">
      <c r="A121">
        <f>A$9 * (27.5003643035888 -A$8)</f>
        <v>27.5003643035888</v>
      </c>
      <c r="B121">
        <f>B$9 * (27.5003643035888 -B$8)</f>
        <v>27.5003643035888</v>
      </c>
      <c r="C121">
        <f>C$9 * (27.5003643035888 -C$8)</f>
        <v>27.5003643035888</v>
      </c>
      <c r="E121">
        <v>356404721.37451082</v>
      </c>
      <c r="F121">
        <v>356404721.37451082</v>
      </c>
      <c r="G121">
        <v>356404721.37451082</v>
      </c>
    </row>
    <row r="122" spans="1:7" x14ac:dyDescent="0.3">
      <c r="A122">
        <f>A$9 * (27.750165939331 -A$8)</f>
        <v>27.750165939331001</v>
      </c>
      <c r="B122">
        <f>B$9 * (27.750165939331 -B$8)</f>
        <v>27.750165939331001</v>
      </c>
      <c r="C122">
        <f>C$9 * (27.750165939331 -C$8)</f>
        <v>27.750165939331001</v>
      </c>
      <c r="E122">
        <v>359642150.57372981</v>
      </c>
      <c r="F122">
        <v>359642150.57372981</v>
      </c>
      <c r="G122">
        <v>359642150.57372981</v>
      </c>
    </row>
    <row r="123" spans="1:7" x14ac:dyDescent="0.3">
      <c r="A123">
        <f>A$9 * (28.0006942749023 -A$8)</f>
        <v>28.000694274902301</v>
      </c>
      <c r="B123">
        <f>B$9 * (28.0006942749023 -B$8)</f>
        <v>28.000694274902301</v>
      </c>
      <c r="C123">
        <f>C$9 * (28.0006942749023 -C$8)</f>
        <v>28.000694274902301</v>
      </c>
      <c r="E123">
        <v>362888997.80273378</v>
      </c>
      <c r="F123">
        <v>362888997.80273378</v>
      </c>
      <c r="G123">
        <v>362888997.80273378</v>
      </c>
    </row>
    <row r="124" spans="1:7" x14ac:dyDescent="0.3">
      <c r="A124">
        <f>A$9 * (28.2506103515625 -A$8)</f>
        <v>28.2506103515625</v>
      </c>
      <c r="B124">
        <f>B$9 * (28.2506103515625 -B$8)</f>
        <v>28.2506103515625</v>
      </c>
      <c r="C124">
        <f>C$9 * (28.2506103515625 -C$8)</f>
        <v>28.2506103515625</v>
      </c>
      <c r="E124">
        <v>366127910.15625</v>
      </c>
      <c r="F124">
        <v>366127910.15625</v>
      </c>
      <c r="G124">
        <v>366127910.15625</v>
      </c>
    </row>
    <row r="125" spans="1:7" x14ac:dyDescent="0.3">
      <c r="A125">
        <f>A$9 * (28.5000839233398 -A$8)</f>
        <v>28.500083923339801</v>
      </c>
      <c r="B125">
        <f>B$9 * (28.5000839233398 -B$8)</f>
        <v>28.500083923339801</v>
      </c>
      <c r="C125">
        <f>C$9 * (28.5000839233398 -C$8)</f>
        <v>28.500083923339801</v>
      </c>
      <c r="E125">
        <v>369361087.64648378</v>
      </c>
      <c r="F125">
        <v>369361087.64648378</v>
      </c>
      <c r="G125">
        <v>369361087.64648378</v>
      </c>
    </row>
    <row r="126" spans="1:7" x14ac:dyDescent="0.3">
      <c r="A126">
        <f>A$9 * (28.7505550384521 -A$8)</f>
        <v>28.750555038452099</v>
      </c>
      <c r="B126">
        <f>B$9 * (28.7505550384521 -B$8)</f>
        <v>28.750555038452099</v>
      </c>
      <c r="C126">
        <f>C$9 * (28.7505550384521 -C$8)</f>
        <v>28.750555038452099</v>
      </c>
      <c r="E126">
        <v>372607193.29833919</v>
      </c>
      <c r="F126">
        <v>372607193.29833919</v>
      </c>
      <c r="G126">
        <v>372607193.29833919</v>
      </c>
    </row>
    <row r="127" spans="1:7" x14ac:dyDescent="0.3">
      <c r="A127">
        <f>A$9 * (29.0001392364502 -A$8)</f>
        <v>29.000139236450199</v>
      </c>
      <c r="B127">
        <f>B$9 * (29.0001392364502 -B$8)</f>
        <v>29.000139236450199</v>
      </c>
      <c r="C127">
        <f>C$9 * (29.0001392364502 -C$8)</f>
        <v>29.000139236450199</v>
      </c>
      <c r="E127">
        <v>375841804.50439459</v>
      </c>
      <c r="F127">
        <v>375841804.50439459</v>
      </c>
      <c r="G127">
        <v>375841804.50439459</v>
      </c>
    </row>
    <row r="128" spans="1:7" x14ac:dyDescent="0.3">
      <c r="A128">
        <f>A$9 * (29.2501945495605 -A$8)</f>
        <v>29.250194549560501</v>
      </c>
      <c r="B128">
        <f>B$9 * (29.2501945495605 -B$8)</f>
        <v>29.250194549560501</v>
      </c>
      <c r="C128">
        <f>C$9 * (29.2501945495605 -C$8)</f>
        <v>29.250194549560501</v>
      </c>
      <c r="E128">
        <v>379082521.36230409</v>
      </c>
      <c r="F128">
        <v>379082521.36230409</v>
      </c>
      <c r="G128">
        <v>379082521.36230409</v>
      </c>
    </row>
    <row r="129" spans="1:7" x14ac:dyDescent="0.3">
      <c r="A129">
        <f>A$9 * (29.5001945495605 -A$8)</f>
        <v>29.500194549560501</v>
      </c>
      <c r="B129">
        <f>B$9 * (29.5001945495605 -B$8)</f>
        <v>29.500194549560501</v>
      </c>
      <c r="C129">
        <f>C$9 * (29.5001945495605 -C$8)</f>
        <v>29.500194549560501</v>
      </c>
      <c r="E129">
        <v>382322521.36230409</v>
      </c>
      <c r="F129">
        <v>382322521.36230409</v>
      </c>
      <c r="G129">
        <v>382322521.36230409</v>
      </c>
    </row>
    <row r="130" spans="1:7" x14ac:dyDescent="0.3">
      <c r="A130">
        <f>A$9 * (29.750389099121 -A$8)</f>
        <v>29.750389099121001</v>
      </c>
      <c r="B130">
        <f>B$9 * (29.750389099121 -B$8)</f>
        <v>29.750389099121001</v>
      </c>
      <c r="C130">
        <f>C$9 * (29.750389099121 -C$8)</f>
        <v>29.750389099121001</v>
      </c>
      <c r="E130">
        <v>385565042.72460818</v>
      </c>
      <c r="F130">
        <v>385565042.72460818</v>
      </c>
      <c r="G130">
        <v>385565042.72460818</v>
      </c>
    </row>
    <row r="131" spans="1:7" x14ac:dyDescent="0.3">
      <c r="A131">
        <f>A$9 * (30.00022315979 -A$8)</f>
        <v>30.00022315979</v>
      </c>
      <c r="B131">
        <f>B$9 * (30.00022315979 -B$8)</f>
        <v>30.00022315979</v>
      </c>
      <c r="C131">
        <f>C$9 * (30.00022315979 -C$8)</f>
        <v>30.00022315979</v>
      </c>
      <c r="E131">
        <v>388802892.15087837</v>
      </c>
      <c r="F131">
        <v>388802892.15087837</v>
      </c>
      <c r="G131">
        <v>388802892.15087837</v>
      </c>
    </row>
    <row r="132" spans="1:7" x14ac:dyDescent="0.3">
      <c r="A132">
        <f>A$9 * (30.2503051757812 -A$8)</f>
        <v>30.2503051757812</v>
      </c>
      <c r="B132">
        <f>B$9 * (30.2503051757812 -B$8)</f>
        <v>30.2503051757812</v>
      </c>
      <c r="C132">
        <f>C$9 * (30.2503051757812 -C$8)</f>
        <v>30.2503051757812</v>
      </c>
      <c r="E132">
        <v>392043955.07812434</v>
      </c>
      <c r="F132">
        <v>392043955.07812434</v>
      </c>
      <c r="G132">
        <v>392043955.07812434</v>
      </c>
    </row>
    <row r="133" spans="1:7" x14ac:dyDescent="0.3">
      <c r="A133">
        <f>A$9 * (30.5007781982421 -A$8)</f>
        <v>30.500778198242099</v>
      </c>
      <c r="B133">
        <f>B$9 * (30.5007781982421 -B$8)</f>
        <v>30.500778198242099</v>
      </c>
      <c r="C133">
        <f>C$9 * (30.5007781982421 -C$8)</f>
        <v>30.500778198242099</v>
      </c>
      <c r="E133">
        <v>395290085.44921762</v>
      </c>
      <c r="F133">
        <v>395290085.44921762</v>
      </c>
      <c r="G133">
        <v>395290085.44921762</v>
      </c>
    </row>
    <row r="134" spans="1:7" x14ac:dyDescent="0.3">
      <c r="A134">
        <f>A$9 * (30.7503051757812 -A$8)</f>
        <v>30.7503051757812</v>
      </c>
      <c r="B134">
        <f>B$9 * (30.7503051757812 -B$8)</f>
        <v>30.7503051757812</v>
      </c>
      <c r="C134">
        <f>C$9 * (30.7503051757812 -C$8)</f>
        <v>30.7503051757812</v>
      </c>
      <c r="E134">
        <v>398523955.07812434</v>
      </c>
      <c r="F134">
        <v>398523955.07812434</v>
      </c>
      <c r="G134">
        <v>398523955.07812434</v>
      </c>
    </row>
    <row r="135" spans="1:7" x14ac:dyDescent="0.3">
      <c r="A135">
        <f>A$9 * (31.0001106262207 -A$8)</f>
        <v>31.0001106262207</v>
      </c>
      <c r="B135">
        <f>B$9 * (31.0001106262207 -B$8)</f>
        <v>31.0001106262207</v>
      </c>
      <c r="C135">
        <f>C$9 * (31.0001106262207 -C$8)</f>
        <v>31.0001106262207</v>
      </c>
      <c r="E135">
        <v>401761433.71582025</v>
      </c>
      <c r="F135">
        <v>401761433.71582025</v>
      </c>
      <c r="G135">
        <v>401761433.71582025</v>
      </c>
    </row>
    <row r="136" spans="1:7" x14ac:dyDescent="0.3">
      <c r="A136">
        <f>A$9 * (31.25022315979 -A$8)</f>
        <v>31.25022315979</v>
      </c>
      <c r="B136">
        <f>B$9 * (31.25022315979 -B$8)</f>
        <v>31.25022315979</v>
      </c>
      <c r="C136">
        <f>C$9 * (31.25022315979 -C$8)</f>
        <v>31.25022315979</v>
      </c>
      <c r="E136">
        <v>405002892.15087837</v>
      </c>
      <c r="F136">
        <v>405002892.15087837</v>
      </c>
      <c r="G136">
        <v>405002892.15087837</v>
      </c>
    </row>
    <row r="137" spans="1:7" x14ac:dyDescent="0.3">
      <c r="A137">
        <f>A$9 * (31.5001392364502 -A$8)</f>
        <v>31.500139236450199</v>
      </c>
      <c r="B137">
        <f>B$9 * (31.5001392364502 -B$8)</f>
        <v>31.500139236450199</v>
      </c>
      <c r="C137">
        <f>C$9 * (31.5001392364502 -C$8)</f>
        <v>31.500139236450199</v>
      </c>
      <c r="E137">
        <v>408241804.50439459</v>
      </c>
      <c r="F137">
        <v>408241804.50439459</v>
      </c>
      <c r="G137">
        <v>408241804.50439459</v>
      </c>
    </row>
    <row r="138" spans="1:7" x14ac:dyDescent="0.3">
      <c r="A138">
        <f>A$9 * (31.7500286102294 -A$8)</f>
        <v>31.7500286102294</v>
      </c>
      <c r="B138">
        <f>B$9 * (31.7500286102294 -B$8)</f>
        <v>31.7500286102294</v>
      </c>
      <c r="C138">
        <f>C$9 * (31.7500286102294 -C$8)</f>
        <v>31.7500286102294</v>
      </c>
      <c r="E138">
        <v>411480370.78857303</v>
      </c>
      <c r="F138">
        <v>411480370.78857303</v>
      </c>
      <c r="G138">
        <v>411480370.78857303</v>
      </c>
    </row>
    <row r="139" spans="1:7" x14ac:dyDescent="0.3">
      <c r="A139">
        <f>A$9 * (32.0005569458007 -A$8)</f>
        <v>32.000556945800703</v>
      </c>
      <c r="B139">
        <f>B$9 * (32.0005569458007 -B$8)</f>
        <v>32.000556945800703</v>
      </c>
      <c r="C139">
        <f>C$9 * (32.0005569458007 -C$8)</f>
        <v>32.000556945800703</v>
      </c>
      <c r="E139">
        <v>414727218.01757711</v>
      </c>
      <c r="F139">
        <v>414727218.01757711</v>
      </c>
      <c r="G139">
        <v>414727218.01757711</v>
      </c>
    </row>
    <row r="140" spans="1:7" x14ac:dyDescent="0.3">
      <c r="A140">
        <f>A$9 * (32.2503318786621 -A$8)</f>
        <v>32.250331878662102</v>
      </c>
      <c r="B140">
        <f>B$9 * (32.2503318786621 -B$8)</f>
        <v>32.250331878662102</v>
      </c>
      <c r="C140">
        <f>C$9 * (32.2503318786621 -C$8)</f>
        <v>32.250331878662102</v>
      </c>
      <c r="E140">
        <v>417964301.14746082</v>
      </c>
      <c r="F140">
        <v>417964301.14746082</v>
      </c>
      <c r="G140">
        <v>417964301.14746082</v>
      </c>
    </row>
    <row r="141" spans="1:7" x14ac:dyDescent="0.3">
      <c r="A141">
        <f>A$9 * (32.500389099121 -A$8)</f>
        <v>32.500389099121001</v>
      </c>
      <c r="B141">
        <f>B$9 * (32.500389099121 -B$8)</f>
        <v>32.500389099121001</v>
      </c>
      <c r="C141">
        <f>C$9 * (32.500389099121 -C$8)</f>
        <v>32.500389099121001</v>
      </c>
      <c r="E141">
        <v>421205042.72460818</v>
      </c>
      <c r="F141">
        <v>421205042.72460818</v>
      </c>
      <c r="G141">
        <v>421205042.72460818</v>
      </c>
    </row>
    <row r="142" spans="1:7" x14ac:dyDescent="0.3">
      <c r="A142">
        <f>A$9 * (32.7501945495605 -A$8)</f>
        <v>32.750194549560497</v>
      </c>
      <c r="B142">
        <f>B$9 * (32.7501945495605 -B$8)</f>
        <v>32.750194549560497</v>
      </c>
      <c r="C142">
        <f>C$9 * (32.7501945495605 -C$8)</f>
        <v>32.750194549560497</v>
      </c>
      <c r="E142">
        <v>424442521.36230403</v>
      </c>
      <c r="F142">
        <v>424442521.36230403</v>
      </c>
      <c r="G142">
        <v>424442521.36230403</v>
      </c>
    </row>
    <row r="143" spans="1:7" x14ac:dyDescent="0.3">
      <c r="A143">
        <f>A$9 * (33.0007209777832 -A$8)</f>
        <v>33.000720977783203</v>
      </c>
      <c r="B143">
        <f>B$9 * (33.0007209777832 -B$8)</f>
        <v>33.000720977783203</v>
      </c>
      <c r="C143">
        <f>C$9 * (33.0007209777832 -C$8)</f>
        <v>33.000720977783203</v>
      </c>
      <c r="E143">
        <v>427689343.87207031</v>
      </c>
      <c r="F143">
        <v>427689343.87207031</v>
      </c>
      <c r="G143">
        <v>427689343.87207031</v>
      </c>
    </row>
    <row r="144" spans="1:7" x14ac:dyDescent="0.3">
      <c r="A144">
        <f>A$9 * (33.2500839233398 -A$8)</f>
        <v>33.250083923339801</v>
      </c>
      <c r="B144">
        <f>B$9 * (33.2500839233398 -B$8)</f>
        <v>33.250083923339801</v>
      </c>
      <c r="C144">
        <f>C$9 * (33.2500839233398 -C$8)</f>
        <v>33.250083923339801</v>
      </c>
      <c r="E144">
        <v>430921087.64648378</v>
      </c>
      <c r="F144">
        <v>430921087.64648378</v>
      </c>
      <c r="G144">
        <v>430921087.64648378</v>
      </c>
    </row>
    <row r="145" spans="1:7" x14ac:dyDescent="0.3">
      <c r="A145">
        <f>A$9 * (33.5000267028808 -A$8)</f>
        <v>33.500026702880803</v>
      </c>
      <c r="B145">
        <f>B$9 * (33.5000267028808 -B$8)</f>
        <v>33.500026702880803</v>
      </c>
      <c r="C145">
        <f>C$9 * (33.5000267028808 -C$8)</f>
        <v>33.500026702880803</v>
      </c>
      <c r="E145">
        <v>434160346.06933522</v>
      </c>
      <c r="F145">
        <v>434160346.06933522</v>
      </c>
      <c r="G145">
        <v>434160346.06933522</v>
      </c>
    </row>
    <row r="146" spans="1:7" x14ac:dyDescent="0.3">
      <c r="A146">
        <f>A$9 * (33.7503318786621 -A$8)</f>
        <v>33.750331878662102</v>
      </c>
      <c r="B146">
        <f>B$9 * (33.7503318786621 -B$8)</f>
        <v>33.750331878662102</v>
      </c>
      <c r="C146">
        <f>C$9 * (33.7503318786621 -C$8)</f>
        <v>33.750331878662102</v>
      </c>
      <c r="E146">
        <v>437404301.14746082</v>
      </c>
      <c r="F146">
        <v>437404301.14746082</v>
      </c>
      <c r="G146">
        <v>437404301.14746082</v>
      </c>
    </row>
    <row r="147" spans="1:7" x14ac:dyDescent="0.3">
      <c r="A147">
        <f>A$9 * (34.0003318786621 -A$8)</f>
        <v>34.000331878662102</v>
      </c>
      <c r="B147">
        <f>B$9 * (34.0003318786621 -B$8)</f>
        <v>34.000331878662102</v>
      </c>
      <c r="C147">
        <f>C$9 * (34.0003318786621 -C$8)</f>
        <v>34.000331878662102</v>
      </c>
      <c r="E147">
        <v>440644301.14746082</v>
      </c>
      <c r="F147">
        <v>440644301.14746082</v>
      </c>
      <c r="G147">
        <v>440644301.14746082</v>
      </c>
    </row>
    <row r="148" spans="1:7" x14ac:dyDescent="0.3">
      <c r="A148">
        <f>A$9 * (34.2504730224609 -A$8)</f>
        <v>34.250473022460902</v>
      </c>
      <c r="B148">
        <f>B$9 * (34.2504730224609 -B$8)</f>
        <v>34.250473022460902</v>
      </c>
      <c r="C148">
        <f>C$9 * (34.2504730224609 -C$8)</f>
        <v>34.250473022460902</v>
      </c>
      <c r="E148">
        <v>443886130.37109327</v>
      </c>
      <c r="F148">
        <v>443886130.37109327</v>
      </c>
      <c r="G148">
        <v>443886130.37109327</v>
      </c>
    </row>
    <row r="149" spans="1:7" x14ac:dyDescent="0.3">
      <c r="A149">
        <f>A$9 * (34.5001373291015 -A$8)</f>
        <v>34.500137329101499</v>
      </c>
      <c r="B149">
        <f>B$9 * (34.5001373291015 -B$8)</f>
        <v>34.500137329101499</v>
      </c>
      <c r="C149">
        <f>C$9 * (34.5001373291015 -C$8)</f>
        <v>34.500137329101499</v>
      </c>
      <c r="E149">
        <v>447121779.78515542</v>
      </c>
      <c r="F149">
        <v>447121779.78515542</v>
      </c>
      <c r="G149">
        <v>447121779.78515542</v>
      </c>
    </row>
    <row r="150" spans="1:7" x14ac:dyDescent="0.3">
      <c r="A150">
        <f>A$9 * (34.7506103515625 -A$8)</f>
        <v>34.7506103515625</v>
      </c>
      <c r="B150">
        <f>B$9 * (34.7506103515625 -B$8)</f>
        <v>34.7506103515625</v>
      </c>
      <c r="C150">
        <f>C$9 * (34.7506103515625 -C$8)</f>
        <v>34.7506103515625</v>
      </c>
      <c r="E150">
        <v>450367910.15625</v>
      </c>
      <c r="F150">
        <v>450367910.15625</v>
      </c>
      <c r="G150">
        <v>450367910.15625</v>
      </c>
    </row>
    <row r="151" spans="1:7" x14ac:dyDescent="0.3">
      <c r="A151">
        <f>A$9 * (35.0001945495605 -A$8)</f>
        <v>35.000194549560497</v>
      </c>
      <c r="B151">
        <f>B$9 * (35.0001945495605 -B$8)</f>
        <v>35.000194549560497</v>
      </c>
      <c r="C151">
        <f>C$9 * (35.0001945495605 -C$8)</f>
        <v>35.000194549560497</v>
      </c>
      <c r="E151">
        <v>453602521.36230403</v>
      </c>
      <c r="F151">
        <v>453602521.36230403</v>
      </c>
      <c r="G151">
        <v>453602521.36230403</v>
      </c>
    </row>
    <row r="152" spans="1:7" x14ac:dyDescent="0.3">
      <c r="A152">
        <f>A$9 * (35.2506675720214 -A$8)</f>
        <v>35.250667572021399</v>
      </c>
      <c r="B152">
        <f>B$9 * (35.2506675720214 -B$8)</f>
        <v>35.250667572021399</v>
      </c>
      <c r="C152">
        <f>C$9 * (35.2506675720214 -C$8)</f>
        <v>35.250667572021399</v>
      </c>
      <c r="E152">
        <v>456848651.73339736</v>
      </c>
      <c r="F152">
        <v>456848651.73339736</v>
      </c>
      <c r="G152">
        <v>456848651.73339736</v>
      </c>
    </row>
    <row r="153" spans="1:7" x14ac:dyDescent="0.3">
      <c r="A153">
        <f>A$9 * (35.5001373291015 -A$8)</f>
        <v>35.500137329101499</v>
      </c>
      <c r="B153">
        <f>B$9 * (35.5001373291015 -B$8)</f>
        <v>35.500137329101499</v>
      </c>
      <c r="C153">
        <f>C$9 * (35.5001373291015 -C$8)</f>
        <v>35.500137329101499</v>
      </c>
      <c r="E153">
        <v>460081779.78515542</v>
      </c>
      <c r="F153">
        <v>460081779.78515542</v>
      </c>
      <c r="G153">
        <v>460081779.78515542</v>
      </c>
    </row>
    <row r="154" spans="1:7" x14ac:dyDescent="0.3">
      <c r="A154">
        <f>A$9 * (35.75 -A$8)</f>
        <v>35.75</v>
      </c>
      <c r="B154">
        <f>B$9 * (35.75 -B$8)</f>
        <v>35.75</v>
      </c>
      <c r="C154">
        <f>C$9 * (35.75 -C$8)</f>
        <v>35.75</v>
      </c>
      <c r="E154">
        <v>463320000</v>
      </c>
      <c r="F154">
        <v>463320000</v>
      </c>
      <c r="G154">
        <v>463320000</v>
      </c>
    </row>
    <row r="155" spans="1:7" x14ac:dyDescent="0.3">
      <c r="A155">
        <f>A$9 * (36.0004997253418 -A$8)</f>
        <v>36.000499725341797</v>
      </c>
      <c r="B155">
        <f>B$9 * (36.0004997253418 -B$8)</f>
        <v>36.000499725341797</v>
      </c>
      <c r="C155">
        <f>C$9 * (36.0004997253418 -C$8)</f>
        <v>36.000499725341797</v>
      </c>
      <c r="E155">
        <v>466566476.44042969</v>
      </c>
      <c r="F155">
        <v>466566476.44042969</v>
      </c>
      <c r="G155">
        <v>466566476.44042969</v>
      </c>
    </row>
    <row r="156" spans="1:7" x14ac:dyDescent="0.3">
      <c r="A156">
        <f>A$9 * (36.2500267028808 -A$8)</f>
        <v>36.250026702880803</v>
      </c>
      <c r="B156">
        <f>B$9 * (36.2500267028808 -B$8)</f>
        <v>36.250026702880803</v>
      </c>
      <c r="C156">
        <f>C$9 * (36.2500267028808 -C$8)</f>
        <v>36.250026702880803</v>
      </c>
      <c r="E156">
        <v>469800346.06933522</v>
      </c>
      <c r="F156">
        <v>469800346.06933522</v>
      </c>
      <c r="G156">
        <v>469800346.06933522</v>
      </c>
    </row>
    <row r="157" spans="1:7" x14ac:dyDescent="0.3">
      <c r="A157">
        <f>A$9 * (36.5001945495605 -A$8)</f>
        <v>36.500194549560497</v>
      </c>
      <c r="B157">
        <f>B$9 * (36.5001945495605 -B$8)</f>
        <v>36.500194549560497</v>
      </c>
      <c r="C157">
        <f>C$9 * (36.5001945495605 -C$8)</f>
        <v>36.500194549560497</v>
      </c>
      <c r="E157">
        <v>473042521.36230403</v>
      </c>
      <c r="F157">
        <v>473042521.36230403</v>
      </c>
      <c r="G157">
        <v>473042521.36230403</v>
      </c>
    </row>
    <row r="158" spans="1:7" x14ac:dyDescent="0.3">
      <c r="A158">
        <f>A$9 * (36.7504730224609 -A$8)</f>
        <v>36.750473022460902</v>
      </c>
      <c r="B158">
        <f>B$9 * (36.7504730224609 -B$8)</f>
        <v>36.750473022460902</v>
      </c>
      <c r="C158">
        <f>C$9 * (36.7504730224609 -C$8)</f>
        <v>36.750473022460902</v>
      </c>
      <c r="E158">
        <v>476286130.37109333</v>
      </c>
      <c r="F158">
        <v>476286130.37109333</v>
      </c>
      <c r="G158">
        <v>476286130.37109333</v>
      </c>
    </row>
    <row r="159" spans="1:7" x14ac:dyDescent="0.3">
      <c r="A159">
        <f>A$9 * (37.0002517700195 -A$8)</f>
        <v>37.000251770019503</v>
      </c>
      <c r="B159">
        <f>B$9 * (37.0002517700195 -B$8)</f>
        <v>37.000251770019503</v>
      </c>
      <c r="C159">
        <f>C$9 * (37.0002517700195 -C$8)</f>
        <v>37.000251770019503</v>
      </c>
      <c r="E159">
        <v>479523262.93945271</v>
      </c>
      <c r="F159">
        <v>479523262.93945271</v>
      </c>
      <c r="G159">
        <v>479523262.93945271</v>
      </c>
    </row>
    <row r="160" spans="1:7" x14ac:dyDescent="0.3">
      <c r="A160">
        <f>A$9 * (37.2501106262207 -A$8)</f>
        <v>37.250110626220703</v>
      </c>
      <c r="B160">
        <f>B$9 * (37.2501106262207 -B$8)</f>
        <v>37.250110626220703</v>
      </c>
      <c r="C160">
        <f>C$9 * (37.2501106262207 -C$8)</f>
        <v>37.250110626220703</v>
      </c>
      <c r="E160">
        <v>482761433.71582031</v>
      </c>
      <c r="F160">
        <v>482761433.71582031</v>
      </c>
      <c r="G160">
        <v>482761433.71582031</v>
      </c>
    </row>
    <row r="161" spans="1:7" x14ac:dyDescent="0.3">
      <c r="A161">
        <f>A$9 * (37.5000267028808 -A$8)</f>
        <v>37.500026702880803</v>
      </c>
      <c r="B161">
        <f>B$9 * (37.5000267028808 -B$8)</f>
        <v>37.500026702880803</v>
      </c>
      <c r="C161">
        <f>C$9 * (37.5000267028808 -C$8)</f>
        <v>37.500026702880803</v>
      </c>
      <c r="E161">
        <v>486000346.06933522</v>
      </c>
      <c r="F161">
        <v>486000346.06933522</v>
      </c>
      <c r="G161">
        <v>486000346.06933522</v>
      </c>
    </row>
    <row r="162" spans="1:7" x14ac:dyDescent="0.3">
      <c r="A162">
        <f>A$9 * (37.7508316040039 -A$8)</f>
        <v>37.750831604003899</v>
      </c>
      <c r="B162">
        <f>B$9 * (37.7508316040039 -B$8)</f>
        <v>37.750831604003899</v>
      </c>
      <c r="C162">
        <f>C$9 * (37.7508316040039 -C$8)</f>
        <v>37.750831604003899</v>
      </c>
      <c r="E162">
        <v>489250777.58789051</v>
      </c>
      <c r="F162">
        <v>489250777.58789051</v>
      </c>
      <c r="G162">
        <v>489250777.58789051</v>
      </c>
    </row>
    <row r="163" spans="1:7" x14ac:dyDescent="0.3">
      <c r="A163">
        <f>A$9 * (38.0005264282226 -A$8)</f>
        <v>38.000526428222599</v>
      </c>
      <c r="B163">
        <f>B$9 * (38.0005264282226 -B$8)</f>
        <v>38.000526428222599</v>
      </c>
      <c r="C163">
        <f>C$9 * (38.0005264282226 -C$8)</f>
        <v>38.000526428222599</v>
      </c>
      <c r="E163">
        <v>492486822.50976491</v>
      </c>
      <c r="F163">
        <v>492486822.50976491</v>
      </c>
      <c r="G163">
        <v>492486822.50976491</v>
      </c>
    </row>
    <row r="164" spans="1:7" x14ac:dyDescent="0.3">
      <c r="A164">
        <f>A$9 * (38.2502212524414 -A$8)</f>
        <v>38.250221252441399</v>
      </c>
      <c r="B164">
        <f>B$9 * (38.2502212524414 -B$8)</f>
        <v>38.250221252441399</v>
      </c>
      <c r="C164">
        <f>C$9 * (38.2502212524414 -C$8)</f>
        <v>38.250221252441399</v>
      </c>
      <c r="E164">
        <v>495722867.43164051</v>
      </c>
      <c r="F164">
        <v>495722867.43164051</v>
      </c>
      <c r="G164">
        <v>495722867.43164051</v>
      </c>
    </row>
    <row r="165" spans="1:7" x14ac:dyDescent="0.3">
      <c r="A165">
        <f>A$9 * (38.5001373291015 -A$8)</f>
        <v>38.500137329101499</v>
      </c>
      <c r="B165">
        <f>B$9 * (38.5001373291015 -B$8)</f>
        <v>38.500137329101499</v>
      </c>
      <c r="C165">
        <f>C$9 * (38.5001373291015 -C$8)</f>
        <v>38.500137329101499</v>
      </c>
      <c r="E165">
        <v>498961779.78515542</v>
      </c>
      <c r="F165">
        <v>498961779.78515542</v>
      </c>
      <c r="G165">
        <v>498961779.78515542</v>
      </c>
    </row>
    <row r="166" spans="1:7" x14ac:dyDescent="0.3">
      <c r="A166">
        <f>A$9 * (38.7503051757812 -A$8)</f>
        <v>38.7503051757812</v>
      </c>
      <c r="B166">
        <f>B$9 * (38.7503051757812 -B$8)</f>
        <v>38.7503051757812</v>
      </c>
      <c r="C166">
        <f>C$9 * (38.7503051757812 -C$8)</f>
        <v>38.7503051757812</v>
      </c>
      <c r="E166">
        <v>502203955.07812434</v>
      </c>
      <c r="F166">
        <v>502203955.07812434</v>
      </c>
      <c r="G166">
        <v>502203955.07812434</v>
      </c>
    </row>
    <row r="167" spans="1:7" x14ac:dyDescent="0.3">
      <c r="A167">
        <f>A$9 * (39.0002784729003 -A$8)</f>
        <v>39.000278472900298</v>
      </c>
      <c r="B167">
        <f>B$9 * (39.0002784729003 -B$8)</f>
        <v>39.000278472900298</v>
      </c>
      <c r="C167">
        <f>C$9 * (39.0002784729003 -C$8)</f>
        <v>39.000278472900298</v>
      </c>
      <c r="E167">
        <v>505443609.00878793</v>
      </c>
      <c r="F167">
        <v>505443609.00878793</v>
      </c>
      <c r="G167">
        <v>505443609.00878793</v>
      </c>
    </row>
    <row r="168" spans="1:7" x14ac:dyDescent="0.3">
      <c r="A168">
        <f>A$9 * (39.2502784729003 -A$8)</f>
        <v>39.250278472900298</v>
      </c>
      <c r="B168">
        <f>B$9 * (39.2502784729003 -B$8)</f>
        <v>39.250278472900298</v>
      </c>
      <c r="C168">
        <f>C$9 * (39.2502784729003 -C$8)</f>
        <v>39.250278472900298</v>
      </c>
      <c r="E168">
        <v>508683609.00878793</v>
      </c>
      <c r="F168">
        <v>508683609.00878793</v>
      </c>
      <c r="G168">
        <v>508683609.00878793</v>
      </c>
    </row>
    <row r="169" spans="1:7" x14ac:dyDescent="0.3">
      <c r="A169">
        <f>A$9 * (39.5005569458007 -A$8)</f>
        <v>39.500556945800703</v>
      </c>
      <c r="B169">
        <f>B$9 * (39.5005569458007 -B$8)</f>
        <v>39.500556945800703</v>
      </c>
      <c r="C169">
        <f>C$9 * (39.5005569458007 -C$8)</f>
        <v>39.500556945800703</v>
      </c>
      <c r="E169">
        <v>511927218.01757705</v>
      </c>
      <c r="F169">
        <v>511927218.01757705</v>
      </c>
      <c r="G169">
        <v>511927218.01757705</v>
      </c>
    </row>
    <row r="170" spans="1:7" x14ac:dyDescent="0.3">
      <c r="A170">
        <f>A$9 * (39.7504158020019 -A$8)</f>
        <v>39.750415802001903</v>
      </c>
      <c r="B170">
        <f>B$9 * (39.7504158020019 -B$8)</f>
        <v>39.750415802001903</v>
      </c>
      <c r="C170">
        <f>C$9 * (39.7504158020019 -C$8)</f>
        <v>39.750415802001903</v>
      </c>
      <c r="E170">
        <v>515165388.79394466</v>
      </c>
      <c r="F170">
        <v>515165388.79394466</v>
      </c>
      <c r="G170">
        <v>515165388.79394466</v>
      </c>
    </row>
    <row r="171" spans="1:7" x14ac:dyDescent="0.3">
      <c r="A171">
        <f>A$9 * (40.0007209777832 -A$8)</f>
        <v>40.000720977783203</v>
      </c>
      <c r="B171">
        <f>B$9 * (40.0007209777832 -B$8)</f>
        <v>40.000720977783203</v>
      </c>
      <c r="C171">
        <f>C$9 * (40.0007209777832 -C$8)</f>
        <v>40.000720977783203</v>
      </c>
      <c r="E171">
        <v>518409343.87207031</v>
      </c>
      <c r="F171">
        <v>518409343.87207031</v>
      </c>
      <c r="G171">
        <v>518409343.87207031</v>
      </c>
    </row>
    <row r="172" spans="1:7" x14ac:dyDescent="0.3">
      <c r="A172">
        <f>A$9 * (40.2500572204589 -A$8)</f>
        <v>40.250057220458899</v>
      </c>
      <c r="B172">
        <f>B$9 * (40.2500572204589 -B$8)</f>
        <v>40.250057220458899</v>
      </c>
      <c r="C172">
        <f>C$9 * (40.2500572204589 -C$8)</f>
        <v>40.250057220458899</v>
      </c>
      <c r="E172">
        <v>521640741.57714731</v>
      </c>
      <c r="F172">
        <v>521640741.57714731</v>
      </c>
      <c r="G172">
        <v>521640741.57714731</v>
      </c>
    </row>
    <row r="173" spans="1:7" x14ac:dyDescent="0.3">
      <c r="A173">
        <f>A$9 * (40.5004730224609 -A$8)</f>
        <v>40.500473022460902</v>
      </c>
      <c r="B173">
        <f>B$9 * (40.5004730224609 -B$8)</f>
        <v>40.500473022460902</v>
      </c>
      <c r="C173">
        <f>C$9 * (40.5004730224609 -C$8)</f>
        <v>40.500473022460902</v>
      </c>
      <c r="E173">
        <v>524886130.37109333</v>
      </c>
      <c r="F173">
        <v>524886130.37109333</v>
      </c>
      <c r="G173">
        <v>524886130.37109333</v>
      </c>
    </row>
    <row r="174" spans="1:7" x14ac:dyDescent="0.3">
      <c r="A174">
        <f>A$9 * (40.7501106262207 -A$8)</f>
        <v>40.750110626220703</v>
      </c>
      <c r="B174">
        <f>B$9 * (40.7501106262207 -B$8)</f>
        <v>40.750110626220703</v>
      </c>
      <c r="C174">
        <f>C$9 * (40.7501106262207 -C$8)</f>
        <v>40.750110626220703</v>
      </c>
      <c r="E174">
        <v>528121433.71582031</v>
      </c>
      <c r="F174">
        <v>528121433.71582031</v>
      </c>
      <c r="G174">
        <v>528121433.71582031</v>
      </c>
    </row>
    <row r="175" spans="1:7" x14ac:dyDescent="0.3">
      <c r="A175">
        <f>A$9 * (41.000389099121 -A$8)</f>
        <v>41.000389099121001</v>
      </c>
      <c r="B175">
        <f>B$9 * (41.000389099121 -B$8)</f>
        <v>41.000389099121001</v>
      </c>
      <c r="C175">
        <f>C$9 * (41.000389099121 -C$8)</f>
        <v>41.000389099121001</v>
      </c>
      <c r="E175">
        <v>531365042.72460824</v>
      </c>
      <c r="F175">
        <v>531365042.72460824</v>
      </c>
      <c r="G175">
        <v>531365042.72460824</v>
      </c>
    </row>
    <row r="176" spans="1:7" x14ac:dyDescent="0.3">
      <c r="A176">
        <f>A$9 * (41.2502212524414 -A$8)</f>
        <v>41.250221252441399</v>
      </c>
      <c r="B176">
        <f>B$9 * (41.2502212524414 -B$8)</f>
        <v>41.250221252441399</v>
      </c>
      <c r="C176">
        <f>C$9 * (41.2502212524414 -C$8)</f>
        <v>41.250221252441399</v>
      </c>
      <c r="E176">
        <v>534602867.43164051</v>
      </c>
      <c r="F176">
        <v>534602867.43164051</v>
      </c>
      <c r="G176">
        <v>534602867.43164051</v>
      </c>
    </row>
    <row r="177" spans="1:7" x14ac:dyDescent="0.3">
      <c r="A177">
        <f>A$9 * (41.5002784729003 -A$8)</f>
        <v>41.500278472900298</v>
      </c>
      <c r="B177">
        <f>B$9 * (41.5002784729003 -B$8)</f>
        <v>41.500278472900298</v>
      </c>
      <c r="C177">
        <f>C$9 * (41.5002784729003 -C$8)</f>
        <v>41.500278472900298</v>
      </c>
      <c r="E177">
        <v>537843609.00878787</v>
      </c>
      <c r="F177">
        <v>537843609.00878787</v>
      </c>
      <c r="G177">
        <v>537843609.00878787</v>
      </c>
    </row>
    <row r="178" spans="1:7" x14ac:dyDescent="0.3">
      <c r="A178">
        <f>A$9 * (41.7501106262207 -A$8)</f>
        <v>41.750110626220703</v>
      </c>
      <c r="B178">
        <f>B$9 * (41.7501106262207 -B$8)</f>
        <v>41.750110626220703</v>
      </c>
      <c r="C178">
        <f>C$9 * (41.7501106262207 -C$8)</f>
        <v>41.750110626220703</v>
      </c>
      <c r="E178">
        <v>541081433.71582031</v>
      </c>
      <c r="F178">
        <v>541081433.71582031</v>
      </c>
      <c r="G178">
        <v>541081433.71582031</v>
      </c>
    </row>
    <row r="179" spans="1:7" x14ac:dyDescent="0.3">
      <c r="A179">
        <f>A$9 * (42.000389099121 -A$8)</f>
        <v>42.000389099121001</v>
      </c>
      <c r="B179">
        <f>B$9 * (42.000389099121 -B$8)</f>
        <v>42.000389099121001</v>
      </c>
      <c r="C179">
        <f>C$9 * (42.000389099121 -C$8)</f>
        <v>42.000389099121001</v>
      </c>
      <c r="E179">
        <v>544325042.72460818</v>
      </c>
      <c r="F179">
        <v>544325042.72460818</v>
      </c>
      <c r="G179">
        <v>544325042.72460818</v>
      </c>
    </row>
    <row r="180" spans="1:7" x14ac:dyDescent="0.3">
      <c r="A180">
        <f>A$9 * (42.2504997253418 -A$8)</f>
        <v>42.250499725341797</v>
      </c>
      <c r="B180">
        <f>B$9 * (42.2504997253418 -B$8)</f>
        <v>42.250499725341797</v>
      </c>
      <c r="C180">
        <f>C$9 * (42.2504997253418 -C$8)</f>
        <v>42.250499725341797</v>
      </c>
      <c r="E180">
        <v>547566476.44042969</v>
      </c>
      <c r="F180">
        <v>547566476.44042969</v>
      </c>
      <c r="G180">
        <v>547566476.44042969</v>
      </c>
    </row>
    <row r="181" spans="1:7" x14ac:dyDescent="0.3">
      <c r="A181">
        <f>A$9 * (42.500862121582 -A$8)</f>
        <v>42.500862121582003</v>
      </c>
      <c r="B181">
        <f>B$9 * (42.500862121582 -B$8)</f>
        <v>42.500862121582003</v>
      </c>
      <c r="C181">
        <f>C$9 * (42.500862121582 -C$8)</f>
        <v>42.500862121582003</v>
      </c>
      <c r="E181">
        <v>550811173.09570265</v>
      </c>
      <c r="F181">
        <v>550811173.09570265</v>
      </c>
      <c r="G181">
        <v>550811173.09570265</v>
      </c>
    </row>
    <row r="182" spans="1:7" x14ac:dyDescent="0.3">
      <c r="A182">
        <f>A$9 * (42.7500839233398 -A$8)</f>
        <v>42.750083923339801</v>
      </c>
      <c r="B182">
        <f>B$9 * (42.7500839233398 -B$8)</f>
        <v>42.750083923339801</v>
      </c>
      <c r="C182">
        <f>C$9 * (42.7500839233398 -C$8)</f>
        <v>42.750083923339801</v>
      </c>
      <c r="E182">
        <v>554041087.6464839</v>
      </c>
      <c r="F182">
        <v>554041087.6464839</v>
      </c>
      <c r="G182">
        <v>554041087.6464839</v>
      </c>
    </row>
    <row r="183" spans="1:7" x14ac:dyDescent="0.3">
      <c r="A183">
        <f>A$9 * (43.0003623962402 -A$8)</f>
        <v>43.000362396240199</v>
      </c>
      <c r="B183">
        <f>B$9 * (43.0003623962402 -B$8)</f>
        <v>43.000362396240199</v>
      </c>
      <c r="C183">
        <f>C$9 * (43.0003623962402 -C$8)</f>
        <v>43.000362396240199</v>
      </c>
      <c r="E183">
        <v>557284696.65527296</v>
      </c>
      <c r="F183">
        <v>557284696.65527296</v>
      </c>
      <c r="G183">
        <v>557284696.65527296</v>
      </c>
    </row>
    <row r="184" spans="1:7" x14ac:dyDescent="0.3">
      <c r="A184">
        <f>A$9 * (43.2501678466796 -A$8)</f>
        <v>43.250167846679602</v>
      </c>
      <c r="B184">
        <f>B$9 * (43.2501678466796 -B$8)</f>
        <v>43.250167846679602</v>
      </c>
      <c r="C184">
        <f>C$9 * (43.2501678466796 -C$8)</f>
        <v>43.250167846679602</v>
      </c>
      <c r="E184">
        <v>560522175.29296756</v>
      </c>
      <c r="F184">
        <v>560522175.29296756</v>
      </c>
      <c r="G184">
        <v>560522175.29296756</v>
      </c>
    </row>
    <row r="185" spans="1:7" x14ac:dyDescent="0.3">
      <c r="A185">
        <f>A$9 * (43.5002784729003 -A$8)</f>
        <v>43.500278472900298</v>
      </c>
      <c r="B185">
        <f>B$9 * (43.5002784729003 -B$8)</f>
        <v>43.500278472900298</v>
      </c>
      <c r="C185">
        <f>C$9 * (43.5002784729003 -C$8)</f>
        <v>43.500278472900298</v>
      </c>
      <c r="E185">
        <v>563763609.00878787</v>
      </c>
      <c r="F185">
        <v>563763609.00878787</v>
      </c>
      <c r="G185">
        <v>563763609.00878787</v>
      </c>
    </row>
    <row r="186" spans="1:7" x14ac:dyDescent="0.3">
      <c r="A186">
        <f>A$9 * (43.750389099121 -A$8)</f>
        <v>43.750389099121001</v>
      </c>
      <c r="B186">
        <f>B$9 * (43.750389099121 -B$8)</f>
        <v>43.750389099121001</v>
      </c>
      <c r="C186">
        <f>C$9 * (43.750389099121 -C$8)</f>
        <v>43.750389099121001</v>
      </c>
      <c r="E186">
        <v>567005042.72460818</v>
      </c>
      <c r="F186">
        <v>567005042.72460818</v>
      </c>
      <c r="G186">
        <v>567005042.72460818</v>
      </c>
    </row>
    <row r="187" spans="1:7" x14ac:dyDescent="0.3">
      <c r="A187">
        <f>A$9 * (44.0005836486816 -A$8)</f>
        <v>44.000583648681598</v>
      </c>
      <c r="B187">
        <f>B$9 * (44.0005836486816 -B$8)</f>
        <v>44.000583648681598</v>
      </c>
      <c r="C187">
        <f>C$9 * (44.0005836486816 -C$8)</f>
        <v>44.000583648681598</v>
      </c>
      <c r="E187">
        <v>570247564.08691359</v>
      </c>
      <c r="F187">
        <v>570247564.08691359</v>
      </c>
      <c r="G187">
        <v>570247564.08691359</v>
      </c>
    </row>
    <row r="188" spans="1:7" x14ac:dyDescent="0.3">
      <c r="A188">
        <f>A$9 * (44.2500572204589 -A$8)</f>
        <v>44.250057220458899</v>
      </c>
      <c r="B188">
        <f>B$9 * (44.2500572204589 -B$8)</f>
        <v>44.250057220458899</v>
      </c>
      <c r="C188">
        <f>C$9 * (44.2500572204589 -C$8)</f>
        <v>44.250057220458899</v>
      </c>
      <c r="E188">
        <v>573480741.57714725</v>
      </c>
      <c r="F188">
        <v>573480741.57714725</v>
      </c>
      <c r="G188">
        <v>573480741.57714725</v>
      </c>
    </row>
    <row r="189" spans="1:7" x14ac:dyDescent="0.3">
      <c r="A189">
        <f>A$9 * (44.5005569458007 -A$8)</f>
        <v>44.500556945800703</v>
      </c>
      <c r="B189">
        <f>B$9 * (44.5005569458007 -B$8)</f>
        <v>44.500556945800703</v>
      </c>
      <c r="C189">
        <f>C$9 * (44.5005569458007 -C$8)</f>
        <v>44.500556945800703</v>
      </c>
      <c r="E189">
        <v>576727218.01757705</v>
      </c>
      <c r="F189">
        <v>576727218.01757705</v>
      </c>
      <c r="G189">
        <v>576727218.01757705</v>
      </c>
    </row>
    <row r="190" spans="1:7" x14ac:dyDescent="0.3">
      <c r="A190">
        <f>A$9 * (44.7504158020019 -A$8)</f>
        <v>44.750415802001903</v>
      </c>
      <c r="B190">
        <f>B$9 * (44.7504158020019 -B$8)</f>
        <v>44.750415802001903</v>
      </c>
      <c r="C190">
        <f>C$9 * (44.7504158020019 -C$8)</f>
        <v>44.750415802001903</v>
      </c>
      <c r="E190">
        <v>579965388.79394472</v>
      </c>
      <c r="F190">
        <v>579965388.79394472</v>
      </c>
      <c r="G190">
        <v>579965388.79394472</v>
      </c>
    </row>
    <row r="191" spans="1:7" x14ac:dyDescent="0.3">
      <c r="A191">
        <f>A$9 * (45.0001678466796 -A$8)</f>
        <v>45.000167846679602</v>
      </c>
      <c r="B191">
        <f>B$9 * (45.0001678466796 -B$8)</f>
        <v>45.000167846679602</v>
      </c>
      <c r="C191">
        <f>C$9 * (45.0001678466796 -C$8)</f>
        <v>45.000167846679602</v>
      </c>
      <c r="E191">
        <v>583202175.29296756</v>
      </c>
      <c r="F191">
        <v>583202175.29296756</v>
      </c>
      <c r="G191">
        <v>583202175.29296756</v>
      </c>
    </row>
    <row r="192" spans="1:7" x14ac:dyDescent="0.3">
      <c r="A192">
        <f>A$9 * (45.2500267028808 -A$8)</f>
        <v>45.250026702880803</v>
      </c>
      <c r="B192">
        <f>B$9 * (45.2500267028808 -B$8)</f>
        <v>45.250026702880803</v>
      </c>
      <c r="C192">
        <f>C$9 * (45.2500267028808 -C$8)</f>
        <v>45.250026702880803</v>
      </c>
      <c r="E192">
        <v>586440346.06933522</v>
      </c>
      <c r="F192">
        <v>586440346.06933522</v>
      </c>
      <c r="G192">
        <v>586440346.06933522</v>
      </c>
    </row>
    <row r="193" spans="1:7" x14ac:dyDescent="0.3">
      <c r="A193">
        <f>A$9 * (45.5001373291015 -A$8)</f>
        <v>45.500137329101499</v>
      </c>
      <c r="B193">
        <f>B$9 * (45.5001373291015 -B$8)</f>
        <v>45.500137329101499</v>
      </c>
      <c r="C193">
        <f>C$9 * (45.5001373291015 -C$8)</f>
        <v>45.500137329101499</v>
      </c>
      <c r="E193">
        <v>589681779.78515542</v>
      </c>
      <c r="F193">
        <v>589681779.78515542</v>
      </c>
      <c r="G193">
        <v>589681779.78515542</v>
      </c>
    </row>
    <row r="194" spans="1:7" x14ac:dyDescent="0.3">
      <c r="A194">
        <f>A$9 * (45.7501373291015 -A$8)</f>
        <v>45.750137329101499</v>
      </c>
      <c r="B194">
        <f>B$9 * (45.7501373291015 -B$8)</f>
        <v>45.750137329101499</v>
      </c>
      <c r="C194">
        <f>C$9 * (45.7501373291015 -C$8)</f>
        <v>45.750137329101499</v>
      </c>
      <c r="E194">
        <v>592921779.78515542</v>
      </c>
      <c r="F194">
        <v>592921779.78515542</v>
      </c>
      <c r="G194">
        <v>592921779.78515542</v>
      </c>
    </row>
    <row r="195" spans="1:7" x14ac:dyDescent="0.3">
      <c r="A195">
        <f>A$9 * (46.0000572204589 -A$8)</f>
        <v>46.000057220458899</v>
      </c>
      <c r="B195">
        <f>B$9 * (46.0000572204589 -B$8)</f>
        <v>46.000057220458899</v>
      </c>
      <c r="C195">
        <f>C$9 * (46.0000572204589 -C$8)</f>
        <v>46.000057220458899</v>
      </c>
      <c r="E195">
        <v>596160741.57714725</v>
      </c>
      <c r="F195">
        <v>596160741.57714725</v>
      </c>
      <c r="G195">
        <v>596160741.57714725</v>
      </c>
    </row>
    <row r="196" spans="1:7" x14ac:dyDescent="0.3">
      <c r="A196">
        <f>A$9 * (46.2504158020019 -A$8)</f>
        <v>46.250415802001903</v>
      </c>
      <c r="B196">
        <f>B$9 * (46.2504158020019 -B$8)</f>
        <v>46.250415802001903</v>
      </c>
      <c r="C196">
        <f>C$9 * (46.2504158020019 -C$8)</f>
        <v>46.250415802001903</v>
      </c>
      <c r="E196">
        <v>599405388.79394472</v>
      </c>
      <c r="F196">
        <v>599405388.79394472</v>
      </c>
      <c r="G196">
        <v>599405388.79394472</v>
      </c>
    </row>
    <row r="197" spans="1:7" x14ac:dyDescent="0.3">
      <c r="A197">
        <f>A$9 * (46.5004997253418 -A$8)</f>
        <v>46.500499725341797</v>
      </c>
      <c r="B197">
        <f>B$9 * (46.5004997253418 -B$8)</f>
        <v>46.500499725341797</v>
      </c>
      <c r="C197">
        <f>C$9 * (46.5004997253418 -C$8)</f>
        <v>46.500499725341797</v>
      </c>
      <c r="E197">
        <v>602646476.44042969</v>
      </c>
      <c r="F197">
        <v>602646476.44042969</v>
      </c>
      <c r="G197">
        <v>602646476.44042969</v>
      </c>
    </row>
    <row r="198" spans="1:7" x14ac:dyDescent="0.3">
      <c r="A198">
        <f>A$9 * (46.7504997253418 -A$8)</f>
        <v>46.750499725341797</v>
      </c>
      <c r="B198">
        <f>B$9 * (46.7504997253418 -B$8)</f>
        <v>46.750499725341797</v>
      </c>
      <c r="C198">
        <f>C$9 * (46.7504997253418 -C$8)</f>
        <v>46.750499725341797</v>
      </c>
      <c r="E198">
        <v>605886476.44042969</v>
      </c>
      <c r="F198">
        <v>605886476.44042969</v>
      </c>
      <c r="G198">
        <v>605886476.44042969</v>
      </c>
    </row>
    <row r="199" spans="1:7" x14ac:dyDescent="0.3">
      <c r="A199">
        <f>A$9 * (47.0004997253418 -A$8)</f>
        <v>47.000499725341797</v>
      </c>
      <c r="B199">
        <f>B$9 * (47.0004997253418 -B$8)</f>
        <v>47.000499725341797</v>
      </c>
      <c r="C199">
        <f>C$9 * (47.0004997253418 -C$8)</f>
        <v>47.000499725341797</v>
      </c>
      <c r="E199">
        <v>609126476.44042969</v>
      </c>
      <c r="F199">
        <v>609126476.44042969</v>
      </c>
      <c r="G199">
        <v>609126476.44042969</v>
      </c>
    </row>
    <row r="200" spans="1:7" x14ac:dyDescent="0.3">
      <c r="A200">
        <f>A$9 * (47.2506942749023 -A$8)</f>
        <v>47.250694274902301</v>
      </c>
      <c r="B200">
        <f>B$9 * (47.2506942749023 -B$8)</f>
        <v>47.250694274902301</v>
      </c>
      <c r="C200">
        <f>C$9 * (47.2506942749023 -C$8)</f>
        <v>47.250694274902301</v>
      </c>
      <c r="E200">
        <v>612368997.8027339</v>
      </c>
      <c r="F200">
        <v>612368997.8027339</v>
      </c>
      <c r="G200">
        <v>612368997.8027339</v>
      </c>
    </row>
    <row r="201" spans="1:7" x14ac:dyDescent="0.3">
      <c r="A201">
        <f>A$9 * (47.5006103515625 -A$8)</f>
        <v>47.5006103515625</v>
      </c>
      <c r="B201">
        <f>B$9 * (47.5006103515625 -B$8)</f>
        <v>47.5006103515625</v>
      </c>
      <c r="C201">
        <f>C$9 * (47.5006103515625 -C$8)</f>
        <v>47.5006103515625</v>
      </c>
      <c r="E201">
        <v>615607910.15625</v>
      </c>
      <c r="F201">
        <v>615607910.15625</v>
      </c>
      <c r="G201">
        <v>615607910.15625</v>
      </c>
    </row>
    <row r="202" spans="1:7" x14ac:dyDescent="0.3">
      <c r="A202">
        <f>A$9 * (47.7501106262207 -A$8)</f>
        <v>47.750110626220703</v>
      </c>
      <c r="B202">
        <f>B$9 * (47.7501106262207 -B$8)</f>
        <v>47.750110626220703</v>
      </c>
      <c r="C202">
        <f>C$9 * (47.7501106262207 -C$8)</f>
        <v>47.750110626220703</v>
      </c>
      <c r="E202">
        <v>618841433.71582031</v>
      </c>
      <c r="F202">
        <v>618841433.71582031</v>
      </c>
      <c r="G202">
        <v>618841433.71582031</v>
      </c>
    </row>
    <row r="203" spans="1:7" x14ac:dyDescent="0.3">
      <c r="A203">
        <f>A$9 * (48.0001106262207 -A$8)</f>
        <v>48.000110626220703</v>
      </c>
      <c r="B203">
        <f>B$9 * (48.0001106262207 -B$8)</f>
        <v>48.000110626220703</v>
      </c>
      <c r="C203">
        <f>C$9 * (48.0001106262207 -C$8)</f>
        <v>48.000110626220703</v>
      </c>
      <c r="E203">
        <v>622081433.71582031</v>
      </c>
      <c r="F203">
        <v>622081433.71582031</v>
      </c>
      <c r="G203">
        <v>622081433.71582031</v>
      </c>
    </row>
    <row r="204" spans="1:7" x14ac:dyDescent="0.3">
      <c r="A204">
        <f>A$9 * (48.2503051757812 -A$8)</f>
        <v>48.2503051757812</v>
      </c>
      <c r="B204">
        <f>B$9 * (48.2503051757812 -B$8)</f>
        <v>48.2503051757812</v>
      </c>
      <c r="C204">
        <f>C$9 * (48.2503051757812 -C$8)</f>
        <v>48.2503051757812</v>
      </c>
      <c r="E204">
        <v>625323955.0781244</v>
      </c>
      <c r="F204">
        <v>625323955.0781244</v>
      </c>
      <c r="G204">
        <v>625323955.0781244</v>
      </c>
    </row>
    <row r="205" spans="1:7" x14ac:dyDescent="0.3">
      <c r="A205">
        <f>A$9 * (48.5001678466796 -A$8)</f>
        <v>48.500167846679602</v>
      </c>
      <c r="B205">
        <f>B$9 * (48.5001678466796 -B$8)</f>
        <v>48.500167846679602</v>
      </c>
      <c r="C205">
        <f>C$9 * (48.5001678466796 -C$8)</f>
        <v>48.500167846679602</v>
      </c>
      <c r="E205">
        <v>628562175.29296756</v>
      </c>
      <c r="F205">
        <v>628562175.29296756</v>
      </c>
      <c r="G205">
        <v>628562175.29296756</v>
      </c>
    </row>
    <row r="206" spans="1:7" x14ac:dyDescent="0.3">
      <c r="A206">
        <f>A$9 * (48.7504730224609 -A$8)</f>
        <v>48.750473022460902</v>
      </c>
      <c r="B206">
        <f>B$9 * (48.7504730224609 -B$8)</f>
        <v>48.750473022460902</v>
      </c>
      <c r="C206">
        <f>C$9 * (48.7504730224609 -C$8)</f>
        <v>48.750473022460902</v>
      </c>
      <c r="E206">
        <v>631806130.37109327</v>
      </c>
      <c r="F206">
        <v>631806130.37109327</v>
      </c>
      <c r="G206">
        <v>631806130.37109327</v>
      </c>
    </row>
    <row r="207" spans="1:7" x14ac:dyDescent="0.3">
      <c r="A207">
        <f>A$9 * (49.0003318786621 -A$8)</f>
        <v>49.000331878662102</v>
      </c>
      <c r="B207">
        <f>B$9 * (49.0003318786621 -B$8)</f>
        <v>49.000331878662102</v>
      </c>
      <c r="C207">
        <f>C$9 * (49.0003318786621 -C$8)</f>
        <v>49.000331878662102</v>
      </c>
      <c r="E207">
        <v>635044301.14746082</v>
      </c>
      <c r="F207">
        <v>635044301.14746082</v>
      </c>
      <c r="G207">
        <v>635044301.14746082</v>
      </c>
    </row>
    <row r="208" spans="1:7" x14ac:dyDescent="0.3">
      <c r="A208">
        <f>A$9 * (49.2504158020019 -A$8)</f>
        <v>49.250415802001903</v>
      </c>
      <c r="B208">
        <f>B$9 * (49.2504158020019 -B$8)</f>
        <v>49.250415802001903</v>
      </c>
      <c r="C208">
        <f>C$9 * (49.2504158020019 -C$8)</f>
        <v>49.250415802001903</v>
      </c>
      <c r="E208">
        <v>638285388.79394472</v>
      </c>
      <c r="F208">
        <v>638285388.79394472</v>
      </c>
      <c r="G208">
        <v>638285388.79394472</v>
      </c>
    </row>
    <row r="209" spans="1:7" x14ac:dyDescent="0.3">
      <c r="A209">
        <f>A$9 * (49.5001678466796 -A$8)</f>
        <v>49.500167846679602</v>
      </c>
      <c r="B209">
        <f>B$9 * (49.5001678466796 -B$8)</f>
        <v>49.500167846679602</v>
      </c>
      <c r="C209">
        <f>C$9 * (49.5001678466796 -C$8)</f>
        <v>49.500167846679602</v>
      </c>
      <c r="E209">
        <v>641522175.29296756</v>
      </c>
      <c r="F209">
        <v>641522175.29296756</v>
      </c>
      <c r="G209">
        <v>641522175.29296756</v>
      </c>
    </row>
    <row r="210" spans="1:7" x14ac:dyDescent="0.3">
      <c r="A210">
        <f>A$9 * (49.7508888244628 -A$8)</f>
        <v>49.750888824462798</v>
      </c>
      <c r="B210">
        <f>B$9 * (49.7508888244628 -B$8)</f>
        <v>49.750888824462798</v>
      </c>
      <c r="C210">
        <f>C$9 * (49.7508888244628 -C$8)</f>
        <v>49.750888824462798</v>
      </c>
      <c r="E210">
        <v>644771519.16503787</v>
      </c>
      <c r="F210">
        <v>644771519.16503787</v>
      </c>
      <c r="G210">
        <v>644771519.16503787</v>
      </c>
    </row>
    <row r="211" spans="1:7" x14ac:dyDescent="0.3">
      <c r="A211">
        <f>A$9 * (50.0001945495605 -A$8)</f>
        <v>50.000194549560497</v>
      </c>
      <c r="B211">
        <f>B$9 * (50.0001945495605 -B$8)</f>
        <v>50.000194549560497</v>
      </c>
      <c r="C211">
        <f>C$9 * (50.0001945495605 -C$8)</f>
        <v>50.000194549560497</v>
      </c>
      <c r="E211">
        <v>648002521.36230409</v>
      </c>
      <c r="F211">
        <v>648002521.36230409</v>
      </c>
      <c r="G211">
        <v>648002521.36230409</v>
      </c>
    </row>
    <row r="212" spans="1:7" x14ac:dyDescent="0.3">
      <c r="A212">
        <f>A$9 * (50.2502517700195 -A$8)</f>
        <v>50.250251770019503</v>
      </c>
      <c r="B212">
        <f>B$9 * (50.2502517700195 -B$8)</f>
        <v>50.250251770019503</v>
      </c>
      <c r="C212">
        <f>C$9 * (50.2502517700195 -C$8)</f>
        <v>50.250251770019503</v>
      </c>
      <c r="E212">
        <v>651243262.93945265</v>
      </c>
      <c r="F212">
        <v>651243262.93945265</v>
      </c>
      <c r="G212">
        <v>651243262.93945265</v>
      </c>
    </row>
    <row r="213" spans="1:7" x14ac:dyDescent="0.3">
      <c r="A213">
        <f>A$9 * (50.5003051757812 -A$8)</f>
        <v>50.5003051757812</v>
      </c>
      <c r="B213">
        <f>B$9 * (50.5003051757812 -B$8)</f>
        <v>50.5003051757812</v>
      </c>
      <c r="C213">
        <f>C$9 * (50.5003051757812 -C$8)</f>
        <v>50.5003051757812</v>
      </c>
      <c r="E213">
        <v>654483955.0781244</v>
      </c>
      <c r="F213">
        <v>654483955.0781244</v>
      </c>
      <c r="G213">
        <v>654483955.0781244</v>
      </c>
    </row>
    <row r="214" spans="1:7" x14ac:dyDescent="0.3">
      <c r="A214">
        <f>A$9 * (50.7501373291015 -A$8)</f>
        <v>50.750137329101499</v>
      </c>
      <c r="B214">
        <f>B$9 * (50.7501373291015 -B$8)</f>
        <v>50.750137329101499</v>
      </c>
      <c r="C214">
        <f>C$9 * (50.7501373291015 -C$8)</f>
        <v>50.750137329101499</v>
      </c>
      <c r="E214">
        <v>657721779.78515542</v>
      </c>
      <c r="F214">
        <v>657721779.78515542</v>
      </c>
      <c r="G214">
        <v>657721779.78515542</v>
      </c>
    </row>
    <row r="215" spans="1:7" x14ac:dyDescent="0.3">
      <c r="A215">
        <f>A$9 * (51.0005569458007 -A$8)</f>
        <v>51.000556945800703</v>
      </c>
      <c r="B215">
        <f>B$9 * (51.0005569458007 -B$8)</f>
        <v>51.000556945800703</v>
      </c>
      <c r="C215">
        <f>C$9 * (51.0005569458007 -C$8)</f>
        <v>51.000556945800703</v>
      </c>
      <c r="E215">
        <v>660967218.01757705</v>
      </c>
      <c r="F215">
        <v>660967218.01757705</v>
      </c>
      <c r="G215">
        <v>660967218.01757705</v>
      </c>
    </row>
    <row r="216" spans="1:7" x14ac:dyDescent="0.3">
      <c r="A216">
        <f>A$9 * (51.2502784729003 -A$8)</f>
        <v>51.250278472900298</v>
      </c>
      <c r="B216">
        <f>B$9 * (51.2502784729003 -B$8)</f>
        <v>51.250278472900298</v>
      </c>
      <c r="C216">
        <f>C$9 * (51.2502784729003 -C$8)</f>
        <v>51.250278472900298</v>
      </c>
      <c r="E216">
        <v>664203609.00878787</v>
      </c>
      <c r="F216">
        <v>664203609.00878787</v>
      </c>
      <c r="G216">
        <v>664203609.00878787</v>
      </c>
    </row>
    <row r="217" spans="1:7" x14ac:dyDescent="0.3">
      <c r="A217">
        <f>A$9 * (51.5004730224609 -A$8)</f>
        <v>51.500473022460902</v>
      </c>
      <c r="B217">
        <f>B$9 * (51.5004730224609 -B$8)</f>
        <v>51.500473022460902</v>
      </c>
      <c r="C217">
        <f>C$9 * (51.5004730224609 -C$8)</f>
        <v>51.500473022460902</v>
      </c>
      <c r="E217">
        <v>667446130.37109327</v>
      </c>
      <c r="F217">
        <v>667446130.37109327</v>
      </c>
      <c r="G217">
        <v>667446130.37109327</v>
      </c>
    </row>
    <row r="218" spans="1:7" x14ac:dyDescent="0.3">
      <c r="A218">
        <f>A$9 * (51.7504730224609 -A$8)</f>
        <v>51.750473022460902</v>
      </c>
      <c r="B218">
        <f>B$9 * (51.7504730224609 -B$8)</f>
        <v>51.750473022460902</v>
      </c>
      <c r="C218">
        <f>C$9 * (51.7504730224609 -C$8)</f>
        <v>51.750473022460902</v>
      </c>
      <c r="E218">
        <v>670686130.37109327</v>
      </c>
      <c r="F218">
        <v>670686130.37109327</v>
      </c>
      <c r="G218">
        <v>670686130.37109327</v>
      </c>
    </row>
    <row r="219" spans="1:7" x14ac:dyDescent="0.3">
      <c r="A219">
        <f>A$9 * (52.0002517700195 -A$8)</f>
        <v>52.000251770019503</v>
      </c>
      <c r="B219">
        <f>B$9 * (52.0002517700195 -B$8)</f>
        <v>52.000251770019503</v>
      </c>
      <c r="C219">
        <f>C$9 * (52.0002517700195 -C$8)</f>
        <v>52.000251770019503</v>
      </c>
      <c r="E219">
        <v>673923262.93945265</v>
      </c>
      <c r="F219">
        <v>673923262.93945265</v>
      </c>
      <c r="G219">
        <v>673923262.93945265</v>
      </c>
    </row>
    <row r="220" spans="1:7" x14ac:dyDescent="0.3">
      <c r="A220">
        <f>A$9 * (52.2500267028808 -A$8)</f>
        <v>52.250026702880803</v>
      </c>
      <c r="B220">
        <f>B$9 * (52.2500267028808 -B$8)</f>
        <v>52.250026702880803</v>
      </c>
      <c r="C220">
        <f>C$9 * (52.2500267028808 -C$8)</f>
        <v>52.250026702880803</v>
      </c>
      <c r="E220">
        <v>677160346.06933522</v>
      </c>
      <c r="F220">
        <v>677160346.06933522</v>
      </c>
      <c r="G220">
        <v>677160346.06933522</v>
      </c>
    </row>
    <row r="221" spans="1:7" x14ac:dyDescent="0.3">
      <c r="A221">
        <f>A$9 * (52.50044631958 -A$8)</f>
        <v>52.50044631958</v>
      </c>
      <c r="B221">
        <f>B$9 * (52.50044631958 -B$8)</f>
        <v>52.50044631958</v>
      </c>
      <c r="C221">
        <f>C$9 * (52.50044631958 -C$8)</f>
        <v>52.50044631958</v>
      </c>
      <c r="E221">
        <v>680405784.30175674</v>
      </c>
      <c r="F221">
        <v>680405784.30175674</v>
      </c>
      <c r="G221">
        <v>680405784.30175674</v>
      </c>
    </row>
    <row r="222" spans="1:7" x14ac:dyDescent="0.3">
      <c r="A222">
        <f>A$9 * (52.7501373291015 -A$8)</f>
        <v>52.750137329101499</v>
      </c>
      <c r="B222">
        <f>B$9 * (52.7501373291015 -B$8)</f>
        <v>52.750137329101499</v>
      </c>
      <c r="C222">
        <f>C$9 * (52.7501373291015 -C$8)</f>
        <v>52.750137329101499</v>
      </c>
      <c r="E222">
        <v>683641779.78515542</v>
      </c>
      <c r="F222">
        <v>683641779.78515542</v>
      </c>
      <c r="G222">
        <v>683641779.78515542</v>
      </c>
    </row>
    <row r="223" spans="1:7" x14ac:dyDescent="0.3">
      <c r="A223">
        <f>A$9 * (53.0003623962402 -A$8)</f>
        <v>53.000362396240199</v>
      </c>
      <c r="B223">
        <f>B$9 * (53.0003623962402 -B$8)</f>
        <v>53.000362396240199</v>
      </c>
      <c r="C223">
        <f>C$9 * (53.0003623962402 -C$8)</f>
        <v>53.000362396240199</v>
      </c>
      <c r="E223">
        <v>686884696.65527296</v>
      </c>
      <c r="F223">
        <v>686884696.65527296</v>
      </c>
      <c r="G223">
        <v>686884696.65527296</v>
      </c>
    </row>
    <row r="224" spans="1:7" x14ac:dyDescent="0.3">
      <c r="A224">
        <f>A$9 * (53.2503623962402 -A$8)</f>
        <v>53.250362396240199</v>
      </c>
      <c r="B224">
        <f>B$9 * (53.2503623962402 -B$8)</f>
        <v>53.250362396240199</v>
      </c>
      <c r="C224">
        <f>C$9 * (53.2503623962402 -C$8)</f>
        <v>53.250362396240199</v>
      </c>
      <c r="E224">
        <v>690124696.65527296</v>
      </c>
      <c r="F224">
        <v>690124696.65527296</v>
      </c>
      <c r="G224">
        <v>690124696.65527296</v>
      </c>
    </row>
    <row r="225" spans="1:7" x14ac:dyDescent="0.3">
      <c r="A225">
        <f>A$9 * (53.5001106262207 -A$8)</f>
        <v>53.500110626220703</v>
      </c>
      <c r="B225">
        <f>B$9 * (53.5001106262207 -B$8)</f>
        <v>53.500110626220703</v>
      </c>
      <c r="C225">
        <f>C$9 * (53.5001106262207 -C$8)</f>
        <v>53.500110626220703</v>
      </c>
      <c r="E225">
        <v>693361433.71582031</v>
      </c>
      <c r="F225">
        <v>693361433.71582031</v>
      </c>
      <c r="G225">
        <v>693361433.71582031</v>
      </c>
    </row>
    <row r="226" spans="1:7" x14ac:dyDescent="0.3">
      <c r="A226">
        <f>A$9 * (53.7500267028808 -A$8)</f>
        <v>53.750026702880803</v>
      </c>
      <c r="B226">
        <f>B$9 * (53.7500267028808 -B$8)</f>
        <v>53.750026702880803</v>
      </c>
      <c r="C226">
        <f>C$9 * (53.7500267028808 -C$8)</f>
        <v>53.750026702880803</v>
      </c>
      <c r="E226">
        <v>696600346.06933522</v>
      </c>
      <c r="F226">
        <v>696600346.06933522</v>
      </c>
      <c r="G226">
        <v>696600346.06933522</v>
      </c>
    </row>
    <row r="227" spans="1:7" x14ac:dyDescent="0.3">
      <c r="A227">
        <f>A$9 * (54.0005836486816 -A$8)</f>
        <v>54.000583648681598</v>
      </c>
      <c r="B227">
        <f>B$9 * (54.0005836486816 -B$8)</f>
        <v>54.000583648681598</v>
      </c>
      <c r="C227">
        <f>C$9 * (54.0005836486816 -C$8)</f>
        <v>54.000583648681598</v>
      </c>
      <c r="E227">
        <v>699847564.08691359</v>
      </c>
      <c r="F227">
        <v>699847564.08691359</v>
      </c>
      <c r="G227">
        <v>699847564.08691359</v>
      </c>
    </row>
    <row r="228" spans="1:7" x14ac:dyDescent="0.3">
      <c r="A228">
        <f>A$9 * (54.2503051757812 -A$8)</f>
        <v>54.2503051757812</v>
      </c>
      <c r="B228">
        <f>B$9 * (54.2503051757812 -B$8)</f>
        <v>54.2503051757812</v>
      </c>
      <c r="C228">
        <f>C$9 * (54.2503051757812 -C$8)</f>
        <v>54.2503051757812</v>
      </c>
      <c r="E228">
        <v>703083955.0781244</v>
      </c>
      <c r="F228">
        <v>703083955.0781244</v>
      </c>
      <c r="G228">
        <v>703083955.0781244</v>
      </c>
    </row>
    <row r="229" spans="1:7" x14ac:dyDescent="0.3">
      <c r="A229">
        <f>A$9 * (54.5008316040039 -A$8)</f>
        <v>54.500831604003899</v>
      </c>
      <c r="B229">
        <f>B$9 * (54.5008316040039 -B$8)</f>
        <v>54.500831604003899</v>
      </c>
      <c r="C229">
        <f>C$9 * (54.5008316040039 -C$8)</f>
        <v>54.500831604003899</v>
      </c>
      <c r="E229">
        <v>706330777.58789051</v>
      </c>
      <c r="F229">
        <v>706330777.58789051</v>
      </c>
      <c r="G229">
        <v>706330777.58789051</v>
      </c>
    </row>
    <row r="230" spans="1:7" x14ac:dyDescent="0.3">
      <c r="A230">
        <f>A$9 * (54.7505264282226 -A$8)</f>
        <v>54.750526428222599</v>
      </c>
      <c r="B230">
        <f>B$9 * (54.7505264282226 -B$8)</f>
        <v>54.750526428222599</v>
      </c>
      <c r="C230">
        <f>C$9 * (54.7505264282226 -C$8)</f>
        <v>54.750526428222599</v>
      </c>
      <c r="E230">
        <v>709566822.50976491</v>
      </c>
      <c r="F230">
        <v>709566822.50976491</v>
      </c>
      <c r="G230">
        <v>709566822.50976491</v>
      </c>
    </row>
    <row r="231" spans="1:7" x14ac:dyDescent="0.3">
      <c r="A231">
        <f>A$9 * (55.0002212524414 -A$8)</f>
        <v>55.000221252441399</v>
      </c>
      <c r="B231">
        <f>B$9 * (55.0002212524414 -B$8)</f>
        <v>55.000221252441399</v>
      </c>
      <c r="C231">
        <f>C$9 * (55.0002212524414 -C$8)</f>
        <v>55.000221252441399</v>
      </c>
      <c r="E231">
        <v>712802867.43164051</v>
      </c>
      <c r="F231">
        <v>712802867.43164051</v>
      </c>
      <c r="G231">
        <v>712802867.43164051</v>
      </c>
    </row>
    <row r="232" spans="1:7" x14ac:dyDescent="0.3">
      <c r="A232">
        <f>A$9 * (55.2501678466796 -A$8)</f>
        <v>55.250167846679602</v>
      </c>
      <c r="B232">
        <f>B$9 * (55.2501678466796 -B$8)</f>
        <v>55.250167846679602</v>
      </c>
      <c r="C232">
        <f>C$9 * (55.2501678466796 -C$8)</f>
        <v>55.250167846679602</v>
      </c>
      <c r="E232">
        <v>716042175.29296756</v>
      </c>
      <c r="F232">
        <v>716042175.29296756</v>
      </c>
      <c r="G232">
        <v>716042175.29296756</v>
      </c>
    </row>
    <row r="233" spans="1:7" x14ac:dyDescent="0.3">
      <c r="A233">
        <f>A$9 * (55.5002517700195 -A$8)</f>
        <v>55.500251770019503</v>
      </c>
      <c r="B233">
        <f>B$9 * (55.5002517700195 -B$8)</f>
        <v>55.500251770019503</v>
      </c>
      <c r="C233">
        <f>C$9 * (55.5002517700195 -C$8)</f>
        <v>55.500251770019503</v>
      </c>
      <c r="E233">
        <v>719283262.93945265</v>
      </c>
      <c r="F233">
        <v>719283262.93945265</v>
      </c>
      <c r="G233">
        <v>719283262.93945265</v>
      </c>
    </row>
    <row r="234" spans="1:7" x14ac:dyDescent="0.3">
      <c r="A234">
        <f>A$9 * (55.7500267028808 -A$8)</f>
        <v>55.750026702880803</v>
      </c>
      <c r="B234">
        <f>B$9 * (55.7500267028808 -B$8)</f>
        <v>55.750026702880803</v>
      </c>
      <c r="C234">
        <f>C$9 * (55.7500267028808 -C$8)</f>
        <v>55.750026702880803</v>
      </c>
      <c r="E234">
        <v>722520346.06933522</v>
      </c>
      <c r="F234">
        <v>722520346.06933522</v>
      </c>
      <c r="G234">
        <v>722520346.06933522</v>
      </c>
    </row>
    <row r="235" spans="1:7" x14ac:dyDescent="0.3">
      <c r="A235">
        <f>A$9 * (56.0004997253418 -A$8)</f>
        <v>56.000499725341797</v>
      </c>
      <c r="B235">
        <f>B$9 * (56.0004997253418 -B$8)</f>
        <v>56.000499725341797</v>
      </c>
      <c r="C235">
        <f>C$9 * (56.0004997253418 -C$8)</f>
        <v>56.000499725341797</v>
      </c>
      <c r="E235">
        <v>725766476.44042969</v>
      </c>
      <c r="F235">
        <v>725766476.44042969</v>
      </c>
      <c r="G235">
        <v>725766476.44042969</v>
      </c>
    </row>
    <row r="236" spans="1:7" x14ac:dyDescent="0.3">
      <c r="A236">
        <f>A$9 * (56.25044631958 -A$8)</f>
        <v>56.25044631958</v>
      </c>
      <c r="B236">
        <f>B$9 * (56.25044631958 -B$8)</f>
        <v>56.25044631958</v>
      </c>
      <c r="C236">
        <f>C$9 * (56.25044631958 -C$8)</f>
        <v>56.25044631958</v>
      </c>
      <c r="E236">
        <v>729005784.30175674</v>
      </c>
      <c r="F236">
        <v>729005784.30175674</v>
      </c>
      <c r="G236">
        <v>729005784.30175674</v>
      </c>
    </row>
    <row r="237" spans="1:7" x14ac:dyDescent="0.3">
      <c r="A237">
        <f>A$9 * (56.5004997253418 -A$8)</f>
        <v>56.500499725341797</v>
      </c>
      <c r="B237">
        <f>B$9 * (56.5004997253418 -B$8)</f>
        <v>56.500499725341797</v>
      </c>
      <c r="C237">
        <f>C$9 * (56.5004997253418 -C$8)</f>
        <v>56.500499725341797</v>
      </c>
      <c r="E237">
        <v>732246476.44042969</v>
      </c>
      <c r="F237">
        <v>732246476.44042969</v>
      </c>
      <c r="G237">
        <v>732246476.44042969</v>
      </c>
    </row>
    <row r="238" spans="1:7" x14ac:dyDescent="0.3">
      <c r="A238">
        <f>A$9 * (56.7508888244628 -A$8)</f>
        <v>56.750888824462798</v>
      </c>
      <c r="B238">
        <f>B$9 * (56.7508888244628 -B$8)</f>
        <v>56.750888824462798</v>
      </c>
      <c r="C238">
        <f>C$9 * (56.7508888244628 -C$8)</f>
        <v>56.750888824462798</v>
      </c>
      <c r="E238">
        <v>735491519.16503787</v>
      </c>
      <c r="F238">
        <v>735491519.16503787</v>
      </c>
      <c r="G238">
        <v>735491519.16503787</v>
      </c>
    </row>
    <row r="239" spans="1:7" x14ac:dyDescent="0.3">
      <c r="A239">
        <f>A$9 * (57.0004158020019 -A$8)</f>
        <v>57.000415802001903</v>
      </c>
      <c r="B239">
        <f>B$9 * (57.0004158020019 -B$8)</f>
        <v>57.000415802001903</v>
      </c>
      <c r="C239">
        <f>C$9 * (57.0004158020019 -C$8)</f>
        <v>57.000415802001903</v>
      </c>
      <c r="E239">
        <v>738725388.79394472</v>
      </c>
      <c r="F239">
        <v>738725388.79394472</v>
      </c>
      <c r="G239">
        <v>738725388.79394472</v>
      </c>
    </row>
    <row r="240" spans="1:7" x14ac:dyDescent="0.3">
      <c r="A240">
        <f>A$9 * (57.2502784729003 -A$8)</f>
        <v>57.250278472900298</v>
      </c>
      <c r="B240">
        <f>B$9 * (57.2502784729003 -B$8)</f>
        <v>57.250278472900298</v>
      </c>
      <c r="C240">
        <f>C$9 * (57.2502784729003 -C$8)</f>
        <v>57.250278472900298</v>
      </c>
      <c r="E240">
        <v>741963609.00878787</v>
      </c>
      <c r="F240">
        <v>741963609.00878787</v>
      </c>
      <c r="G240">
        <v>741963609.00878787</v>
      </c>
    </row>
    <row r="241" spans="1:7" x14ac:dyDescent="0.3">
      <c r="A241">
        <f>A$9 * (57.5001678466796 -A$8)</f>
        <v>57.500167846679602</v>
      </c>
      <c r="B241">
        <f>B$9 * (57.5001678466796 -B$8)</f>
        <v>57.500167846679602</v>
      </c>
      <c r="C241">
        <f>C$9 * (57.5001678466796 -C$8)</f>
        <v>57.500167846679602</v>
      </c>
      <c r="E241">
        <v>745202175.29296756</v>
      </c>
      <c r="F241">
        <v>745202175.29296756</v>
      </c>
      <c r="G241">
        <v>745202175.29296756</v>
      </c>
    </row>
    <row r="242" spans="1:7" x14ac:dyDescent="0.3">
      <c r="A242">
        <f>A$9 * (57.7501106262207 -A$8)</f>
        <v>57.750110626220703</v>
      </c>
      <c r="B242">
        <f>B$9 * (57.7501106262207 -B$8)</f>
        <v>57.750110626220703</v>
      </c>
      <c r="C242">
        <f>C$9 * (57.7501106262207 -C$8)</f>
        <v>57.750110626220703</v>
      </c>
      <c r="E242">
        <v>748441433.71582031</v>
      </c>
      <c r="F242">
        <v>748441433.71582031</v>
      </c>
      <c r="G242">
        <v>748441433.71582031</v>
      </c>
    </row>
    <row r="243" spans="1:7" x14ac:dyDescent="0.3">
      <c r="A243">
        <f>A$9 * (58.0000572204589 -A$8)</f>
        <v>58.000057220458899</v>
      </c>
      <c r="B243">
        <f>B$9 * (58.0000572204589 -B$8)</f>
        <v>58.000057220458899</v>
      </c>
      <c r="C243">
        <f>C$9 * (58.0000572204589 -C$8)</f>
        <v>58.000057220458899</v>
      </c>
      <c r="E243">
        <v>751680741.57714725</v>
      </c>
      <c r="F243">
        <v>751680741.57714725</v>
      </c>
      <c r="G243">
        <v>751680741.57714725</v>
      </c>
    </row>
    <row r="244" spans="1:7" x14ac:dyDescent="0.3">
      <c r="A244">
        <f>A$9 * (58.2500572204589 -A$8)</f>
        <v>58.250057220458899</v>
      </c>
      <c r="B244">
        <f>B$9 * (58.2500572204589 -B$8)</f>
        <v>58.250057220458899</v>
      </c>
      <c r="C244">
        <f>C$9 * (58.2500572204589 -C$8)</f>
        <v>58.250057220458899</v>
      </c>
      <c r="E244">
        <v>754920741.57714725</v>
      </c>
      <c r="F244">
        <v>754920741.57714725</v>
      </c>
      <c r="G244">
        <v>754920741.57714725</v>
      </c>
    </row>
    <row r="245" spans="1:7" x14ac:dyDescent="0.3">
      <c r="A245">
        <f>A$9 * (58.5002517700195 -A$8)</f>
        <v>58.500251770019503</v>
      </c>
      <c r="B245">
        <f>B$9 * (58.5002517700195 -B$8)</f>
        <v>58.500251770019503</v>
      </c>
      <c r="C245">
        <f>C$9 * (58.5002517700195 -C$8)</f>
        <v>58.500251770019503</v>
      </c>
      <c r="E245">
        <v>758163262.93945265</v>
      </c>
      <c r="F245">
        <v>758163262.93945265</v>
      </c>
      <c r="G245">
        <v>758163262.93945265</v>
      </c>
    </row>
    <row r="246" spans="1:7" x14ac:dyDescent="0.3">
      <c r="A246">
        <f>A$9 * (58.7504158020019 -A$8)</f>
        <v>58.750415802001903</v>
      </c>
      <c r="B246">
        <f>B$9 * (58.7504158020019 -B$8)</f>
        <v>58.750415802001903</v>
      </c>
      <c r="C246">
        <f>C$9 * (58.7504158020019 -C$8)</f>
        <v>58.750415802001903</v>
      </c>
      <c r="E246">
        <v>761405388.79394472</v>
      </c>
      <c r="F246">
        <v>761405388.79394472</v>
      </c>
      <c r="G246">
        <v>761405388.79394472</v>
      </c>
    </row>
    <row r="247" spans="1:7" x14ac:dyDescent="0.3">
      <c r="A247">
        <f>A$9 * (59.0005836486816 -A$8)</f>
        <v>59.000583648681598</v>
      </c>
      <c r="B247">
        <f>B$9 * (59.0005836486816 -B$8)</f>
        <v>59.000583648681598</v>
      </c>
      <c r="C247">
        <f>C$9 * (59.0005836486816 -C$8)</f>
        <v>59.000583648681598</v>
      </c>
      <c r="E247">
        <v>764647564.08691359</v>
      </c>
      <c r="F247">
        <v>764647564.08691359</v>
      </c>
      <c r="G247">
        <v>764647564.08691359</v>
      </c>
    </row>
    <row r="248" spans="1:7" x14ac:dyDescent="0.3">
      <c r="A248">
        <f>A$9 * (59.2503318786621 -A$8)</f>
        <v>59.250331878662102</v>
      </c>
      <c r="B248">
        <f>B$9 * (59.2503318786621 -B$8)</f>
        <v>59.250331878662102</v>
      </c>
      <c r="C248">
        <f>C$9 * (59.2503318786621 -C$8)</f>
        <v>59.250331878662102</v>
      </c>
      <c r="E248">
        <v>767884301.14746082</v>
      </c>
      <c r="F248">
        <v>767884301.14746082</v>
      </c>
      <c r="G248">
        <v>767884301.14746082</v>
      </c>
    </row>
    <row r="249" spans="1:7" x14ac:dyDescent="0.3">
      <c r="A249">
        <f>A$9 * (59.5006370544433 -A$8)</f>
        <v>59.500637054443303</v>
      </c>
      <c r="B249">
        <f>B$9 * (59.5006370544433 -B$8)</f>
        <v>59.500637054443303</v>
      </c>
      <c r="C249">
        <f>C$9 * (59.5006370544433 -C$8)</f>
        <v>59.500637054443303</v>
      </c>
      <c r="E249">
        <v>771128256.22558522</v>
      </c>
      <c r="F249">
        <v>771128256.22558522</v>
      </c>
      <c r="G249">
        <v>771128256.22558522</v>
      </c>
    </row>
    <row r="250" spans="1:7" x14ac:dyDescent="0.3">
      <c r="A250">
        <f>A$9 * (59.7504997253418 -A$8)</f>
        <v>59.750499725341797</v>
      </c>
      <c r="B250">
        <f>B$9 * (59.7504997253418 -B$8)</f>
        <v>59.750499725341797</v>
      </c>
      <c r="C250">
        <f>C$9 * (59.7504997253418 -C$8)</f>
        <v>59.750499725341797</v>
      </c>
      <c r="E250">
        <v>774366476.44042969</v>
      </c>
      <c r="F250">
        <v>774366476.44042969</v>
      </c>
      <c r="G250">
        <v>774366476.44042969</v>
      </c>
    </row>
    <row r="251" spans="1:7" x14ac:dyDescent="0.3">
      <c r="A251">
        <f>A$9 * (60.0002784729003 -A$8)</f>
        <v>60.000278472900298</v>
      </c>
      <c r="B251">
        <f>B$9 * (60.0002784729003 -B$8)</f>
        <v>60.000278472900298</v>
      </c>
      <c r="C251">
        <f>C$9 * (60.0002784729003 -C$8)</f>
        <v>60.000278472900298</v>
      </c>
      <c r="E251">
        <v>777603609.00878787</v>
      </c>
      <c r="F251">
        <v>777603609.00878787</v>
      </c>
      <c r="G251">
        <v>777603609.00878787</v>
      </c>
    </row>
    <row r="252" spans="1:7" x14ac:dyDescent="0.3">
      <c r="A252">
        <f>A$9 * (60.2503318786621 -A$8)</f>
        <v>60.250331878662102</v>
      </c>
      <c r="B252">
        <f>B$9 * (60.2503318786621 -B$8)</f>
        <v>60.250331878662102</v>
      </c>
      <c r="C252">
        <f>C$9 * (60.2503318786621 -C$8)</f>
        <v>60.250331878662102</v>
      </c>
      <c r="E252">
        <v>780844301.14746082</v>
      </c>
      <c r="F252">
        <v>780844301.14746082</v>
      </c>
      <c r="G252">
        <v>780844301.14746082</v>
      </c>
    </row>
    <row r="253" spans="1:7" x14ac:dyDescent="0.3">
      <c r="A253">
        <f>A$9 * (60.5002784729003 -A$8)</f>
        <v>60.500278472900298</v>
      </c>
      <c r="B253">
        <f>B$9 * (60.5002784729003 -B$8)</f>
        <v>60.500278472900298</v>
      </c>
      <c r="C253">
        <f>C$9 * (60.5002784729003 -C$8)</f>
        <v>60.500278472900298</v>
      </c>
      <c r="E253">
        <v>784083609.00878787</v>
      </c>
      <c r="F253">
        <v>784083609.00878787</v>
      </c>
      <c r="G253">
        <v>784083609.00878787</v>
      </c>
    </row>
    <row r="254" spans="1:7" x14ac:dyDescent="0.3">
      <c r="A254">
        <f>A$9 * (60.7501678466796 -A$8)</f>
        <v>60.750167846679602</v>
      </c>
      <c r="B254">
        <f>B$9 * (60.7501678466796 -B$8)</f>
        <v>60.750167846679602</v>
      </c>
      <c r="C254">
        <f>C$9 * (60.7501678466796 -C$8)</f>
        <v>60.750167846679602</v>
      </c>
      <c r="E254">
        <v>787322175.29296756</v>
      </c>
      <c r="F254">
        <v>787322175.29296756</v>
      </c>
      <c r="G254">
        <v>787322175.29296756</v>
      </c>
    </row>
    <row r="255" spans="1:7" x14ac:dyDescent="0.3">
      <c r="A255">
        <f>A$9 * (61.0001373291015 -A$8)</f>
        <v>61.000137329101499</v>
      </c>
      <c r="B255">
        <f>B$9 * (61.0001373291015 -B$8)</f>
        <v>61.000137329101499</v>
      </c>
      <c r="C255">
        <f>C$9 * (61.0001373291015 -C$8)</f>
        <v>61.000137329101499</v>
      </c>
      <c r="E255">
        <v>790561779.78515542</v>
      </c>
      <c r="F255">
        <v>790561779.78515542</v>
      </c>
      <c r="G255">
        <v>790561779.78515542</v>
      </c>
    </row>
    <row r="256" spans="1:7" x14ac:dyDescent="0.3">
      <c r="A256">
        <f>A$9 * (61.2503318786621 -A$8)</f>
        <v>61.250331878662102</v>
      </c>
      <c r="B256">
        <f>B$9 * (61.2503318786621 -B$8)</f>
        <v>61.250331878662102</v>
      </c>
      <c r="C256">
        <f>C$9 * (61.2503318786621 -C$8)</f>
        <v>61.250331878662102</v>
      </c>
      <c r="E256">
        <v>793804301.14746082</v>
      </c>
      <c r="F256">
        <v>793804301.14746082</v>
      </c>
      <c r="G256">
        <v>793804301.14746082</v>
      </c>
    </row>
    <row r="257" spans="1:7" x14ac:dyDescent="0.3">
      <c r="A257">
        <f>A$9 * (61.5007514953613 -A$8)</f>
        <v>61.5007514953613</v>
      </c>
      <c r="B257">
        <f>B$9 * (61.5007514953613 -B$8)</f>
        <v>61.5007514953613</v>
      </c>
      <c r="C257">
        <f>C$9 * (61.5007514953613 -C$8)</f>
        <v>61.5007514953613</v>
      </c>
      <c r="E257">
        <v>797049739.37988234</v>
      </c>
      <c r="F257">
        <v>797049739.37988234</v>
      </c>
      <c r="G257">
        <v>797049739.37988234</v>
      </c>
    </row>
    <row r="258" spans="1:7" x14ac:dyDescent="0.3">
      <c r="A258">
        <f>A$9 * (61.7502517700195 -A$8)</f>
        <v>61.750251770019503</v>
      </c>
      <c r="B258">
        <f>B$9 * (61.7502517700195 -B$8)</f>
        <v>61.750251770019503</v>
      </c>
      <c r="C258">
        <f>C$9 * (61.7502517700195 -C$8)</f>
        <v>61.750251770019503</v>
      </c>
      <c r="E258">
        <v>800283262.93945265</v>
      </c>
      <c r="F258">
        <v>800283262.93945265</v>
      </c>
      <c r="G258">
        <v>800283262.93945265</v>
      </c>
    </row>
    <row r="259" spans="1:7" x14ac:dyDescent="0.3">
      <c r="A259">
        <f>A$9 * (62.0003318786621 -A$8)</f>
        <v>62.000331878662102</v>
      </c>
      <c r="B259">
        <f>B$9 * (62.0003318786621 -B$8)</f>
        <v>62.000331878662102</v>
      </c>
      <c r="C259">
        <f>C$9 * (62.0003318786621 -C$8)</f>
        <v>62.000331878662102</v>
      </c>
      <c r="E259">
        <v>803524301.14746082</v>
      </c>
      <c r="F259">
        <v>803524301.14746082</v>
      </c>
      <c r="G259">
        <v>803524301.14746082</v>
      </c>
    </row>
    <row r="260" spans="1:7" x14ac:dyDescent="0.3">
      <c r="A260">
        <f>A$9 * (62.2501945495605 -A$8)</f>
        <v>62.250194549560497</v>
      </c>
      <c r="B260">
        <f>B$9 * (62.2501945495605 -B$8)</f>
        <v>62.250194549560497</v>
      </c>
      <c r="C260">
        <f>C$9 * (62.2501945495605 -C$8)</f>
        <v>62.250194549560497</v>
      </c>
      <c r="E260">
        <v>806762521.36230409</v>
      </c>
      <c r="F260">
        <v>806762521.36230409</v>
      </c>
      <c r="G260">
        <v>806762521.36230409</v>
      </c>
    </row>
    <row r="261" spans="1:7" x14ac:dyDescent="0.3">
      <c r="A261">
        <f>A$9 * (62.5001373291015 -A$8)</f>
        <v>62.500137329101499</v>
      </c>
      <c r="B261">
        <f>B$9 * (62.5001373291015 -B$8)</f>
        <v>62.500137329101499</v>
      </c>
      <c r="C261">
        <f>C$9 * (62.5001373291015 -C$8)</f>
        <v>62.500137329101499</v>
      </c>
      <c r="E261">
        <v>810001779.78515542</v>
      </c>
      <c r="F261">
        <v>810001779.78515542</v>
      </c>
      <c r="G261">
        <v>810001779.78515542</v>
      </c>
    </row>
    <row r="262" spans="1:7" x14ac:dyDescent="0.3">
      <c r="A262">
        <f>A$9 * (62.7500839233398 -A$8)</f>
        <v>62.750083923339801</v>
      </c>
      <c r="B262">
        <f>B$9 * (62.7500839233398 -B$8)</f>
        <v>62.750083923339801</v>
      </c>
      <c r="C262">
        <f>C$9 * (62.7500839233398 -C$8)</f>
        <v>62.750083923339801</v>
      </c>
      <c r="E262">
        <v>813241087.6464839</v>
      </c>
      <c r="F262">
        <v>813241087.6464839</v>
      </c>
      <c r="G262">
        <v>813241087.6464839</v>
      </c>
    </row>
    <row r="263" spans="1:7" x14ac:dyDescent="0.3">
      <c r="A263">
        <f>A$9 * (63.0003318786621 -A$8)</f>
        <v>63.000331878662102</v>
      </c>
      <c r="B263">
        <f>B$9 * (63.0003318786621 -B$8)</f>
        <v>63.000331878662102</v>
      </c>
      <c r="C263">
        <f>C$9 * (63.0003318786621 -C$8)</f>
        <v>63.000331878662102</v>
      </c>
      <c r="E263">
        <v>816484301.14746082</v>
      </c>
      <c r="F263">
        <v>816484301.14746082</v>
      </c>
      <c r="G263">
        <v>816484301.14746082</v>
      </c>
    </row>
    <row r="264" spans="1:7" x14ac:dyDescent="0.3">
      <c r="A264">
        <f>A$9 * (63.2505569458007 -A$8)</f>
        <v>63.250556945800703</v>
      </c>
      <c r="B264">
        <f>B$9 * (63.2505569458007 -B$8)</f>
        <v>63.250556945800703</v>
      </c>
      <c r="C264">
        <f>C$9 * (63.2505569458007 -C$8)</f>
        <v>63.250556945800703</v>
      </c>
      <c r="E264">
        <v>819727218.01757705</v>
      </c>
      <c r="F264">
        <v>819727218.01757705</v>
      </c>
      <c r="G264">
        <v>819727218.01757705</v>
      </c>
    </row>
    <row r="265" spans="1:7" x14ac:dyDescent="0.3">
      <c r="A265">
        <f>A$9 * (63.5007209777832 -A$8)</f>
        <v>63.500720977783203</v>
      </c>
      <c r="B265">
        <f>B$9 * (63.5007209777832 -B$8)</f>
        <v>63.500720977783203</v>
      </c>
      <c r="C265">
        <f>C$9 * (63.5007209777832 -C$8)</f>
        <v>63.500720977783203</v>
      </c>
      <c r="E265">
        <v>822969343.87207031</v>
      </c>
      <c r="F265">
        <v>822969343.87207031</v>
      </c>
      <c r="G265">
        <v>822969343.87207031</v>
      </c>
    </row>
    <row r="266" spans="1:7" x14ac:dyDescent="0.3">
      <c r="A266">
        <f>A$9 * (63.7506675720214 -A$8)</f>
        <v>63.750667572021399</v>
      </c>
      <c r="B266">
        <f>B$9 * (63.7506675720214 -B$8)</f>
        <v>63.750667572021399</v>
      </c>
      <c r="C266">
        <f>C$9 * (63.7506675720214 -C$8)</f>
        <v>63.750667572021399</v>
      </c>
      <c r="E266">
        <v>826208651.73339725</v>
      </c>
      <c r="F266">
        <v>826208651.73339725</v>
      </c>
      <c r="G266">
        <v>826208651.73339725</v>
      </c>
    </row>
    <row r="267" spans="1:7" x14ac:dyDescent="0.3">
      <c r="A267">
        <f>A$9 * (64.0002746582031 -A$8)</f>
        <v>64.000274658203097</v>
      </c>
      <c r="B267">
        <f>B$9 * (64.0002746582031 -B$8)</f>
        <v>64.000274658203097</v>
      </c>
      <c r="C267">
        <f>C$9 * (64.0002746582031 -C$8)</f>
        <v>64.000274658203097</v>
      </c>
      <c r="E267">
        <v>829443559.57031202</v>
      </c>
      <c r="F267">
        <v>829443559.57031202</v>
      </c>
      <c r="G267">
        <v>829443559.57031202</v>
      </c>
    </row>
    <row r="268" spans="1:7" x14ac:dyDescent="0.3">
      <c r="A268">
        <f>A$9 * (64.2503051757812 -A$8)</f>
        <v>64.250305175781193</v>
      </c>
      <c r="B268">
        <f>B$9 * (64.2503051757812 -B$8)</f>
        <v>64.250305175781193</v>
      </c>
      <c r="C268">
        <f>C$9 * (64.2503051757812 -C$8)</f>
        <v>64.250305175781193</v>
      </c>
      <c r="E268">
        <v>832683955.07812428</v>
      </c>
      <c r="F268">
        <v>832683955.07812428</v>
      </c>
      <c r="G268">
        <v>832683955.07812428</v>
      </c>
    </row>
    <row r="269" spans="1:7" x14ac:dyDescent="0.3">
      <c r="A269">
        <f>A$9 * (64.5001144409179 -A$8)</f>
        <v>64.500114440917898</v>
      </c>
      <c r="B269">
        <f>B$9 * (64.5001144409179 -B$8)</f>
        <v>64.500114440917898</v>
      </c>
      <c r="C269">
        <f>C$9 * (64.5001144409179 -C$8)</f>
        <v>64.500114440917898</v>
      </c>
      <c r="E269">
        <v>835921483.15429592</v>
      </c>
      <c r="F269">
        <v>835921483.15429592</v>
      </c>
      <c r="G269">
        <v>835921483.15429592</v>
      </c>
    </row>
    <row r="270" spans="1:7" x14ac:dyDescent="0.3">
      <c r="A270">
        <f>A$9 * (64.7502746582031 -A$8)</f>
        <v>64.750274658203097</v>
      </c>
      <c r="B270">
        <f>B$9 * (64.7502746582031 -B$8)</f>
        <v>64.750274658203097</v>
      </c>
      <c r="C270">
        <f>C$9 * (64.7502746582031 -C$8)</f>
        <v>64.750274658203097</v>
      </c>
      <c r="E270">
        <v>839163559.57031202</v>
      </c>
      <c r="F270">
        <v>839163559.57031202</v>
      </c>
      <c r="G270">
        <v>839163559.57031202</v>
      </c>
    </row>
    <row r="271" spans="1:7" x14ac:dyDescent="0.3">
      <c r="A271">
        <f>A$9 * (65.0002517700195 -A$8)</f>
        <v>65.000251770019503</v>
      </c>
      <c r="B271">
        <f>B$9 * (65.0002517700195 -B$8)</f>
        <v>65.000251770019503</v>
      </c>
      <c r="C271">
        <f>C$9 * (65.0002517700195 -C$8)</f>
        <v>65.000251770019503</v>
      </c>
      <c r="E271">
        <v>842403262.93945265</v>
      </c>
      <c r="F271">
        <v>842403262.93945265</v>
      </c>
      <c r="G271">
        <v>842403262.93945265</v>
      </c>
    </row>
    <row r="272" spans="1:7" x14ac:dyDescent="0.3">
      <c r="A272">
        <f>A$9 * (65.2501678466796 -A$8)</f>
        <v>65.250167846679602</v>
      </c>
      <c r="B272">
        <f>B$9 * (65.2501678466796 -B$8)</f>
        <v>65.250167846679602</v>
      </c>
      <c r="C272">
        <f>C$9 * (65.2501678466796 -C$8)</f>
        <v>65.250167846679602</v>
      </c>
      <c r="E272">
        <v>845642175.29296756</v>
      </c>
      <c r="F272">
        <v>845642175.29296756</v>
      </c>
      <c r="G272">
        <v>845642175.29296756</v>
      </c>
    </row>
    <row r="273" spans="1:7" x14ac:dyDescent="0.3">
      <c r="A273">
        <f>A$9 * (65.5 -A$8)</f>
        <v>65.5</v>
      </c>
      <c r="B273">
        <f>B$9 * (65.5 -B$8)</f>
        <v>65.5</v>
      </c>
      <c r="C273">
        <f>C$9 * (65.5 -C$8)</f>
        <v>65.5</v>
      </c>
      <c r="E273">
        <v>848880000</v>
      </c>
      <c r="F273">
        <v>848880000</v>
      </c>
      <c r="G273">
        <v>848880000</v>
      </c>
    </row>
    <row r="274" spans="1:7" x14ac:dyDescent="0.3">
      <c r="A274">
        <f>A$9 * (65.7500534057617 -A$8)</f>
        <v>65.750053405761705</v>
      </c>
      <c r="B274">
        <f>B$9 * (65.7500534057617 -B$8)</f>
        <v>65.750053405761705</v>
      </c>
      <c r="C274">
        <f>C$9 * (65.7500534057617 -C$8)</f>
        <v>65.750053405761705</v>
      </c>
      <c r="E274">
        <v>852120692.13867164</v>
      </c>
      <c r="F274">
        <v>852120692.13867164</v>
      </c>
      <c r="G274">
        <v>852120692.13867164</v>
      </c>
    </row>
    <row r="275" spans="1:7" x14ac:dyDescent="0.3">
      <c r="A275">
        <f>A$9 * (66.0000305175781 -A$8)</f>
        <v>66.000030517578097</v>
      </c>
      <c r="B275">
        <f>B$9 * (66.0000305175781 -B$8)</f>
        <v>66.000030517578097</v>
      </c>
      <c r="C275">
        <f>C$9 * (66.0000305175781 -C$8)</f>
        <v>66.000030517578097</v>
      </c>
      <c r="E275">
        <v>855360395.50781202</v>
      </c>
      <c r="F275">
        <v>855360395.50781202</v>
      </c>
      <c r="G275">
        <v>855360395.50781202</v>
      </c>
    </row>
    <row r="276" spans="1:7" x14ac:dyDescent="0.3">
      <c r="A276">
        <f>A$9 * (66.2505569458007 -A$8)</f>
        <v>66.250556945800696</v>
      </c>
      <c r="B276">
        <f>B$9 * (66.2505569458007 -B$8)</f>
        <v>66.250556945800696</v>
      </c>
      <c r="C276">
        <f>C$9 * (66.2505569458007 -C$8)</f>
        <v>66.250556945800696</v>
      </c>
      <c r="E276">
        <v>858607218.01757693</v>
      </c>
      <c r="F276">
        <v>858607218.01757693</v>
      </c>
      <c r="G276">
        <v>858607218.01757693</v>
      </c>
    </row>
    <row r="277" spans="1:7" x14ac:dyDescent="0.3">
      <c r="A277">
        <f>A$9 * (66.500503540039 -A$8)</f>
        <v>66.500503540039006</v>
      </c>
      <c r="B277">
        <f>B$9 * (66.500503540039 -B$8)</f>
        <v>66.500503540039006</v>
      </c>
      <c r="C277">
        <f>C$9 * (66.500503540039 -C$8)</f>
        <v>66.500503540039006</v>
      </c>
      <c r="E277">
        <v>861846525.87890553</v>
      </c>
      <c r="F277">
        <v>861846525.87890553</v>
      </c>
      <c r="G277">
        <v>861846525.87890553</v>
      </c>
    </row>
    <row r="278" spans="1:7" x14ac:dyDescent="0.3">
      <c r="A278">
        <f>A$9 * (66.7504196166992 -A$8)</f>
        <v>66.750419616699205</v>
      </c>
      <c r="B278">
        <f>B$9 * (66.7504196166992 -B$8)</f>
        <v>66.750419616699205</v>
      </c>
      <c r="C278">
        <f>C$9 * (66.7504196166992 -C$8)</f>
        <v>66.750419616699205</v>
      </c>
      <c r="E278">
        <v>865085438.23242164</v>
      </c>
      <c r="F278">
        <v>865085438.23242164</v>
      </c>
      <c r="G278">
        <v>865085438.23242164</v>
      </c>
    </row>
    <row r="279" spans="1:7" x14ac:dyDescent="0.3">
      <c r="A279">
        <f>A$9 * (67.0003356933593 -A$8)</f>
        <v>67.000335693359304</v>
      </c>
      <c r="B279">
        <f>B$9 * (67.0003356933593 -B$8)</f>
        <v>67.000335693359304</v>
      </c>
      <c r="C279">
        <f>C$9 * (67.0003356933593 -C$8)</f>
        <v>67.000335693359304</v>
      </c>
      <c r="E279">
        <v>868324350.58593655</v>
      </c>
      <c r="F279">
        <v>868324350.58593655</v>
      </c>
      <c r="G279">
        <v>868324350.58593655</v>
      </c>
    </row>
    <row r="280" spans="1:7" x14ac:dyDescent="0.3">
      <c r="A280">
        <f>A$9 * (67.2501907348632 -A$8)</f>
        <v>67.250190734863196</v>
      </c>
      <c r="B280">
        <f>B$9 * (67.2501907348632 -B$8)</f>
        <v>67.250190734863196</v>
      </c>
      <c r="C280">
        <f>C$9 * (67.2501907348632 -C$8)</f>
        <v>67.250190734863196</v>
      </c>
      <c r="E280">
        <v>871562471.92382693</v>
      </c>
      <c r="F280">
        <v>871562471.92382693</v>
      </c>
      <c r="G280">
        <v>871562471.92382693</v>
      </c>
    </row>
    <row r="281" spans="1:7" x14ac:dyDescent="0.3">
      <c r="A281">
        <f>A$9 * (67.5002746582031 -A$8)</f>
        <v>67.500274658203097</v>
      </c>
      <c r="B281">
        <f>B$9 * (67.5002746582031 -B$8)</f>
        <v>67.500274658203097</v>
      </c>
      <c r="C281">
        <f>C$9 * (67.5002746582031 -C$8)</f>
        <v>67.500274658203097</v>
      </c>
      <c r="E281">
        <v>874803559.57031202</v>
      </c>
      <c r="F281">
        <v>874803559.57031202</v>
      </c>
      <c r="G281">
        <v>874803559.57031202</v>
      </c>
    </row>
    <row r="282" spans="1:7" x14ac:dyDescent="0.3">
      <c r="A282">
        <f>A$9 * (67.7505264282226 -A$8)</f>
        <v>67.750526428222599</v>
      </c>
      <c r="B282">
        <f>B$9 * (67.7505264282226 -B$8)</f>
        <v>67.750526428222599</v>
      </c>
      <c r="C282">
        <f>C$9 * (67.7505264282226 -C$8)</f>
        <v>67.750526428222599</v>
      </c>
      <c r="E282">
        <v>878046822.50976491</v>
      </c>
      <c r="F282">
        <v>878046822.50976491</v>
      </c>
      <c r="G282">
        <v>878046822.50976491</v>
      </c>
    </row>
    <row r="283" spans="1:7" x14ac:dyDescent="0.3">
      <c r="A283">
        <f>A$9 * (68.0002517700195 -A$8)</f>
        <v>68.000251770019503</v>
      </c>
      <c r="B283">
        <f>B$9 * (68.0002517700195 -B$8)</f>
        <v>68.000251770019503</v>
      </c>
      <c r="C283">
        <f>C$9 * (68.0002517700195 -C$8)</f>
        <v>68.000251770019503</v>
      </c>
      <c r="E283">
        <v>881283262.93945265</v>
      </c>
      <c r="F283">
        <v>881283262.93945265</v>
      </c>
      <c r="G283">
        <v>881283262.93945265</v>
      </c>
    </row>
    <row r="284" spans="1:7" x14ac:dyDescent="0.3">
      <c r="A284">
        <f>A$9 * (68.2504196166992 -A$8)</f>
        <v>68.250419616699205</v>
      </c>
      <c r="B284">
        <f>B$9 * (68.2504196166992 -B$8)</f>
        <v>68.250419616699205</v>
      </c>
      <c r="C284">
        <f>C$9 * (68.2504196166992 -C$8)</f>
        <v>68.250419616699205</v>
      </c>
      <c r="E284">
        <v>884525438.23242164</v>
      </c>
      <c r="F284">
        <v>884525438.23242164</v>
      </c>
      <c r="G284">
        <v>884525438.23242164</v>
      </c>
    </row>
    <row r="285" spans="1:7" x14ac:dyDescent="0.3">
      <c r="A285">
        <f>A$9 * (68.5005798339843 -A$8)</f>
        <v>68.500579833984304</v>
      </c>
      <c r="B285">
        <f>B$9 * (68.5005798339843 -B$8)</f>
        <v>68.500579833984304</v>
      </c>
      <c r="C285">
        <f>C$9 * (68.5005798339843 -C$8)</f>
        <v>68.500579833984304</v>
      </c>
      <c r="E285">
        <v>887767514.64843655</v>
      </c>
      <c r="F285">
        <v>887767514.64843655</v>
      </c>
      <c r="G285">
        <v>887767514.64843655</v>
      </c>
    </row>
    <row r="286" spans="1:7" x14ac:dyDescent="0.3">
      <c r="A286">
        <f>A$9 * (68.7502212524414 -A$8)</f>
        <v>68.750221252441406</v>
      </c>
      <c r="B286">
        <f>B$9 * (68.7502212524414 -B$8)</f>
        <v>68.750221252441406</v>
      </c>
      <c r="C286">
        <f>C$9 * (68.7502212524414 -C$8)</f>
        <v>68.750221252441406</v>
      </c>
      <c r="E286">
        <v>891002867.43164063</v>
      </c>
      <c r="F286">
        <v>891002867.43164063</v>
      </c>
      <c r="G286">
        <v>891002867.43164063</v>
      </c>
    </row>
    <row r="287" spans="1:7" x14ac:dyDescent="0.3">
      <c r="A287">
        <f>A$9 * (69.0001678466796 -A$8)</f>
        <v>69.000167846679602</v>
      </c>
      <c r="B287">
        <f>B$9 * (69.0001678466796 -B$8)</f>
        <v>69.000167846679602</v>
      </c>
      <c r="C287">
        <f>C$9 * (69.0001678466796 -C$8)</f>
        <v>69.000167846679602</v>
      </c>
      <c r="E287">
        <v>894242175.29296756</v>
      </c>
      <c r="F287">
        <v>894242175.29296756</v>
      </c>
      <c r="G287">
        <v>894242175.29296756</v>
      </c>
    </row>
    <row r="288" spans="1:7" x14ac:dyDescent="0.3">
      <c r="A288">
        <f>A$9 * (69.2503356933593 -A$8)</f>
        <v>69.250335693359304</v>
      </c>
      <c r="B288">
        <f>B$9 * (69.2503356933593 -B$8)</f>
        <v>69.250335693359304</v>
      </c>
      <c r="C288">
        <f>C$9 * (69.2503356933593 -C$8)</f>
        <v>69.250335693359304</v>
      </c>
      <c r="E288">
        <v>897484350.58593655</v>
      </c>
      <c r="F288">
        <v>897484350.58593655</v>
      </c>
      <c r="G288">
        <v>897484350.58593655</v>
      </c>
    </row>
    <row r="289" spans="1:7" x14ac:dyDescent="0.3">
      <c r="A289">
        <f>A$9 * (69.5000839233398 -A$8)</f>
        <v>69.500083923339801</v>
      </c>
      <c r="B289">
        <f>B$9 * (69.5000839233398 -B$8)</f>
        <v>69.500083923339801</v>
      </c>
      <c r="C289">
        <f>C$9 * (69.5000839233398 -C$8)</f>
        <v>69.500083923339801</v>
      </c>
      <c r="E289">
        <v>900721087.6464839</v>
      </c>
      <c r="F289">
        <v>900721087.6464839</v>
      </c>
      <c r="G289">
        <v>900721087.6464839</v>
      </c>
    </row>
    <row r="290" spans="1:7" x14ac:dyDescent="0.3">
      <c r="A290">
        <f>A$9 * (69.75 -A$8)</f>
        <v>69.75</v>
      </c>
      <c r="B290">
        <f>B$9 * (69.75 -B$8)</f>
        <v>69.75</v>
      </c>
      <c r="C290">
        <f>C$9 * (69.75 -C$8)</f>
        <v>69.75</v>
      </c>
      <c r="E290">
        <v>903960000</v>
      </c>
      <c r="F290">
        <v>903960000</v>
      </c>
      <c r="G290">
        <v>903960000</v>
      </c>
    </row>
    <row r="291" spans="1:7" x14ac:dyDescent="0.3">
      <c r="A291">
        <f>A$9 * (70.0003356933593 -A$8)</f>
        <v>70.000335693359304</v>
      </c>
      <c r="B291">
        <f>B$9 * (70.0003356933593 -B$8)</f>
        <v>70.000335693359304</v>
      </c>
      <c r="C291">
        <f>C$9 * (70.0003356933593 -C$8)</f>
        <v>70.000335693359304</v>
      </c>
      <c r="E291">
        <v>907204350.58593655</v>
      </c>
      <c r="F291">
        <v>907204350.58593655</v>
      </c>
      <c r="G291">
        <v>907204350.58593655</v>
      </c>
    </row>
    <row r="292" spans="1:7" x14ac:dyDescent="0.3">
      <c r="A292">
        <f>A$9 * (70.2501678466796 -A$8)</f>
        <v>70.250167846679602</v>
      </c>
      <c r="B292">
        <f>B$9 * (70.2501678466796 -B$8)</f>
        <v>70.250167846679602</v>
      </c>
      <c r="C292">
        <f>C$9 * (70.2501678466796 -C$8)</f>
        <v>70.250167846679602</v>
      </c>
      <c r="E292">
        <v>910442175.29296756</v>
      </c>
      <c r="F292">
        <v>910442175.29296756</v>
      </c>
      <c r="G292">
        <v>910442175.29296756</v>
      </c>
    </row>
    <row r="293" spans="1:7" x14ac:dyDescent="0.3">
      <c r="A293">
        <f>A$9 * (70.5004730224609 -A$8)</f>
        <v>70.500473022460895</v>
      </c>
      <c r="B293">
        <f>B$9 * (70.5004730224609 -B$8)</f>
        <v>70.500473022460895</v>
      </c>
      <c r="C293">
        <f>C$9 * (70.5004730224609 -C$8)</f>
        <v>70.500473022460895</v>
      </c>
      <c r="E293">
        <v>913686130.37109327</v>
      </c>
      <c r="F293">
        <v>913686130.37109327</v>
      </c>
      <c r="G293">
        <v>913686130.37109327</v>
      </c>
    </row>
    <row r="294" spans="1:7" x14ac:dyDescent="0.3">
      <c r="A294">
        <f>A$9 * (70.7506942749023 -A$8)</f>
        <v>70.750694274902301</v>
      </c>
      <c r="B294">
        <f>B$9 * (70.7506942749023 -B$8)</f>
        <v>70.750694274902301</v>
      </c>
      <c r="C294">
        <f>C$9 * (70.7506942749023 -C$8)</f>
        <v>70.750694274902301</v>
      </c>
      <c r="E294">
        <v>916928997.8027339</v>
      </c>
      <c r="F294">
        <v>916928997.8027339</v>
      </c>
      <c r="G294">
        <v>916928997.8027339</v>
      </c>
    </row>
    <row r="295" spans="1:7" x14ac:dyDescent="0.3">
      <c r="A295">
        <f>A$9 * (71.0007781982421 -A$8)</f>
        <v>71.000778198242102</v>
      </c>
      <c r="B295">
        <f>B$9 * (71.0007781982421 -B$8)</f>
        <v>71.000778198242102</v>
      </c>
      <c r="C295">
        <f>C$9 * (71.0007781982421 -C$8)</f>
        <v>71.000778198242102</v>
      </c>
      <c r="E295">
        <v>920170085.44921756</v>
      </c>
      <c r="F295">
        <v>920170085.44921756</v>
      </c>
      <c r="G295">
        <v>920170085.44921756</v>
      </c>
    </row>
    <row r="296" spans="1:7" x14ac:dyDescent="0.3">
      <c r="A296">
        <f>A$9 * (71.2506942749023 -A$8)</f>
        <v>71.250694274902301</v>
      </c>
      <c r="B296">
        <f>B$9 * (71.2506942749023 -B$8)</f>
        <v>71.250694274902301</v>
      </c>
      <c r="C296">
        <f>C$9 * (71.2506942749023 -C$8)</f>
        <v>71.250694274902301</v>
      </c>
      <c r="E296">
        <v>923408997.8027339</v>
      </c>
      <c r="F296">
        <v>923408997.8027339</v>
      </c>
      <c r="G296">
        <v>923408997.8027339</v>
      </c>
    </row>
    <row r="297" spans="1:7" x14ac:dyDescent="0.3">
      <c r="A297">
        <f>A$9 * (71.5006103515625 -A$8)</f>
        <v>71.5006103515625</v>
      </c>
      <c r="B297">
        <f>B$9 * (71.5006103515625 -B$8)</f>
        <v>71.5006103515625</v>
      </c>
      <c r="C297">
        <f>C$9 * (71.5006103515625 -C$8)</f>
        <v>71.5006103515625</v>
      </c>
      <c r="E297">
        <v>926647910.15625</v>
      </c>
      <c r="F297">
        <v>926647910.15625</v>
      </c>
      <c r="G297">
        <v>926647910.15625</v>
      </c>
    </row>
    <row r="298" spans="1:7" x14ac:dyDescent="0.3">
      <c r="A298">
        <f>A$9 * (71.7501144409179 -A$8)</f>
        <v>71.750114440917898</v>
      </c>
      <c r="B298">
        <f>B$9 * (71.7501144409179 -B$8)</f>
        <v>71.750114440917898</v>
      </c>
      <c r="C298">
        <f>C$9 * (71.7501144409179 -C$8)</f>
        <v>71.750114440917898</v>
      </c>
      <c r="E298">
        <v>929881483.15429592</v>
      </c>
      <c r="F298">
        <v>929881483.15429592</v>
      </c>
      <c r="G298">
        <v>929881483.15429592</v>
      </c>
    </row>
    <row r="299" spans="1:7" x14ac:dyDescent="0.3">
      <c r="A299">
        <f>A$9 * (72.0003585815429 -A$8)</f>
        <v>72.000358581542898</v>
      </c>
      <c r="B299">
        <f>B$9 * (72.0003585815429 -B$8)</f>
        <v>72.000358581542898</v>
      </c>
      <c r="C299">
        <f>C$9 * (72.0003585815429 -C$8)</f>
        <v>72.000358581542898</v>
      </c>
      <c r="E299">
        <v>933124647.21679592</v>
      </c>
      <c r="F299">
        <v>933124647.21679592</v>
      </c>
      <c r="G299">
        <v>933124647.21679592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9"/>
  <sheetViews>
    <sheetView workbookViewId="0">
      <selection activeCell="E1" sqref="E1"/>
    </sheetView>
  </sheetViews>
  <sheetFormatPr defaultRowHeight="14.4" x14ac:dyDescent="0.3"/>
  <sheetData>
    <row r="1" spans="1:9" x14ac:dyDescent="0.3">
      <c r="A1" s="2" t="s">
        <v>5</v>
      </c>
      <c r="B1" s="2" t="s">
        <v>5</v>
      </c>
      <c r="C1" s="2" t="s">
        <v>5</v>
      </c>
      <c r="D1" s="1"/>
      <c r="E1" s="2" t="s">
        <v>6</v>
      </c>
      <c r="F1" s="2" t="s">
        <v>7</v>
      </c>
      <c r="G1" s="2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/>
      <c r="E2" s="1" t="str">
        <f>Legends!B2</f>
        <v>Liquid at Outlet</v>
      </c>
      <c r="F2" s="1" t="str">
        <f>Legends!B3</f>
        <v>Liquid Velocity</v>
      </c>
      <c r="G2" s="1" t="str">
        <f>Legends!B4</f>
        <v>Gas Velocity</v>
      </c>
      <c r="I2" s="3" t="s">
        <v>20</v>
      </c>
    </row>
    <row r="3" spans="1:9" x14ac:dyDescent="0.3">
      <c r="A3">
        <f>MIN($A$11:$A$299)</f>
        <v>0</v>
      </c>
      <c r="B3">
        <f>MIN($B$11:$B$299)</f>
        <v>0</v>
      </c>
      <c r="C3">
        <f>MIN($C$11:$C$299)</f>
        <v>0</v>
      </c>
      <c r="D3" s="1" t="s">
        <v>12</v>
      </c>
      <c r="E3">
        <f>MIN($E$11:$E$299)</f>
        <v>-13.830509036779381</v>
      </c>
      <c r="F3">
        <f>MIN($F$11:$F$299)</f>
        <v>-17865.467262268055</v>
      </c>
      <c r="G3">
        <f>MIN($G$11:$G$299)</f>
        <v>-6023.7071514129602</v>
      </c>
    </row>
    <row r="4" spans="1:9" x14ac:dyDescent="0.3">
      <c r="A4">
        <f>MEDIAN($A$11:$A$299)</f>
        <v>36.000278472900298</v>
      </c>
      <c r="B4">
        <f>MEDIAN($B$11:$B$299)</f>
        <v>36.000278472900298</v>
      </c>
      <c r="C4">
        <f>MEDIAN($C$11:$C$299)</f>
        <v>36.000278472900298</v>
      </c>
      <c r="D4" s="1" t="s">
        <v>13</v>
      </c>
      <c r="E4">
        <f>MEDIAN($E$11:$E$299)</f>
        <v>19.690253958106005</v>
      </c>
      <c r="F4">
        <f>MEDIAN($F$11:$F$299)</f>
        <v>3241.2747144699074</v>
      </c>
      <c r="G4">
        <f>MEDIAN($G$11:$G$299)</f>
        <v>11824.68967437744</v>
      </c>
    </row>
    <row r="5" spans="1:9" x14ac:dyDescent="0.3">
      <c r="A5">
        <f>MAX($A$11:$A$299)</f>
        <v>72.000030517578097</v>
      </c>
      <c r="B5">
        <f>MAX($B$11:$B$299)</f>
        <v>72.000030517578097</v>
      </c>
      <c r="C5">
        <f>MAX($C$11:$C$299)</f>
        <v>72.000030517578097</v>
      </c>
      <c r="D5" s="1" t="s">
        <v>14</v>
      </c>
      <c r="E5">
        <f>MAX($E$11:$E$299)</f>
        <v>322.3906874656675</v>
      </c>
      <c r="F5">
        <f>MAX($F$11:$F$299)</f>
        <v>25113.683509826649</v>
      </c>
      <c r="G5">
        <f>MAX($G$11:$G$299)</f>
        <v>41010.119247436196</v>
      </c>
    </row>
    <row r="6" spans="1:9" x14ac:dyDescent="0.3">
      <c r="A6">
        <f>$A5-$A3</f>
        <v>72.000030517578097</v>
      </c>
      <c r="B6">
        <f>$B5-$B3</f>
        <v>72.000030517578097</v>
      </c>
      <c r="C6">
        <f>$C5-$C3</f>
        <v>72.000030517578097</v>
      </c>
      <c r="D6" s="1" t="s">
        <v>15</v>
      </c>
      <c r="E6">
        <f>$E5-$E3</f>
        <v>336.2211965024469</v>
      </c>
      <c r="F6">
        <f>$F5-$F3</f>
        <v>42979.150772094705</v>
      </c>
      <c r="G6">
        <f>$G5-$G3</f>
        <v>47033.826398849153</v>
      </c>
    </row>
    <row r="7" spans="1:9" x14ac:dyDescent="0.3">
      <c r="A7" s="2" t="s">
        <v>5</v>
      </c>
      <c r="B7" s="2" t="s">
        <v>5</v>
      </c>
      <c r="C7" s="2" t="s">
        <v>5</v>
      </c>
      <c r="D7" s="1"/>
      <c r="E7" s="2" t="s">
        <v>6</v>
      </c>
      <c r="F7" s="2" t="s">
        <v>7</v>
      </c>
      <c r="G7" s="2" t="s">
        <v>7</v>
      </c>
    </row>
    <row r="8" spans="1:9" x14ac:dyDescent="0.3">
      <c r="A8">
        <v>0</v>
      </c>
      <c r="B8">
        <v>0</v>
      </c>
      <c r="C8">
        <v>0</v>
      </c>
      <c r="D8" s="1" t="s">
        <v>16</v>
      </c>
      <c r="E8">
        <v>0</v>
      </c>
      <c r="F8">
        <v>0</v>
      </c>
      <c r="G8">
        <v>0</v>
      </c>
    </row>
    <row r="9" spans="1:9" x14ac:dyDescent="0.3">
      <c r="A9">
        <v>1</v>
      </c>
      <c r="B9">
        <v>1</v>
      </c>
      <c r="C9">
        <v>1</v>
      </c>
      <c r="D9" s="1" t="s">
        <v>17</v>
      </c>
      <c r="E9">
        <v>1</v>
      </c>
      <c r="F9">
        <v>1</v>
      </c>
      <c r="G9">
        <v>1</v>
      </c>
    </row>
    <row r="10" spans="1:9" x14ac:dyDescent="0.3">
      <c r="A10" s="1" t="s">
        <v>8</v>
      </c>
      <c r="B10" s="1" t="s">
        <v>9</v>
      </c>
      <c r="C10" s="1" t="s">
        <v>10</v>
      </c>
      <c r="D10" s="1"/>
      <c r="E10" s="1" t="str">
        <f>Legends!B2</f>
        <v>Liquid at Outlet</v>
      </c>
      <c r="F10" s="1" t="str">
        <f>Legends!B3</f>
        <v>Liquid Velocity</v>
      </c>
      <c r="G10" s="1" t="str">
        <f>Legends!B4</f>
        <v>Gas Velocity</v>
      </c>
    </row>
    <row r="11" spans="1:9" x14ac:dyDescent="0.3">
      <c r="A11">
        <f>A$9 * (0 -A$8)</f>
        <v>0</v>
      </c>
      <c r="B11">
        <f>B$9 * (0 -B$8)</f>
        <v>0</v>
      </c>
      <c r="C11">
        <f>C$9 * (0 -C$8)</f>
        <v>0</v>
      </c>
      <c r="E11">
        <v>68.364505469798999</v>
      </c>
      <c r="F11">
        <v>25113.683509826649</v>
      </c>
      <c r="G11">
        <v>35558.874893188477</v>
      </c>
    </row>
    <row r="12" spans="1:9" x14ac:dyDescent="0.3">
      <c r="A12">
        <f>A$9 * (0.25001123547554 -A$8)</f>
        <v>0.25001123547553999</v>
      </c>
      <c r="B12">
        <f>B$9 * (0.25001123547554 -B$8)</f>
        <v>0.25001123547553999</v>
      </c>
      <c r="C12">
        <f>C$9 * (0.25001123547554 -C$8)</f>
        <v>0.25001123547553999</v>
      </c>
      <c r="E12">
        <v>47.710620984434762</v>
      </c>
      <c r="F12">
        <v>15272.293853759758</v>
      </c>
      <c r="G12">
        <v>25083.589553832993</v>
      </c>
    </row>
    <row r="13" spans="1:9" x14ac:dyDescent="0.3">
      <c r="A13">
        <f>A$9 * (0.500121116638183 -A$8)</f>
        <v>0.50012111663818304</v>
      </c>
      <c r="B13">
        <f>B$9 * (0.500121116638183 -B$8)</f>
        <v>0.50012111663818304</v>
      </c>
      <c r="C13">
        <f>C$9 * (0.500121116638183 -C$8)</f>
        <v>0.50012111663818304</v>
      </c>
      <c r="E13">
        <v>33.244559168815584</v>
      </c>
      <c r="F13">
        <v>10486.6021156311</v>
      </c>
      <c r="G13">
        <v>20986.913108825676</v>
      </c>
    </row>
    <row r="14" spans="1:9" x14ac:dyDescent="0.3">
      <c r="A14">
        <f>A$9 * (0.750061094760894 -A$8)</f>
        <v>0.750061094760894</v>
      </c>
      <c r="B14">
        <f>B$9 * (0.750061094760894 -B$8)</f>
        <v>0.750061094760894</v>
      </c>
      <c r="C14">
        <f>C$9 * (0.750061094760894 -C$8)</f>
        <v>0.750061094760894</v>
      </c>
      <c r="E14">
        <v>18.107981979846947</v>
      </c>
      <c r="F14">
        <v>4070.8439826965277</v>
      </c>
      <c r="G14">
        <v>12102.454948425264</v>
      </c>
    </row>
    <row r="15" spans="1:9" x14ac:dyDescent="0.3">
      <c r="A15">
        <f>A$9 * (1.00013864040374 -A$8)</f>
        <v>1.00013864040374</v>
      </c>
      <c r="B15">
        <f>B$9 * (1.00013864040374 -B$8)</f>
        <v>1.00013864040374</v>
      </c>
      <c r="C15">
        <f>C$9 * (1.00013864040374 -C$8)</f>
        <v>1.00013864040374</v>
      </c>
      <c r="E15">
        <v>-4.0957453195005602</v>
      </c>
      <c r="F15">
        <v>-5484.2938899993724</v>
      </c>
      <c r="G15">
        <v>3326.2063264846802</v>
      </c>
    </row>
    <row r="16" spans="1:9" x14ac:dyDescent="0.3">
      <c r="A16">
        <f>A$9 * (1.25000834465026 -A$8)</f>
        <v>1.2500083446502599</v>
      </c>
      <c r="B16">
        <f>B$9 * (1.25000834465026 -B$8)</f>
        <v>1.2500083446502599</v>
      </c>
      <c r="C16">
        <f>C$9 * (1.25000834465026 -C$8)</f>
        <v>1.2500083446502599</v>
      </c>
      <c r="E16">
        <v>-5.9376345947384754</v>
      </c>
      <c r="F16">
        <v>-2056.8354606628418</v>
      </c>
      <c r="G16">
        <v>-2363.7542009353633</v>
      </c>
    </row>
    <row r="17" spans="1:7" x14ac:dyDescent="0.3">
      <c r="A17">
        <f>A$9 * (1.50006806850433 -A$8)</f>
        <v>1.5000680685043299</v>
      </c>
      <c r="B17">
        <f>B$9 * (1.50006806850433 -B$8)</f>
        <v>1.5000680685043299</v>
      </c>
      <c r="C17">
        <f>C$9 * (1.50006806850433 -C$8)</f>
        <v>1.5000680685043299</v>
      </c>
      <c r="E17">
        <v>-0.42975539399776319</v>
      </c>
      <c r="F17">
        <v>-5318.8093185424559</v>
      </c>
      <c r="G17">
        <v>2889.8729324340802</v>
      </c>
    </row>
    <row r="18" spans="1:7" x14ac:dyDescent="0.3">
      <c r="A18">
        <f>A$9 * (1.75054419040679 -A$8)</f>
        <v>1.75054419040679</v>
      </c>
      <c r="B18">
        <f>B$9 * (1.75054419040679 -B$8)</f>
        <v>1.75054419040679</v>
      </c>
      <c r="C18">
        <f>C$9 * (1.75054419040679 -C$8)</f>
        <v>1.75054419040679</v>
      </c>
      <c r="E18">
        <v>-0.99574233172461346</v>
      </c>
      <c r="F18">
        <v>-2507.4540853500348</v>
      </c>
      <c r="G18">
        <v>2406.5725564956638</v>
      </c>
    </row>
    <row r="19" spans="1:7" x14ac:dyDescent="0.3">
      <c r="A19">
        <f>A$9 * (2.00004506111145 -A$8)</f>
        <v>2.0000450611114502</v>
      </c>
      <c r="B19">
        <f>B$9 * (2.00004506111145 -B$8)</f>
        <v>2.0000450611114502</v>
      </c>
      <c r="C19">
        <f>C$9 * (2.00004506111145 -C$8)</f>
        <v>2.0000450611114502</v>
      </c>
      <c r="E19">
        <v>-2.8001386206597059</v>
      </c>
      <c r="F19">
        <v>-1156.7541360855096</v>
      </c>
      <c r="G19">
        <v>-635.70021986961365</v>
      </c>
    </row>
    <row r="20" spans="1:7" x14ac:dyDescent="0.3">
      <c r="A20">
        <f>A$9 * (2.25067996978759 -A$8)</f>
        <v>2.2506799697875901</v>
      </c>
      <c r="B20">
        <f>B$9 * (2.25067996978759 -B$8)</f>
        <v>2.2506799697875901</v>
      </c>
      <c r="C20">
        <f>C$9 * (2.25067996978759 -C$8)</f>
        <v>2.2506799697875901</v>
      </c>
      <c r="E20">
        <v>24.26324430853127</v>
      </c>
      <c r="F20">
        <v>755.8282613754252</v>
      </c>
      <c r="G20">
        <v>2021.6103315353389</v>
      </c>
    </row>
    <row r="21" spans="1:7" x14ac:dyDescent="0.3">
      <c r="A21">
        <f>A$9 * (2.50043964385986 -A$8)</f>
        <v>2.5004396438598602</v>
      </c>
      <c r="B21">
        <f>B$9 * (2.50043964385986 -B$8)</f>
        <v>2.5004396438598602</v>
      </c>
      <c r="C21">
        <f>C$9 * (2.50043964385986 -C$8)</f>
        <v>2.5004396438598602</v>
      </c>
      <c r="E21">
        <v>19.765131175518011</v>
      </c>
      <c r="F21">
        <v>12534.321498870817</v>
      </c>
      <c r="G21">
        <v>38444.581604003761</v>
      </c>
    </row>
    <row r="22" spans="1:7" x14ac:dyDescent="0.3">
      <c r="A22">
        <f>A$9 * (2.75004076957702 -A$8)</f>
        <v>2.7500407695770201</v>
      </c>
      <c r="B22">
        <f>B$9 * (2.75004076957702 -B$8)</f>
        <v>2.7500407695770201</v>
      </c>
      <c r="C22">
        <f>C$9 * (2.75004076957702 -C$8)</f>
        <v>2.7500407695770201</v>
      </c>
      <c r="E22">
        <v>110.15913560986513</v>
      </c>
      <c r="F22">
        <v>11546.524429321284</v>
      </c>
      <c r="G22">
        <v>12214.403915405255</v>
      </c>
    </row>
    <row r="23" spans="1:7" x14ac:dyDescent="0.3">
      <c r="A23">
        <f>A$9 * (3.00018620491027 -A$8)</f>
        <v>3.0001862049102699</v>
      </c>
      <c r="B23">
        <f>B$9 * (3.00018620491027 -B$8)</f>
        <v>3.0001862049102699</v>
      </c>
      <c r="C23">
        <f>C$9 * (3.00018620491027 -C$8)</f>
        <v>3.0001862049102699</v>
      </c>
      <c r="E23">
        <v>52.675021067261405</v>
      </c>
      <c r="F23">
        <v>16680.279350280744</v>
      </c>
      <c r="G23">
        <v>25855.804824829091</v>
      </c>
    </row>
    <row r="24" spans="1:7" x14ac:dyDescent="0.3">
      <c r="A24">
        <f>A$9 * (3.25007224082946 -A$8)</f>
        <v>3.2500722408294598</v>
      </c>
      <c r="B24">
        <f>B$9 * (3.25007224082946 -B$8)</f>
        <v>3.2500722408294598</v>
      </c>
      <c r="C24">
        <f>C$9 * (3.25007224082946 -C$8)</f>
        <v>3.2500722408294598</v>
      </c>
      <c r="E24">
        <v>33.574340119957917</v>
      </c>
      <c r="F24">
        <v>12291.96567535398</v>
      </c>
      <c r="G24">
        <v>24467.503738403306</v>
      </c>
    </row>
    <row r="25" spans="1:7" x14ac:dyDescent="0.3">
      <c r="A25">
        <f>A$9 * (3.50036668777465 -A$8)</f>
        <v>3.5003666877746502</v>
      </c>
      <c r="B25">
        <f>B$9 * (3.50036668777465 -B$8)</f>
        <v>3.5003666877746502</v>
      </c>
      <c r="C25">
        <f>C$9 * (3.50036668777465 -C$8)</f>
        <v>3.5003666877746502</v>
      </c>
      <c r="E25">
        <v>52.085448056459157</v>
      </c>
      <c r="F25">
        <v>9764.4999504089155</v>
      </c>
      <c r="G25">
        <v>14791.866874694821</v>
      </c>
    </row>
    <row r="26" spans="1:7" x14ac:dyDescent="0.3">
      <c r="A26">
        <f>A$9 * (3.7503695487976 -A$8)</f>
        <v>3.7503695487975999</v>
      </c>
      <c r="B26">
        <f>B$9 * (3.7503695487976 -B$8)</f>
        <v>3.7503695487975999</v>
      </c>
      <c r="C26">
        <f>C$9 * (3.7503695487976 -C$8)</f>
        <v>3.7503695487975999</v>
      </c>
      <c r="E26">
        <v>26.53406616300343</v>
      </c>
      <c r="F26">
        <v>10370.962429046604</v>
      </c>
      <c r="G26">
        <v>24075.417137145982</v>
      </c>
    </row>
    <row r="27" spans="1:7" x14ac:dyDescent="0.3">
      <c r="A27">
        <f>A$9 * (4.0003695487976 -A$8)</f>
        <v>4.0003695487976003</v>
      </c>
      <c r="B27">
        <f>B$9 * (4.0003695487976 -B$8)</f>
        <v>4.0003695487976003</v>
      </c>
      <c r="C27">
        <f>C$9 * (4.0003695487976 -C$8)</f>
        <v>4.0003695487976003</v>
      </c>
      <c r="E27">
        <v>16.122912615537626</v>
      </c>
      <c r="F27">
        <v>4219.7113037109239</v>
      </c>
      <c r="G27">
        <v>13723.113441467267</v>
      </c>
    </row>
    <row r="28" spans="1:7" x14ac:dyDescent="0.3">
      <c r="A28">
        <f>A$9 * (4.25045824050903 -A$8)</f>
        <v>4.2504582405090297</v>
      </c>
      <c r="B28">
        <f>B$9 * (4.25045824050903 -B$8)</f>
        <v>4.2504582405090297</v>
      </c>
      <c r="C28">
        <f>C$9 * (4.25045824050903 -C$8)</f>
        <v>4.2504582405090297</v>
      </c>
      <c r="E28">
        <v>-0.83366676117293403</v>
      </c>
      <c r="F28">
        <v>-4375.627040863008</v>
      </c>
      <c r="G28">
        <v>2115.9225940704337</v>
      </c>
    </row>
    <row r="29" spans="1:7" x14ac:dyDescent="0.3">
      <c r="A29">
        <f>A$9 * (4.50040578842163 -A$8)</f>
        <v>4.50040578842163</v>
      </c>
      <c r="B29">
        <f>B$9 * (4.50040578842163 -B$8)</f>
        <v>4.50040578842163</v>
      </c>
      <c r="C29">
        <f>C$9 * (4.50040578842163 -C$8)</f>
        <v>4.50040578842163</v>
      </c>
      <c r="E29">
        <v>-3.2607543747872088</v>
      </c>
      <c r="F29">
        <v>-2739.9003267288203</v>
      </c>
      <c r="G29">
        <v>-859.4629168510404</v>
      </c>
    </row>
    <row r="30" spans="1:7" x14ac:dyDescent="0.3">
      <c r="A30">
        <f>A$9 * (4.75008058547973 -A$8)</f>
        <v>4.7500805854797301</v>
      </c>
      <c r="B30">
        <f>B$9 * (4.75008058547973 -B$8)</f>
        <v>4.7500805854797301</v>
      </c>
      <c r="C30">
        <f>C$9 * (4.75008058547973 -C$8)</f>
        <v>4.7500805854797301</v>
      </c>
      <c r="E30">
        <v>0.26781228370964522</v>
      </c>
      <c r="F30">
        <v>-4059.5005989074525</v>
      </c>
      <c r="G30">
        <v>7152.209901809676</v>
      </c>
    </row>
    <row r="31" spans="1:7" x14ac:dyDescent="0.3">
      <c r="A31">
        <f>A$9 * (5.00038909912109 -A$8)</f>
        <v>5.0003890991210902</v>
      </c>
      <c r="B31">
        <f>B$9 * (5.00038909912109 -B$8)</f>
        <v>5.0003890991210902</v>
      </c>
      <c r="C31">
        <f>C$9 * (5.00038909912109 -C$8)</f>
        <v>5.0003890991210902</v>
      </c>
      <c r="E31">
        <v>-6.4819222781807158</v>
      </c>
      <c r="F31">
        <v>-998.33761453628517</v>
      </c>
      <c r="G31">
        <v>-3103.2636880874616</v>
      </c>
    </row>
    <row r="32" spans="1:7" x14ac:dyDescent="0.3">
      <c r="A32">
        <f>A$9 * (5.25025558471679 -A$8)</f>
        <v>5.2502555847167898</v>
      </c>
      <c r="B32">
        <f>B$9 * (5.25025558471679 -B$8)</f>
        <v>5.2502555847167898</v>
      </c>
      <c r="C32">
        <f>C$9 * (5.25025558471679 -C$8)</f>
        <v>5.2502555847167898</v>
      </c>
      <c r="E32">
        <v>-2.1623749053105707</v>
      </c>
      <c r="F32">
        <v>-636.18516325950486</v>
      </c>
      <c r="G32">
        <v>-1097.2523331642133</v>
      </c>
    </row>
    <row r="33" spans="1:7" x14ac:dyDescent="0.3">
      <c r="A33">
        <f>A$9 * (5.50069713592529 -A$8)</f>
        <v>5.5006971359252903</v>
      </c>
      <c r="B33">
        <f>B$9 * (5.50069713592529 -B$8)</f>
        <v>5.5006971359252903</v>
      </c>
      <c r="C33">
        <f>C$9 * (5.50069713592529 -C$8)</f>
        <v>5.5006971359252903</v>
      </c>
      <c r="E33">
        <v>41.334262490272323</v>
      </c>
      <c r="F33">
        <v>1381.537091732022</v>
      </c>
      <c r="G33">
        <v>3151.4683485031128</v>
      </c>
    </row>
    <row r="34" spans="1:7" x14ac:dyDescent="0.3">
      <c r="A34">
        <f>A$9 * (5.75034427642822 -A$8)</f>
        <v>5.75034427642822</v>
      </c>
      <c r="B34">
        <f>B$9 * (5.75034427642822 -B$8)</f>
        <v>5.75034427642822</v>
      </c>
      <c r="C34">
        <f>C$9 * (5.75034427642822 -C$8)</f>
        <v>5.75034427642822</v>
      </c>
      <c r="E34">
        <v>2.5579835521057226</v>
      </c>
      <c r="F34">
        <v>984.51941013335886</v>
      </c>
      <c r="G34">
        <v>41010.119247436196</v>
      </c>
    </row>
    <row r="35" spans="1:7" x14ac:dyDescent="0.3">
      <c r="A35">
        <f>A$9 * (6.00059986114502 -A$8)</f>
        <v>6.0005998611450204</v>
      </c>
      <c r="B35">
        <f>B$9 * (6.00059986114502 -B$8)</f>
        <v>6.0005998611450204</v>
      </c>
      <c r="C35">
        <f>C$9 * (6.00059986114502 -C$8)</f>
        <v>6.0005998611450204</v>
      </c>
      <c r="E35">
        <v>107.53894597291921</v>
      </c>
      <c r="F35">
        <v>11939.857292175264</v>
      </c>
      <c r="G35">
        <v>12795.959186553924</v>
      </c>
    </row>
    <row r="36" spans="1:7" x14ac:dyDescent="0.3">
      <c r="A36">
        <f>A$9 * (6.25033330917358 -A$8)</f>
        <v>6.2503333091735804</v>
      </c>
      <c r="B36">
        <f>B$9 * (6.25033330917358 -B$8)</f>
        <v>6.2503333091735804</v>
      </c>
      <c r="C36">
        <f>C$9 * (6.25033330917358 -C$8)</f>
        <v>6.2503333091735804</v>
      </c>
      <c r="E36">
        <v>68.268422037362768</v>
      </c>
      <c r="F36">
        <v>17401.251983642567</v>
      </c>
      <c r="G36">
        <v>23706.643867492643</v>
      </c>
    </row>
    <row r="37" spans="1:7" x14ac:dyDescent="0.3">
      <c r="A37">
        <f>A$9 * (6.50053310394287 -A$8)</f>
        <v>6.5005331039428702</v>
      </c>
      <c r="B37">
        <f>B$9 * (6.50053310394287 -B$8)</f>
        <v>6.5005331039428702</v>
      </c>
      <c r="C37">
        <f>C$9 * (6.50053310394287 -C$8)</f>
        <v>6.5005331039428702</v>
      </c>
      <c r="E37">
        <v>34.84299145638942</v>
      </c>
      <c r="F37">
        <v>13471.128273010247</v>
      </c>
      <c r="G37">
        <v>26501.346015930143</v>
      </c>
    </row>
    <row r="38" spans="1:7" x14ac:dyDescent="0.3">
      <c r="A38">
        <f>A$9 * (6.75029182434082 -A$8)</f>
        <v>6.7502918243408203</v>
      </c>
      <c r="B38">
        <f>B$9 * (6.75029182434082 -B$8)</f>
        <v>6.7502918243408203</v>
      </c>
      <c r="C38">
        <f>C$9 * (6.75029182434082 -C$8)</f>
        <v>6.7502918243408203</v>
      </c>
      <c r="E38">
        <v>48.339793458580679</v>
      </c>
      <c r="F38">
        <v>8371.5082168578847</v>
      </c>
      <c r="G38">
        <v>13167.237854003904</v>
      </c>
    </row>
    <row r="39" spans="1:7" x14ac:dyDescent="0.3">
      <c r="A39">
        <f>A$9 * (7.00004434585571 -A$8)</f>
        <v>7.0000443458557102</v>
      </c>
      <c r="B39">
        <f>B$9 * (7.00004434585571 -B$8)</f>
        <v>7.0000443458557102</v>
      </c>
      <c r="C39">
        <f>C$9 * (7.00004434585571 -C$8)</f>
        <v>7.0000443458557102</v>
      </c>
      <c r="E39">
        <v>33.858134597539873</v>
      </c>
      <c r="F39">
        <v>11917.4614906311</v>
      </c>
      <c r="G39">
        <v>23697.439384460435</v>
      </c>
    </row>
    <row r="40" spans="1:7" x14ac:dyDescent="0.3">
      <c r="A40">
        <f>A$9 * (7.25014162063598 -A$8)</f>
        <v>7.2501416206359801</v>
      </c>
      <c r="B40">
        <f>B$9 * (7.25014162063598 -B$8)</f>
        <v>7.2501416206359801</v>
      </c>
      <c r="C40">
        <f>C$9 * (7.25014162063598 -C$8)</f>
        <v>7.2501416206359801</v>
      </c>
      <c r="E40">
        <v>19.690253958106005</v>
      </c>
      <c r="F40">
        <v>6547.4065303802281</v>
      </c>
      <c r="G40">
        <v>18555.868721008297</v>
      </c>
    </row>
    <row r="41" spans="1:7" x14ac:dyDescent="0.3">
      <c r="A41">
        <f>A$9 * (7.50018882751464 -A$8)</f>
        <v>7.5001888275146396</v>
      </c>
      <c r="B41">
        <f>B$9 * (7.50018882751464 -B$8)</f>
        <v>7.5001888275146396</v>
      </c>
      <c r="C41">
        <f>C$9 * (7.50018882751464 -C$8)</f>
        <v>7.5001888275146396</v>
      </c>
      <c r="E41">
        <v>-3.722003800794468</v>
      </c>
      <c r="F41">
        <v>-2272.5644588470441</v>
      </c>
      <c r="G41">
        <v>-925.40524005889552</v>
      </c>
    </row>
    <row r="42" spans="1:7" x14ac:dyDescent="0.3">
      <c r="A42">
        <f>A$9 * (7.75023603439331 -A$8)</f>
        <v>7.7502360343933097</v>
      </c>
      <c r="B42">
        <f>B$9 * (7.75023603439331 -B$8)</f>
        <v>7.7502360343933097</v>
      </c>
      <c r="C42">
        <f>C$9 * (7.75023603439331 -C$8)</f>
        <v>7.7502360343933097</v>
      </c>
      <c r="E42">
        <v>-5.0277169793844001</v>
      </c>
      <c r="F42">
        <v>-3232.8270435333238</v>
      </c>
      <c r="G42">
        <v>-169.93184834718684</v>
      </c>
    </row>
    <row r="43" spans="1:7" x14ac:dyDescent="0.3">
      <c r="A43">
        <f>A$9 * (8.00061988830566 -A$8)</f>
        <v>8.0006198883056605</v>
      </c>
      <c r="B43">
        <f>B$9 * (8.00061988830566 -B$8)</f>
        <v>8.0006198883056605</v>
      </c>
      <c r="C43">
        <f>C$9 * (8.00061988830566 -C$8)</f>
        <v>8.0006198883056605</v>
      </c>
      <c r="E43">
        <v>-1.7814467428252092</v>
      </c>
      <c r="F43">
        <v>-2178.4766435623151</v>
      </c>
      <c r="G43">
        <v>1656.1454057693459</v>
      </c>
    </row>
    <row r="44" spans="1:7" x14ac:dyDescent="0.3">
      <c r="A44">
        <f>A$9 * (8.25031089782714 -A$8)</f>
        <v>8.2503108978271396</v>
      </c>
      <c r="B44">
        <f>B$9 * (8.25031089782714 -B$8)</f>
        <v>8.2503108978271396</v>
      </c>
      <c r="C44">
        <f>C$9 * (8.25031089782714 -C$8)</f>
        <v>8.2503108978271396</v>
      </c>
      <c r="E44">
        <v>-1.4893099665641785</v>
      </c>
      <c r="F44">
        <v>-3498.9635467529279</v>
      </c>
      <c r="G44">
        <v>2250.8945703506452</v>
      </c>
    </row>
    <row r="45" spans="1:7" x14ac:dyDescent="0.3">
      <c r="A45">
        <f>A$9 * (8.50074481964111 -A$8)</f>
        <v>8.5007448196411097</v>
      </c>
      <c r="B45">
        <f>B$9 * (8.50074481964111 -B$8)</f>
        <v>8.5007448196411097</v>
      </c>
      <c r="C45">
        <f>C$9 * (8.50074481964111 -C$8)</f>
        <v>8.5007448196411097</v>
      </c>
      <c r="E45">
        <v>-2.1497972309589382</v>
      </c>
      <c r="F45">
        <v>-708.03290605544998</v>
      </c>
      <c r="G45">
        <v>-292.71223247051233</v>
      </c>
    </row>
    <row r="46" spans="1:7" x14ac:dyDescent="0.3">
      <c r="A46">
        <f>A$9 * (8.75039768218994 -A$8)</f>
        <v>8.7503976821899396</v>
      </c>
      <c r="B46">
        <f>B$9 * (8.75039768218994 -B$8)</f>
        <v>8.7503976821899396</v>
      </c>
      <c r="C46">
        <f>C$9 * (8.75039768218994 -C$8)</f>
        <v>8.7503976821899396</v>
      </c>
      <c r="E46">
        <v>-11.524323932826515</v>
      </c>
      <c r="F46">
        <v>-5546.0267543792515</v>
      </c>
      <c r="G46">
        <v>-1956.9448471069331</v>
      </c>
    </row>
    <row r="47" spans="1:7" x14ac:dyDescent="0.3">
      <c r="A47">
        <f>A$9 * (9.00009441375732 -A$8)</f>
        <v>9.0000944137573207</v>
      </c>
      <c r="B47">
        <f>B$9 * (9.00009441375732 -B$8)</f>
        <v>9.0000944137573207</v>
      </c>
      <c r="C47">
        <f>C$9 * (9.00009441375732 -C$8)</f>
        <v>9.0000944137573207</v>
      </c>
      <c r="E47">
        <v>6.4470313489437006</v>
      </c>
      <c r="F47">
        <v>1624.4175553321825</v>
      </c>
      <c r="G47">
        <v>40347.430801391522</v>
      </c>
    </row>
    <row r="48" spans="1:7" x14ac:dyDescent="0.3">
      <c r="A48">
        <f>A$9 * (9.25014686584472 -A$8)</f>
        <v>9.2501468658447195</v>
      </c>
      <c r="B48">
        <f>B$9 * (9.25014686584472 -B$8)</f>
        <v>9.2501468658447195</v>
      </c>
      <c r="C48">
        <f>C$9 * (9.25014686584472 -C$8)</f>
        <v>9.2501468658447195</v>
      </c>
      <c r="E48">
        <v>104.56768870353683</v>
      </c>
      <c r="F48">
        <v>12591.071891784648</v>
      </c>
      <c r="G48">
        <v>13760.939025878904</v>
      </c>
    </row>
    <row r="49" spans="1:7" x14ac:dyDescent="0.3">
      <c r="A49">
        <f>A$9 * (9.50018310546875 -A$8)</f>
        <v>9.50018310546875</v>
      </c>
      <c r="B49">
        <f>B$9 * (9.50018310546875 -B$8)</f>
        <v>9.50018310546875</v>
      </c>
      <c r="C49">
        <f>C$9 * (9.50018310546875 -C$8)</f>
        <v>9.50018310546875</v>
      </c>
      <c r="E49">
        <v>93.06709393858884</v>
      </c>
      <c r="F49">
        <v>16976.973724365202</v>
      </c>
      <c r="G49">
        <v>20092.531585693356</v>
      </c>
    </row>
    <row r="50" spans="1:7" x14ac:dyDescent="0.3">
      <c r="A50">
        <f>A$9 * (9.75044727325439 -A$8)</f>
        <v>9.7504472732543892</v>
      </c>
      <c r="B50">
        <f>B$9 * (9.75044727325439 -B$8)</f>
        <v>9.7504472732543892</v>
      </c>
      <c r="C50">
        <f>C$9 * (9.75044727325439 -C$8)</f>
        <v>9.7504472732543892</v>
      </c>
      <c r="E50">
        <v>39.043367654084996</v>
      </c>
      <c r="F50">
        <v>14128.239440917945</v>
      </c>
      <c r="G50">
        <v>25940.069961547822</v>
      </c>
    </row>
    <row r="51" spans="1:7" x14ac:dyDescent="0.3">
      <c r="A51">
        <f>A$9 * (10.0002861022949 -A$8)</f>
        <v>10.000286102294901</v>
      </c>
      <c r="B51">
        <f>B$9 * (10.0002861022949 -B$8)</f>
        <v>10.000286102294901</v>
      </c>
      <c r="C51">
        <f>C$9 * (10.0002861022949 -C$8)</f>
        <v>10.000286102294901</v>
      </c>
      <c r="E51">
        <v>42.775128409266358</v>
      </c>
      <c r="F51">
        <v>7346.232318878172</v>
      </c>
      <c r="G51">
        <v>12353.414440155011</v>
      </c>
    </row>
    <row r="52" spans="1:7" x14ac:dyDescent="0.3">
      <c r="A52">
        <f>A$9 * (10.2504634857177 -A$8)</f>
        <v>10.250463485717701</v>
      </c>
      <c r="B52">
        <f>B$9 * (10.2504634857177 -B$8)</f>
        <v>10.250463485717701</v>
      </c>
      <c r="C52">
        <f>C$9 * (10.2504634857177 -C$8)</f>
        <v>10.250463485717701</v>
      </c>
      <c r="E52">
        <v>47.161800786852716</v>
      </c>
      <c r="F52">
        <v>12706.631755828848</v>
      </c>
      <c r="G52">
        <v>20725.620460510247</v>
      </c>
    </row>
    <row r="53" spans="1:7" x14ac:dyDescent="0.3">
      <c r="A53">
        <f>A$9 * (10.5002002716064 -A$8)</f>
        <v>10.500200271606399</v>
      </c>
      <c r="B53">
        <f>B$9 * (10.5002002716064 -B$8)</f>
        <v>10.500200271606399</v>
      </c>
      <c r="C53">
        <f>C$9 * (10.5002002716064 -C$8)</f>
        <v>10.500200271606399</v>
      </c>
      <c r="E53">
        <v>20.954519882798184</v>
      </c>
      <c r="F53">
        <v>8001.237201690672</v>
      </c>
      <c r="G53">
        <v>21945.405006408673</v>
      </c>
    </row>
    <row r="54" spans="1:7" x14ac:dyDescent="0.3">
      <c r="A54">
        <f>A$9 * (10.7500553131103 -A$8)</f>
        <v>10.7500553131103</v>
      </c>
      <c r="B54">
        <f>B$9 * (10.7500553131103 -B$8)</f>
        <v>10.7500553131103</v>
      </c>
      <c r="C54">
        <f>C$9 * (10.7500553131103 -C$8)</f>
        <v>10.7500553131103</v>
      </c>
      <c r="E54">
        <v>-6.3234070781618161</v>
      </c>
      <c r="F54">
        <v>-3985.2647781371998</v>
      </c>
      <c r="G54">
        <v>185.45223623514156</v>
      </c>
    </row>
    <row r="55" spans="1:7" x14ac:dyDescent="0.3">
      <c r="A55">
        <f>A$9 * (11.0001468658447 -A$8)</f>
        <v>11.0001468658447</v>
      </c>
      <c r="B55">
        <f>B$9 * (11.0001468658447 -B$8)</f>
        <v>11.0001468658447</v>
      </c>
      <c r="C55">
        <f>C$9 * (11.0001468658447 -C$8)</f>
        <v>11.0001468658447</v>
      </c>
      <c r="E55">
        <v>-3.5635602660477153</v>
      </c>
      <c r="F55">
        <v>-4111.3762378692481</v>
      </c>
      <c r="G55">
        <v>840.23458957671835</v>
      </c>
    </row>
    <row r="56" spans="1:7" x14ac:dyDescent="0.3">
      <c r="A56">
        <f>A$9 * (11.2501192092895 -A$8)</f>
        <v>11.250119209289499</v>
      </c>
      <c r="B56">
        <f>B$9 * (11.2501192092895 -B$8)</f>
        <v>11.250119209289499</v>
      </c>
      <c r="C56">
        <f>C$9 * (11.2501192092895 -C$8)</f>
        <v>11.250119209289499</v>
      </c>
      <c r="E56">
        <v>-2.6487168157473189</v>
      </c>
      <c r="F56">
        <v>-1890.591502189633</v>
      </c>
      <c r="G56">
        <v>-220.5933853983876</v>
      </c>
    </row>
    <row r="57" spans="1:7" x14ac:dyDescent="0.3">
      <c r="A57">
        <f>A$9 * (11.5000915527343 -A$8)</f>
        <v>11.5000915527343</v>
      </c>
      <c r="B57">
        <f>B$9 * (11.5000915527343 -B$8)</f>
        <v>11.5000915527343</v>
      </c>
      <c r="C57">
        <f>C$9 * (11.5000915527343 -C$8)</f>
        <v>11.5000915527343</v>
      </c>
      <c r="E57">
        <v>-3.3553508576005693</v>
      </c>
      <c r="F57">
        <v>-4527.9396057128761</v>
      </c>
      <c r="G57">
        <v>3231.1840295791621</v>
      </c>
    </row>
    <row r="58" spans="1:7" x14ac:dyDescent="0.3">
      <c r="A58">
        <f>A$9 * (11.7501697540283 -A$8)</f>
        <v>11.750169754028301</v>
      </c>
      <c r="B58">
        <f>B$9 * (11.7501697540283 -B$8)</f>
        <v>11.750169754028301</v>
      </c>
      <c r="C58">
        <f>C$9 * (11.7501697540283 -C$8)</f>
        <v>11.750169754028301</v>
      </c>
      <c r="E58">
        <v>-2.6415119413286425</v>
      </c>
      <c r="F58">
        <v>-1929.0481567382808</v>
      </c>
      <c r="G58">
        <v>221.40486091375342</v>
      </c>
    </row>
    <row r="59" spans="1:7" x14ac:dyDescent="0.3">
      <c r="A59">
        <f>A$9 * (12.0004024505615 -A$8)</f>
        <v>12.0004024505615</v>
      </c>
      <c r="B59">
        <f>B$9 * (12.0004024505615 -B$8)</f>
        <v>12.0004024505615</v>
      </c>
      <c r="C59">
        <f>C$9 * (12.0004024505615 -C$8)</f>
        <v>12.0004024505615</v>
      </c>
      <c r="E59">
        <v>-2.7178945485502464</v>
      </c>
      <c r="F59">
        <v>-1835.330700874327</v>
      </c>
      <c r="G59">
        <v>-216.75448715686775</v>
      </c>
    </row>
    <row r="60" spans="1:7" x14ac:dyDescent="0.3">
      <c r="A60">
        <f>A$9 * (12.2501773834228 -A$8)</f>
        <v>12.2501773834228</v>
      </c>
      <c r="B60">
        <f>B$9 * (12.2501773834228 -B$8)</f>
        <v>12.2501773834228</v>
      </c>
      <c r="C60">
        <f>C$9 * (12.2501773834228 -C$8)</f>
        <v>12.2501773834228</v>
      </c>
      <c r="E60">
        <v>299.33801293373097</v>
      </c>
      <c r="F60">
        <v>12896.017169952385</v>
      </c>
      <c r="G60">
        <v>13414.136695861787</v>
      </c>
    </row>
    <row r="61" spans="1:7" x14ac:dyDescent="0.3">
      <c r="A61">
        <f>A$9 * (12.500633239746 -A$8)</f>
        <v>12.500633239746</v>
      </c>
      <c r="B61">
        <f>B$9 * (12.500633239746 -B$8)</f>
        <v>12.500633239746</v>
      </c>
      <c r="C61">
        <f>C$9 * (12.500633239746 -C$8)</f>
        <v>12.500633239746</v>
      </c>
      <c r="E61">
        <v>100.0199161469934</v>
      </c>
      <c r="F61">
        <v>15008.201408386223</v>
      </c>
      <c r="G61">
        <v>17073.107528686523</v>
      </c>
    </row>
    <row r="62" spans="1:7" x14ac:dyDescent="0.3">
      <c r="A62">
        <f>A$9 * (12.750241279602 -A$8)</f>
        <v>12.750241279601999</v>
      </c>
      <c r="B62">
        <f>B$9 * (12.750241279602 -B$8)</f>
        <v>12.750241279601999</v>
      </c>
      <c r="C62">
        <f>C$9 * (12.750241279602 -C$8)</f>
        <v>12.750241279601999</v>
      </c>
      <c r="E62">
        <v>130.14928400516496</v>
      </c>
      <c r="F62">
        <v>13744.825172424287</v>
      </c>
      <c r="G62">
        <v>14480.074882507321</v>
      </c>
    </row>
    <row r="63" spans="1:7" x14ac:dyDescent="0.3">
      <c r="A63">
        <f>A$9 * (13.0001277923584 -A$8)</f>
        <v>13.0001277923584</v>
      </c>
      <c r="B63">
        <f>B$9 * (13.0001277923584 -B$8)</f>
        <v>13.0001277923584</v>
      </c>
      <c r="C63">
        <f>C$9 * (13.0001277923584 -C$8)</f>
        <v>13.0001277923584</v>
      </c>
      <c r="E63">
        <v>42.535727843641922</v>
      </c>
      <c r="F63">
        <v>15003.504753112764</v>
      </c>
      <c r="G63">
        <v>26241.649818420385</v>
      </c>
    </row>
    <row r="64" spans="1:7" x14ac:dyDescent="0.3">
      <c r="A64">
        <f>A$9 * (13.2504663467407 -A$8)</f>
        <v>13.2504663467407</v>
      </c>
      <c r="B64">
        <f>B$9 * (13.2504663467407 -B$8)</f>
        <v>13.2504663467407</v>
      </c>
      <c r="C64">
        <f>C$9 * (13.2504663467407 -C$8)</f>
        <v>13.2504663467407</v>
      </c>
      <c r="E64">
        <v>41.963579133152763</v>
      </c>
      <c r="F64">
        <v>8249.3780136108126</v>
      </c>
      <c r="G64">
        <v>14109.843349456776</v>
      </c>
    </row>
    <row r="65" spans="1:7" x14ac:dyDescent="0.3">
      <c r="A65">
        <f>A$9 * (13.5004558563232 -A$8)</f>
        <v>13.5004558563232</v>
      </c>
      <c r="B65">
        <f>B$9 * (13.5004558563232 -B$8)</f>
        <v>13.5004558563232</v>
      </c>
      <c r="C65">
        <f>C$9 * (13.5004558563232 -C$8)</f>
        <v>13.5004558563232</v>
      </c>
      <c r="E65">
        <v>57.600324600934684</v>
      </c>
      <c r="F65">
        <v>11091.787433624268</v>
      </c>
      <c r="G65">
        <v>16095.398139953604</v>
      </c>
    </row>
    <row r="66" spans="1:7" x14ac:dyDescent="0.3">
      <c r="A66">
        <f>A$9 * (13.7500858306884 -A$8)</f>
        <v>13.7500858306884</v>
      </c>
      <c r="B66">
        <f>B$9 * (13.7500858306884 -B$8)</f>
        <v>13.7500858306884</v>
      </c>
      <c r="C66">
        <f>C$9 * (13.7500858306884 -C$8)</f>
        <v>13.7500858306884</v>
      </c>
      <c r="E66">
        <v>20.862722955644099</v>
      </c>
      <c r="F66">
        <v>8616.1497116088594</v>
      </c>
      <c r="G66">
        <v>23848.638725280744</v>
      </c>
    </row>
    <row r="67" spans="1:7" x14ac:dyDescent="0.3">
      <c r="A67">
        <f>A$9 * (14.0002136230468 -A$8)</f>
        <v>14.0002136230468</v>
      </c>
      <c r="B67">
        <f>B$9 * (14.0002136230468 -B$8)</f>
        <v>14.0002136230468</v>
      </c>
      <c r="C67">
        <f>C$9 * (14.0002136230468 -C$8)</f>
        <v>14.0002136230468</v>
      </c>
      <c r="E67">
        <v>-1.1474304716102759</v>
      </c>
      <c r="F67">
        <v>-2391.1290407180768</v>
      </c>
      <c r="G67">
        <v>4044.1102981567201</v>
      </c>
    </row>
    <row r="68" spans="1:7" x14ac:dyDescent="0.3">
      <c r="A68">
        <f>A$9 * (14.2505226135253 -A$8)</f>
        <v>14.2505226135253</v>
      </c>
      <c r="B68">
        <f>B$9 * (14.2505226135253 -B$8)</f>
        <v>14.2505226135253</v>
      </c>
      <c r="C68">
        <f>C$9 * (14.2505226135253 -C$8)</f>
        <v>14.2505226135253</v>
      </c>
      <c r="E68">
        <v>-3.0948486411944014</v>
      </c>
      <c r="F68">
        <v>-2353.0219316482535</v>
      </c>
      <c r="G68">
        <v>594.58318948745637</v>
      </c>
    </row>
    <row r="69" spans="1:7" x14ac:dyDescent="0.3">
      <c r="A69">
        <f>A$9 * (14.5003080368042 -A$8)</f>
        <v>14.500308036804199</v>
      </c>
      <c r="B69">
        <f>B$9 * (14.5003080368042 -B$8)</f>
        <v>14.500308036804199</v>
      </c>
      <c r="C69">
        <f>C$9 * (14.5003080368042 -C$8)</f>
        <v>14.500308036804199</v>
      </c>
      <c r="E69">
        <v>-7.1526995860039921</v>
      </c>
      <c r="F69">
        <v>-2079.4286727905255</v>
      </c>
      <c r="G69">
        <v>-3944.8655605316162</v>
      </c>
    </row>
    <row r="70" spans="1:7" x14ac:dyDescent="0.3">
      <c r="A70">
        <f>A$9 * (14.750316619873 -A$8)</f>
        <v>14.750316619873001</v>
      </c>
      <c r="B70">
        <f>B$9 * (14.750316619873 -B$8)</f>
        <v>14.750316619873001</v>
      </c>
      <c r="C70">
        <f>C$9 * (14.750316619873 -C$8)</f>
        <v>14.750316619873001</v>
      </c>
      <c r="E70">
        <v>-3.1969004077836862</v>
      </c>
      <c r="F70">
        <v>-3220.400905609129</v>
      </c>
      <c r="G70">
        <v>1990.2829885482779</v>
      </c>
    </row>
    <row r="71" spans="1:7" x14ac:dyDescent="0.3">
      <c r="A71">
        <f>A$9 * (15.0002031326293 -A$8)</f>
        <v>15.0002031326293</v>
      </c>
      <c r="B71">
        <f>B$9 * (15.0002031326293 -B$8)</f>
        <v>15.0002031326293</v>
      </c>
      <c r="C71">
        <f>C$9 * (15.0002031326293 -C$8)</f>
        <v>15.0002031326293</v>
      </c>
      <c r="E71">
        <v>-3.4724588273093087</v>
      </c>
      <c r="F71">
        <v>-2819.0229177474971</v>
      </c>
      <c r="G71">
        <v>-694.43786144256478</v>
      </c>
    </row>
    <row r="72" spans="1:7" x14ac:dyDescent="0.3">
      <c r="A72">
        <f>A$9 * (15.2505865097045 -A$8)</f>
        <v>15.250586509704499</v>
      </c>
      <c r="B72">
        <f>B$9 * (15.2505865097045 -B$8)</f>
        <v>15.250586509704499</v>
      </c>
      <c r="C72">
        <f>C$9 * (15.2505865097045 -C$8)</f>
        <v>15.250586509704499</v>
      </c>
      <c r="E72">
        <v>-1.4643201604485492</v>
      </c>
      <c r="F72">
        <v>-1462.5428080558752</v>
      </c>
      <c r="G72">
        <v>264.31895792484255</v>
      </c>
    </row>
    <row r="73" spans="1:7" x14ac:dyDescent="0.3">
      <c r="A73">
        <f>A$9 * (15.5009031295776 -A$8)</f>
        <v>15.500903129577599</v>
      </c>
      <c r="B73">
        <f>B$9 * (15.5009031295776 -B$8)</f>
        <v>15.500903129577599</v>
      </c>
      <c r="C73">
        <f>C$9 * (15.5009031295776 -C$8)</f>
        <v>15.500903129577599</v>
      </c>
      <c r="E73">
        <v>54.272484406828802</v>
      </c>
      <c r="F73">
        <v>1752.9404282569872</v>
      </c>
      <c r="G73">
        <v>2222.9867219924913</v>
      </c>
    </row>
    <row r="74" spans="1:7" x14ac:dyDescent="0.3">
      <c r="A74">
        <f>A$9 * (15.7504529953002 -A$8)</f>
        <v>15.750452995300201</v>
      </c>
      <c r="B74">
        <f>B$9 * (15.7504529953002 -B$8)</f>
        <v>15.750452995300201</v>
      </c>
      <c r="C74">
        <f>C$9 * (15.7504529953002 -C$8)</f>
        <v>15.750452995300201</v>
      </c>
      <c r="E74">
        <v>18.871513009071336</v>
      </c>
      <c r="F74">
        <v>10648.519134521472</v>
      </c>
      <c r="G74">
        <v>36175.032806396404</v>
      </c>
    </row>
    <row r="75" spans="1:7" x14ac:dyDescent="0.3">
      <c r="A75">
        <f>A$9 * (16.0002079010009 -A$8)</f>
        <v>16.000207901000898</v>
      </c>
      <c r="B75">
        <f>B$9 * (16.0002079010009 -B$8)</f>
        <v>16.000207901000898</v>
      </c>
      <c r="C75">
        <f>C$9 * (16.0002079010009 -C$8)</f>
        <v>16.000207901000898</v>
      </c>
      <c r="E75">
        <v>113.38624209165553</v>
      </c>
      <c r="F75">
        <v>11341.87231063842</v>
      </c>
      <c r="G75">
        <v>11993.518638610813</v>
      </c>
    </row>
    <row r="76" spans="1:7" x14ac:dyDescent="0.3">
      <c r="A76">
        <f>A$9 * (16.2504806518554 -A$8)</f>
        <v>16.250480651855401</v>
      </c>
      <c r="B76">
        <f>B$9 * (16.2504806518554 -B$8)</f>
        <v>16.250480651855401</v>
      </c>
      <c r="C76">
        <f>C$9 * (16.2504806518554 -C$8)</f>
        <v>16.250480651855401</v>
      </c>
      <c r="E76">
        <v>53.169982507824841</v>
      </c>
      <c r="F76">
        <v>16752.088737487764</v>
      </c>
      <c r="G76">
        <v>25962.224578857396</v>
      </c>
    </row>
    <row r="77" spans="1:7" x14ac:dyDescent="0.3">
      <c r="A77">
        <f>A$9 * (16.5003108978271 -A$8)</f>
        <v>16.500310897827099</v>
      </c>
      <c r="B77">
        <f>B$9 * (16.5003108978271 -B$8)</f>
        <v>16.500310897827099</v>
      </c>
      <c r="C77">
        <f>C$9 * (16.5003108978271 -C$8)</f>
        <v>16.500310897827099</v>
      </c>
      <c r="E77">
        <v>34.777897596359246</v>
      </c>
      <c r="F77">
        <v>11944.123077392569</v>
      </c>
      <c r="G77">
        <v>23441.119766235322</v>
      </c>
    </row>
    <row r="78" spans="1:7" x14ac:dyDescent="0.3">
      <c r="A78">
        <f>A$9 * (16.7501640319824 -A$8)</f>
        <v>16.750164031982401</v>
      </c>
      <c r="B78">
        <f>B$9 * (16.7501640319824 -B$8)</f>
        <v>16.750164031982401</v>
      </c>
      <c r="C78">
        <f>C$9 * (16.7501640319824 -C$8)</f>
        <v>16.750164031982401</v>
      </c>
      <c r="E78">
        <v>49.917418509721678</v>
      </c>
      <c r="F78">
        <v>8321.7238426208169</v>
      </c>
      <c r="G78">
        <v>12868.912696838364</v>
      </c>
    </row>
    <row r="79" spans="1:7" x14ac:dyDescent="0.3">
      <c r="A79">
        <f>A$9 * (17.0000896453857 -A$8)</f>
        <v>17.0000896453857</v>
      </c>
      <c r="B79">
        <f>B$9 * (17.0000896453857 -B$8)</f>
        <v>17.0000896453857</v>
      </c>
      <c r="C79">
        <f>C$9 * (17.0000896453857 -C$8)</f>
        <v>17.0000896453857</v>
      </c>
      <c r="E79">
        <v>27.309251390397517</v>
      </c>
      <c r="F79">
        <v>10906.095314025864</v>
      </c>
      <c r="G79">
        <v>25058.835983276353</v>
      </c>
    </row>
    <row r="80" spans="1:7" x14ac:dyDescent="0.3">
      <c r="A80">
        <f>A$9 * (17.2500286102294 -A$8)</f>
        <v>17.2500286102294</v>
      </c>
      <c r="B80">
        <f>B$9 * (17.2500286102294 -B$8)</f>
        <v>17.2500286102294</v>
      </c>
      <c r="C80">
        <f>C$9 * (17.2500286102294 -C$8)</f>
        <v>17.2500286102294</v>
      </c>
      <c r="E80">
        <v>12.260012794286004</v>
      </c>
      <c r="F80">
        <v>3211.2665891647307</v>
      </c>
      <c r="G80">
        <v>13068.28451156616</v>
      </c>
    </row>
    <row r="81" spans="1:7" x14ac:dyDescent="0.3">
      <c r="A81">
        <f>A$9 * (17.5003700256347 -A$8)</f>
        <v>17.500370025634702</v>
      </c>
      <c r="B81">
        <f>B$9 * (17.5003700256347 -B$8)</f>
        <v>17.500370025634702</v>
      </c>
      <c r="C81">
        <f>C$9 * (17.5003700256347 -C$8)</f>
        <v>17.500370025634702</v>
      </c>
      <c r="E81">
        <v>1.4488682267256048</v>
      </c>
      <c r="F81">
        <v>-3460.2313756942731</v>
      </c>
      <c r="G81">
        <v>3876.4833927154195</v>
      </c>
    </row>
    <row r="82" spans="1:7" x14ac:dyDescent="0.3">
      <c r="A82">
        <f>A$9 * (17.7502841949462 -A$8)</f>
        <v>17.7502841949462</v>
      </c>
      <c r="B82">
        <f>B$9 * (17.7502841949462 -B$8)</f>
        <v>17.7502841949462</v>
      </c>
      <c r="C82">
        <f>C$9 * (17.7502841949462 -C$8)</f>
        <v>17.7502841949462</v>
      </c>
      <c r="E82">
        <v>-3.9929613936692396</v>
      </c>
      <c r="F82">
        <v>-3014.5583152770982</v>
      </c>
      <c r="G82">
        <v>280.62694966793038</v>
      </c>
    </row>
    <row r="83" spans="1:7" x14ac:dyDescent="0.3">
      <c r="A83">
        <f>A$9 * (18.0002727508544 -A$8)</f>
        <v>18.0002727508544</v>
      </c>
      <c r="B83">
        <f>B$9 * (18.0002727508544 -B$8)</f>
        <v>18.0002727508544</v>
      </c>
      <c r="C83">
        <f>C$9 * (18.0002727508544 -C$8)</f>
        <v>18.0002727508544</v>
      </c>
      <c r="E83">
        <v>-1.9337723264470681</v>
      </c>
      <c r="F83">
        <v>-1138.6248707771279</v>
      </c>
      <c r="G83">
        <v>47.69647233188148</v>
      </c>
    </row>
    <row r="84" spans="1:7" x14ac:dyDescent="0.3">
      <c r="A84">
        <f>A$9 * (18.250467300415 -A$8)</f>
        <v>18.250467300415</v>
      </c>
      <c r="B84">
        <f>B$9 * (18.250467300415 -B$8)</f>
        <v>18.250467300415</v>
      </c>
      <c r="C84">
        <f>C$9 * (18.250467300415 -C$8)</f>
        <v>18.250467300415</v>
      </c>
      <c r="E84">
        <v>-3.1539462972432371</v>
      </c>
      <c r="F84">
        <v>-1502.6267051696771</v>
      </c>
      <c r="G84">
        <v>-942.77050495147444</v>
      </c>
    </row>
    <row r="85" spans="1:7" x14ac:dyDescent="0.3">
      <c r="A85">
        <f>A$9 * (18.5007076263427 -A$8)</f>
        <v>18.500707626342699</v>
      </c>
      <c r="B85">
        <f>B$9 * (18.5007076263427 -B$8)</f>
        <v>18.500707626342699</v>
      </c>
      <c r="C85">
        <f>C$9 * (18.5007076263427 -C$8)</f>
        <v>18.500707626342699</v>
      </c>
      <c r="E85">
        <v>-2.1011111559346318</v>
      </c>
      <c r="F85">
        <v>-864.35279846191077</v>
      </c>
      <c r="G85">
        <v>-627.42276191711153</v>
      </c>
    </row>
    <row r="86" spans="1:7" x14ac:dyDescent="0.3">
      <c r="A86">
        <f>A$9 * (18.7505283355712 -A$8)</f>
        <v>18.7505283355712</v>
      </c>
      <c r="B86">
        <f>B$9 * (18.7505283355712 -B$8)</f>
        <v>18.7505283355712</v>
      </c>
      <c r="C86">
        <f>C$9 * (18.7505283355712 -C$8)</f>
        <v>18.7505283355712</v>
      </c>
      <c r="E86">
        <v>-1.0296137072145923</v>
      </c>
      <c r="F86">
        <v>-5331.2363147735286</v>
      </c>
      <c r="G86">
        <v>6587.305355072016</v>
      </c>
    </row>
    <row r="87" spans="1:7" x14ac:dyDescent="0.3">
      <c r="A87">
        <f>A$9 * (19.0007953643798 -A$8)</f>
        <v>19.000795364379801</v>
      </c>
      <c r="B87">
        <f>B$9 * (19.0007953643798 -B$8)</f>
        <v>19.000795364379801</v>
      </c>
      <c r="C87">
        <f>C$9 * (19.0007953643798 -C$8)</f>
        <v>19.000795364379801</v>
      </c>
      <c r="E87">
        <v>221.72680646181109</v>
      </c>
      <c r="F87">
        <v>17968.906974792455</v>
      </c>
      <c r="G87">
        <v>18743.396759033185</v>
      </c>
    </row>
    <row r="88" spans="1:7" x14ac:dyDescent="0.3">
      <c r="A88">
        <f>A$9 * (19.2505550384521 -A$8)</f>
        <v>19.250555038452099</v>
      </c>
      <c r="B88">
        <f>B$9 * (19.2505550384521 -B$8)</f>
        <v>19.250555038452099</v>
      </c>
      <c r="C88">
        <f>C$9 * (19.2505550384521 -C$8)</f>
        <v>19.250555038452099</v>
      </c>
      <c r="E88">
        <v>109.44532603025424</v>
      </c>
      <c r="F88">
        <v>14244.904804229713</v>
      </c>
      <c r="G88">
        <v>15497.30587005612</v>
      </c>
    </row>
    <row r="89" spans="1:7" x14ac:dyDescent="0.3">
      <c r="A89">
        <f>A$9 * (19.5006828308105 -A$8)</f>
        <v>19.500682830810501</v>
      </c>
      <c r="B89">
        <f>B$9 * (19.5006828308105 -B$8)</f>
        <v>19.500682830810501</v>
      </c>
      <c r="C89">
        <f>C$9 * (19.5006828308105 -C$8)</f>
        <v>19.500682830810501</v>
      </c>
      <c r="E89">
        <v>113.68184834718684</v>
      </c>
      <c r="F89">
        <v>16370.906066894519</v>
      </c>
      <c r="G89">
        <v>17764.588737487764</v>
      </c>
    </row>
    <row r="90" spans="1:7" x14ac:dyDescent="0.3">
      <c r="A90">
        <f>A$9 * (19.7502193450927 -A$8)</f>
        <v>19.750219345092699</v>
      </c>
      <c r="B90">
        <f>B$9 * (19.7502193450927 -B$8)</f>
        <v>19.750219345092699</v>
      </c>
      <c r="C90">
        <f>C$9 * (19.7502193450927 -C$8)</f>
        <v>19.750219345092699</v>
      </c>
      <c r="E90">
        <v>41.249772906303235</v>
      </c>
      <c r="F90">
        <v>14636.008644103982</v>
      </c>
      <c r="G90">
        <v>26065.518379211411</v>
      </c>
    </row>
    <row r="91" spans="1:7" x14ac:dyDescent="0.3">
      <c r="A91">
        <f>A$9 * (20.0001525878906 -A$8)</f>
        <v>20.0001525878906</v>
      </c>
      <c r="B91">
        <f>B$9 * (20.0001525878906 -B$8)</f>
        <v>20.0001525878906</v>
      </c>
      <c r="C91">
        <f>C$9 * (20.0001525878906 -C$8)</f>
        <v>20.0001525878906</v>
      </c>
      <c r="E91">
        <v>43.835221230983642</v>
      </c>
      <c r="F91">
        <v>7850.9450912475604</v>
      </c>
      <c r="G91">
        <v>13054.053783416724</v>
      </c>
    </row>
    <row r="92" spans="1:7" x14ac:dyDescent="0.3">
      <c r="A92">
        <f>A$9 * (20.2503356933593 -A$8)</f>
        <v>20.2503356933593</v>
      </c>
      <c r="B92">
        <f>B$9 * (20.2503356933593 -B$8)</f>
        <v>20.2503356933593</v>
      </c>
      <c r="C92">
        <f>C$9 * (20.2503356933593 -C$8)</f>
        <v>20.2503356933593</v>
      </c>
      <c r="E92">
        <v>50.516748055815476</v>
      </c>
      <c r="F92">
        <v>12385.194969177215</v>
      </c>
      <c r="G92">
        <v>19418.324661254879</v>
      </c>
    </row>
    <row r="93" spans="1:7" x14ac:dyDescent="0.3">
      <c r="A93">
        <f>A$9 * (20.5001564025878 -A$8)</f>
        <v>20.500156402587798</v>
      </c>
      <c r="B93">
        <f>B$9 * (20.5001564025878 -B$8)</f>
        <v>20.500156402587798</v>
      </c>
      <c r="C93">
        <f>C$9 * (20.5001564025878 -C$8)</f>
        <v>20.500156402587798</v>
      </c>
      <c r="E93">
        <v>21.652293205261223</v>
      </c>
      <c r="F93">
        <v>8301.6823768615432</v>
      </c>
      <c r="G93">
        <v>22288.384437561035</v>
      </c>
    </row>
    <row r="94" spans="1:7" x14ac:dyDescent="0.3">
      <c r="A94">
        <f>A$9 * (20.7501468658447 -A$8)</f>
        <v>20.750146865844702</v>
      </c>
      <c r="B94">
        <f>B$9 * (20.7501468658447 -B$8)</f>
        <v>20.750146865844702</v>
      </c>
      <c r="C94">
        <f>C$9 * (20.7501468658447 -C$8)</f>
        <v>20.750146865844702</v>
      </c>
      <c r="E94">
        <v>-2.1569107426330429</v>
      </c>
      <c r="F94">
        <v>-1047.713434696195</v>
      </c>
      <c r="G94">
        <v>-484.81233716010956</v>
      </c>
    </row>
    <row r="95" spans="1:7" x14ac:dyDescent="0.3">
      <c r="A95">
        <f>A$9 * (21.0000190734863 -A$8)</f>
        <v>21.0000190734863</v>
      </c>
      <c r="B95">
        <f>B$9 * (21.0000190734863 -B$8)</f>
        <v>21.0000190734863</v>
      </c>
      <c r="C95">
        <f>C$9 * (21.0000190734863 -C$8)</f>
        <v>21.0000190734863</v>
      </c>
      <c r="E95">
        <v>-7.7900687232613564</v>
      </c>
      <c r="F95">
        <v>-1327.8899073600755</v>
      </c>
      <c r="G95">
        <v>-6023.7071514129602</v>
      </c>
    </row>
    <row r="96" spans="1:7" x14ac:dyDescent="0.3">
      <c r="A96">
        <f>A$9 * (21.2506504058837 -A$8)</f>
        <v>21.2506504058837</v>
      </c>
      <c r="B96">
        <f>B$9 * (21.2506504058837 -B$8)</f>
        <v>21.2506504058837</v>
      </c>
      <c r="C96">
        <f>C$9 * (21.2506504058837 -C$8)</f>
        <v>21.2506504058837</v>
      </c>
      <c r="E96">
        <v>-2.4054976645857074</v>
      </c>
      <c r="F96">
        <v>-4005.7306766509682</v>
      </c>
      <c r="G96">
        <v>4325.6448268890117</v>
      </c>
    </row>
    <row r="97" spans="1:7" x14ac:dyDescent="0.3">
      <c r="A97">
        <f>A$9 * (21.5003585815429 -A$8)</f>
        <v>21.500358581542901</v>
      </c>
      <c r="B97">
        <f>B$9 * (21.5003585815429 -B$8)</f>
        <v>21.500358581542901</v>
      </c>
      <c r="C97">
        <f>C$9 * (21.5003585815429 -C$8)</f>
        <v>21.500358581542901</v>
      </c>
      <c r="E97">
        <v>-4.7144270036369527</v>
      </c>
      <c r="F97">
        <v>-1936.917757987974</v>
      </c>
      <c r="G97">
        <v>-2215.1250600814801</v>
      </c>
    </row>
    <row r="98" spans="1:7" x14ac:dyDescent="0.3">
      <c r="A98">
        <f>A$9 * (21.7503852844238 -A$8)</f>
        <v>21.7503852844238</v>
      </c>
      <c r="B98">
        <f>B$9 * (21.7503852844238 -B$8)</f>
        <v>21.7503852844238</v>
      </c>
      <c r="C98">
        <f>C$9 * (21.7503852844238 -C$8)</f>
        <v>21.7503852844238</v>
      </c>
      <c r="E98">
        <v>-0.19819727749563731</v>
      </c>
      <c r="F98">
        <v>-1376.566958427426</v>
      </c>
      <c r="G98">
        <v>1189.5227909088121</v>
      </c>
    </row>
    <row r="99" spans="1:7" x14ac:dyDescent="0.3">
      <c r="A99">
        <f>A$9 * (22.0001201629638 -A$8)</f>
        <v>22.0001201629638</v>
      </c>
      <c r="B99">
        <f>B$9 * (22.0001201629638 -B$8)</f>
        <v>22.0001201629638</v>
      </c>
      <c r="C99">
        <f>C$9 * (22.0001201629638 -C$8)</f>
        <v>22.0001201629638</v>
      </c>
      <c r="E99">
        <v>-4.5133451465516998</v>
      </c>
      <c r="F99">
        <v>-1734.9516034126273</v>
      </c>
      <c r="G99">
        <v>-1115.8318877220145</v>
      </c>
    </row>
    <row r="100" spans="1:7" x14ac:dyDescent="0.3">
      <c r="A100">
        <f>A$9 * (22.2503337860107 -A$8)</f>
        <v>22.2503337860107</v>
      </c>
      <c r="B100">
        <f>B$9 * (22.2503337860107 -B$8)</f>
        <v>22.2503337860107</v>
      </c>
      <c r="C100">
        <f>C$9 * (22.2503337860107 -C$8)</f>
        <v>22.2503337860107</v>
      </c>
      <c r="E100">
        <v>256.60323500633211</v>
      </c>
      <c r="F100">
        <v>10575.306415557829</v>
      </c>
      <c r="G100">
        <v>11084.241199493375</v>
      </c>
    </row>
    <row r="101" spans="1:7" x14ac:dyDescent="0.3">
      <c r="A101">
        <f>A$9 * (22.5006771087646 -A$8)</f>
        <v>22.500677108764599</v>
      </c>
      <c r="B101">
        <f>B$9 * (22.5006771087646 -B$8)</f>
        <v>22.500677108764599</v>
      </c>
      <c r="C101">
        <f>C$9 * (22.5006771087646 -C$8)</f>
        <v>22.500677108764599</v>
      </c>
      <c r="E101">
        <v>91.741029918193803</v>
      </c>
      <c r="F101">
        <v>15523.753738403304</v>
      </c>
      <c r="G101">
        <v>18394.330215454091</v>
      </c>
    </row>
    <row r="102" spans="1:7" x14ac:dyDescent="0.3">
      <c r="A102">
        <f>A$9 * (22.7506465911865 -A$8)</f>
        <v>22.750646591186499</v>
      </c>
      <c r="B102">
        <f>B$9 * (22.7506465911865 -B$8)</f>
        <v>22.750646591186499</v>
      </c>
      <c r="C102">
        <f>C$9 * (22.7506465911865 -C$8)</f>
        <v>22.750646591186499</v>
      </c>
      <c r="E102">
        <v>127.36908048391307</v>
      </c>
      <c r="F102">
        <v>12713.691329956044</v>
      </c>
      <c r="G102">
        <v>13398.444271087632</v>
      </c>
    </row>
    <row r="103" spans="1:7" x14ac:dyDescent="0.3">
      <c r="A103">
        <f>A$9 * (23.0002193450927 -A$8)</f>
        <v>23.000219345092699</v>
      </c>
      <c r="B103">
        <f>B$9 * (23.0002193450927 -B$8)</f>
        <v>23.000219345092699</v>
      </c>
      <c r="C103">
        <f>C$9 * (23.0002193450927 -C$8)</f>
        <v>23.000219345092699</v>
      </c>
      <c r="E103">
        <v>43.3371584862468</v>
      </c>
      <c r="F103">
        <v>15278.169822692867</v>
      </c>
      <c r="G103">
        <v>26454.06017303465</v>
      </c>
    </row>
    <row r="104" spans="1:7" x14ac:dyDescent="0.3">
      <c r="A104">
        <f>A$9 * (23.2500896453857 -A$8)</f>
        <v>23.2500896453857</v>
      </c>
      <c r="B104">
        <f>B$9 * (23.2500896453857 -B$8)</f>
        <v>23.2500896453857</v>
      </c>
      <c r="C104">
        <f>C$9 * (23.2500896453857 -C$8)</f>
        <v>23.2500896453857</v>
      </c>
      <c r="E104">
        <v>41.39762297272668</v>
      </c>
      <c r="F104">
        <v>8766.327667236299</v>
      </c>
      <c r="G104">
        <v>15166.73583984373</v>
      </c>
    </row>
    <row r="105" spans="1:7" x14ac:dyDescent="0.3">
      <c r="A105">
        <f>A$9 * (23.5000133514404 -A$8)</f>
        <v>23.500013351440401</v>
      </c>
      <c r="B105">
        <f>B$9 * (23.5000133514404 -B$8)</f>
        <v>23.500013351440401</v>
      </c>
      <c r="C105">
        <f>C$9 * (23.5000133514404 -C$8)</f>
        <v>23.500013351440401</v>
      </c>
      <c r="E105">
        <v>57.300011068582435</v>
      </c>
      <c r="F105">
        <v>9997.0418930053675</v>
      </c>
      <c r="G105">
        <v>14465.7823562622</v>
      </c>
    </row>
    <row r="106" spans="1:7" x14ac:dyDescent="0.3">
      <c r="A106">
        <f>A$9 * (23.7500133514404 -A$8)</f>
        <v>23.750013351440401</v>
      </c>
      <c r="B106">
        <f>B$9 * (23.7500133514404 -B$8)</f>
        <v>23.750013351440401</v>
      </c>
      <c r="C106">
        <f>C$9 * (23.7500133514404 -C$8)</f>
        <v>23.750013351440401</v>
      </c>
      <c r="E106">
        <v>21.073643490672108</v>
      </c>
      <c r="F106">
        <v>8978.4075736999439</v>
      </c>
      <c r="G106">
        <v>24725.069618225076</v>
      </c>
    </row>
    <row r="107" spans="1:7" x14ac:dyDescent="0.3">
      <c r="A107">
        <f>A$9 * (24.0001602172851 -A$8)</f>
        <v>24.000160217285099</v>
      </c>
      <c r="B107">
        <f>B$9 * (24.0001602172851 -B$8)</f>
        <v>24.000160217285099</v>
      </c>
      <c r="C107">
        <f>C$9 * (24.0001602172851 -C$8)</f>
        <v>24.000160217285099</v>
      </c>
      <c r="E107">
        <v>-12.157073803245996</v>
      </c>
      <c r="F107">
        <v>-3247.3302841186523</v>
      </c>
      <c r="G107">
        <v>3939.5303249358963</v>
      </c>
    </row>
    <row r="108" spans="1:7" x14ac:dyDescent="0.3">
      <c r="A108">
        <f>A$9 * (24.2501945495605 -A$8)</f>
        <v>24.250194549560501</v>
      </c>
      <c r="B108">
        <f>B$9 * (24.2501945495605 -B$8)</f>
        <v>24.250194549560501</v>
      </c>
      <c r="C108">
        <f>C$9 * (24.2501945495605 -C$8)</f>
        <v>24.250194549560501</v>
      </c>
      <c r="E108">
        <v>2.5311895413324228</v>
      </c>
      <c r="F108">
        <v>-1509.0397596359244</v>
      </c>
      <c r="G108">
        <v>3301.9361972808806</v>
      </c>
    </row>
    <row r="109" spans="1:7" x14ac:dyDescent="0.3">
      <c r="A109">
        <f>A$9 * (24.5002727508544 -A$8)</f>
        <v>24.5002727508544</v>
      </c>
      <c r="B109">
        <f>B$9 * (24.5002727508544 -B$8)</f>
        <v>24.5002727508544</v>
      </c>
      <c r="C109">
        <f>C$9 * (24.5002727508544 -C$8)</f>
        <v>24.5002727508544</v>
      </c>
      <c r="E109">
        <v>-2.1785936783999187</v>
      </c>
      <c r="F109">
        <v>-3882.1606636047122</v>
      </c>
      <c r="G109">
        <v>2537.3139381408673</v>
      </c>
    </row>
    <row r="110" spans="1:7" x14ac:dyDescent="0.3">
      <c r="A110">
        <f>A$9 * (24.7504272460937 -A$8)</f>
        <v>24.7504272460937</v>
      </c>
      <c r="B110">
        <f>B$9 * (24.7504272460937 -B$8)</f>
        <v>24.7504272460937</v>
      </c>
      <c r="C110">
        <f>C$9 * (24.7504272460937 -C$8)</f>
        <v>24.7504272460937</v>
      </c>
      <c r="E110">
        <v>-1.9804693758487666</v>
      </c>
      <c r="F110">
        <v>-5279.7924041747756</v>
      </c>
      <c r="G110">
        <v>2800.2968072891208</v>
      </c>
    </row>
    <row r="111" spans="1:7" x14ac:dyDescent="0.3">
      <c r="A111">
        <f>A$9 * (25.0006027221679 -A$8)</f>
        <v>25.000602722167901</v>
      </c>
      <c r="B111">
        <f>B$9 * (25.0006027221679 -B$8)</f>
        <v>25.000602722167901</v>
      </c>
      <c r="C111">
        <f>C$9 * (25.0006027221679 -C$8)</f>
        <v>25.000602722167901</v>
      </c>
      <c r="E111">
        <v>-2.4005800019949657</v>
      </c>
      <c r="F111">
        <v>-4764.4344806671079</v>
      </c>
      <c r="G111">
        <v>4922.8594779967916</v>
      </c>
    </row>
    <row r="112" spans="1:7" x14ac:dyDescent="0.3">
      <c r="A112">
        <f>A$9 * (25.2504062652587 -A$8)</f>
        <v>25.2504062652587</v>
      </c>
      <c r="B112">
        <f>B$9 * (25.2504062652587 -B$8)</f>
        <v>25.2504062652587</v>
      </c>
      <c r="C112">
        <f>C$9 * (25.2504062652587 -C$8)</f>
        <v>25.2504062652587</v>
      </c>
      <c r="E112">
        <v>-0.99793912377208316</v>
      </c>
      <c r="F112">
        <v>-2324.8003721237169</v>
      </c>
      <c r="G112">
        <v>809.61878299713123</v>
      </c>
    </row>
    <row r="113" spans="1:7" x14ac:dyDescent="0.3">
      <c r="A113">
        <f>A$9 * (25.5004444122314 -A$8)</f>
        <v>25.500444412231399</v>
      </c>
      <c r="B113">
        <f>B$9 * (25.5004444122314 -B$8)</f>
        <v>25.500444412231399</v>
      </c>
      <c r="C113">
        <f>C$9 * (25.5004444122314 -C$8)</f>
        <v>25.500444412231399</v>
      </c>
      <c r="E113">
        <v>95.981253683567033</v>
      </c>
      <c r="F113">
        <v>3241.2747144699074</v>
      </c>
      <c r="G113">
        <v>3724.7111320495319</v>
      </c>
    </row>
    <row r="114" spans="1:7" x14ac:dyDescent="0.3">
      <c r="A114">
        <f>A$9 * (25.750186920166 -A$8)</f>
        <v>25.750186920166001</v>
      </c>
      <c r="B114">
        <f>B$9 * (25.750186920166 -B$8)</f>
        <v>25.750186920166001</v>
      </c>
      <c r="C114">
        <f>C$9 * (25.750186920166 -C$8)</f>
        <v>25.750186920166001</v>
      </c>
      <c r="E114">
        <v>7.0821650326251948</v>
      </c>
      <c r="F114">
        <v>1054.4598340988148</v>
      </c>
      <c r="G114">
        <v>33289.556121826165</v>
      </c>
    </row>
    <row r="115" spans="1:7" x14ac:dyDescent="0.3">
      <c r="A115">
        <f>A$9 * (26.0004730224609 -A$8)</f>
        <v>26.000473022460898</v>
      </c>
      <c r="B115">
        <f>B$9 * (26.0004730224609 -B$8)</f>
        <v>26.000473022460898</v>
      </c>
      <c r="C115">
        <f>C$9 * (26.0004730224609 -C$8)</f>
        <v>26.000473022460898</v>
      </c>
      <c r="E115">
        <v>111.1736878752708</v>
      </c>
      <c r="F115">
        <v>11044.123077392569</v>
      </c>
      <c r="G115">
        <v>11686.125469207753</v>
      </c>
    </row>
    <row r="116" spans="1:7" x14ac:dyDescent="0.3">
      <c r="A116">
        <f>A$9 * (26.2503643035888 -A$8)</f>
        <v>26.2503643035888</v>
      </c>
      <c r="B116">
        <f>B$9 * (26.2503643035888 -B$8)</f>
        <v>26.2503643035888</v>
      </c>
      <c r="C116">
        <f>C$9 * (26.2503643035888 -C$8)</f>
        <v>26.2503643035888</v>
      </c>
      <c r="E116">
        <v>51.41278691589816</v>
      </c>
      <c r="F116">
        <v>16798.947143554655</v>
      </c>
      <c r="G116">
        <v>26584.524536132809</v>
      </c>
    </row>
    <row r="117" spans="1:7" x14ac:dyDescent="0.3">
      <c r="A117">
        <f>A$9 * (26.5004444122314 -A$8)</f>
        <v>26.500444412231399</v>
      </c>
      <c r="B117">
        <f>B$9 * (26.5004444122314 -B$8)</f>
        <v>26.500444412231399</v>
      </c>
      <c r="C117">
        <f>C$9 * (26.5004444122314 -C$8)</f>
        <v>26.500444412231399</v>
      </c>
      <c r="E117">
        <v>35.647566989064188</v>
      </c>
      <c r="F117">
        <v>11616.033554077141</v>
      </c>
      <c r="G117">
        <v>22394.623947143544</v>
      </c>
    </row>
    <row r="118" spans="1:7" x14ac:dyDescent="0.3">
      <c r="A118">
        <f>A$9 * (26.7501506805419 -A$8)</f>
        <v>26.7501506805419</v>
      </c>
      <c r="B118">
        <f>B$9 * (26.7501506805419 -B$8)</f>
        <v>26.7501506805419</v>
      </c>
      <c r="C118">
        <f>C$9 * (26.7501506805419 -C$8)</f>
        <v>26.7501506805419</v>
      </c>
      <c r="E118">
        <v>49.38497990369784</v>
      </c>
      <c r="F118">
        <v>8053.8548469543357</v>
      </c>
      <c r="G118">
        <v>12509.625434875488</v>
      </c>
    </row>
    <row r="119" spans="1:7" x14ac:dyDescent="0.3">
      <c r="A119">
        <f>A$9 * (27.0004863739013 -A$8)</f>
        <v>27.0004863739013</v>
      </c>
      <c r="B119">
        <f>B$9 * (27.0004863739013 -B$8)</f>
        <v>27.0004863739013</v>
      </c>
      <c r="C119">
        <f>C$9 * (27.0004863739013 -C$8)</f>
        <v>27.0004863739013</v>
      </c>
      <c r="E119">
        <v>26.741808280348774</v>
      </c>
      <c r="F119">
        <v>10884.801578521716</v>
      </c>
      <c r="G119">
        <v>25387.977790832505</v>
      </c>
    </row>
    <row r="120" spans="1:7" x14ac:dyDescent="0.3">
      <c r="A120">
        <f>A$9 * (27.2503356933593 -A$8)</f>
        <v>27.2503356933593</v>
      </c>
      <c r="B120">
        <f>B$9 * (27.2503356933593 -B$8)</f>
        <v>27.2503356933593</v>
      </c>
      <c r="C120">
        <f>C$9 * (27.2503356933593 -C$8)</f>
        <v>27.2503356933593</v>
      </c>
      <c r="E120">
        <v>10.806166660040605</v>
      </c>
      <c r="F120">
        <v>2756.0246944427458</v>
      </c>
      <c r="G120">
        <v>12443.843078613252</v>
      </c>
    </row>
    <row r="121" spans="1:7" x14ac:dyDescent="0.3">
      <c r="A121">
        <f>A$9 * (27.5001564025878 -A$8)</f>
        <v>27.500156402587798</v>
      </c>
      <c r="B121">
        <f>B$9 * (27.5001564025878 -B$8)</f>
        <v>27.500156402587798</v>
      </c>
      <c r="C121">
        <f>C$9 * (27.5001564025878 -C$8)</f>
        <v>27.500156402587798</v>
      </c>
      <c r="E121">
        <v>-1.804773160256443</v>
      </c>
      <c r="F121">
        <v>-3909.6359252929442</v>
      </c>
      <c r="G121">
        <v>1456.0890913009619</v>
      </c>
    </row>
    <row r="122" spans="1:7" x14ac:dyDescent="0.3">
      <c r="A122">
        <f>A$9 * (27.7503814697265 -A$8)</f>
        <v>27.750381469726499</v>
      </c>
      <c r="B122">
        <f>B$9 * (27.7503814697265 -B$8)</f>
        <v>27.750381469726499</v>
      </c>
      <c r="C122">
        <f>C$9 * (27.7503814697265 -C$8)</f>
        <v>27.750381469726499</v>
      </c>
      <c r="E122">
        <v>-5.6644633412360994</v>
      </c>
      <c r="F122">
        <v>-1943.9586639404281</v>
      </c>
      <c r="G122">
        <v>-2590.2161121368376</v>
      </c>
    </row>
    <row r="123" spans="1:7" x14ac:dyDescent="0.3">
      <c r="A123">
        <f>A$9 * (28.0005550384521 -A$8)</f>
        <v>28.000555038452099</v>
      </c>
      <c r="B123">
        <f>B$9 * (28.0005550384521 -B$8)</f>
        <v>28.000555038452099</v>
      </c>
      <c r="C123">
        <f>C$9 * (28.0005550384521 -C$8)</f>
        <v>28.000555038452099</v>
      </c>
      <c r="E123">
        <v>-4.9636872019618563</v>
      </c>
      <c r="F123">
        <v>-3984.0442657470721</v>
      </c>
      <c r="G123">
        <v>1995.9231376647938</v>
      </c>
    </row>
    <row r="124" spans="1:7" x14ac:dyDescent="0.3">
      <c r="A124">
        <f>A$9 * (28.2506675720214 -A$8)</f>
        <v>28.250667572021399</v>
      </c>
      <c r="B124">
        <f>B$9 * (28.2506675720214 -B$8)</f>
        <v>28.250667572021399</v>
      </c>
      <c r="C124">
        <f>C$9 * (28.2506675720214 -C$8)</f>
        <v>28.250667572021399</v>
      </c>
      <c r="E124">
        <v>-3.4306262154132119</v>
      </c>
      <c r="F124">
        <v>-3375.3958940505963</v>
      </c>
      <c r="G124">
        <v>30.887718871235833</v>
      </c>
    </row>
    <row r="125" spans="1:7" x14ac:dyDescent="0.3">
      <c r="A125">
        <f>A$9 * (28.500165939331 -A$8)</f>
        <v>28.500165939331001</v>
      </c>
      <c r="B125">
        <f>B$9 * (28.500165939331 -B$8)</f>
        <v>28.500165939331001</v>
      </c>
      <c r="C125">
        <f>C$9 * (28.500165939331 -C$8)</f>
        <v>28.500165939331001</v>
      </c>
      <c r="E125">
        <v>-1.9768276484683129</v>
      </c>
      <c r="F125">
        <v>-969.78453397750798</v>
      </c>
      <c r="G125">
        <v>-707.20270872116043</v>
      </c>
    </row>
    <row r="126" spans="1:7" x14ac:dyDescent="0.3">
      <c r="A126">
        <f>A$9 * (28.7503337860107 -A$8)</f>
        <v>28.7503337860107</v>
      </c>
      <c r="B126">
        <f>B$9 * (28.7503337860107 -B$8)</f>
        <v>28.7503337860107</v>
      </c>
      <c r="C126">
        <f>C$9 * (28.7503337860107 -C$8)</f>
        <v>28.7503337860107</v>
      </c>
      <c r="E126">
        <v>51.006958633661036</v>
      </c>
      <c r="F126">
        <v>1767.6874279975859</v>
      </c>
      <c r="G126">
        <v>3089.4515991210924</v>
      </c>
    </row>
    <row r="127" spans="1:7" x14ac:dyDescent="0.3">
      <c r="A127">
        <f>A$9 * (29.0003337860107 -A$8)</f>
        <v>29.0003337860107</v>
      </c>
      <c r="B127">
        <f>B$9 * (29.0003337860107 -B$8)</f>
        <v>29.0003337860107</v>
      </c>
      <c r="C127">
        <f>C$9 * (29.0003337860107 -C$8)</f>
        <v>29.0003337860107</v>
      </c>
      <c r="E127">
        <v>47.037815675139242</v>
      </c>
      <c r="F127">
        <v>23019.430160522446</v>
      </c>
      <c r="G127">
        <v>39900.13275146472</v>
      </c>
    </row>
    <row r="128" spans="1:7" x14ac:dyDescent="0.3">
      <c r="A128">
        <f>A$9 * (29.2503337860107 -A$8)</f>
        <v>29.2503337860107</v>
      </c>
      <c r="B128">
        <f>B$9 * (29.2503337860107 -B$8)</f>
        <v>29.2503337860107</v>
      </c>
      <c r="C128">
        <f>C$9 * (29.2503337860107 -C$8)</f>
        <v>29.2503337860107</v>
      </c>
      <c r="E128">
        <v>103.31589505076388</v>
      </c>
      <c r="F128">
        <v>11348.24008941648</v>
      </c>
      <c r="G128">
        <v>12302.964019775376</v>
      </c>
    </row>
    <row r="129" spans="1:7" x14ac:dyDescent="0.3">
      <c r="A129">
        <f>A$9 * (29.5004444122314 -A$8)</f>
        <v>29.500444412231399</v>
      </c>
      <c r="B129">
        <f>B$9 * (29.5004444122314 -B$8)</f>
        <v>29.500444412231399</v>
      </c>
      <c r="C129">
        <f>C$9 * (29.5004444122314 -C$8)</f>
        <v>29.500444412231399</v>
      </c>
      <c r="E129">
        <v>75.464205443858873</v>
      </c>
      <c r="F129">
        <v>17480.224800109834</v>
      </c>
      <c r="G129">
        <v>22735.943412780744</v>
      </c>
    </row>
    <row r="130" spans="1:7" x14ac:dyDescent="0.3">
      <c r="A130">
        <f>A$9 * (29.750165939331 -A$8)</f>
        <v>29.750165939331001</v>
      </c>
      <c r="B130">
        <f>B$9 * (29.750165939331 -B$8)</f>
        <v>29.750165939331001</v>
      </c>
      <c r="C130">
        <f>C$9 * (29.750165939331 -C$8)</f>
        <v>29.750165939331001</v>
      </c>
      <c r="E130">
        <v>36.262510344385923</v>
      </c>
      <c r="F130">
        <v>13600.087165832509</v>
      </c>
      <c r="G130">
        <v>26149.697685241666</v>
      </c>
    </row>
    <row r="131" spans="1:7" x14ac:dyDescent="0.3">
      <c r="A131">
        <f>A$9 * (30.00022315979 -A$8)</f>
        <v>30.00022315979</v>
      </c>
      <c r="B131">
        <f>B$9 * (30.00022315979 -B$8)</f>
        <v>30.00022315979</v>
      </c>
      <c r="C131">
        <f>C$9 * (30.00022315979 -C$8)</f>
        <v>30.00022315979</v>
      </c>
      <c r="E131">
        <v>43.873234838247242</v>
      </c>
      <c r="F131">
        <v>7233.4010124206288</v>
      </c>
      <c r="G131">
        <v>11982.632732391348</v>
      </c>
    </row>
    <row r="132" spans="1:7" x14ac:dyDescent="0.3">
      <c r="A132">
        <f>A$9 * (30.2504997253418 -A$8)</f>
        <v>30.2504997253418</v>
      </c>
      <c r="B132">
        <f>B$9 * (30.2504997253418 -B$8)</f>
        <v>30.2504997253418</v>
      </c>
      <c r="C132">
        <f>C$9 * (30.2504997253418 -C$8)</f>
        <v>30.2504997253418</v>
      </c>
      <c r="E132">
        <v>40.038551017641723</v>
      </c>
      <c r="F132">
        <v>12697.815227508539</v>
      </c>
      <c r="G132">
        <v>22835.452079772935</v>
      </c>
    </row>
    <row r="133" spans="1:7" x14ac:dyDescent="0.3">
      <c r="A133">
        <f>A$9 * (30.5000553131103 -A$8)</f>
        <v>30.500055313110298</v>
      </c>
      <c r="B133">
        <f>B$9 * (30.5000553131103 -B$8)</f>
        <v>30.500055313110298</v>
      </c>
      <c r="C133">
        <f>C$9 * (30.5000553131103 -C$8)</f>
        <v>30.500055313110298</v>
      </c>
      <c r="E133">
        <v>19.533455371856665</v>
      </c>
      <c r="F133">
        <v>7036.9414329528718</v>
      </c>
      <c r="G133">
        <v>20225.164031982396</v>
      </c>
    </row>
    <row r="134" spans="1:7" x14ac:dyDescent="0.3">
      <c r="A134">
        <f>A$9 * (30.7500553131103 -A$8)</f>
        <v>30.750055313110298</v>
      </c>
      <c r="B134">
        <f>B$9 * (30.7500553131103 -B$8)</f>
        <v>30.750055313110298</v>
      </c>
      <c r="C134">
        <f>C$9 * (30.7500553131103 -C$8)</f>
        <v>30.750055313110298</v>
      </c>
      <c r="E134">
        <v>-3.4126537386327946</v>
      </c>
      <c r="F134">
        <v>-3020.8136558532697</v>
      </c>
      <c r="G134">
        <v>2319.1668748855582</v>
      </c>
    </row>
    <row r="135" spans="1:7" x14ac:dyDescent="0.3">
      <c r="A135">
        <f>A$9 * (31.0001106262207 -A$8)</f>
        <v>31.0001106262207</v>
      </c>
      <c r="B135">
        <f>B$9 * (31.0001106262207 -B$8)</f>
        <v>31.0001106262207</v>
      </c>
      <c r="C135">
        <f>C$9 * (31.0001106262207 -C$8)</f>
        <v>31.0001106262207</v>
      </c>
      <c r="E135">
        <v>-3.5250667948275805</v>
      </c>
      <c r="F135">
        <v>-3486.8303060531616</v>
      </c>
      <c r="G135">
        <v>-675.12853145599195</v>
      </c>
    </row>
    <row r="136" spans="1:7" x14ac:dyDescent="0.3">
      <c r="A136">
        <f>A$9 * (31.25022315979 -A$8)</f>
        <v>31.25022315979</v>
      </c>
      <c r="B136">
        <f>B$9 * (31.25022315979 -B$8)</f>
        <v>31.25022315979</v>
      </c>
      <c r="C136">
        <f>C$9 * (31.25022315979 -C$8)</f>
        <v>31.25022315979</v>
      </c>
      <c r="E136">
        <v>-4.4692668132483959</v>
      </c>
      <c r="F136">
        <v>-4057.5239181518405</v>
      </c>
      <c r="G136">
        <v>-1037.7958059310895</v>
      </c>
    </row>
    <row r="137" spans="1:7" x14ac:dyDescent="0.3">
      <c r="A137">
        <f>A$9 * (31.5000553131103 -A$8)</f>
        <v>31.500055313110298</v>
      </c>
      <c r="B137">
        <f>B$9 * (31.5000553131103 -B$8)</f>
        <v>31.500055313110298</v>
      </c>
      <c r="C137">
        <f>C$9 * (31.5000553131103 -C$8)</f>
        <v>31.500055313110298</v>
      </c>
      <c r="E137">
        <v>-3.8924602791666838</v>
      </c>
      <c r="F137">
        <v>-4904.5105934142839</v>
      </c>
      <c r="G137">
        <v>2203.136014938354</v>
      </c>
    </row>
    <row r="138" spans="1:7" x14ac:dyDescent="0.3">
      <c r="A138">
        <f>A$9 * (31.7501106262207 -A$8)</f>
        <v>31.7501106262207</v>
      </c>
      <c r="B138">
        <f>B$9 * (31.7501106262207 -B$8)</f>
        <v>31.7501106262207</v>
      </c>
      <c r="C138">
        <f>C$9 * (31.7501106262207 -C$8)</f>
        <v>31.7501106262207</v>
      </c>
      <c r="E138">
        <v>-2.9425748158246248</v>
      </c>
      <c r="F138">
        <v>-2090.409421920775</v>
      </c>
      <c r="G138">
        <v>403.75187695026358</v>
      </c>
    </row>
    <row r="139" spans="1:7" x14ac:dyDescent="0.3">
      <c r="A139">
        <f>A$9 * (32.0003051757812 -A$8)</f>
        <v>32.0003051757812</v>
      </c>
      <c r="B139">
        <f>B$9 * (32.0003051757812 -B$8)</f>
        <v>32.0003051757812</v>
      </c>
      <c r="C139">
        <f>C$9 * (32.0003051757812 -C$8)</f>
        <v>32.0003051757812</v>
      </c>
      <c r="E139">
        <v>-0.12518207367975254</v>
      </c>
      <c r="F139">
        <v>-1834.4123125076269</v>
      </c>
      <c r="G139">
        <v>920.58155536651554</v>
      </c>
    </row>
    <row r="140" spans="1:7" x14ac:dyDescent="0.3">
      <c r="A140">
        <f>A$9 * (32.2501106262207 -A$8)</f>
        <v>32.250110626220703</v>
      </c>
      <c r="B140">
        <f>B$9 * (32.2501106262207 -B$8)</f>
        <v>32.250110626220703</v>
      </c>
      <c r="C140">
        <f>C$9 * (32.2501106262207 -C$8)</f>
        <v>32.250110626220703</v>
      </c>
      <c r="E140">
        <v>237.58412003517131</v>
      </c>
      <c r="F140">
        <v>9501.4760971069081</v>
      </c>
      <c r="G140">
        <v>10006.887531280499</v>
      </c>
    </row>
    <row r="141" spans="1:7" x14ac:dyDescent="0.3">
      <c r="A141">
        <f>A$9 * (32.5002517700195 -A$8)</f>
        <v>32.500251770019503</v>
      </c>
      <c r="B141">
        <f>B$9 * (32.5002517700195 -B$8)</f>
        <v>32.500251770019503</v>
      </c>
      <c r="C141">
        <f>C$9 * (32.5002517700195 -C$8)</f>
        <v>32.500251770019503</v>
      </c>
      <c r="E141">
        <v>93.736010044812957</v>
      </c>
      <c r="F141">
        <v>16101.885223388665</v>
      </c>
      <c r="G141">
        <v>18968.134117126465</v>
      </c>
    </row>
    <row r="142" spans="1:7" x14ac:dyDescent="0.3">
      <c r="A142">
        <f>A$9 * (32.7504997253418 -A$8)</f>
        <v>32.750499725341797</v>
      </c>
      <c r="B142">
        <f>B$9 * (32.7504997253418 -B$8)</f>
        <v>32.750499725341797</v>
      </c>
      <c r="C142">
        <f>C$9 * (32.7504997253418 -C$8)</f>
        <v>32.750499725341797</v>
      </c>
      <c r="E142">
        <v>130.9351712465286</v>
      </c>
      <c r="F142">
        <v>13085.053253173799</v>
      </c>
      <c r="G142">
        <v>13779.680156707753</v>
      </c>
    </row>
    <row r="143" spans="1:7" x14ac:dyDescent="0.3">
      <c r="A143">
        <f>A$9 * (33.0002212524414 -A$8)</f>
        <v>33.000221252441399</v>
      </c>
      <c r="B143">
        <f>B$9 * (33.0002212524414 -B$8)</f>
        <v>33.000221252441399</v>
      </c>
      <c r="C143">
        <f>C$9 * (33.0002212524414 -C$8)</f>
        <v>33.000221252441399</v>
      </c>
      <c r="E143">
        <v>45.151019096374441</v>
      </c>
      <c r="F143">
        <v>15569.716072082507</v>
      </c>
      <c r="G143">
        <v>26346.564102172822</v>
      </c>
    </row>
    <row r="144" spans="1:7" x14ac:dyDescent="0.3">
      <c r="A144">
        <f>A$9 * (33.2503623962402 -A$8)</f>
        <v>33.250362396240199</v>
      </c>
      <c r="B144">
        <f>B$9 * (33.2503623962402 -B$8)</f>
        <v>33.250362396240199</v>
      </c>
      <c r="C144">
        <f>C$9 * (33.2503623962402 -C$8)</f>
        <v>33.250362396240199</v>
      </c>
      <c r="E144">
        <v>42.657047510146917</v>
      </c>
      <c r="F144">
        <v>9214.0522956848163</v>
      </c>
      <c r="G144">
        <v>15695.140457153304</v>
      </c>
    </row>
    <row r="145" spans="1:7" x14ac:dyDescent="0.3">
      <c r="A145">
        <f>A$9 * (33.50044631958 -A$8)</f>
        <v>33.50044631958</v>
      </c>
      <c r="B145">
        <f>B$9 * (33.50044631958 -B$8)</f>
        <v>33.50044631958</v>
      </c>
      <c r="C145">
        <f>C$9 * (33.50044631958 -C$8)</f>
        <v>33.50044631958</v>
      </c>
      <c r="E145">
        <v>56.471617519855201</v>
      </c>
      <c r="F145">
        <v>10647.273731231664</v>
      </c>
      <c r="G145">
        <v>15584.230041503903</v>
      </c>
    </row>
    <row r="146" spans="1:7" x14ac:dyDescent="0.3">
      <c r="A146">
        <f>A$9 * (33.7502212524414 -A$8)</f>
        <v>33.750221252441399</v>
      </c>
      <c r="B146">
        <f>B$9 * (33.7502212524414 -B$8)</f>
        <v>33.750221252441399</v>
      </c>
      <c r="C146">
        <f>C$9 * (33.7502212524414 -C$8)</f>
        <v>33.750221252441399</v>
      </c>
      <c r="E146">
        <v>21.856776438653458</v>
      </c>
      <c r="F146">
        <v>8946.4716911315882</v>
      </c>
      <c r="G146">
        <v>23948.442649841294</v>
      </c>
    </row>
    <row r="147" spans="1:7" x14ac:dyDescent="0.3">
      <c r="A147">
        <f>A$9 * (34.0003318786621 -A$8)</f>
        <v>34.000331878662102</v>
      </c>
      <c r="B147">
        <f>B$9 * (34.0003318786621 -B$8)</f>
        <v>34.000331878662102</v>
      </c>
      <c r="C147">
        <f>C$9 * (34.0003318786621 -C$8)</f>
        <v>34.000331878662102</v>
      </c>
      <c r="E147">
        <v>-11.215533781796687</v>
      </c>
      <c r="F147">
        <v>-2845.9718227386466</v>
      </c>
      <c r="G147">
        <v>4452.3502349853243</v>
      </c>
    </row>
    <row r="148" spans="1:7" x14ac:dyDescent="0.3">
      <c r="A148">
        <f>A$9 * (34.2502212524414 -A$8)</f>
        <v>34.250221252441399</v>
      </c>
      <c r="B148">
        <f>B$9 * (34.2502212524414 -B$8)</f>
        <v>34.250221252441399</v>
      </c>
      <c r="C148">
        <f>C$9 * (34.2502212524414 -C$8)</f>
        <v>34.250221252441399</v>
      </c>
      <c r="E148">
        <v>-2.5257107103243444</v>
      </c>
      <c r="F148">
        <v>-5986.4832401275444</v>
      </c>
      <c r="G148">
        <v>4788.8640403747559</v>
      </c>
    </row>
    <row r="149" spans="1:7" x14ac:dyDescent="0.3">
      <c r="A149">
        <f>A$9 * (34.5001106262207 -A$8)</f>
        <v>34.500110626220703</v>
      </c>
      <c r="B149">
        <f>B$9 * (34.5001106262207 -B$8)</f>
        <v>34.500110626220703</v>
      </c>
      <c r="C149">
        <f>C$9 * (34.5001106262207 -C$8)</f>
        <v>34.500110626220703</v>
      </c>
      <c r="E149">
        <v>-3.6302651278674478</v>
      </c>
      <c r="F149">
        <v>-4397.835731506344</v>
      </c>
      <c r="G149">
        <v>449.35846924781521</v>
      </c>
    </row>
    <row r="150" spans="1:7" x14ac:dyDescent="0.3">
      <c r="A150">
        <f>A$9 * (34.7500839233398 -A$8)</f>
        <v>34.750083923339801</v>
      </c>
      <c r="B150">
        <f>B$9 * (34.7500839233398 -B$8)</f>
        <v>34.750083923339801</v>
      </c>
      <c r="C150">
        <f>C$9 * (34.7500839233398 -C$8)</f>
        <v>34.750083923339801</v>
      </c>
      <c r="E150">
        <v>-8.020353969186516</v>
      </c>
      <c r="F150">
        <v>-1039.5737886428819</v>
      </c>
      <c r="G150">
        <v>-4843.4257507323964</v>
      </c>
    </row>
    <row r="151" spans="1:7" x14ac:dyDescent="0.3">
      <c r="A151">
        <f>A$9 * (35.0001945495605 -A$8)</f>
        <v>35.000194549560497</v>
      </c>
      <c r="B151">
        <f>B$9 * (35.0001945495605 -B$8)</f>
        <v>35.000194549560497</v>
      </c>
      <c r="C151">
        <f>C$9 * (35.0001945495605 -C$8)</f>
        <v>35.000194549560497</v>
      </c>
      <c r="E151">
        <v>-3.1429735478013741</v>
      </c>
      <c r="F151">
        <v>-3744.1294670104917</v>
      </c>
      <c r="G151">
        <v>568.23590397834721</v>
      </c>
    </row>
    <row r="152" spans="1:7" x14ac:dyDescent="0.3">
      <c r="A152">
        <f>A$9 * (35.2506103515625 -A$8)</f>
        <v>35.2506103515625</v>
      </c>
      <c r="B152">
        <f>B$9 * (35.2506103515625 -B$8)</f>
        <v>35.2506103515625</v>
      </c>
      <c r="C152">
        <f>C$9 * (35.2506103515625 -C$8)</f>
        <v>35.2506103515625</v>
      </c>
      <c r="E152">
        <v>-2.7854223037138546</v>
      </c>
      <c r="F152">
        <v>-2025.6688356399504</v>
      </c>
      <c r="G152">
        <v>358.89976322650909</v>
      </c>
    </row>
    <row r="153" spans="1:7" x14ac:dyDescent="0.3">
      <c r="A153">
        <f>A$9 * (35.5001945495605 -A$8)</f>
        <v>35.500194549560497</v>
      </c>
      <c r="B153">
        <f>B$9 * (35.5001945495605 -B$8)</f>
        <v>35.500194549560497</v>
      </c>
      <c r="C153">
        <f>C$9 * (35.5001945495605 -C$8)</f>
        <v>35.500194549560497</v>
      </c>
      <c r="E153">
        <v>63.941435515880286</v>
      </c>
      <c r="F153">
        <v>2097.3621368408185</v>
      </c>
      <c r="G153">
        <v>2570.0720787048313</v>
      </c>
    </row>
    <row r="154" spans="1:7" x14ac:dyDescent="0.3">
      <c r="A154">
        <f>A$9 * (35.7500572204589 -A$8)</f>
        <v>35.750057220458899</v>
      </c>
      <c r="B154">
        <f>B$9 * (35.7500572204589 -B$8)</f>
        <v>35.750057220458899</v>
      </c>
      <c r="C154">
        <f>C$9 * (35.7500572204589 -C$8)</f>
        <v>35.750057220458899</v>
      </c>
      <c r="E154">
        <v>6.1063597910106004</v>
      </c>
      <c r="F154">
        <v>784.2139184474928</v>
      </c>
      <c r="G154">
        <v>34782.309722900376</v>
      </c>
    </row>
    <row r="155" spans="1:7" x14ac:dyDescent="0.3">
      <c r="A155">
        <f>A$9 * (36.0002784729003 -A$8)</f>
        <v>36.000278472900298</v>
      </c>
      <c r="B155">
        <f>B$9 * (36.0002784729003 -B$8)</f>
        <v>36.000278472900298</v>
      </c>
      <c r="C155">
        <f>C$9 * (36.0002784729003 -C$8)</f>
        <v>36.000278472900298</v>
      </c>
      <c r="E155">
        <v>110.57486459612831</v>
      </c>
      <c r="F155">
        <v>11071.522808074944</v>
      </c>
      <c r="G155">
        <v>11716.127586364715</v>
      </c>
    </row>
    <row r="156" spans="1:7" x14ac:dyDescent="0.3">
      <c r="A156">
        <f>A$9 * (36.25 -A$8)</f>
        <v>36.25</v>
      </c>
      <c r="B156">
        <f>B$9 * (36.25 -B$8)</f>
        <v>36.25</v>
      </c>
      <c r="C156">
        <f>C$9 * (36.25 -C$8)</f>
        <v>36.25</v>
      </c>
      <c r="E156">
        <v>51.870492473244482</v>
      </c>
      <c r="F156">
        <v>16660.361480712876</v>
      </c>
      <c r="G156">
        <v>26159.199142456044</v>
      </c>
    </row>
    <row r="157" spans="1:7" x14ac:dyDescent="0.3">
      <c r="A157">
        <f>A$9 * (36.500389099121 -A$8)</f>
        <v>36.500389099121001</v>
      </c>
      <c r="B157">
        <f>B$9 * (36.500389099121 -B$8)</f>
        <v>36.500389099121001</v>
      </c>
      <c r="C157">
        <f>C$9 * (36.500389099121 -C$8)</f>
        <v>36.500389099121001</v>
      </c>
      <c r="E157">
        <v>35.161916166543961</v>
      </c>
      <c r="F157">
        <v>11757.693672180143</v>
      </c>
      <c r="G157">
        <v>22879.936408996546</v>
      </c>
    </row>
    <row r="158" spans="1:7" x14ac:dyDescent="0.3">
      <c r="A158">
        <f>A$9 * (36.7502517700195 -A$8)</f>
        <v>36.750251770019503</v>
      </c>
      <c r="B158">
        <f>B$9 * (36.7502517700195 -B$8)</f>
        <v>36.750251770019503</v>
      </c>
      <c r="C158">
        <f>C$9 * (36.7502517700195 -C$8)</f>
        <v>36.750251770019503</v>
      </c>
      <c r="E158">
        <v>48.578003793954721</v>
      </c>
      <c r="F158">
        <v>7864.3363952636637</v>
      </c>
      <c r="G158">
        <v>12319.434070587144</v>
      </c>
    </row>
    <row r="159" spans="1:7" x14ac:dyDescent="0.3">
      <c r="A159">
        <f>A$9 * (37.0002212524414 -A$8)</f>
        <v>37.000221252441399</v>
      </c>
      <c r="B159">
        <f>B$9 * (37.0002212524414 -B$8)</f>
        <v>37.000221252441399</v>
      </c>
      <c r="C159">
        <f>C$9 * (37.0002212524414 -C$8)</f>
        <v>37.000221252441399</v>
      </c>
      <c r="E159">
        <v>27.605105750262709</v>
      </c>
      <c r="F159">
        <v>11108.995628356908</v>
      </c>
      <c r="G159">
        <v>25373.724746704091</v>
      </c>
    </row>
    <row r="160" spans="1:7" x14ac:dyDescent="0.3">
      <c r="A160">
        <f>A$9 * (37.2501373291015 -A$8)</f>
        <v>37.250137329101499</v>
      </c>
      <c r="B160">
        <f>B$9 * (37.2501373291015 -B$8)</f>
        <v>37.250137329101499</v>
      </c>
      <c r="C160">
        <f>C$9 * (37.2501373291015 -C$8)</f>
        <v>37.250137329101499</v>
      </c>
      <c r="E160">
        <v>12.119900062680216</v>
      </c>
      <c r="F160">
        <v>3192.9138422012306</v>
      </c>
      <c r="G160">
        <v>13124.120807647692</v>
      </c>
    </row>
    <row r="161" spans="1:7" x14ac:dyDescent="0.3">
      <c r="A161">
        <f>A$9 * (37.5000839233398 -A$8)</f>
        <v>37.500083923339801</v>
      </c>
      <c r="B161">
        <f>B$9 * (37.5000839233398 -B$8)</f>
        <v>37.500083923339801</v>
      </c>
      <c r="C161">
        <f>C$9 * (37.5000839233398 -C$8)</f>
        <v>37.500083923339801</v>
      </c>
      <c r="E161">
        <v>0.39068171172402483</v>
      </c>
      <c r="F161">
        <v>-3778.6102294921561</v>
      </c>
      <c r="G161">
        <v>5254.3762207031159</v>
      </c>
    </row>
    <row r="162" spans="1:7" x14ac:dyDescent="0.3">
      <c r="A162">
        <f>A$9 * (37.7501106262207 -A$8)</f>
        <v>37.750110626220703</v>
      </c>
      <c r="B162">
        <f>B$9 * (37.7501106262207 -B$8)</f>
        <v>37.750110626220703</v>
      </c>
      <c r="C162">
        <f>C$9 * (37.7501106262207 -C$8)</f>
        <v>37.750110626220703</v>
      </c>
      <c r="E162">
        <v>-4.5729429926722922</v>
      </c>
      <c r="F162">
        <v>-4533.7499141693042</v>
      </c>
      <c r="G162">
        <v>680.51306605338721</v>
      </c>
    </row>
    <row r="163" spans="1:7" x14ac:dyDescent="0.3">
      <c r="A163">
        <f>A$9 * (38.0003623962402 -A$8)</f>
        <v>38.000362396240199</v>
      </c>
      <c r="B163">
        <f>B$9 * (38.0003623962402 -B$8)</f>
        <v>38.000362396240199</v>
      </c>
      <c r="C163">
        <f>C$9 * (38.0003623962402 -C$8)</f>
        <v>38.000362396240199</v>
      </c>
      <c r="E163">
        <v>-2.1110799629241215</v>
      </c>
      <c r="F163">
        <v>-3302.5859355926486</v>
      </c>
      <c r="G163">
        <v>712.34133839607239</v>
      </c>
    </row>
    <row r="164" spans="1:7" x14ac:dyDescent="0.3">
      <c r="A164">
        <f>A$9 * (38.2500572204589 -A$8)</f>
        <v>38.250057220458899</v>
      </c>
      <c r="B164">
        <f>B$9 * (38.2500572204589 -B$8)</f>
        <v>38.250057220458899</v>
      </c>
      <c r="C164">
        <f>C$9 * (38.2500572204589 -C$8)</f>
        <v>38.250057220458899</v>
      </c>
      <c r="E164">
        <v>-4.4541504699736674</v>
      </c>
      <c r="F164">
        <v>-2869.29931640625</v>
      </c>
      <c r="G164">
        <v>-480.11294603347557</v>
      </c>
    </row>
    <row r="165" spans="1:7" x14ac:dyDescent="0.3">
      <c r="A165">
        <f>A$9 * (38.5001373291015 -A$8)</f>
        <v>38.500137329101499</v>
      </c>
      <c r="B165">
        <f>B$9 * (38.5001373291015 -B$8)</f>
        <v>38.500137329101499</v>
      </c>
      <c r="C165">
        <f>C$9 * (38.5001373291015 -C$8)</f>
        <v>38.500137329101499</v>
      </c>
      <c r="E165">
        <v>-2.1062224404886356</v>
      </c>
      <c r="F165">
        <v>-1505.6409716606124</v>
      </c>
      <c r="G165">
        <v>-375.03359913825722</v>
      </c>
    </row>
    <row r="166" spans="1:7" x14ac:dyDescent="0.3">
      <c r="A166">
        <f>A$9 * (38.7502212524414 -A$8)</f>
        <v>38.750221252441399</v>
      </c>
      <c r="B166">
        <f>B$9 * (38.7502212524414 -B$8)</f>
        <v>38.750221252441399</v>
      </c>
      <c r="C166">
        <f>C$9 * (38.7502212524414 -C$8)</f>
        <v>38.750221252441399</v>
      </c>
      <c r="E166">
        <v>216.22791588306407</v>
      </c>
      <c r="F166">
        <v>7355.408477783184</v>
      </c>
      <c r="G166">
        <v>20763.583374023423</v>
      </c>
    </row>
    <row r="167" spans="1:7" x14ac:dyDescent="0.3">
      <c r="A167">
        <f>A$9 * (39.0002212524414 -A$8)</f>
        <v>39.000221252441399</v>
      </c>
      <c r="B167">
        <f>B$9 * (39.0002212524414 -B$8)</f>
        <v>39.000221252441399</v>
      </c>
      <c r="C167">
        <f>C$9 * (39.0002212524414 -C$8)</f>
        <v>39.000221252441399</v>
      </c>
      <c r="E167">
        <v>142.82797873020158</v>
      </c>
      <c r="F167">
        <v>21466.825103759758</v>
      </c>
      <c r="G167">
        <v>22753.296661376953</v>
      </c>
    </row>
    <row r="168" spans="1:7" x14ac:dyDescent="0.3">
      <c r="A168">
        <f>A$9 * (39.25044631958 -A$8)</f>
        <v>39.25044631958</v>
      </c>
      <c r="B168">
        <f>B$9 * (39.25044631958 -B$8)</f>
        <v>39.25044631958</v>
      </c>
      <c r="C168">
        <f>C$9 * (39.25044631958 -C$8)</f>
        <v>39.25044631958</v>
      </c>
      <c r="E168">
        <v>108.31348747014984</v>
      </c>
      <c r="F168">
        <v>13516.750717163064</v>
      </c>
      <c r="G168">
        <v>14676.24263763427</v>
      </c>
    </row>
    <row r="169" spans="1:7" x14ac:dyDescent="0.3">
      <c r="A169">
        <f>A$9 * (39.5006675720214 -A$8)</f>
        <v>39.500667572021399</v>
      </c>
      <c r="B169">
        <f>B$9 * (39.5006675720214 -B$8)</f>
        <v>39.500667572021399</v>
      </c>
      <c r="C169">
        <f>C$9 * (39.5006675720214 -C$8)</f>
        <v>39.500667572021399</v>
      </c>
      <c r="E169">
        <v>105.09702935814828</v>
      </c>
      <c r="F169">
        <v>16761.08894348142</v>
      </c>
      <c r="G169">
        <v>18814.208793640126</v>
      </c>
    </row>
    <row r="170" spans="1:7" x14ac:dyDescent="0.3">
      <c r="A170">
        <f>A$9 * (39.7503318786621 -A$8)</f>
        <v>39.750331878662102</v>
      </c>
      <c r="B170">
        <f>B$9 * (39.7503318786621 -B$8)</f>
        <v>39.750331878662102</v>
      </c>
      <c r="C170">
        <f>C$9 * (39.7503318786621 -C$8)</f>
        <v>39.750331878662102</v>
      </c>
      <c r="E170">
        <v>39.897215366363284</v>
      </c>
      <c r="F170">
        <v>14381.736946105932</v>
      </c>
      <c r="G170">
        <v>26112.826538085923</v>
      </c>
    </row>
    <row r="171" spans="1:7" x14ac:dyDescent="0.3">
      <c r="A171">
        <f>A$9 * (40.0000839233398 -A$8)</f>
        <v>40.000083923339801</v>
      </c>
      <c r="B171">
        <f>B$9 * (40.0000839233398 -B$8)</f>
        <v>40.000083923339801</v>
      </c>
      <c r="C171">
        <f>C$9 * (40.0000839233398 -C$8)</f>
        <v>40.000083923339801</v>
      </c>
      <c r="E171">
        <v>43.180165439844117</v>
      </c>
      <c r="F171">
        <v>7532.3304176330521</v>
      </c>
      <c r="G171">
        <v>12615.264129638665</v>
      </c>
    </row>
    <row r="172" spans="1:7" x14ac:dyDescent="0.3">
      <c r="A172">
        <f>A$9 * (40.2503051757812 -A$8)</f>
        <v>40.2503051757812</v>
      </c>
      <c r="B172">
        <f>B$9 * (40.2503051757812 -B$8)</f>
        <v>40.2503051757812</v>
      </c>
      <c r="C172">
        <f>C$9 * (40.2503051757812 -C$8)</f>
        <v>40.2503051757812</v>
      </c>
      <c r="E172">
        <v>49.42522644996636</v>
      </c>
      <c r="F172">
        <v>12558.46309661862</v>
      </c>
      <c r="G172">
        <v>19950.214004516591</v>
      </c>
    </row>
    <row r="173" spans="1:7" x14ac:dyDescent="0.3">
      <c r="A173">
        <f>A$9 * (40.500389099121 -A$8)</f>
        <v>40.500389099121001</v>
      </c>
      <c r="B173">
        <f>B$9 * (40.500389099121 -B$8)</f>
        <v>40.500389099121001</v>
      </c>
      <c r="C173">
        <f>C$9 * (40.500389099121 -C$8)</f>
        <v>40.500389099121001</v>
      </c>
      <c r="E173">
        <v>21.178730763494965</v>
      </c>
      <c r="F173">
        <v>8126.6684532165364</v>
      </c>
      <c r="G173">
        <v>22170.253944396958</v>
      </c>
    </row>
    <row r="174" spans="1:7" x14ac:dyDescent="0.3">
      <c r="A174">
        <f>A$9 * (40.7501106262207 -A$8)</f>
        <v>40.750110626220703</v>
      </c>
      <c r="B174">
        <f>B$9 * (40.7501106262207 -B$8)</f>
        <v>40.750110626220703</v>
      </c>
      <c r="C174">
        <f>C$9 * (40.7501106262207 -C$8)</f>
        <v>40.750110626220703</v>
      </c>
      <c r="E174">
        <v>-0.53502913797274076</v>
      </c>
      <c r="F174">
        <v>-3503.6318778991667</v>
      </c>
      <c r="G174">
        <v>4271.8894958495875</v>
      </c>
    </row>
    <row r="175" spans="1:7" x14ac:dyDescent="0.3">
      <c r="A175">
        <f>A$9 * (41.0003051757812 -A$8)</f>
        <v>41.0003051757812</v>
      </c>
      <c r="B175">
        <f>B$9 * (41.0003051757812 -B$8)</f>
        <v>41.0003051757812</v>
      </c>
      <c r="C175">
        <f>C$9 * (41.0003051757812 -C$8)</f>
        <v>41.0003051757812</v>
      </c>
      <c r="E175">
        <v>-4.3772687204181846</v>
      </c>
      <c r="F175">
        <v>-1606.3030958175648</v>
      </c>
      <c r="G175">
        <v>-1424.673342704772</v>
      </c>
    </row>
    <row r="176" spans="1:7" x14ac:dyDescent="0.3">
      <c r="A176">
        <f>A$9 * (41.2502212524414 -A$8)</f>
        <v>41.250221252441399</v>
      </c>
      <c r="B176">
        <f>B$9 * (41.2502212524414 -B$8)</f>
        <v>41.250221252441399</v>
      </c>
      <c r="C176">
        <f>C$9 * (41.2502212524414 -C$8)</f>
        <v>41.250221252441399</v>
      </c>
      <c r="E176">
        <v>-3.8230090867728004</v>
      </c>
      <c r="F176">
        <v>-3148.6784219741808</v>
      </c>
      <c r="G176">
        <v>1337.1735692024208</v>
      </c>
    </row>
    <row r="177" spans="1:7" x14ac:dyDescent="0.3">
      <c r="A177">
        <f>A$9 * (41.5003623962402 -A$8)</f>
        <v>41.500362396240199</v>
      </c>
      <c r="B177">
        <f>B$9 * (41.5003623962402 -B$8)</f>
        <v>41.500362396240199</v>
      </c>
      <c r="C177">
        <f>C$9 * (41.5003623962402 -C$8)</f>
        <v>41.500362396240199</v>
      </c>
      <c r="E177">
        <v>-5.2663426380604443</v>
      </c>
      <c r="F177">
        <v>-717.2801971435548</v>
      </c>
      <c r="G177">
        <v>-3162.9179477691646</v>
      </c>
    </row>
    <row r="178" spans="1:7" x14ac:dyDescent="0.3">
      <c r="A178">
        <f>A$9 * (41.7507514953613 -A$8)</f>
        <v>41.7507514953613</v>
      </c>
      <c r="B178">
        <f>B$9 * (41.7507514953613 -B$8)</f>
        <v>41.7507514953613</v>
      </c>
      <c r="C178">
        <f>C$9 * (41.7507514953613 -C$8)</f>
        <v>41.7507514953613</v>
      </c>
      <c r="E178">
        <v>-3.4153818385675536</v>
      </c>
      <c r="F178">
        <v>-1274.6660828590368</v>
      </c>
      <c r="G178">
        <v>-568.22614073753039</v>
      </c>
    </row>
    <row r="179" spans="1:7" x14ac:dyDescent="0.3">
      <c r="A179">
        <f>A$9 * (42.0006675720214 -A$8)</f>
        <v>42.000667572021399</v>
      </c>
      <c r="B179">
        <f>B$9 * (42.0006675720214 -B$8)</f>
        <v>42.000667572021399</v>
      </c>
      <c r="C179">
        <f>C$9 * (42.0006675720214 -C$8)</f>
        <v>42.000667572021399</v>
      </c>
      <c r="E179">
        <v>-1.5006639878265529</v>
      </c>
      <c r="F179">
        <v>-2811.6637945175157</v>
      </c>
      <c r="G179">
        <v>1277.0945549011224</v>
      </c>
    </row>
    <row r="180" spans="1:7" x14ac:dyDescent="0.3">
      <c r="A180">
        <f>A$9 * (42.250804901123 -A$8)</f>
        <v>42.250804901122997</v>
      </c>
      <c r="B180">
        <f>B$9 * (42.250804901123 -B$8)</f>
        <v>42.250804901122997</v>
      </c>
      <c r="C180">
        <f>C$9 * (42.250804901123 -C$8)</f>
        <v>42.250804901122997</v>
      </c>
      <c r="E180">
        <v>171.61934673786155</v>
      </c>
      <c r="F180">
        <v>6675.6023883819353</v>
      </c>
      <c r="G180">
        <v>7169.3138122558557</v>
      </c>
    </row>
    <row r="181" spans="1:7" x14ac:dyDescent="0.3">
      <c r="A181">
        <f>A$9 * (42.5006370544433 -A$8)</f>
        <v>42.500637054443303</v>
      </c>
      <c r="B181">
        <f>B$9 * (42.5006370544433 -B$8)</f>
        <v>42.500637054443303</v>
      </c>
      <c r="C181">
        <f>C$9 * (42.5006370544433 -C$8)</f>
        <v>42.500637054443303</v>
      </c>
      <c r="E181">
        <v>75.009852647781116</v>
      </c>
      <c r="F181">
        <v>16590.394020080555</v>
      </c>
      <c r="G181">
        <v>21677.194404602029</v>
      </c>
    </row>
    <row r="182" spans="1:7" x14ac:dyDescent="0.3">
      <c r="A182">
        <f>A$9 * (42.7506675720214 -A$8)</f>
        <v>42.750667572021399</v>
      </c>
      <c r="B182">
        <f>B$9 * (42.7506675720214 -B$8)</f>
        <v>42.750667572021399</v>
      </c>
      <c r="C182">
        <f>C$9 * (42.7506675720214 -C$8)</f>
        <v>42.750667572021399</v>
      </c>
      <c r="E182">
        <v>123.70475381612761</v>
      </c>
      <c r="F182">
        <v>11948.400020599345</v>
      </c>
      <c r="G182">
        <v>12602.501964569088</v>
      </c>
    </row>
    <row r="183" spans="1:7" x14ac:dyDescent="0.3">
      <c r="A183">
        <f>A$9 * (43.0002784729003 -A$8)</f>
        <v>43.000278472900298</v>
      </c>
      <c r="B183">
        <f>B$9 * (43.0002784729003 -B$8)</f>
        <v>43.000278472900298</v>
      </c>
      <c r="C183">
        <f>C$9 * (43.0002784729003 -C$8)</f>
        <v>43.000278472900298</v>
      </c>
      <c r="E183">
        <v>46.489464864134639</v>
      </c>
      <c r="F183">
        <v>15992.708587646472</v>
      </c>
      <c r="G183">
        <v>26624.343109130856</v>
      </c>
    </row>
    <row r="184" spans="1:7" x14ac:dyDescent="0.3">
      <c r="A184">
        <f>A$9 * (43.2504997253418 -A$8)</f>
        <v>43.250499725341797</v>
      </c>
      <c r="B184">
        <f>B$9 * (43.2504997253418 -B$8)</f>
        <v>43.250499725341797</v>
      </c>
      <c r="C184">
        <f>C$9 * (43.2504997253418 -C$8)</f>
        <v>43.250499725341797</v>
      </c>
      <c r="E184">
        <v>40.669054538011558</v>
      </c>
      <c r="F184">
        <v>10141.311264038064</v>
      </c>
      <c r="G184">
        <v>17864.993476867643</v>
      </c>
    </row>
    <row r="185" spans="1:7" x14ac:dyDescent="0.3">
      <c r="A185">
        <f>A$9 * (43.5004158020019 -A$8)</f>
        <v>43.500415802001903</v>
      </c>
      <c r="B185">
        <f>B$9 * (43.5004158020019 -B$8)</f>
        <v>43.500415802001903</v>
      </c>
      <c r="C185">
        <f>C$9 * (43.5004158020019 -C$8)</f>
        <v>43.500415802001903</v>
      </c>
      <c r="E185">
        <v>54.580787569284119</v>
      </c>
      <c r="F185">
        <v>9411.0191345214716</v>
      </c>
      <c r="G185">
        <v>13937.158870697016</v>
      </c>
    </row>
    <row r="186" spans="1:7" x14ac:dyDescent="0.3">
      <c r="A186">
        <f>A$9 * (43.7501945495605 -A$8)</f>
        <v>43.750194549560497</v>
      </c>
      <c r="B186">
        <f>B$9 * (43.7501945495605 -B$8)</f>
        <v>43.750194549560497</v>
      </c>
      <c r="C186">
        <f>C$9 * (43.7501945495605 -C$8)</f>
        <v>43.750194549560497</v>
      </c>
      <c r="E186">
        <v>22.812447510659663</v>
      </c>
      <c r="F186">
        <v>9586.0982894897152</v>
      </c>
      <c r="G186">
        <v>24951.305580139149</v>
      </c>
    </row>
    <row r="187" spans="1:7" x14ac:dyDescent="0.3">
      <c r="A187">
        <f>A$9 * (44.0003051757812 -A$8)</f>
        <v>44.0003051757812</v>
      </c>
      <c r="B187">
        <f>B$9 * (44.0003051757812 -B$8)</f>
        <v>44.0003051757812</v>
      </c>
      <c r="C187">
        <f>C$9 * (44.0003051757812 -C$8)</f>
        <v>44.0003051757812</v>
      </c>
      <c r="E187">
        <v>0.35100935201626271</v>
      </c>
      <c r="F187">
        <v>74.750255048274838</v>
      </c>
      <c r="G187">
        <v>8081.5137863159161</v>
      </c>
    </row>
    <row r="188" spans="1:7" x14ac:dyDescent="0.3">
      <c r="A188">
        <f>A$9 * (44.2501106262207 -A$8)</f>
        <v>44.250110626220703</v>
      </c>
      <c r="B188">
        <f>B$9 * (44.2501106262207 -B$8)</f>
        <v>44.250110626220703</v>
      </c>
      <c r="C188">
        <f>C$9 * (44.2501106262207 -C$8)</f>
        <v>44.250110626220703</v>
      </c>
      <c r="E188">
        <v>-3.0927326297387472</v>
      </c>
      <c r="F188">
        <v>-3380.2448987960784</v>
      </c>
      <c r="G188">
        <v>-107.25303590297676</v>
      </c>
    </row>
    <row r="189" spans="1:7" x14ac:dyDescent="0.3">
      <c r="A189">
        <f>A$9 * (44.50044631958 -A$8)</f>
        <v>44.50044631958</v>
      </c>
      <c r="B189">
        <f>B$9 * (44.50044631958 -B$8)</f>
        <v>44.50044631958</v>
      </c>
      <c r="C189">
        <f>C$9 * (44.50044631958 -C$8)</f>
        <v>44.50044631958</v>
      </c>
      <c r="E189">
        <v>-2.3684316314756866</v>
      </c>
      <c r="F189">
        <v>-3127.6771545410138</v>
      </c>
      <c r="G189">
        <v>3401.7242431640616</v>
      </c>
    </row>
    <row r="190" spans="1:7" x14ac:dyDescent="0.3">
      <c r="A190">
        <f>A$9 * (44.75044631958 -A$8)</f>
        <v>44.75044631958</v>
      </c>
      <c r="B190">
        <f>B$9 * (44.75044631958 -B$8)</f>
        <v>44.75044631958</v>
      </c>
      <c r="C190">
        <f>C$9 * (44.75044631958 -C$8)</f>
        <v>44.75044631958</v>
      </c>
      <c r="E190">
        <v>-4.7614214010536635</v>
      </c>
      <c r="F190">
        <v>-1553.8975596427895</v>
      </c>
      <c r="G190">
        <v>-1955.3788661956776</v>
      </c>
    </row>
    <row r="191" spans="1:7" x14ac:dyDescent="0.3">
      <c r="A191">
        <f>A$9 * (45.0004997253418 -A$8)</f>
        <v>45.000499725341797</v>
      </c>
      <c r="B191">
        <f>B$9 * (45.0004997253418 -B$8)</f>
        <v>45.000499725341797</v>
      </c>
      <c r="C191">
        <f>C$9 * (45.0004997253418 -C$8)</f>
        <v>45.000499725341797</v>
      </c>
      <c r="E191">
        <v>-1.2525674072094253</v>
      </c>
      <c r="F191">
        <v>-2871.2206363677947</v>
      </c>
      <c r="G191">
        <v>1703.9807796478246</v>
      </c>
    </row>
    <row r="192" spans="1:7" x14ac:dyDescent="0.3">
      <c r="A192">
        <f>A$9 * (45.2504158020019 -A$8)</f>
        <v>45.250415802001903</v>
      </c>
      <c r="B192">
        <f>B$9 * (45.2504158020019 -B$8)</f>
        <v>45.250415802001903</v>
      </c>
      <c r="C192">
        <f>C$9 * (45.2504158020019 -C$8)</f>
        <v>45.250415802001903</v>
      </c>
      <c r="E192">
        <v>-1.3260365696623897</v>
      </c>
      <c r="F192">
        <v>-3445.3800916671744</v>
      </c>
      <c r="G192">
        <v>1764.6317481994597</v>
      </c>
    </row>
    <row r="193" spans="1:7" x14ac:dyDescent="0.3">
      <c r="A193">
        <f>A$9 * (45.5000267028808 -A$8)</f>
        <v>45.500026702880803</v>
      </c>
      <c r="B193">
        <f>B$9 * (45.5000267028808 -B$8)</f>
        <v>45.500026702880803</v>
      </c>
      <c r="C193">
        <f>C$9 * (45.5000267028808 -C$8)</f>
        <v>45.500026702880803</v>
      </c>
      <c r="E193">
        <v>25.25446135550736</v>
      </c>
      <c r="F193">
        <v>794.76513862609806</v>
      </c>
      <c r="G193">
        <v>1077.8381824493376</v>
      </c>
    </row>
    <row r="194" spans="1:7" x14ac:dyDescent="0.3">
      <c r="A194">
        <f>A$9 * (45.75 -A$8)</f>
        <v>45.75</v>
      </c>
      <c r="B194">
        <f>B$9 * (45.75 -B$8)</f>
        <v>45.75</v>
      </c>
      <c r="C194">
        <f>C$9 * (45.75 -C$8)</f>
        <v>45.75</v>
      </c>
      <c r="E194">
        <v>22.234989702701554</v>
      </c>
      <c r="F194">
        <v>14984.028053283671</v>
      </c>
      <c r="G194">
        <v>40079.268264770275</v>
      </c>
    </row>
    <row r="195" spans="1:7" x14ac:dyDescent="0.3">
      <c r="A195">
        <f>A$9 * (46.0000572204589 -A$8)</f>
        <v>46.000057220458899</v>
      </c>
      <c r="B195">
        <f>B$9 * (46.0000572204589 -B$8)</f>
        <v>46.000057220458899</v>
      </c>
      <c r="C195">
        <f>C$9 * (46.0000572204589 -C$8)</f>
        <v>46.000057220458899</v>
      </c>
      <c r="E195">
        <v>105.50019890069927</v>
      </c>
      <c r="F195">
        <v>11055.434703826897</v>
      </c>
      <c r="G195">
        <v>11824.68967437744</v>
      </c>
    </row>
    <row r="196" spans="1:7" x14ac:dyDescent="0.3">
      <c r="A196">
        <f>A$9 * (46.2502212524414 -A$8)</f>
        <v>46.250221252441399</v>
      </c>
      <c r="B196">
        <f>B$9 * (46.2502212524414 -B$8)</f>
        <v>46.250221252441399</v>
      </c>
      <c r="C196">
        <f>C$9 * (46.2502212524414 -C$8)</f>
        <v>46.250221252441399</v>
      </c>
      <c r="E196">
        <v>60.234770178794527</v>
      </c>
      <c r="F196">
        <v>17212.082862853982</v>
      </c>
      <c r="G196">
        <v>24980.098342895493</v>
      </c>
    </row>
    <row r="197" spans="1:7" x14ac:dyDescent="0.3">
      <c r="A197">
        <f>A$9 * (46.50044631958 -A$8)</f>
        <v>46.50044631958</v>
      </c>
      <c r="B197">
        <f>B$9 * (46.50044631958 -B$8)</f>
        <v>46.50044631958</v>
      </c>
      <c r="C197">
        <f>C$9 * (46.50044631958 -C$8)</f>
        <v>46.50044631958</v>
      </c>
      <c r="E197">
        <v>33.63122642040252</v>
      </c>
      <c r="F197">
        <v>12735.716342925996</v>
      </c>
      <c r="G197">
        <v>25625.804328918432</v>
      </c>
    </row>
    <row r="198" spans="1:7" x14ac:dyDescent="0.3">
      <c r="A198">
        <f>A$9 * (46.7501106262207 -A$8)</f>
        <v>46.750110626220703</v>
      </c>
      <c r="B198">
        <f>B$9 * (46.7501106262207 -B$8)</f>
        <v>46.750110626220703</v>
      </c>
      <c r="C198">
        <f>C$9 * (46.7501106262207 -C$8)</f>
        <v>46.750110626220703</v>
      </c>
      <c r="E198">
        <v>45.915911346673802</v>
      </c>
      <c r="F198">
        <v>7443.5763359069633</v>
      </c>
      <c r="G198">
        <v>12014.964294433561</v>
      </c>
    </row>
    <row r="199" spans="1:7" x14ac:dyDescent="0.3">
      <c r="A199">
        <f>A$9 * (47.0002517700195 -A$8)</f>
        <v>47.000251770019503</v>
      </c>
      <c r="B199">
        <f>B$9 * (47.0002517700195 -B$8)</f>
        <v>47.000251770019503</v>
      </c>
      <c r="C199">
        <f>C$9 * (47.0002517700195 -C$8)</f>
        <v>47.000251770019503</v>
      </c>
      <c r="E199">
        <v>32.88317173719404</v>
      </c>
      <c r="F199">
        <v>12043.281555175752</v>
      </c>
      <c r="G199">
        <v>24499.534034728982</v>
      </c>
    </row>
    <row r="200" spans="1:7" x14ac:dyDescent="0.3">
      <c r="A200">
        <f>A$9 * (47.250389099121 -A$8)</f>
        <v>47.250389099121001</v>
      </c>
      <c r="B200">
        <f>B$9 * (47.250389099121 -B$8)</f>
        <v>47.250389099121001</v>
      </c>
      <c r="C200">
        <f>C$9 * (47.250389099121 -C$8)</f>
        <v>47.250389099121001</v>
      </c>
      <c r="E200">
        <v>17.055907286703587</v>
      </c>
      <c r="F200">
        <v>5325.1522064208721</v>
      </c>
      <c r="G200">
        <v>16802.128028869596</v>
      </c>
    </row>
    <row r="201" spans="1:7" x14ac:dyDescent="0.3">
      <c r="A201">
        <f>A$9 * (47.5001106262207 -A$8)</f>
        <v>47.500110626220703</v>
      </c>
      <c r="B201">
        <f>B$9 * (47.5001106262207 -B$8)</f>
        <v>47.500110626220703</v>
      </c>
      <c r="C201">
        <f>C$9 * (47.5001106262207 -C$8)</f>
        <v>47.500110626220703</v>
      </c>
      <c r="E201">
        <v>-6.7832102067768361</v>
      </c>
      <c r="F201">
        <v>-4596.1415290832401</v>
      </c>
      <c r="G201">
        <v>922.917652130124</v>
      </c>
    </row>
    <row r="202" spans="1:7" x14ac:dyDescent="0.3">
      <c r="A202">
        <f>A$9 * (47.7500572204589 -A$8)</f>
        <v>47.750057220458899</v>
      </c>
      <c r="B202">
        <f>B$9 * (47.7500572204589 -B$8)</f>
        <v>47.750057220458899</v>
      </c>
      <c r="C202">
        <f>C$9 * (47.7500572204589 -C$8)</f>
        <v>47.750057220458899</v>
      </c>
      <c r="E202">
        <v>2.5047104805707905</v>
      </c>
      <c r="F202">
        <v>-2720.3328609466535</v>
      </c>
      <c r="G202">
        <v>5913.2808208465558</v>
      </c>
    </row>
    <row r="203" spans="1:7" x14ac:dyDescent="0.3">
      <c r="A203">
        <f>A$9 * (48.0002212524414 -A$8)</f>
        <v>48.000221252441399</v>
      </c>
      <c r="B203">
        <f>B$9 * (48.0002212524414 -B$8)</f>
        <v>48.000221252441399</v>
      </c>
      <c r="C203">
        <f>C$9 * (48.0002212524414 -C$8)</f>
        <v>48.000221252441399</v>
      </c>
      <c r="E203">
        <v>0.61209177947602922</v>
      </c>
      <c r="F203">
        <v>-4346.7407226562318</v>
      </c>
      <c r="G203">
        <v>7801.128101348856</v>
      </c>
    </row>
    <row r="204" spans="1:7" x14ac:dyDescent="0.3">
      <c r="A204">
        <f>A$9 * (48.2501945495605 -A$8)</f>
        <v>48.250194549560497</v>
      </c>
      <c r="B204">
        <f>B$9 * (48.2501945495605 -B$8)</f>
        <v>48.250194549560497</v>
      </c>
      <c r="C204">
        <f>C$9 * (48.2501945495605 -C$8)</f>
        <v>48.250194549560497</v>
      </c>
      <c r="E204">
        <v>-2.9533128719776851</v>
      </c>
      <c r="F204">
        <v>-2008.4273815155013</v>
      </c>
      <c r="G204">
        <v>-3.0771712074056254</v>
      </c>
    </row>
    <row r="205" spans="1:7" x14ac:dyDescent="0.3">
      <c r="A205">
        <f>A$9 * (48.5005264282226 -A$8)</f>
        <v>48.500526428222599</v>
      </c>
      <c r="B205">
        <f>B$9 * (48.5005264282226 -B$8)</f>
        <v>48.500526428222599</v>
      </c>
      <c r="C205">
        <f>C$9 * (48.5005264282226 -C$8)</f>
        <v>48.500526428222599</v>
      </c>
      <c r="E205">
        <v>-2.2664102492853972</v>
      </c>
      <c r="F205">
        <v>-1388.7579202651943</v>
      </c>
      <c r="G205">
        <v>-319.42518353462197</v>
      </c>
    </row>
    <row r="206" spans="1:7" x14ac:dyDescent="0.3">
      <c r="A206">
        <f>A$9 * (48.7502784729003 -A$8)</f>
        <v>48.750278472900298</v>
      </c>
      <c r="B206">
        <f>B$9 * (48.7502784729003 -B$8)</f>
        <v>48.750278472900298</v>
      </c>
      <c r="C206">
        <f>C$9 * (48.7502784729003 -C$8)</f>
        <v>48.750278472900298</v>
      </c>
      <c r="E206">
        <v>16.543799825012673</v>
      </c>
      <c r="F206">
        <v>-9549.5000839233126</v>
      </c>
      <c r="G206">
        <v>5775.4981040954399</v>
      </c>
    </row>
    <row r="207" spans="1:7" x14ac:dyDescent="0.3">
      <c r="A207">
        <f>A$9 * (49.0002212524414 -A$8)</f>
        <v>49.000221252441399</v>
      </c>
      <c r="B207">
        <f>B$9 * (49.0002212524414 -B$8)</f>
        <v>49.000221252441399</v>
      </c>
      <c r="C207">
        <f>C$9 * (49.0002212524414 -C$8)</f>
        <v>49.000221252441399</v>
      </c>
      <c r="E207">
        <v>306.06075525283813</v>
      </c>
      <c r="F207">
        <v>15185.088157653792</v>
      </c>
      <c r="G207">
        <v>15819.739151000977</v>
      </c>
    </row>
    <row r="208" spans="1:7" x14ac:dyDescent="0.3">
      <c r="A208">
        <f>A$9 * (49.2501945495605 -A$8)</f>
        <v>49.250194549560497</v>
      </c>
      <c r="B208">
        <f>B$9 * (49.2501945495605 -B$8)</f>
        <v>49.250194549560497</v>
      </c>
      <c r="C208">
        <f>C$9 * (49.2501945495605 -C$8)</f>
        <v>49.250194549560497</v>
      </c>
      <c r="E208">
        <v>106.75000771880148</v>
      </c>
      <c r="F208">
        <v>14593.870925903304</v>
      </c>
      <c r="G208">
        <v>16093.436050415017</v>
      </c>
    </row>
    <row r="209" spans="1:7" x14ac:dyDescent="0.3">
      <c r="A209">
        <f>A$9 * (49.5005264282226 -A$8)</f>
        <v>49.500526428222599</v>
      </c>
      <c r="B209">
        <f>B$9 * (49.5005264282226 -B$8)</f>
        <v>49.500526428222599</v>
      </c>
      <c r="C209">
        <f>C$9 * (49.5005264282226 -C$8)</f>
        <v>49.500526428222599</v>
      </c>
      <c r="E209">
        <v>126.81244164705264</v>
      </c>
      <c r="F209">
        <v>15201.442337036111</v>
      </c>
      <c r="G209">
        <v>16043.990707397448</v>
      </c>
    </row>
    <row r="210" spans="1:7" x14ac:dyDescent="0.3">
      <c r="A210">
        <f>A$9 * (49.7501106262207 -A$8)</f>
        <v>49.750110626220703</v>
      </c>
      <c r="B210">
        <f>B$9 * (49.7501106262207 -B$8)</f>
        <v>49.750110626220703</v>
      </c>
      <c r="C210">
        <f>C$9 * (49.7501106262207 -C$8)</f>
        <v>49.750110626220703</v>
      </c>
      <c r="E210">
        <v>41.705460101365915</v>
      </c>
      <c r="F210">
        <v>14768.62907409666</v>
      </c>
      <c r="G210">
        <v>26130.358314514149</v>
      </c>
    </row>
    <row r="211" spans="1:7" x14ac:dyDescent="0.3">
      <c r="A211">
        <f>A$9 * (50.0003623962402 -A$8)</f>
        <v>50.000362396240199</v>
      </c>
      <c r="B211">
        <f>B$9 * (50.0003623962402 -B$8)</f>
        <v>50.000362396240199</v>
      </c>
      <c r="C211">
        <f>C$9 * (50.0003623962402 -C$8)</f>
        <v>50.000362396240199</v>
      </c>
      <c r="E211">
        <v>42.739488556980838</v>
      </c>
      <c r="F211">
        <v>7844.6270942687879</v>
      </c>
      <c r="G211">
        <v>13242.319107055631</v>
      </c>
    </row>
    <row r="212" spans="1:7" x14ac:dyDescent="0.3">
      <c r="A212">
        <f>A$9 * (50.2500267028808 -A$8)</f>
        <v>50.250026702880803</v>
      </c>
      <c r="B212">
        <f>B$9 * (50.2500267028808 -B$8)</f>
        <v>50.250026702880803</v>
      </c>
      <c r="C212">
        <f>C$9 * (50.2500267028808 -C$8)</f>
        <v>50.250026702880803</v>
      </c>
      <c r="E212">
        <v>54.633060470223356</v>
      </c>
      <c r="F212">
        <v>11997.677135467511</v>
      </c>
      <c r="G212">
        <v>17991.180038452138</v>
      </c>
    </row>
    <row r="213" spans="1:7" x14ac:dyDescent="0.3">
      <c r="A213">
        <f>A$9 * (50.5 -A$8)</f>
        <v>50.5</v>
      </c>
      <c r="B213">
        <f>B$9 * (50.5 -B$8)</f>
        <v>50.5</v>
      </c>
      <c r="C213">
        <f>C$9 * (50.5 -C$8)</f>
        <v>50.5</v>
      </c>
      <c r="E213">
        <v>21.190215647220587</v>
      </c>
      <c r="F213">
        <v>8386.2865447997756</v>
      </c>
      <c r="G213">
        <v>22921.505928039529</v>
      </c>
    </row>
    <row r="214" spans="1:7" x14ac:dyDescent="0.3">
      <c r="A214">
        <f>A$9 * (50.7501373291015 -A$8)</f>
        <v>50.750137329101499</v>
      </c>
      <c r="B214">
        <f>B$9 * (50.7501373291015 -B$8)</f>
        <v>50.750137329101499</v>
      </c>
      <c r="C214">
        <f>C$9 * (50.7501373291015 -C$8)</f>
        <v>50.750137329101499</v>
      </c>
      <c r="E214">
        <v>-2.4185179034247994</v>
      </c>
      <c r="F214">
        <v>-3412.3708963394138</v>
      </c>
      <c r="G214">
        <v>1045.084011554718</v>
      </c>
    </row>
    <row r="215" spans="1:7" x14ac:dyDescent="0.3">
      <c r="A215">
        <f>A$9 * (51.0003623962402 -A$8)</f>
        <v>51.000362396240199</v>
      </c>
      <c r="B215">
        <f>B$9 * (51.0003623962402 -B$8)</f>
        <v>51.000362396240199</v>
      </c>
      <c r="C215">
        <f>C$9 * (51.0003623962402 -C$8)</f>
        <v>51.000362396240199</v>
      </c>
      <c r="E215">
        <v>-1.4734645024873283</v>
      </c>
      <c r="F215">
        <v>-5404.5249938964726</v>
      </c>
      <c r="G215">
        <v>7339.2911911010515</v>
      </c>
    </row>
    <row r="216" spans="1:7" x14ac:dyDescent="0.3">
      <c r="A216">
        <f>A$9 * (51.2503318786621 -A$8)</f>
        <v>51.250331878662102</v>
      </c>
      <c r="B216">
        <f>B$9 * (51.2503318786621 -B$8)</f>
        <v>51.250331878662102</v>
      </c>
      <c r="C216">
        <f>C$9 * (51.2503318786621 -C$8)</f>
        <v>51.250331878662102</v>
      </c>
      <c r="E216">
        <v>-7.6609832234680431</v>
      </c>
      <c r="F216">
        <v>-7118.8273429870314</v>
      </c>
      <c r="G216">
        <v>3276.4410495758052</v>
      </c>
    </row>
    <row r="217" spans="1:7" x14ac:dyDescent="0.3">
      <c r="A217">
        <f>A$9 * (51.5002212524414 -A$8)</f>
        <v>51.500221252441399</v>
      </c>
      <c r="B217">
        <f>B$9 * (51.5002212524414 -B$8)</f>
        <v>51.500221252441399</v>
      </c>
      <c r="C217">
        <f>C$9 * (51.5002212524414 -C$8)</f>
        <v>51.500221252441399</v>
      </c>
      <c r="E217">
        <v>-2.8854414587840438</v>
      </c>
      <c r="F217">
        <v>-1233.0029010772691</v>
      </c>
      <c r="G217">
        <v>-972.0122694969167</v>
      </c>
    </row>
    <row r="218" spans="1:7" x14ac:dyDescent="0.3">
      <c r="A218">
        <f>A$9 * (51.7500839233398 -A$8)</f>
        <v>51.750083923339801</v>
      </c>
      <c r="B218">
        <f>B$9 * (51.7500839233398 -B$8)</f>
        <v>51.750083923339801</v>
      </c>
      <c r="C218">
        <f>C$9 * (51.7500839233398 -C$8)</f>
        <v>51.750083923339801</v>
      </c>
      <c r="E218">
        <v>-3.9738276042044038</v>
      </c>
      <c r="F218">
        <v>-4811.9434833526566</v>
      </c>
      <c r="G218">
        <v>2979.0424346923801</v>
      </c>
    </row>
    <row r="219" spans="1:7" x14ac:dyDescent="0.3">
      <c r="A219">
        <f>A$9 * (52.0000839233398 -A$8)</f>
        <v>52.000083923339801</v>
      </c>
      <c r="B219">
        <f>B$9 * (52.0000839233398 -B$8)</f>
        <v>52.000083923339801</v>
      </c>
      <c r="C219">
        <f>C$9 * (52.0000839233398 -C$8)</f>
        <v>52.000083923339801</v>
      </c>
      <c r="E219">
        <v>-1.0365576948970523</v>
      </c>
      <c r="F219">
        <v>-3012.5277757644626</v>
      </c>
      <c r="G219">
        <v>1066.7641997337334</v>
      </c>
    </row>
    <row r="220" spans="1:7" x14ac:dyDescent="0.3">
      <c r="A220">
        <f>A$9 * (52.2501678466796 -A$8)</f>
        <v>52.250167846679602</v>
      </c>
      <c r="B220">
        <f>B$9 * (52.2501678466796 -B$8)</f>
        <v>52.250167846679602</v>
      </c>
      <c r="C220">
        <f>C$9 * (52.2501678466796 -C$8)</f>
        <v>52.250167846679602</v>
      </c>
      <c r="E220">
        <v>104.40964624285692</v>
      </c>
      <c r="F220">
        <v>3575.5942583084075</v>
      </c>
      <c r="G220">
        <v>4061.602592468244</v>
      </c>
    </row>
    <row r="221" spans="1:7" x14ac:dyDescent="0.3">
      <c r="A221">
        <f>A$9 * (52.5005569458007 -A$8)</f>
        <v>52.500556945800703</v>
      </c>
      <c r="B221">
        <f>B$9 * (52.5005569458007 -B$8)</f>
        <v>52.500556945800703</v>
      </c>
      <c r="C221">
        <f>C$9 * (52.5005569458007 -C$8)</f>
        <v>52.500556945800703</v>
      </c>
      <c r="E221">
        <v>45.817812904715282</v>
      </c>
      <c r="F221">
        <v>16097.284698486299</v>
      </c>
      <c r="G221">
        <v>27421.463012695309</v>
      </c>
    </row>
    <row r="222" spans="1:7" x14ac:dyDescent="0.3">
      <c r="A222">
        <f>A$9 * (52.7503623962402 -A$8)</f>
        <v>52.750362396240199</v>
      </c>
      <c r="B222">
        <f>B$9 * (52.7503623962402 -B$8)</f>
        <v>52.750362396240199</v>
      </c>
      <c r="C222">
        <f>C$9 * (52.7503623962402 -C$8)</f>
        <v>52.750362396240199</v>
      </c>
      <c r="E222">
        <v>116.9170215725898</v>
      </c>
      <c r="F222">
        <v>11426.273918151839</v>
      </c>
      <c r="G222">
        <v>12071.700096130367</v>
      </c>
    </row>
    <row r="223" spans="1:7" x14ac:dyDescent="0.3">
      <c r="A223">
        <f>A$9 * (53.0001678466796 -A$8)</f>
        <v>53.000167846679602</v>
      </c>
      <c r="B223">
        <f>B$9 * (53.0001678466796 -B$8)</f>
        <v>53.000167846679602</v>
      </c>
      <c r="C223">
        <f>C$9 * (53.0001678466796 -C$8)</f>
        <v>53.000167846679602</v>
      </c>
      <c r="E223">
        <v>50.840423628687724</v>
      </c>
      <c r="F223">
        <v>16713.688087463364</v>
      </c>
      <c r="G223">
        <v>26536.914253234834</v>
      </c>
    </row>
    <row r="224" spans="1:7" x14ac:dyDescent="0.3">
      <c r="A224">
        <f>A$9 * (53.2502517700195 -A$8)</f>
        <v>53.250251770019503</v>
      </c>
      <c r="B224">
        <f>B$9 * (53.2502517700195 -B$8)</f>
        <v>53.250251770019503</v>
      </c>
      <c r="C224">
        <f>C$9 * (53.2502517700195 -C$8)</f>
        <v>53.250251770019503</v>
      </c>
      <c r="E224">
        <v>37.071504816412684</v>
      </c>
      <c r="F224">
        <v>11346.105480194088</v>
      </c>
      <c r="G224">
        <v>21303.535652160626</v>
      </c>
    </row>
    <row r="225" spans="1:7" x14ac:dyDescent="0.3">
      <c r="A225">
        <f>A$9 * (53.5003318786621 -A$8)</f>
        <v>53.500331878662102</v>
      </c>
      <c r="B225">
        <f>B$9 * (53.5003318786621 -B$8)</f>
        <v>53.500331878662102</v>
      </c>
      <c r="C225">
        <f>C$9 * (53.5003318786621 -C$8)</f>
        <v>53.500331878662102</v>
      </c>
      <c r="E225">
        <v>51.544909179210599</v>
      </c>
      <c r="F225">
        <v>8631.4893722534161</v>
      </c>
      <c r="G225">
        <v>13134.72604751586</v>
      </c>
    </row>
    <row r="226" spans="1:7" x14ac:dyDescent="0.3">
      <c r="A226">
        <f>A$9 * (53.7501945495605 -A$8)</f>
        <v>53.750194549560497</v>
      </c>
      <c r="B226">
        <f>B$9 * (53.7501945495605 -B$8)</f>
        <v>53.750194549560497</v>
      </c>
      <c r="C226">
        <f>C$9 * (53.7501945495605 -C$8)</f>
        <v>53.750194549560497</v>
      </c>
      <c r="E226">
        <v>25.32669492065904</v>
      </c>
      <c r="F226">
        <v>10415.214157104469</v>
      </c>
      <c r="G226">
        <v>25213.200759887688</v>
      </c>
    </row>
    <row r="227" spans="1:7" x14ac:dyDescent="0.3">
      <c r="A227">
        <f>A$9 * (54.00044631958 -A$8)</f>
        <v>54.00044631958</v>
      </c>
      <c r="B227">
        <f>B$9 * (54.00044631958 -B$8)</f>
        <v>54.00044631958</v>
      </c>
      <c r="C227">
        <f>C$9 * (54.00044631958 -C$8)</f>
        <v>54.00044631958</v>
      </c>
      <c r="E227">
        <v>8.3309579640626765</v>
      </c>
      <c r="F227">
        <v>1994.9822187423695</v>
      </c>
      <c r="G227">
        <v>11125.832176208483</v>
      </c>
    </row>
    <row r="228" spans="1:7" x14ac:dyDescent="0.3">
      <c r="A228">
        <f>A$9 * (54.2503318786621 -A$8)</f>
        <v>54.250331878662102</v>
      </c>
      <c r="B228">
        <f>B$9 * (54.2503318786621 -B$8)</f>
        <v>54.250331878662102</v>
      </c>
      <c r="C228">
        <f>C$9 * (54.2503318786621 -C$8)</f>
        <v>54.250331878662102</v>
      </c>
      <c r="E228">
        <v>-5.2007617894559761</v>
      </c>
      <c r="F228">
        <v>-491.5487051010108</v>
      </c>
      <c r="G228">
        <v>-2973.144578933714</v>
      </c>
    </row>
    <row r="229" spans="1:7" x14ac:dyDescent="0.3">
      <c r="A229">
        <f>A$9 * (54.5005569458007 -A$8)</f>
        <v>54.500556945800703</v>
      </c>
      <c r="B229">
        <f>B$9 * (54.5005569458007 -B$8)</f>
        <v>54.500556945800703</v>
      </c>
      <c r="C229">
        <f>C$9 * (54.5005569458007 -C$8)</f>
        <v>54.500556945800703</v>
      </c>
      <c r="E229">
        <v>-2.7548273093998428</v>
      </c>
      <c r="F229">
        <v>-4694.4073677062879</v>
      </c>
      <c r="G229">
        <v>3766.9067859649322</v>
      </c>
    </row>
    <row r="230" spans="1:7" x14ac:dyDescent="0.3">
      <c r="A230">
        <f>A$9 * (54.7503318786621 -A$8)</f>
        <v>54.750331878662102</v>
      </c>
      <c r="B230">
        <f>B$9 * (54.7503318786621 -B$8)</f>
        <v>54.750331878662102</v>
      </c>
      <c r="C230">
        <f>C$9 * (54.7503318786621 -C$8)</f>
        <v>54.750331878662102</v>
      </c>
      <c r="E230">
        <v>-2.8375225374475117</v>
      </c>
      <c r="F230">
        <v>-1078.8059234619109</v>
      </c>
      <c r="G230">
        <v>-499.21413660049319</v>
      </c>
    </row>
    <row r="231" spans="1:7" x14ac:dyDescent="0.3">
      <c r="A231">
        <f>A$9 * (55.0004997253418 -A$8)</f>
        <v>55.000499725341797</v>
      </c>
      <c r="B231">
        <f>B$9 * (55.0004997253418 -B$8)</f>
        <v>55.000499725341797</v>
      </c>
      <c r="C231">
        <f>C$9 * (55.0004997253418 -C$8)</f>
        <v>55.000499725341797</v>
      </c>
      <c r="E231">
        <v>-3.263021679595111</v>
      </c>
      <c r="F231">
        <v>-1465.1920795440672</v>
      </c>
      <c r="G231">
        <v>-1649.7586369514447</v>
      </c>
    </row>
    <row r="232" spans="1:7" x14ac:dyDescent="0.3">
      <c r="A232">
        <f>A$9 * (55.250389099121 -A$8)</f>
        <v>55.250389099121001</v>
      </c>
      <c r="B232">
        <f>B$9 * (55.250389099121 -B$8)</f>
        <v>55.250389099121001</v>
      </c>
      <c r="C232">
        <f>C$9 * (55.250389099121 -C$8)</f>
        <v>55.250389099121001</v>
      </c>
      <c r="E232">
        <v>-1.4413762721233045</v>
      </c>
      <c r="F232">
        <v>-2542.2176599502545</v>
      </c>
      <c r="G232">
        <v>134.73122119903547</v>
      </c>
    </row>
    <row r="233" spans="1:7" x14ac:dyDescent="0.3">
      <c r="A233">
        <f>A$9 * (55.5002212524414 -A$8)</f>
        <v>55.500221252441399</v>
      </c>
      <c r="B233">
        <f>B$9 * (55.5002212524414 -B$8)</f>
        <v>55.500221252441399</v>
      </c>
      <c r="C233">
        <f>C$9 * (55.5002212524414 -C$8)</f>
        <v>55.500221252441399</v>
      </c>
      <c r="E233">
        <v>-13.830509036779381</v>
      </c>
      <c r="F233">
        <v>-4337.5825881957962</v>
      </c>
      <c r="G233">
        <v>7647.6130485534368</v>
      </c>
    </row>
    <row r="234" spans="1:7" x14ac:dyDescent="0.3">
      <c r="A234">
        <f>A$9 * (55.7502784729003 -A$8)</f>
        <v>55.750278472900298</v>
      </c>
      <c r="B234">
        <f>B$9 * (55.7502784729003 -B$8)</f>
        <v>55.750278472900298</v>
      </c>
      <c r="C234">
        <f>C$9 * (55.7502784729003 -C$8)</f>
        <v>55.750278472900298</v>
      </c>
      <c r="E234">
        <v>3.8843386340886363</v>
      </c>
      <c r="F234">
        <v>1841.494631767272</v>
      </c>
      <c r="G234">
        <v>34284.862518310547</v>
      </c>
    </row>
    <row r="235" spans="1:7" x14ac:dyDescent="0.3">
      <c r="A235">
        <f>A$9 * (56.0003051757812 -A$8)</f>
        <v>56.0003051757812</v>
      </c>
      <c r="B235">
        <f>B$9 * (56.0003051757812 -B$8)</f>
        <v>56.0003051757812</v>
      </c>
      <c r="C235">
        <f>C$9 * (56.0003051757812 -C$8)</f>
        <v>56.0003051757812</v>
      </c>
      <c r="E235">
        <v>104.1608177125452</v>
      </c>
      <c r="F235">
        <v>11399.932479858371</v>
      </c>
      <c r="G235">
        <v>12320.348167419408</v>
      </c>
    </row>
    <row r="236" spans="1:7" x14ac:dyDescent="0.3">
      <c r="A236">
        <f>A$9 * (56.2506103515625 -A$8)</f>
        <v>56.2506103515625</v>
      </c>
      <c r="B236">
        <f>B$9 * (56.2506103515625 -B$8)</f>
        <v>56.2506103515625</v>
      </c>
      <c r="C236">
        <f>C$9 * (56.2506103515625 -C$8)</f>
        <v>56.2506103515625</v>
      </c>
      <c r="E236">
        <v>71.347101777791636</v>
      </c>
      <c r="F236">
        <v>17457.958602905259</v>
      </c>
      <c r="G236">
        <v>23313.096427917455</v>
      </c>
    </row>
    <row r="237" spans="1:7" x14ac:dyDescent="0.3">
      <c r="A237">
        <f>A$9 * (56.5001678466796 -A$8)</f>
        <v>56.500167846679602</v>
      </c>
      <c r="B237">
        <f>B$9 * (56.5001678466796 -B$8)</f>
        <v>56.500167846679602</v>
      </c>
      <c r="C237">
        <f>C$9 * (56.5001678466796 -C$8)</f>
        <v>56.500167846679602</v>
      </c>
      <c r="E237">
        <v>35.433530062437029</v>
      </c>
      <c r="F237">
        <v>13426.480865478492</v>
      </c>
      <c r="G237">
        <v>26191.414833068844</v>
      </c>
    </row>
    <row r="238" spans="1:7" x14ac:dyDescent="0.3">
      <c r="A238">
        <f>A$9 * (56.7500839233398 -A$8)</f>
        <v>56.750083923339801</v>
      </c>
      <c r="B238">
        <f>B$9 * (56.7500839233398 -B$8)</f>
        <v>56.750083923339801</v>
      </c>
      <c r="C238">
        <f>C$9 * (56.7500839233398 -C$8)</f>
        <v>56.750083923339801</v>
      </c>
      <c r="E238">
        <v>44.47080083191392</v>
      </c>
      <c r="F238">
        <v>7327.5512695312327</v>
      </c>
      <c r="G238">
        <v>12045.092582702629</v>
      </c>
    </row>
    <row r="239" spans="1:7" x14ac:dyDescent="0.3">
      <c r="A239">
        <f>A$9 * (57.0001373291015 -A$8)</f>
        <v>57.000137329101499</v>
      </c>
      <c r="B239">
        <f>B$9 * (57.0001373291015 -B$8)</f>
        <v>57.000137329101499</v>
      </c>
      <c r="C239">
        <f>C$9 * (57.0001373291015 -C$8)</f>
        <v>57.000137329101499</v>
      </c>
      <c r="E239">
        <v>38.233618810772761</v>
      </c>
      <c r="F239">
        <v>12553.542423248293</v>
      </c>
      <c r="G239">
        <v>23214.581680297822</v>
      </c>
    </row>
    <row r="240" spans="1:7" x14ac:dyDescent="0.3">
      <c r="A240">
        <f>A$9 * (57.2500572204589 -A$8)</f>
        <v>57.250057220458899</v>
      </c>
      <c r="B240">
        <f>B$9 * (57.2500572204589 -B$8)</f>
        <v>57.250057220458899</v>
      </c>
      <c r="C240">
        <f>C$9 * (57.2500572204589 -C$8)</f>
        <v>57.250057220458899</v>
      </c>
      <c r="E240">
        <v>19.262664578855016</v>
      </c>
      <c r="F240">
        <v>6752.091693878172</v>
      </c>
      <c r="G240">
        <v>19568.876838684046</v>
      </c>
    </row>
    <row r="241" spans="1:7" x14ac:dyDescent="0.3">
      <c r="A241">
        <f>A$9 * (57.5001373291015 -A$8)</f>
        <v>57.500137329101499</v>
      </c>
      <c r="B241">
        <f>B$9 * (57.5001373291015 -B$8)</f>
        <v>57.500137329101499</v>
      </c>
      <c r="C241">
        <f>C$9 * (57.5001373291015 -C$8)</f>
        <v>57.500137329101499</v>
      </c>
      <c r="E241">
        <v>-3.3396911574527595</v>
      </c>
      <c r="F241">
        <v>-2907.2991371154767</v>
      </c>
      <c r="G241">
        <v>1680.4911732673643</v>
      </c>
    </row>
    <row r="242" spans="1:7" x14ac:dyDescent="0.3">
      <c r="A242">
        <f>A$9 * (57.7502517700195 -A$8)</f>
        <v>57.750251770019503</v>
      </c>
      <c r="B242">
        <f>B$9 * (57.7502517700195 -B$8)</f>
        <v>57.750251770019503</v>
      </c>
      <c r="C242">
        <f>C$9 * (57.7502517700195 -C$8)</f>
        <v>57.750251770019503</v>
      </c>
      <c r="E242">
        <v>-7.8641965985298121</v>
      </c>
      <c r="F242">
        <v>-2657.5839757919302</v>
      </c>
      <c r="G242">
        <v>-4087.1269226073964</v>
      </c>
    </row>
    <row r="243" spans="1:7" x14ac:dyDescent="0.3">
      <c r="A243">
        <f>A$9 * (58.0001678466796 -A$8)</f>
        <v>58.000167846679602</v>
      </c>
      <c r="B243">
        <f>B$9 * (58.0001678466796 -B$8)</f>
        <v>58.000167846679602</v>
      </c>
      <c r="C243">
        <f>C$9 * (58.0001678466796 -C$8)</f>
        <v>58.000167846679602</v>
      </c>
      <c r="E243">
        <v>-4.2823872528969957</v>
      </c>
      <c r="F243">
        <v>-3764.1602039336999</v>
      </c>
      <c r="G243">
        <v>-305.1996052265165</v>
      </c>
    </row>
    <row r="244" spans="1:7" x14ac:dyDescent="0.3">
      <c r="A244">
        <f>A$9 * (58.2502517700195 -A$8)</f>
        <v>58.250251770019503</v>
      </c>
      <c r="B244">
        <f>B$9 * (58.2502517700195 -B$8)</f>
        <v>58.250251770019503</v>
      </c>
      <c r="C244">
        <f>C$9 * (58.2502517700195 -C$8)</f>
        <v>58.250251770019503</v>
      </c>
      <c r="E244">
        <v>-1.7880900297313898</v>
      </c>
      <c r="F244">
        <v>-995.87556123733441</v>
      </c>
      <c r="G244">
        <v>112.63885796070072</v>
      </c>
    </row>
    <row r="245" spans="1:7" x14ac:dyDescent="0.3">
      <c r="A245">
        <f>A$9 * (58.5002784729003 -A$8)</f>
        <v>58.500278472900298</v>
      </c>
      <c r="B245">
        <f>B$9 * (58.5002784729003 -B$8)</f>
        <v>58.500278472900298</v>
      </c>
      <c r="C245">
        <f>C$9 * (58.5002784729003 -C$8)</f>
        <v>58.500278472900298</v>
      </c>
      <c r="E245">
        <v>-1.4604112599045014</v>
      </c>
      <c r="F245">
        <v>-2805.093455314633</v>
      </c>
      <c r="G245">
        <v>2073.2915639877301</v>
      </c>
    </row>
    <row r="246" spans="1:7" x14ac:dyDescent="0.3">
      <c r="A246">
        <f>A$9 * (58.7506370544433 -A$8)</f>
        <v>58.750637054443303</v>
      </c>
      <c r="B246">
        <f>B$9 * (58.7506370544433 -B$8)</f>
        <v>58.750637054443303</v>
      </c>
      <c r="C246">
        <f>C$9 * (58.7506370544433 -C$8)</f>
        <v>58.750637054443303</v>
      </c>
      <c r="E246">
        <v>3.9247666485607438</v>
      </c>
      <c r="F246">
        <v>-3692.267990112276</v>
      </c>
      <c r="G246">
        <v>1410.8039617538448</v>
      </c>
    </row>
    <row r="247" spans="1:7" x14ac:dyDescent="0.3">
      <c r="A247">
        <f>A$9 * (59.0006675720214 -A$8)</f>
        <v>59.000667572021399</v>
      </c>
      <c r="B247">
        <f>B$9 * (59.0006675720214 -B$8)</f>
        <v>59.000667572021399</v>
      </c>
      <c r="C247">
        <f>C$9 * (59.0006675720214 -C$8)</f>
        <v>59.000667572021399</v>
      </c>
      <c r="E247">
        <v>289.90138471126528</v>
      </c>
      <c r="F247">
        <v>11710.231018066404</v>
      </c>
      <c r="G247">
        <v>12223.022174835192</v>
      </c>
    </row>
    <row r="248" spans="1:7" x14ac:dyDescent="0.3">
      <c r="A248">
        <f>A$9 * (59.2500267028808 -A$8)</f>
        <v>59.250026702880803</v>
      </c>
      <c r="B248">
        <f>B$9 * (59.2500267028808 -B$8)</f>
        <v>59.250026702880803</v>
      </c>
      <c r="C248">
        <f>C$9 * (59.2500267028808 -C$8)</f>
        <v>59.250026702880803</v>
      </c>
      <c r="E248">
        <v>99.555230140685993</v>
      </c>
      <c r="F248">
        <v>15639.537620544408</v>
      </c>
      <c r="G248">
        <v>17901.294708251953</v>
      </c>
    </row>
    <row r="249" spans="1:7" x14ac:dyDescent="0.3">
      <c r="A249">
        <f>A$9 * (59.5001373291015 -A$8)</f>
        <v>59.500137329101499</v>
      </c>
      <c r="B249">
        <f>B$9 * (59.5001373291015 -B$8)</f>
        <v>59.500137329101499</v>
      </c>
      <c r="C249">
        <f>C$9 * (59.5001373291015 -C$8)</f>
        <v>59.500137329101499</v>
      </c>
      <c r="E249">
        <v>131.94460719823826</v>
      </c>
      <c r="F249">
        <v>13535.363101959216</v>
      </c>
      <c r="G249">
        <v>14252.007293701165</v>
      </c>
    </row>
    <row r="250" spans="1:7" x14ac:dyDescent="0.3">
      <c r="A250">
        <f>A$9 * (59.7504997253418 -A$8)</f>
        <v>59.750499725341797</v>
      </c>
      <c r="B250">
        <f>B$9 * (59.7504997253418 -B$8)</f>
        <v>59.750499725341797</v>
      </c>
      <c r="C250">
        <f>C$9 * (59.7504997253418 -C$8)</f>
        <v>59.750499725341797</v>
      </c>
      <c r="E250">
        <v>43.5698267072436</v>
      </c>
      <c r="F250">
        <v>15256.137084960925</v>
      </c>
      <c r="G250">
        <v>26330.352401733373</v>
      </c>
    </row>
    <row r="251" spans="1:7" x14ac:dyDescent="0.3">
      <c r="A251">
        <f>A$9 * (60.0002517700195 -A$8)</f>
        <v>60.000251770019503</v>
      </c>
      <c r="B251">
        <f>B$9 * (60.0002517700195 -B$8)</f>
        <v>60.000251770019503</v>
      </c>
      <c r="C251">
        <f>C$9 * (60.0002517700195 -C$8)</f>
        <v>60.000251770019503</v>
      </c>
      <c r="E251">
        <v>42.858286947011877</v>
      </c>
      <c r="F251">
        <v>8617.4242973327528</v>
      </c>
      <c r="G251">
        <v>14584.532546997074</v>
      </c>
    </row>
    <row r="252" spans="1:7" x14ac:dyDescent="0.3">
      <c r="A252">
        <f>A$9 * (60.2502212524414 -A$8)</f>
        <v>60.250221252441399</v>
      </c>
      <c r="B252">
        <f>B$9 * (60.2502212524414 -B$8)</f>
        <v>60.250221252441399</v>
      </c>
      <c r="C252">
        <f>C$9 * (60.2502212524414 -C$8)</f>
        <v>60.250221252441399</v>
      </c>
      <c r="E252">
        <v>57.139775902032838</v>
      </c>
      <c r="F252">
        <v>11060.643768310549</v>
      </c>
      <c r="G252">
        <v>16122.963523864717</v>
      </c>
    </row>
    <row r="253" spans="1:7" x14ac:dyDescent="0.3">
      <c r="A253">
        <f>A$9 * (60.500389099121 -A$8)</f>
        <v>60.500389099121001</v>
      </c>
      <c r="B253">
        <f>B$9 * (60.500389099121 -B$8)</f>
        <v>60.500389099121001</v>
      </c>
      <c r="C253">
        <f>C$9 * (60.500389099121 -C$8)</f>
        <v>60.500389099121001</v>
      </c>
      <c r="E253">
        <v>21.329003199934945</v>
      </c>
      <c r="F253">
        <v>8709.1052055358687</v>
      </c>
      <c r="G253">
        <v>23735.235786437988</v>
      </c>
    </row>
    <row r="254" spans="1:7" x14ac:dyDescent="0.3">
      <c r="A254">
        <f>A$9 * (60.7502517700195 -A$8)</f>
        <v>60.750251770019503</v>
      </c>
      <c r="B254">
        <f>B$9 * (60.7502517700195 -B$8)</f>
        <v>60.750251770019503</v>
      </c>
      <c r="C254">
        <f>C$9 * (60.7502517700195 -C$8)</f>
        <v>60.750251770019503</v>
      </c>
      <c r="E254">
        <v>-2.6486304821446534</v>
      </c>
      <c r="F254">
        <v>-4416.5266513824236</v>
      </c>
      <c r="G254">
        <v>3705.2134037017559</v>
      </c>
    </row>
    <row r="255" spans="1:7" x14ac:dyDescent="0.3">
      <c r="A255">
        <f>A$9 * (61.0002517700195 -A$8)</f>
        <v>61.000251770019503</v>
      </c>
      <c r="B255">
        <f>B$9 * (61.0002517700195 -B$8)</f>
        <v>61.000251770019503</v>
      </c>
      <c r="C255">
        <f>C$9 * (61.0002517700195 -C$8)</f>
        <v>61.000251770019503</v>
      </c>
      <c r="E255">
        <v>-4.3032058048993314</v>
      </c>
      <c r="F255">
        <v>-4303.4399986267081</v>
      </c>
      <c r="G255">
        <v>-452.36018300056196</v>
      </c>
    </row>
    <row r="256" spans="1:7" x14ac:dyDescent="0.3">
      <c r="A256">
        <f>A$9 * (61.250389099121 -A$8)</f>
        <v>61.250389099121001</v>
      </c>
      <c r="B256">
        <f>B$9 * (61.250389099121 -B$8)</f>
        <v>61.250389099121001</v>
      </c>
      <c r="C256">
        <f>C$9 * (61.250389099121 -C$8)</f>
        <v>61.250389099121001</v>
      </c>
      <c r="E256">
        <v>1.7979574156925073</v>
      </c>
      <c r="F256">
        <v>-3660.649251937848</v>
      </c>
      <c r="G256">
        <v>2851.8396377563477</v>
      </c>
    </row>
    <row r="257" spans="1:7" x14ac:dyDescent="0.3">
      <c r="A257">
        <f>A$9 * (61.5001373291015 -A$8)</f>
        <v>61.500137329101499</v>
      </c>
      <c r="B257">
        <f>B$9 * (61.5001373291015 -B$8)</f>
        <v>61.500137329101499</v>
      </c>
      <c r="C257">
        <f>C$9 * (61.5001373291015 -C$8)</f>
        <v>61.500137329101499</v>
      </c>
      <c r="E257">
        <v>-3.6497413180768317</v>
      </c>
      <c r="F257">
        <v>-4048.2142925262124</v>
      </c>
      <c r="G257">
        <v>616.5158271789528</v>
      </c>
    </row>
    <row r="258" spans="1:7" x14ac:dyDescent="0.3">
      <c r="A258">
        <f>A$9 * (61.7500572204589 -A$8)</f>
        <v>61.750057220458899</v>
      </c>
      <c r="B258">
        <f>B$9 * (61.7500572204589 -B$8)</f>
        <v>61.750057220458899</v>
      </c>
      <c r="C258">
        <f>C$9 * (61.7500572204589 -C$8)</f>
        <v>61.750057220458899</v>
      </c>
      <c r="E258">
        <v>-3.5279002971947162</v>
      </c>
      <c r="F258">
        <v>-4365.7522201537922</v>
      </c>
      <c r="G258">
        <v>3747.3622798919396</v>
      </c>
    </row>
    <row r="259" spans="1:7" x14ac:dyDescent="0.3">
      <c r="A259">
        <f>A$9 * (62.0008316040039 -A$8)</f>
        <v>62.000831604003899</v>
      </c>
      <c r="B259">
        <f>B$9 * (62.0008316040039 -B$8)</f>
        <v>62.000831604003899</v>
      </c>
      <c r="C259">
        <f>C$9 * (62.0008316040039 -C$8)</f>
        <v>62.000831604003899</v>
      </c>
      <c r="E259">
        <v>-5.132491188123816</v>
      </c>
      <c r="F259">
        <v>-4086.3780498504598</v>
      </c>
      <c r="G259">
        <v>1587.2648835182183</v>
      </c>
    </row>
    <row r="260" spans="1:7" x14ac:dyDescent="0.3">
      <c r="A260">
        <f>A$9 * (62.2506103515625 -A$8)</f>
        <v>62.2506103515625</v>
      </c>
      <c r="B260">
        <f>B$9 * (62.2506103515625 -B$8)</f>
        <v>62.2506103515625</v>
      </c>
      <c r="C260">
        <f>C$9 * (62.2506103515625 -C$8)</f>
        <v>62.2506103515625</v>
      </c>
      <c r="E260">
        <v>147.57562279701216</v>
      </c>
      <c r="F260">
        <v>5408.1933975219599</v>
      </c>
      <c r="G260">
        <v>5903.5068511962845</v>
      </c>
    </row>
    <row r="261" spans="1:7" x14ac:dyDescent="0.3">
      <c r="A261">
        <f>A$9 * (62.5002784729003 -A$8)</f>
        <v>62.500278472900298</v>
      </c>
      <c r="B261">
        <f>B$9 * (62.5002784729003 -B$8)</f>
        <v>62.500278472900298</v>
      </c>
      <c r="C261">
        <f>C$9 * (62.5002784729003 -C$8)</f>
        <v>62.500278472900298</v>
      </c>
      <c r="E261">
        <v>55.152647942304597</v>
      </c>
      <c r="F261">
        <v>16282.385444641104</v>
      </c>
      <c r="G261">
        <v>24842.89798736569</v>
      </c>
    </row>
    <row r="262" spans="1:7" x14ac:dyDescent="0.3">
      <c r="A262">
        <f>A$9 * (62.7505264282226 -A$8)</f>
        <v>62.750526428222599</v>
      </c>
      <c r="B262">
        <f>B$9 * (62.7505264282226 -B$8)</f>
        <v>62.750526428222599</v>
      </c>
      <c r="C262">
        <f>C$9 * (62.7505264282226 -C$8)</f>
        <v>62.750526428222599</v>
      </c>
      <c r="E262">
        <v>115.65600782632812</v>
      </c>
      <c r="F262">
        <v>11302.79788970946</v>
      </c>
      <c r="G262">
        <v>11945.195960998537</v>
      </c>
    </row>
    <row r="263" spans="1:7" x14ac:dyDescent="0.3">
      <c r="A263">
        <f>A$9 * (63.0001106262207 -A$8)</f>
        <v>63.000110626220703</v>
      </c>
      <c r="B263">
        <f>B$9 * (63.0001106262207 -B$8)</f>
        <v>63.000110626220703</v>
      </c>
      <c r="C263">
        <f>C$9 * (63.0001106262207 -C$8)</f>
        <v>63.000110626220703</v>
      </c>
      <c r="E263">
        <v>47.46355265378952</v>
      </c>
      <c r="F263">
        <v>16189.78271484373</v>
      </c>
      <c r="G263">
        <v>26633.772468566891</v>
      </c>
    </row>
    <row r="264" spans="1:7" x14ac:dyDescent="0.3">
      <c r="A264">
        <f>A$9 * (63.2501945495605 -A$8)</f>
        <v>63.250194549560497</v>
      </c>
      <c r="B264">
        <f>B$9 * (63.2501945495605 -B$8)</f>
        <v>63.250194549560497</v>
      </c>
      <c r="C264">
        <f>C$9 * (63.2501945495605 -C$8)</f>
        <v>63.250194549560497</v>
      </c>
      <c r="E264">
        <v>38.237471133470279</v>
      </c>
      <c r="F264">
        <v>10760.216617584216</v>
      </c>
      <c r="G264">
        <v>19754.092597961411</v>
      </c>
    </row>
    <row r="265" spans="1:7" x14ac:dyDescent="0.3">
      <c r="A265">
        <f>A$9 * (63.5001678466796 -A$8)</f>
        <v>63.500167846679602</v>
      </c>
      <c r="B265">
        <f>B$9 * (63.5001678466796 -B$8)</f>
        <v>63.500167846679602</v>
      </c>
      <c r="C265">
        <f>C$9 * (63.5001678466796 -C$8)</f>
        <v>63.500167846679602</v>
      </c>
      <c r="E265">
        <v>51.260004937648439</v>
      </c>
      <c r="F265">
        <v>8393.2053565978804</v>
      </c>
      <c r="G265">
        <v>12791.829872131344</v>
      </c>
    </row>
    <row r="266" spans="1:7" x14ac:dyDescent="0.3">
      <c r="A266">
        <f>A$9 * (63.7500267028808 -A$8)</f>
        <v>63.750026702880803</v>
      </c>
      <c r="B266">
        <f>B$9 * (63.7500267028808 -B$8)</f>
        <v>63.750026702880803</v>
      </c>
      <c r="C266">
        <f>C$9 * (63.7500267028808 -C$8)</f>
        <v>63.750026702880803</v>
      </c>
      <c r="E266">
        <v>24.415952526032903</v>
      </c>
      <c r="F266">
        <v>10285.289669036845</v>
      </c>
      <c r="G266">
        <v>25550.110244750977</v>
      </c>
    </row>
    <row r="267" spans="1:7" x14ac:dyDescent="0.3">
      <c r="A267">
        <f>A$9 * (64.0003051757812 -A$8)</f>
        <v>64.000305175781193</v>
      </c>
      <c r="B267">
        <f>B$9 * (64.0003051757812 -B$8)</f>
        <v>64.000305175781193</v>
      </c>
      <c r="C267">
        <f>C$9 * (64.0003051757812 -C$8)</f>
        <v>64.000305175781193</v>
      </c>
      <c r="E267">
        <v>5.9908177703619003</v>
      </c>
      <c r="F267">
        <v>1387.2131824493376</v>
      </c>
      <c r="G267">
        <v>10178.495693206776</v>
      </c>
    </row>
    <row r="268" spans="1:7" x14ac:dyDescent="0.3">
      <c r="A268">
        <f>A$9 * (64.2501144409179 -A$8)</f>
        <v>64.250114440917898</v>
      </c>
      <c r="B268">
        <f>B$9 * (64.2501144409179 -B$8)</f>
        <v>64.250114440917898</v>
      </c>
      <c r="C268">
        <f>C$9 * (64.2501144409179 -C$8)</f>
        <v>64.250114440917898</v>
      </c>
      <c r="E268">
        <v>1.3425591867417073</v>
      </c>
      <c r="F268">
        <v>-1367.563319206236</v>
      </c>
      <c r="G268">
        <v>2082.076120376586</v>
      </c>
    </row>
    <row r="269" spans="1:7" x14ac:dyDescent="0.3">
      <c r="A269">
        <f>A$9 * (64.500389099121 -A$8)</f>
        <v>64.500389099120994</v>
      </c>
      <c r="B269">
        <f>B$9 * (64.500389099121 -B$8)</f>
        <v>64.500389099120994</v>
      </c>
      <c r="C269">
        <f>C$9 * (64.500389099121 -C$8)</f>
        <v>64.500389099120994</v>
      </c>
      <c r="E269">
        <v>2.0964571041986315</v>
      </c>
      <c r="F269">
        <v>-3970.0800418853519</v>
      </c>
      <c r="G269">
        <v>3852.5293350219599</v>
      </c>
    </row>
    <row r="270" spans="1:7" x14ac:dyDescent="0.3">
      <c r="A270">
        <f>A$9 * (64.7506103515625 -A$8)</f>
        <v>64.7506103515625</v>
      </c>
      <c r="B270">
        <f>B$9 * (64.7506103515625 -B$8)</f>
        <v>64.7506103515625</v>
      </c>
      <c r="C270">
        <f>C$9 * (64.7506103515625 -C$8)</f>
        <v>64.7506103515625</v>
      </c>
      <c r="E270">
        <v>-4.2501634452491759</v>
      </c>
      <c r="F270">
        <v>-4189.1942024230675</v>
      </c>
      <c r="G270">
        <v>2519.3253278732291</v>
      </c>
    </row>
    <row r="271" spans="1:7" x14ac:dyDescent="0.3">
      <c r="A271">
        <f>A$9 * (65.0001144409179 -A$8)</f>
        <v>65.000114440917898</v>
      </c>
      <c r="B271">
        <f>B$9 * (65.0001144409179 -B$8)</f>
        <v>65.000114440917898</v>
      </c>
      <c r="C271">
        <f>C$9 * (65.0001144409179 -C$8)</f>
        <v>65.000114440917898</v>
      </c>
      <c r="E271">
        <v>-5.0160204526036685</v>
      </c>
      <c r="F271">
        <v>-2588.9559030532837</v>
      </c>
      <c r="G271">
        <v>-2132.8196525573721</v>
      </c>
    </row>
    <row r="272" spans="1:7" x14ac:dyDescent="0.3">
      <c r="A272">
        <f>A$9 * (65.2503051757812 -A$8)</f>
        <v>65.250305175781193</v>
      </c>
      <c r="B272">
        <f>B$9 * (65.2503051757812 -B$8)</f>
        <v>65.250305175781193</v>
      </c>
      <c r="C272">
        <f>C$9 * (65.2503051757812 -C$8)</f>
        <v>65.250305175781193</v>
      </c>
      <c r="E272">
        <v>-1.7399645992554698</v>
      </c>
      <c r="F272">
        <v>-496.14842534065195</v>
      </c>
      <c r="G272">
        <v>-479.75326180457762</v>
      </c>
    </row>
    <row r="273" spans="1:7" x14ac:dyDescent="0.3">
      <c r="A273">
        <f>A$9 * (65.5001144409179 -A$8)</f>
        <v>65.500114440917898</v>
      </c>
      <c r="B273">
        <f>B$9 * (65.5001144409179 -B$8)</f>
        <v>65.500114440917898</v>
      </c>
      <c r="C273">
        <f>C$9 * (65.5001144409179 -C$8)</f>
        <v>65.500114440917898</v>
      </c>
      <c r="E273">
        <v>19.977778382599332</v>
      </c>
      <c r="F273">
        <v>617.74631738662674</v>
      </c>
      <c r="G273">
        <v>1833.8614940643299</v>
      </c>
    </row>
    <row r="274" spans="1:7" x14ac:dyDescent="0.3">
      <c r="A274">
        <f>A$9 * (65.7503585815429 -A$8)</f>
        <v>65.750358581542898</v>
      </c>
      <c r="B274">
        <f>B$9 * (65.7503585815429 -B$8)</f>
        <v>65.750358581542898</v>
      </c>
      <c r="C274">
        <f>C$9 * (65.7503585815429 -C$8)</f>
        <v>65.750358581542898</v>
      </c>
      <c r="E274">
        <v>34.889953583478921</v>
      </c>
      <c r="F274">
        <v>19885.945701599099</v>
      </c>
      <c r="G274">
        <v>40530.239868164033</v>
      </c>
    </row>
    <row r="275" spans="1:7" x14ac:dyDescent="0.3">
      <c r="A275">
        <f>A$9 * (66.0001907348632 -A$8)</f>
        <v>66.000190734863196</v>
      </c>
      <c r="B275">
        <f>B$9 * (66.0001907348632 -B$8)</f>
        <v>66.000190734863196</v>
      </c>
      <c r="C275">
        <f>C$9 * (66.0001907348632 -C$8)</f>
        <v>66.000190734863196</v>
      </c>
      <c r="E275">
        <v>104.42339926958051</v>
      </c>
      <c r="F275">
        <v>11219.428825378416</v>
      </c>
      <c r="G275">
        <v>12083.975601196284</v>
      </c>
    </row>
    <row r="276" spans="1:7" x14ac:dyDescent="0.3">
      <c r="A276">
        <f>A$9 * (66.2500839233398 -A$8)</f>
        <v>66.250083923339801</v>
      </c>
      <c r="B276">
        <f>B$9 * (66.2500839233398 -B$8)</f>
        <v>66.250083923339801</v>
      </c>
      <c r="C276">
        <f>C$9 * (66.2500839233398 -C$8)</f>
        <v>66.250083923339801</v>
      </c>
      <c r="E276">
        <v>67.051295936107564</v>
      </c>
      <c r="F276">
        <v>17413.944625854467</v>
      </c>
      <c r="G276">
        <v>23959.353446960435</v>
      </c>
    </row>
    <row r="277" spans="1:7" x14ac:dyDescent="0.3">
      <c r="A277">
        <f>A$9 * (66.5001678466796 -A$8)</f>
        <v>66.500167846679602</v>
      </c>
      <c r="B277">
        <f>B$9 * (66.5001678466796 -B$8)</f>
        <v>66.500167846679602</v>
      </c>
      <c r="C277">
        <f>C$9 * (66.5001678466796 -C$8)</f>
        <v>66.500167846679602</v>
      </c>
      <c r="E277">
        <v>34.689485281705849</v>
      </c>
      <c r="F277">
        <v>13217.911434173555</v>
      </c>
      <c r="G277">
        <v>26120.455169677702</v>
      </c>
    </row>
    <row r="278" spans="1:7" x14ac:dyDescent="0.3">
      <c r="A278">
        <f>A$9 * (66.7504730224609 -A$8)</f>
        <v>66.750473022460895</v>
      </c>
      <c r="B278">
        <f>B$9 * (66.7504730224609 -B$8)</f>
        <v>66.750473022460895</v>
      </c>
      <c r="C278">
        <f>C$9 * (66.7504730224609 -C$8)</f>
        <v>66.750473022460895</v>
      </c>
      <c r="E278">
        <v>45.034919679164759</v>
      </c>
      <c r="F278">
        <v>7371.7343330383073</v>
      </c>
      <c r="G278">
        <v>12030.386352539041</v>
      </c>
    </row>
    <row r="279" spans="1:7" x14ac:dyDescent="0.3">
      <c r="A279">
        <f>A$9 * (67.0001144409179 -A$8)</f>
        <v>67.000114440917898</v>
      </c>
      <c r="B279">
        <f>B$9 * (67.0001144409179 -B$8)</f>
        <v>67.000114440917898</v>
      </c>
      <c r="C279">
        <f>C$9 * (67.0001144409179 -C$8)</f>
        <v>67.000114440917898</v>
      </c>
      <c r="E279">
        <v>36.194184422492761</v>
      </c>
      <c r="F279">
        <v>12401.838397979713</v>
      </c>
      <c r="G279">
        <v>23728.371047973611</v>
      </c>
    </row>
    <row r="280" spans="1:7" x14ac:dyDescent="0.3">
      <c r="A280">
        <f>A$9 * (67.2500305175781 -A$8)</f>
        <v>67.250030517578097</v>
      </c>
      <c r="B280">
        <f>B$9 * (67.2500305175781 -B$8)</f>
        <v>67.250030517578097</v>
      </c>
      <c r="C280">
        <f>C$9 * (67.2500305175781 -C$8)</f>
        <v>67.250030517578097</v>
      </c>
      <c r="E280">
        <v>18.618263863027092</v>
      </c>
      <c r="F280">
        <v>6295.791721343976</v>
      </c>
      <c r="G280">
        <v>18669.153213500977</v>
      </c>
    </row>
    <row r="281" spans="1:7" x14ac:dyDescent="0.3">
      <c r="A281">
        <f>A$9 * (67.5000305175781 -A$8)</f>
        <v>67.500030517578097</v>
      </c>
      <c r="B281">
        <f>B$9 * (67.5000305175781 -B$8)</f>
        <v>67.500030517578097</v>
      </c>
      <c r="C281">
        <f>C$9 * (67.5000305175781 -C$8)</f>
        <v>67.500030517578097</v>
      </c>
      <c r="E281">
        <v>1.6737411729991427</v>
      </c>
      <c r="F281">
        <v>-2245.975828170775</v>
      </c>
      <c r="G281">
        <v>3259.3474388122559</v>
      </c>
    </row>
    <row r="282" spans="1:7" x14ac:dyDescent="0.3">
      <c r="A282">
        <f>A$9 * (67.7502746582031 -A$8)</f>
        <v>67.750274658203097</v>
      </c>
      <c r="B282">
        <f>B$9 * (67.7502746582031 -B$8)</f>
        <v>67.750274658203097</v>
      </c>
      <c r="C282">
        <f>C$9 * (67.7502746582031 -C$8)</f>
        <v>67.750274658203097</v>
      </c>
      <c r="E282">
        <v>-2.5521642062813017</v>
      </c>
      <c r="F282">
        <v>-1906.9167137145985</v>
      </c>
      <c r="G282">
        <v>214.6367490291594</v>
      </c>
    </row>
    <row r="283" spans="1:7" x14ac:dyDescent="0.3">
      <c r="A283">
        <f>A$9 * (68.0006637573242 -A$8)</f>
        <v>68.000663757324205</v>
      </c>
      <c r="B283">
        <f>B$9 * (68.0006637573242 -B$8)</f>
        <v>68.000663757324205</v>
      </c>
      <c r="C283">
        <f>C$9 * (68.0006637573242 -C$8)</f>
        <v>68.000663757324205</v>
      </c>
      <c r="E283">
        <v>-2.696358505636451</v>
      </c>
      <c r="F283">
        <v>-3070.7855701446529</v>
      </c>
      <c r="G283">
        <v>2133.8618516921988</v>
      </c>
    </row>
    <row r="284" spans="1:7" x14ac:dyDescent="0.3">
      <c r="A284">
        <f>A$9 * (68.2507247924804 -A$8)</f>
        <v>68.250724792480398</v>
      </c>
      <c r="B284">
        <f>B$9 * (68.2507247924804 -B$8)</f>
        <v>68.250724792480398</v>
      </c>
      <c r="C284">
        <f>C$9 * (68.2507247924804 -C$8)</f>
        <v>68.250724792480398</v>
      </c>
      <c r="E284">
        <v>-5.0886718556284807</v>
      </c>
      <c r="F284">
        <v>-558.38592052459558</v>
      </c>
      <c r="G284">
        <v>-1546.7810153961168</v>
      </c>
    </row>
    <row r="285" spans="1:7" x14ac:dyDescent="0.3">
      <c r="A285">
        <f>A$9 * (68.5004730224609 -A$8)</f>
        <v>68.500473022460895</v>
      </c>
      <c r="B285">
        <f>B$9 * (68.5004730224609 -B$8)</f>
        <v>68.500473022460895</v>
      </c>
      <c r="C285">
        <f>C$9 * (68.5004730224609 -C$8)</f>
        <v>68.500473022460895</v>
      </c>
      <c r="E285">
        <v>-2.308474830351769</v>
      </c>
      <c r="F285">
        <v>-2669.1945075988742</v>
      </c>
      <c r="G285">
        <v>-31.10959120094773</v>
      </c>
    </row>
    <row r="286" spans="1:7" x14ac:dyDescent="0.3">
      <c r="A286">
        <f>A$9 * (68.7507781982421 -A$8)</f>
        <v>68.750778198242102</v>
      </c>
      <c r="B286">
        <f>B$9 * (68.7507781982421 -B$8)</f>
        <v>68.750778198242102</v>
      </c>
      <c r="C286">
        <f>C$9 * (68.7507781982421 -C$8)</f>
        <v>68.750778198242102</v>
      </c>
      <c r="E286">
        <v>-10.268345195800057</v>
      </c>
      <c r="F286">
        <v>-17865.467262268055</v>
      </c>
      <c r="G286">
        <v>11006.65798187256</v>
      </c>
    </row>
    <row r="287" spans="1:7" x14ac:dyDescent="0.3">
      <c r="A287">
        <f>A$9 * (69.0003051757812 -A$8)</f>
        <v>69.000305175781193</v>
      </c>
      <c r="B287">
        <f>B$9 * (69.0003051757812 -B$8)</f>
        <v>69.000305175781193</v>
      </c>
      <c r="C287">
        <f>C$9 * (69.0003051757812 -C$8)</f>
        <v>69.000305175781193</v>
      </c>
      <c r="E287">
        <v>322.3906874656675</v>
      </c>
      <c r="F287">
        <v>14884.515953063965</v>
      </c>
      <c r="G287">
        <v>15414.886093139639</v>
      </c>
    </row>
    <row r="288" spans="1:7" x14ac:dyDescent="0.3">
      <c r="A288">
        <f>A$9 * (69.250389099121 -A$8)</f>
        <v>69.250389099120994</v>
      </c>
      <c r="B288">
        <f>B$9 * (69.250389099121 -B$8)</f>
        <v>69.250389099120994</v>
      </c>
      <c r="C288">
        <f>C$9 * (69.250389099121 -C$8)</f>
        <v>69.250389099120994</v>
      </c>
      <c r="E288">
        <v>105.5561028420924</v>
      </c>
      <c r="F288">
        <v>14794.022941589339</v>
      </c>
      <c r="G288">
        <v>16418.67427825927</v>
      </c>
    </row>
    <row r="289" spans="1:7" x14ac:dyDescent="0.3">
      <c r="A289">
        <f>A$9 * (69.5005569458007 -A$8)</f>
        <v>69.500556945800696</v>
      </c>
      <c r="B289">
        <f>B$9 * (69.5005569458007 -B$8)</f>
        <v>69.500556945800696</v>
      </c>
      <c r="C289">
        <f>C$9 * (69.5005569458007 -C$8)</f>
        <v>69.500556945800696</v>
      </c>
      <c r="E289">
        <v>128.40418517589538</v>
      </c>
      <c r="F289">
        <v>14850.429153442379</v>
      </c>
      <c r="G289">
        <v>15662.499046325676</v>
      </c>
    </row>
    <row r="290" spans="1:7" x14ac:dyDescent="0.3">
      <c r="A290">
        <f>A$9 * (69.7505264282226 -A$8)</f>
        <v>69.750526428222599</v>
      </c>
      <c r="B290">
        <f>B$9 * (69.7505264282226 -B$8)</f>
        <v>69.750526428222599</v>
      </c>
      <c r="C290">
        <f>C$9 * (69.7505264282226 -C$8)</f>
        <v>69.750526428222599</v>
      </c>
      <c r="E290">
        <v>42.43467561900588</v>
      </c>
      <c r="F290">
        <v>14860.299682617155</v>
      </c>
      <c r="G290">
        <v>26034.044265747074</v>
      </c>
    </row>
    <row r="291" spans="1:7" x14ac:dyDescent="0.3">
      <c r="A291">
        <f>A$9 * (70.0000839233398 -A$8)</f>
        <v>70.000083923339801</v>
      </c>
      <c r="B291">
        <f>B$9 * (70.0000839233398 -B$8)</f>
        <v>70.000083923339801</v>
      </c>
      <c r="C291">
        <f>C$9 * (70.0000839233398 -C$8)</f>
        <v>70.000083923339801</v>
      </c>
      <c r="E291">
        <v>42.71803088486184</v>
      </c>
      <c r="F291">
        <v>8001.5616416931116</v>
      </c>
      <c r="G291">
        <v>13524.638557434049</v>
      </c>
    </row>
    <row r="292" spans="1:7" x14ac:dyDescent="0.3">
      <c r="A292">
        <f>A$9 * (70.2502212524414 -A$8)</f>
        <v>70.250221252441406</v>
      </c>
      <c r="B292">
        <f>B$9 * (70.2502212524414 -B$8)</f>
        <v>70.250221252441406</v>
      </c>
      <c r="C292">
        <f>C$9 * (70.2502212524414 -C$8)</f>
        <v>70.250221252441406</v>
      </c>
      <c r="E292">
        <v>55.415772646665481</v>
      </c>
      <c r="F292">
        <v>11809.148311614959</v>
      </c>
      <c r="G292">
        <v>17555.388450622559</v>
      </c>
    </row>
    <row r="293" spans="1:7" x14ac:dyDescent="0.3">
      <c r="A293">
        <f>A$9 * (70.5001907348632 -A$8)</f>
        <v>70.500190734863196</v>
      </c>
      <c r="B293">
        <f>B$9 * (70.5001907348632 -B$8)</f>
        <v>70.500190734863196</v>
      </c>
      <c r="C293">
        <f>C$9 * (70.5001907348632 -C$8)</f>
        <v>70.500190734863196</v>
      </c>
      <c r="E293">
        <v>21.288845501840086</v>
      </c>
      <c r="F293">
        <v>8459.13963317868</v>
      </c>
      <c r="G293">
        <v>23038.609886169408</v>
      </c>
    </row>
    <row r="294" spans="1:7" x14ac:dyDescent="0.3">
      <c r="A294">
        <f>A$9 * (70.7502746582031 -A$8)</f>
        <v>70.750274658203097</v>
      </c>
      <c r="B294">
        <f>B$9 * (70.7502746582031 -B$8)</f>
        <v>70.750274658203097</v>
      </c>
      <c r="C294">
        <f>C$9 * (70.7502746582031 -C$8)</f>
        <v>70.750274658203097</v>
      </c>
      <c r="E294">
        <v>-1.6785266110673545</v>
      </c>
      <c r="F294">
        <v>-3600.8316993713042</v>
      </c>
      <c r="G294">
        <v>4012.3692512512198</v>
      </c>
    </row>
    <row r="295" spans="1:7" x14ac:dyDescent="0.3">
      <c r="A295">
        <f>A$9 * (71.0004730224609 -A$8)</f>
        <v>71.000473022460895</v>
      </c>
      <c r="B295">
        <f>B$9 * (71.0004730224609 -B$8)</f>
        <v>71.000473022460895</v>
      </c>
      <c r="C295">
        <f>C$9 * (71.0004730224609 -C$8)</f>
        <v>71.000473022460895</v>
      </c>
      <c r="E295">
        <v>-1.2657603132538489</v>
      </c>
      <c r="F295">
        <v>-2635.2263689041133</v>
      </c>
      <c r="G295">
        <v>1288.7740731239317</v>
      </c>
    </row>
    <row r="296" spans="1:7" x14ac:dyDescent="0.3">
      <c r="A296">
        <f>A$9 * (71.2502212524414 -A$8)</f>
        <v>71.250221252441406</v>
      </c>
      <c r="B296">
        <f>B$9 * (71.2502212524414 -B$8)</f>
        <v>71.250221252441406</v>
      </c>
      <c r="C296">
        <f>C$9 * (71.2502212524414 -C$8)</f>
        <v>71.250221252441406</v>
      </c>
      <c r="E296">
        <v>-0.39280463824979878</v>
      </c>
      <c r="F296">
        <v>-1249.873888492584</v>
      </c>
      <c r="G296">
        <v>988.58596086501836</v>
      </c>
    </row>
    <row r="297" spans="1:7" x14ac:dyDescent="0.3">
      <c r="A297">
        <f>A$9 * (71.5002746582031 -A$8)</f>
        <v>71.500274658203097</v>
      </c>
      <c r="B297">
        <f>B$9 * (71.5002746582031 -B$8)</f>
        <v>71.500274658203097</v>
      </c>
      <c r="C297">
        <f>C$9 * (71.5002746582031 -C$8)</f>
        <v>71.500274658203097</v>
      </c>
      <c r="E297">
        <v>-3.8593546953051963</v>
      </c>
      <c r="F297">
        <v>-3050.5284547805768</v>
      </c>
      <c r="G297">
        <v>841.27212166786205</v>
      </c>
    </row>
    <row r="298" spans="1:7" x14ac:dyDescent="0.3">
      <c r="A298">
        <f>A$9 * (71.7503051757812 -A$8)</f>
        <v>71.750305175781193</v>
      </c>
      <c r="B298">
        <f>B$9 * (71.7503051757812 -B$8)</f>
        <v>71.750305175781193</v>
      </c>
      <c r="C298">
        <f>C$9 * (71.7503051757812 -C$8)</f>
        <v>71.750305175781193</v>
      </c>
      <c r="E298">
        <v>-6.3771732151508163</v>
      </c>
      <c r="F298">
        <v>-429.01487946510122</v>
      </c>
      <c r="G298">
        <v>-3367.2861814498883</v>
      </c>
    </row>
    <row r="299" spans="1:7" x14ac:dyDescent="0.3">
      <c r="A299">
        <f>A$9 * (72.0000305175781 -A$8)</f>
        <v>72.000030517578097</v>
      </c>
      <c r="B299">
        <f>B$9 * (72.0000305175781 -B$8)</f>
        <v>72.000030517578097</v>
      </c>
      <c r="C299">
        <f>C$9 * (72.0000305175781 -C$8)</f>
        <v>72.000030517578097</v>
      </c>
      <c r="E299">
        <v>-3.41502372175455</v>
      </c>
      <c r="F299">
        <v>-1237.0081901550266</v>
      </c>
      <c r="G299">
        <v>-837.17027306556486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Legends</vt:lpstr>
      <vt:lpstr>10MMSCFD</vt:lpstr>
      <vt:lpstr>SIM2</vt:lpstr>
      <vt:lpstr>SIM3</vt:lpstr>
      <vt:lpstr>SIM4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MULTIVAR</dc:title>
  <dc:subject>Data export</dc:subject>
  <dc:creator>e-fast(TM)</dc:creator>
  <cp:keywords>/FAST/Development/TM/Agency/Yinka_Bankole/06_EBAN__01_2026_EPHQ/02_FEED/02_TD/</cp:keywords>
  <dc:description>Several variables for each of the selected simulations</dc:description>
  <cp:lastModifiedBy>Bankole Yinka</cp:lastModifiedBy>
  <dcterms:created xsi:type="dcterms:W3CDTF">2026-08-15T13:52:40Z</dcterms:created>
  <dcterms:modified xsi:type="dcterms:W3CDTF">2026-08-15T14:10:38Z</dcterms:modified>
  <cp:category>e-fast(TM)</cp:category>
</cp:coreProperties>
</file>