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inka\Downloads\"/>
    </mc:Choice>
  </mc:AlternateContent>
  <xr:revisionPtr revIDLastSave="0" documentId="8_{219AD098-897E-40EA-8373-98DF6AB4F48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art_All" sheetId="1" r:id="rId1"/>
    <sheet name="Legends" sheetId="2" r:id="rId2"/>
    <sheet name="Variable" sheetId="3" r:id="rId3"/>
    <sheet name="Times" sheetId="4" r:id="rId4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9" i="4" l="1"/>
  <c r="B299" i="4"/>
  <c r="C298" i="4"/>
  <c r="B298" i="4"/>
  <c r="C297" i="4"/>
  <c r="B297" i="4"/>
  <c r="C296" i="4"/>
  <c r="B296" i="4"/>
  <c r="C295" i="4"/>
  <c r="B295" i="4"/>
  <c r="C294" i="4"/>
  <c r="B294" i="4"/>
  <c r="C293" i="4"/>
  <c r="B293" i="4"/>
  <c r="C292" i="4"/>
  <c r="B292" i="4"/>
  <c r="C291" i="4"/>
  <c r="B291" i="4"/>
  <c r="C290" i="4"/>
  <c r="B290" i="4"/>
  <c r="C289" i="4"/>
  <c r="B289" i="4"/>
  <c r="C288" i="4"/>
  <c r="B288" i="4"/>
  <c r="C287" i="4"/>
  <c r="B287" i="4"/>
  <c r="C286" i="4"/>
  <c r="B286" i="4"/>
  <c r="C285" i="4"/>
  <c r="B285" i="4"/>
  <c r="C284" i="4"/>
  <c r="B284" i="4"/>
  <c r="C283" i="4"/>
  <c r="B283" i="4"/>
  <c r="C282" i="4"/>
  <c r="B282" i="4"/>
  <c r="C281" i="4"/>
  <c r="B281" i="4"/>
  <c r="C280" i="4"/>
  <c r="B280" i="4"/>
  <c r="C279" i="4"/>
  <c r="B279" i="4"/>
  <c r="C278" i="4"/>
  <c r="B278" i="4"/>
  <c r="C277" i="4"/>
  <c r="B277" i="4"/>
  <c r="C276" i="4"/>
  <c r="B276" i="4"/>
  <c r="C275" i="4"/>
  <c r="B275" i="4"/>
  <c r="C274" i="4"/>
  <c r="B274" i="4"/>
  <c r="C273" i="4"/>
  <c r="B273" i="4"/>
  <c r="C272" i="4"/>
  <c r="B272" i="4"/>
  <c r="C271" i="4"/>
  <c r="B271" i="4"/>
  <c r="C270" i="4"/>
  <c r="B270" i="4"/>
  <c r="C269" i="4"/>
  <c r="B269" i="4"/>
  <c r="C268" i="4"/>
  <c r="B268" i="4"/>
  <c r="C267" i="4"/>
  <c r="B267" i="4"/>
  <c r="C266" i="4"/>
  <c r="B266" i="4"/>
  <c r="C265" i="4"/>
  <c r="B265" i="4"/>
  <c r="C264" i="4"/>
  <c r="B264" i="4"/>
  <c r="C263" i="4"/>
  <c r="B263" i="4"/>
  <c r="C262" i="4"/>
  <c r="B262" i="4"/>
  <c r="C261" i="4"/>
  <c r="B261" i="4"/>
  <c r="C260" i="4"/>
  <c r="B260" i="4"/>
  <c r="C259" i="4"/>
  <c r="B259" i="4"/>
  <c r="C258" i="4"/>
  <c r="B258" i="4"/>
  <c r="C257" i="4"/>
  <c r="B257" i="4"/>
  <c r="C256" i="4"/>
  <c r="B256" i="4"/>
  <c r="C255" i="4"/>
  <c r="B255" i="4"/>
  <c r="C254" i="4"/>
  <c r="B254" i="4"/>
  <c r="C253" i="4"/>
  <c r="B253" i="4"/>
  <c r="C252" i="4"/>
  <c r="B252" i="4"/>
  <c r="C251" i="4"/>
  <c r="B251" i="4"/>
  <c r="C250" i="4"/>
  <c r="B250" i="4"/>
  <c r="C249" i="4"/>
  <c r="B249" i="4"/>
  <c r="C248" i="4"/>
  <c r="B248" i="4"/>
  <c r="C247" i="4"/>
  <c r="B247" i="4"/>
  <c r="C246" i="4"/>
  <c r="B246" i="4"/>
  <c r="C245" i="4"/>
  <c r="B245" i="4"/>
  <c r="C244" i="4"/>
  <c r="B244" i="4"/>
  <c r="C243" i="4"/>
  <c r="B243" i="4"/>
  <c r="C242" i="4"/>
  <c r="B242" i="4"/>
  <c r="C241" i="4"/>
  <c r="B241" i="4"/>
  <c r="C240" i="4"/>
  <c r="B240" i="4"/>
  <c r="C239" i="4"/>
  <c r="B239" i="4"/>
  <c r="C238" i="4"/>
  <c r="B238" i="4"/>
  <c r="C237" i="4"/>
  <c r="B237" i="4"/>
  <c r="C236" i="4"/>
  <c r="B236" i="4"/>
  <c r="C235" i="4"/>
  <c r="B235" i="4"/>
  <c r="C234" i="4"/>
  <c r="B234" i="4"/>
  <c r="C233" i="4"/>
  <c r="B233" i="4"/>
  <c r="C232" i="4"/>
  <c r="B232" i="4"/>
  <c r="C231" i="4"/>
  <c r="B231" i="4"/>
  <c r="C230" i="4"/>
  <c r="B230" i="4"/>
  <c r="C229" i="4"/>
  <c r="B229" i="4"/>
  <c r="C228" i="4"/>
  <c r="B228" i="4"/>
  <c r="C227" i="4"/>
  <c r="B227" i="4"/>
  <c r="C226" i="4"/>
  <c r="B226" i="4"/>
  <c r="C225" i="4"/>
  <c r="B225" i="4"/>
  <c r="C224" i="4"/>
  <c r="B224" i="4"/>
  <c r="C223" i="4"/>
  <c r="B223" i="4"/>
  <c r="C222" i="4"/>
  <c r="B222" i="4"/>
  <c r="C221" i="4"/>
  <c r="B221" i="4"/>
  <c r="C220" i="4"/>
  <c r="B220" i="4"/>
  <c r="C219" i="4"/>
  <c r="B219" i="4"/>
  <c r="C218" i="4"/>
  <c r="B218" i="4"/>
  <c r="C217" i="4"/>
  <c r="B217" i="4"/>
  <c r="C216" i="4"/>
  <c r="B216" i="4"/>
  <c r="C215" i="4"/>
  <c r="B215" i="4"/>
  <c r="C214" i="4"/>
  <c r="B214" i="4"/>
  <c r="C213" i="4"/>
  <c r="B213" i="4"/>
  <c r="C212" i="4"/>
  <c r="B212" i="4"/>
  <c r="C211" i="4"/>
  <c r="B211" i="4"/>
  <c r="C210" i="4"/>
  <c r="B210" i="4"/>
  <c r="C209" i="4"/>
  <c r="B209" i="4"/>
  <c r="C208" i="4"/>
  <c r="B208" i="4"/>
  <c r="C207" i="4"/>
  <c r="B207" i="4"/>
  <c r="C206" i="4"/>
  <c r="B206" i="4"/>
  <c r="C205" i="4"/>
  <c r="B205" i="4"/>
  <c r="C204" i="4"/>
  <c r="B204" i="4"/>
  <c r="C203" i="4"/>
  <c r="B203" i="4"/>
  <c r="C202" i="4"/>
  <c r="B202" i="4"/>
  <c r="C201" i="4"/>
  <c r="B201" i="4"/>
  <c r="C200" i="4"/>
  <c r="B200" i="4"/>
  <c r="C199" i="4"/>
  <c r="B199" i="4"/>
  <c r="C198" i="4"/>
  <c r="B198" i="4"/>
  <c r="C197" i="4"/>
  <c r="B197" i="4"/>
  <c r="C196" i="4"/>
  <c r="B196" i="4"/>
  <c r="C195" i="4"/>
  <c r="B195" i="4"/>
  <c r="C194" i="4"/>
  <c r="B194" i="4"/>
  <c r="C193" i="4"/>
  <c r="B193" i="4"/>
  <c r="C192" i="4"/>
  <c r="B192" i="4"/>
  <c r="C191" i="4"/>
  <c r="B191" i="4"/>
  <c r="C190" i="4"/>
  <c r="B190" i="4"/>
  <c r="C189" i="4"/>
  <c r="B189" i="4"/>
  <c r="C188" i="4"/>
  <c r="B188" i="4"/>
  <c r="C187" i="4"/>
  <c r="B187" i="4"/>
  <c r="C186" i="4"/>
  <c r="B186" i="4"/>
  <c r="C185" i="4"/>
  <c r="B185" i="4"/>
  <c r="C184" i="4"/>
  <c r="B184" i="4"/>
  <c r="C183" i="4"/>
  <c r="B183" i="4"/>
  <c r="C182" i="4"/>
  <c r="B182" i="4"/>
  <c r="C181" i="4"/>
  <c r="B181" i="4"/>
  <c r="C180" i="4"/>
  <c r="B180" i="4"/>
  <c r="C179" i="4"/>
  <c r="B179" i="4"/>
  <c r="C178" i="4"/>
  <c r="B178" i="4"/>
  <c r="C177" i="4"/>
  <c r="B177" i="4"/>
  <c r="C176" i="4"/>
  <c r="B176" i="4"/>
  <c r="C175" i="4"/>
  <c r="B175" i="4"/>
  <c r="C174" i="4"/>
  <c r="B174" i="4"/>
  <c r="C173" i="4"/>
  <c r="B173" i="4"/>
  <c r="C172" i="4"/>
  <c r="B172" i="4"/>
  <c r="C171" i="4"/>
  <c r="B171" i="4"/>
  <c r="C170" i="4"/>
  <c r="B170" i="4"/>
  <c r="C169" i="4"/>
  <c r="B169" i="4"/>
  <c r="C168" i="4"/>
  <c r="B168" i="4"/>
  <c r="C167" i="4"/>
  <c r="B167" i="4"/>
  <c r="C166" i="4"/>
  <c r="B166" i="4"/>
  <c r="C165" i="4"/>
  <c r="B165" i="4"/>
  <c r="C164" i="4"/>
  <c r="B164" i="4"/>
  <c r="C163" i="4"/>
  <c r="B163" i="4"/>
  <c r="C162" i="4"/>
  <c r="B162" i="4"/>
  <c r="C161" i="4"/>
  <c r="B161" i="4"/>
  <c r="C160" i="4"/>
  <c r="B160" i="4"/>
  <c r="C159" i="4"/>
  <c r="B159" i="4"/>
  <c r="C158" i="4"/>
  <c r="B158" i="4"/>
  <c r="C157" i="4"/>
  <c r="B157" i="4"/>
  <c r="C156" i="4"/>
  <c r="B156" i="4"/>
  <c r="C155" i="4"/>
  <c r="B155" i="4"/>
  <c r="C154" i="4"/>
  <c r="B154" i="4"/>
  <c r="C153" i="4"/>
  <c r="B153" i="4"/>
  <c r="C152" i="4"/>
  <c r="B152" i="4"/>
  <c r="C151" i="4"/>
  <c r="B151" i="4"/>
  <c r="C150" i="4"/>
  <c r="B150" i="4"/>
  <c r="C149" i="4"/>
  <c r="B149" i="4"/>
  <c r="C148" i="4"/>
  <c r="B148" i="4"/>
  <c r="C147" i="4"/>
  <c r="B147" i="4"/>
  <c r="C146" i="4"/>
  <c r="B146" i="4"/>
  <c r="C145" i="4"/>
  <c r="B145" i="4"/>
  <c r="C144" i="4"/>
  <c r="B144" i="4"/>
  <c r="C143" i="4"/>
  <c r="B143" i="4"/>
  <c r="C142" i="4"/>
  <c r="B142" i="4"/>
  <c r="C141" i="4"/>
  <c r="B141" i="4"/>
  <c r="C140" i="4"/>
  <c r="B140" i="4"/>
  <c r="C139" i="4"/>
  <c r="B139" i="4"/>
  <c r="C138" i="4"/>
  <c r="B138" i="4"/>
  <c r="C137" i="4"/>
  <c r="B137" i="4"/>
  <c r="C136" i="4"/>
  <c r="B136" i="4"/>
  <c r="C135" i="4"/>
  <c r="B135" i="4"/>
  <c r="C134" i="4"/>
  <c r="B134" i="4"/>
  <c r="C133" i="4"/>
  <c r="B133" i="4"/>
  <c r="C132" i="4"/>
  <c r="B132" i="4"/>
  <c r="C131" i="4"/>
  <c r="B131" i="4"/>
  <c r="C130" i="4"/>
  <c r="B130" i="4"/>
  <c r="C129" i="4"/>
  <c r="B129" i="4"/>
  <c r="C128" i="4"/>
  <c r="B128" i="4"/>
  <c r="C127" i="4"/>
  <c r="B127" i="4"/>
  <c r="C126" i="4"/>
  <c r="B126" i="4"/>
  <c r="C125" i="4"/>
  <c r="B125" i="4"/>
  <c r="C124" i="4"/>
  <c r="B124" i="4"/>
  <c r="C123" i="4"/>
  <c r="B123" i="4"/>
  <c r="C122" i="4"/>
  <c r="B122" i="4"/>
  <c r="C121" i="4"/>
  <c r="B121" i="4"/>
  <c r="C120" i="4"/>
  <c r="B120" i="4"/>
  <c r="C119" i="4"/>
  <c r="B119" i="4"/>
  <c r="C118" i="4"/>
  <c r="B118" i="4"/>
  <c r="C117" i="4"/>
  <c r="B117" i="4"/>
  <c r="C116" i="4"/>
  <c r="B116" i="4"/>
  <c r="C115" i="4"/>
  <c r="B115" i="4"/>
  <c r="C114" i="4"/>
  <c r="B114" i="4"/>
  <c r="C113" i="4"/>
  <c r="B113" i="4"/>
  <c r="C112" i="4"/>
  <c r="B112" i="4"/>
  <c r="C111" i="4"/>
  <c r="B111" i="4"/>
  <c r="C110" i="4"/>
  <c r="B110" i="4"/>
  <c r="C109" i="4"/>
  <c r="B109" i="4"/>
  <c r="C108" i="4"/>
  <c r="B108" i="4"/>
  <c r="C107" i="4"/>
  <c r="B107" i="4"/>
  <c r="C106" i="4"/>
  <c r="B106" i="4"/>
  <c r="C105" i="4"/>
  <c r="B105" i="4"/>
  <c r="C104" i="4"/>
  <c r="B104" i="4"/>
  <c r="C103" i="4"/>
  <c r="B103" i="4"/>
  <c r="C102" i="4"/>
  <c r="B102" i="4"/>
  <c r="C101" i="4"/>
  <c r="B101" i="4"/>
  <c r="C100" i="4"/>
  <c r="B100" i="4"/>
  <c r="C99" i="4"/>
  <c r="B99" i="4"/>
  <c r="C98" i="4"/>
  <c r="B98" i="4"/>
  <c r="C97" i="4"/>
  <c r="B97" i="4"/>
  <c r="C96" i="4"/>
  <c r="B96" i="4"/>
  <c r="C95" i="4"/>
  <c r="B95" i="4"/>
  <c r="C94" i="4"/>
  <c r="B94" i="4"/>
  <c r="C93" i="4"/>
  <c r="B93" i="4"/>
  <c r="C92" i="4"/>
  <c r="B92" i="4"/>
  <c r="C91" i="4"/>
  <c r="B91" i="4"/>
  <c r="C90" i="4"/>
  <c r="B90" i="4"/>
  <c r="C89" i="4"/>
  <c r="B89" i="4"/>
  <c r="C88" i="4"/>
  <c r="B88" i="4"/>
  <c r="C87" i="4"/>
  <c r="B87" i="4"/>
  <c r="C86" i="4"/>
  <c r="B86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C78" i="4"/>
  <c r="B78" i="4"/>
  <c r="C77" i="4"/>
  <c r="B77" i="4"/>
  <c r="C76" i="4"/>
  <c r="B76" i="4"/>
  <c r="C75" i="4"/>
  <c r="B75" i="4"/>
  <c r="C74" i="4"/>
  <c r="B74" i="4"/>
  <c r="C73" i="4"/>
  <c r="B73" i="4"/>
  <c r="C72" i="4"/>
  <c r="B72" i="4"/>
  <c r="C71" i="4"/>
  <c r="B71" i="4"/>
  <c r="C70" i="4"/>
  <c r="B70" i="4"/>
  <c r="C69" i="4"/>
  <c r="B69" i="4"/>
  <c r="C68" i="4"/>
  <c r="B68" i="4"/>
  <c r="C67" i="4"/>
  <c r="B67" i="4"/>
  <c r="C66" i="4"/>
  <c r="B66" i="4"/>
  <c r="C65" i="4"/>
  <c r="B65" i="4"/>
  <c r="C64" i="4"/>
  <c r="B64" i="4"/>
  <c r="C63" i="4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C37" i="4"/>
  <c r="B37" i="4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C4" i="4" s="1"/>
  <c r="B11" i="4"/>
  <c r="B5" i="4" s="1"/>
  <c r="C299" i="3"/>
  <c r="B299" i="3"/>
  <c r="C298" i="3"/>
  <c r="B298" i="3"/>
  <c r="C297" i="3"/>
  <c r="B297" i="3"/>
  <c r="C296" i="3"/>
  <c r="B296" i="3"/>
  <c r="C295" i="3"/>
  <c r="B295" i="3"/>
  <c r="C294" i="3"/>
  <c r="B294" i="3"/>
  <c r="C293" i="3"/>
  <c r="B293" i="3"/>
  <c r="C292" i="3"/>
  <c r="B292" i="3"/>
  <c r="C291" i="3"/>
  <c r="B291" i="3"/>
  <c r="C290" i="3"/>
  <c r="B290" i="3"/>
  <c r="C289" i="3"/>
  <c r="B289" i="3"/>
  <c r="C288" i="3"/>
  <c r="B288" i="3"/>
  <c r="C287" i="3"/>
  <c r="B287" i="3"/>
  <c r="C286" i="3"/>
  <c r="B286" i="3"/>
  <c r="C285" i="3"/>
  <c r="B285" i="3"/>
  <c r="C284" i="3"/>
  <c r="B284" i="3"/>
  <c r="C283" i="3"/>
  <c r="B283" i="3"/>
  <c r="C282" i="3"/>
  <c r="B282" i="3"/>
  <c r="C281" i="3"/>
  <c r="B281" i="3"/>
  <c r="C280" i="3"/>
  <c r="B280" i="3"/>
  <c r="C279" i="3"/>
  <c r="B279" i="3"/>
  <c r="C278" i="3"/>
  <c r="B278" i="3"/>
  <c r="C277" i="3"/>
  <c r="B277" i="3"/>
  <c r="C276" i="3"/>
  <c r="B276" i="3"/>
  <c r="C275" i="3"/>
  <c r="B275" i="3"/>
  <c r="C274" i="3"/>
  <c r="B274" i="3"/>
  <c r="C273" i="3"/>
  <c r="B273" i="3"/>
  <c r="C272" i="3"/>
  <c r="B272" i="3"/>
  <c r="C271" i="3"/>
  <c r="B271" i="3"/>
  <c r="C270" i="3"/>
  <c r="B270" i="3"/>
  <c r="C269" i="3"/>
  <c r="B269" i="3"/>
  <c r="C268" i="3"/>
  <c r="B268" i="3"/>
  <c r="C267" i="3"/>
  <c r="B267" i="3"/>
  <c r="C266" i="3"/>
  <c r="B266" i="3"/>
  <c r="C265" i="3"/>
  <c r="B265" i="3"/>
  <c r="C264" i="3"/>
  <c r="B264" i="3"/>
  <c r="C263" i="3"/>
  <c r="B263" i="3"/>
  <c r="C262" i="3"/>
  <c r="B262" i="3"/>
  <c r="C261" i="3"/>
  <c r="B261" i="3"/>
  <c r="C260" i="3"/>
  <c r="B260" i="3"/>
  <c r="C259" i="3"/>
  <c r="B259" i="3"/>
  <c r="C258" i="3"/>
  <c r="B258" i="3"/>
  <c r="C257" i="3"/>
  <c r="B257" i="3"/>
  <c r="C256" i="3"/>
  <c r="B256" i="3"/>
  <c r="C255" i="3"/>
  <c r="B255" i="3"/>
  <c r="C254" i="3"/>
  <c r="B254" i="3"/>
  <c r="C253" i="3"/>
  <c r="B253" i="3"/>
  <c r="C252" i="3"/>
  <c r="B252" i="3"/>
  <c r="C251" i="3"/>
  <c r="B251" i="3"/>
  <c r="C250" i="3"/>
  <c r="B250" i="3"/>
  <c r="C249" i="3"/>
  <c r="B249" i="3"/>
  <c r="C248" i="3"/>
  <c r="B248" i="3"/>
  <c r="C247" i="3"/>
  <c r="B247" i="3"/>
  <c r="C246" i="3"/>
  <c r="B246" i="3"/>
  <c r="C245" i="3"/>
  <c r="B245" i="3"/>
  <c r="C244" i="3"/>
  <c r="B244" i="3"/>
  <c r="C243" i="3"/>
  <c r="B243" i="3"/>
  <c r="C242" i="3"/>
  <c r="B242" i="3"/>
  <c r="C241" i="3"/>
  <c r="B241" i="3"/>
  <c r="C240" i="3"/>
  <c r="B240" i="3"/>
  <c r="C239" i="3"/>
  <c r="B239" i="3"/>
  <c r="C238" i="3"/>
  <c r="B238" i="3"/>
  <c r="C237" i="3"/>
  <c r="B237" i="3"/>
  <c r="C236" i="3"/>
  <c r="B236" i="3"/>
  <c r="C235" i="3"/>
  <c r="B235" i="3"/>
  <c r="C234" i="3"/>
  <c r="B234" i="3"/>
  <c r="C233" i="3"/>
  <c r="B233" i="3"/>
  <c r="C232" i="3"/>
  <c r="B232" i="3"/>
  <c r="C231" i="3"/>
  <c r="B231" i="3"/>
  <c r="C230" i="3"/>
  <c r="B230" i="3"/>
  <c r="C229" i="3"/>
  <c r="B229" i="3"/>
  <c r="C228" i="3"/>
  <c r="B228" i="3"/>
  <c r="C227" i="3"/>
  <c r="B227" i="3"/>
  <c r="C226" i="3"/>
  <c r="B226" i="3"/>
  <c r="C225" i="3"/>
  <c r="B225" i="3"/>
  <c r="C224" i="3"/>
  <c r="B224" i="3"/>
  <c r="C223" i="3"/>
  <c r="B223" i="3"/>
  <c r="C222" i="3"/>
  <c r="B222" i="3"/>
  <c r="C221" i="3"/>
  <c r="B221" i="3"/>
  <c r="C220" i="3"/>
  <c r="B220" i="3"/>
  <c r="C219" i="3"/>
  <c r="B219" i="3"/>
  <c r="C218" i="3"/>
  <c r="B218" i="3"/>
  <c r="C217" i="3"/>
  <c r="B217" i="3"/>
  <c r="C216" i="3"/>
  <c r="B216" i="3"/>
  <c r="C215" i="3"/>
  <c r="B215" i="3"/>
  <c r="C214" i="3"/>
  <c r="B214" i="3"/>
  <c r="C213" i="3"/>
  <c r="B213" i="3"/>
  <c r="C212" i="3"/>
  <c r="B212" i="3"/>
  <c r="C211" i="3"/>
  <c r="B211" i="3"/>
  <c r="C210" i="3"/>
  <c r="B210" i="3"/>
  <c r="C209" i="3"/>
  <c r="B209" i="3"/>
  <c r="C208" i="3"/>
  <c r="B208" i="3"/>
  <c r="C207" i="3"/>
  <c r="B207" i="3"/>
  <c r="C206" i="3"/>
  <c r="B206" i="3"/>
  <c r="C205" i="3"/>
  <c r="B205" i="3"/>
  <c r="C204" i="3"/>
  <c r="B204" i="3"/>
  <c r="C203" i="3"/>
  <c r="B203" i="3"/>
  <c r="C202" i="3"/>
  <c r="B202" i="3"/>
  <c r="C201" i="3"/>
  <c r="B201" i="3"/>
  <c r="C200" i="3"/>
  <c r="B200" i="3"/>
  <c r="C199" i="3"/>
  <c r="B199" i="3"/>
  <c r="C198" i="3"/>
  <c r="B198" i="3"/>
  <c r="C197" i="3"/>
  <c r="B197" i="3"/>
  <c r="C196" i="3"/>
  <c r="B196" i="3"/>
  <c r="C195" i="3"/>
  <c r="B195" i="3"/>
  <c r="C194" i="3"/>
  <c r="B194" i="3"/>
  <c r="C193" i="3"/>
  <c r="B193" i="3"/>
  <c r="C192" i="3"/>
  <c r="B192" i="3"/>
  <c r="C191" i="3"/>
  <c r="B191" i="3"/>
  <c r="C190" i="3"/>
  <c r="B190" i="3"/>
  <c r="C189" i="3"/>
  <c r="B189" i="3"/>
  <c r="C188" i="3"/>
  <c r="B188" i="3"/>
  <c r="C187" i="3"/>
  <c r="B187" i="3"/>
  <c r="C186" i="3"/>
  <c r="B186" i="3"/>
  <c r="C185" i="3"/>
  <c r="B185" i="3"/>
  <c r="C184" i="3"/>
  <c r="B184" i="3"/>
  <c r="C183" i="3"/>
  <c r="B183" i="3"/>
  <c r="C182" i="3"/>
  <c r="B182" i="3"/>
  <c r="C181" i="3"/>
  <c r="B181" i="3"/>
  <c r="C180" i="3"/>
  <c r="B180" i="3"/>
  <c r="C179" i="3"/>
  <c r="B179" i="3"/>
  <c r="C178" i="3"/>
  <c r="B178" i="3"/>
  <c r="C177" i="3"/>
  <c r="B177" i="3"/>
  <c r="C176" i="3"/>
  <c r="B176" i="3"/>
  <c r="C175" i="3"/>
  <c r="B175" i="3"/>
  <c r="C174" i="3"/>
  <c r="B174" i="3"/>
  <c r="C173" i="3"/>
  <c r="B173" i="3"/>
  <c r="C172" i="3"/>
  <c r="B172" i="3"/>
  <c r="C171" i="3"/>
  <c r="B171" i="3"/>
  <c r="C170" i="3"/>
  <c r="B170" i="3"/>
  <c r="C169" i="3"/>
  <c r="B169" i="3"/>
  <c r="C168" i="3"/>
  <c r="B168" i="3"/>
  <c r="C167" i="3"/>
  <c r="B167" i="3"/>
  <c r="C166" i="3"/>
  <c r="B166" i="3"/>
  <c r="C165" i="3"/>
  <c r="B165" i="3"/>
  <c r="C164" i="3"/>
  <c r="B164" i="3"/>
  <c r="C163" i="3"/>
  <c r="B163" i="3"/>
  <c r="C162" i="3"/>
  <c r="B162" i="3"/>
  <c r="C161" i="3"/>
  <c r="B161" i="3"/>
  <c r="C160" i="3"/>
  <c r="B160" i="3"/>
  <c r="C159" i="3"/>
  <c r="B159" i="3"/>
  <c r="C158" i="3"/>
  <c r="B158" i="3"/>
  <c r="C157" i="3"/>
  <c r="B157" i="3"/>
  <c r="C156" i="3"/>
  <c r="B156" i="3"/>
  <c r="C155" i="3"/>
  <c r="B155" i="3"/>
  <c r="C154" i="3"/>
  <c r="B154" i="3"/>
  <c r="C153" i="3"/>
  <c r="B153" i="3"/>
  <c r="C152" i="3"/>
  <c r="B152" i="3"/>
  <c r="C151" i="3"/>
  <c r="B151" i="3"/>
  <c r="C150" i="3"/>
  <c r="B150" i="3"/>
  <c r="C149" i="3"/>
  <c r="B149" i="3"/>
  <c r="C148" i="3"/>
  <c r="B148" i="3"/>
  <c r="C147" i="3"/>
  <c r="B147" i="3"/>
  <c r="C146" i="3"/>
  <c r="B146" i="3"/>
  <c r="C145" i="3"/>
  <c r="B145" i="3"/>
  <c r="C144" i="3"/>
  <c r="B144" i="3"/>
  <c r="C143" i="3"/>
  <c r="B143" i="3"/>
  <c r="C142" i="3"/>
  <c r="B142" i="3"/>
  <c r="C141" i="3"/>
  <c r="B141" i="3"/>
  <c r="C140" i="3"/>
  <c r="B140" i="3"/>
  <c r="C139" i="3"/>
  <c r="B139" i="3"/>
  <c r="C138" i="3"/>
  <c r="B138" i="3"/>
  <c r="C137" i="3"/>
  <c r="B137" i="3"/>
  <c r="C136" i="3"/>
  <c r="B136" i="3"/>
  <c r="C135" i="3"/>
  <c r="B135" i="3"/>
  <c r="C134" i="3"/>
  <c r="B134" i="3"/>
  <c r="C133" i="3"/>
  <c r="B133" i="3"/>
  <c r="C132" i="3"/>
  <c r="B132" i="3"/>
  <c r="C131" i="3"/>
  <c r="B131" i="3"/>
  <c r="C130" i="3"/>
  <c r="B130" i="3"/>
  <c r="C129" i="3"/>
  <c r="B129" i="3"/>
  <c r="C128" i="3"/>
  <c r="B128" i="3"/>
  <c r="C127" i="3"/>
  <c r="B127" i="3"/>
  <c r="C126" i="3"/>
  <c r="B126" i="3"/>
  <c r="C125" i="3"/>
  <c r="B125" i="3"/>
  <c r="C124" i="3"/>
  <c r="B124" i="3"/>
  <c r="C123" i="3"/>
  <c r="B123" i="3"/>
  <c r="C122" i="3"/>
  <c r="B122" i="3"/>
  <c r="C121" i="3"/>
  <c r="B121" i="3"/>
  <c r="C120" i="3"/>
  <c r="B120" i="3"/>
  <c r="C119" i="3"/>
  <c r="B119" i="3"/>
  <c r="C118" i="3"/>
  <c r="B118" i="3"/>
  <c r="C117" i="3"/>
  <c r="B117" i="3"/>
  <c r="C116" i="3"/>
  <c r="B116" i="3"/>
  <c r="C115" i="3"/>
  <c r="B115" i="3"/>
  <c r="C114" i="3"/>
  <c r="B114" i="3"/>
  <c r="C113" i="3"/>
  <c r="B113" i="3"/>
  <c r="C112" i="3"/>
  <c r="B112" i="3"/>
  <c r="C111" i="3"/>
  <c r="B111" i="3"/>
  <c r="C110" i="3"/>
  <c r="B110" i="3"/>
  <c r="C109" i="3"/>
  <c r="B109" i="3"/>
  <c r="C108" i="3"/>
  <c r="B108" i="3"/>
  <c r="C107" i="3"/>
  <c r="B107" i="3"/>
  <c r="C106" i="3"/>
  <c r="B106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C5" i="3" s="1"/>
  <c r="B11" i="3"/>
  <c r="B5" i="3" s="1"/>
  <c r="C10" i="3"/>
  <c r="B10" i="3"/>
  <c r="C2" i="3"/>
  <c r="B2" i="3"/>
  <c r="B3" i="3" l="1"/>
  <c r="B6" i="3" s="1"/>
  <c r="B3" i="4"/>
  <c r="B6" i="4" s="1"/>
  <c r="C3" i="3"/>
  <c r="C6" i="3" s="1"/>
  <c r="C3" i="4"/>
  <c r="B4" i="3"/>
  <c r="B4" i="4"/>
  <c r="C5" i="4"/>
  <c r="C6" i="4" s="1"/>
  <c r="C4" i="3"/>
</calcChain>
</file>

<file path=xl/sharedStrings.xml><?xml version="1.0" encoding="utf-8"?>
<sst xmlns="http://schemas.openxmlformats.org/spreadsheetml/2006/main" count="28" uniqueCount="18">
  <si>
    <t>To change the legends, please modify the 'Legends' sheet.</t>
  </si>
  <si>
    <t>SIMULATION</t>
  </si>
  <si>
    <t>LEGEND</t>
  </si>
  <si>
    <t>Report-2031_Oil_4500bopd_Liquid_4789blpd_5MMSCFD_GL_TD_Only_OP1_TCV_5pc</t>
  </si>
  <si>
    <t>SIM1</t>
  </si>
  <si>
    <t>Report-2031_Oil_4500bopd_Liquid_4789blpd_No_GL_TD_Only_OP1</t>
  </si>
  <si>
    <t>SIM2</t>
  </si>
  <si>
    <t>(BAR)</t>
  </si>
  <si>
    <t>TREND___VALVDP___(BAR)___CHOKE_PCV_OP1</t>
  </si>
  <si>
    <t>Min</t>
  </si>
  <si>
    <t>P50</t>
  </si>
  <si>
    <t>Max</t>
  </si>
  <si>
    <t>Delta</t>
  </si>
  <si>
    <t>Offset</t>
  </si>
  <si>
    <t>Scale</t>
  </si>
  <si>
    <t>[h]</t>
  </si>
  <si>
    <t>Time1</t>
  </si>
  <si>
    <t>Time2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</si>
</sst>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 b="0" i="0" u="none" strike="noStrike">
                <a:latin typeface="Calibri"/>
              </a:rPr>
              <a:t>TREND___VALVDP___(BAR)___CHOKE_PCV_OP1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Variable!$B$10</c:f>
              <c:strCache>
                <c:ptCount val="1"/>
                <c:pt idx="0">
                  <c:v>SIM1</c:v>
                </c:pt>
              </c:strCache>
            </c:strRef>
          </c:tx>
          <c:marker>
            <c:symbol val="none"/>
          </c:marker>
          <c:xVal>
            <c:numRef>
              <c:f>Times!$B$11:$B$299</c:f>
              <c:numCache>
                <c:formatCode>General</c:formatCode>
                <c:ptCount val="289"/>
                <c:pt idx="0">
                  <c:v>0</c:v>
                </c:pt>
                <c:pt idx="1">
                  <c:v>0.25039237737655601</c:v>
                </c:pt>
                <c:pt idx="2">
                  <c:v>0.500002801418304</c:v>
                </c:pt>
                <c:pt idx="3">
                  <c:v>0.750080525875091</c:v>
                </c:pt>
                <c:pt idx="4">
                  <c:v>1.00001060962677</c:v>
                </c:pt>
                <c:pt idx="5">
                  <c:v>1.2502125501632599</c:v>
                </c:pt>
                <c:pt idx="6">
                  <c:v>1.5001511573791499</c:v>
                </c:pt>
                <c:pt idx="7">
                  <c:v>1.75008249282836</c:v>
                </c:pt>
                <c:pt idx="8">
                  <c:v>2.0003707408904998</c:v>
                </c:pt>
                <c:pt idx="9">
                  <c:v>2.25034308433532</c:v>
                </c:pt>
                <c:pt idx="10">
                  <c:v>2.5000836849212602</c:v>
                </c:pt>
                <c:pt idx="11">
                  <c:v>2.7502522468566801</c:v>
                </c:pt>
                <c:pt idx="12">
                  <c:v>3.0002167224884002</c:v>
                </c:pt>
                <c:pt idx="13">
                  <c:v>3.2504360675811701</c:v>
                </c:pt>
                <c:pt idx="14">
                  <c:v>3.5000584125518799</c:v>
                </c:pt>
                <c:pt idx="15">
                  <c:v>3.7503638267517001</c:v>
                </c:pt>
                <c:pt idx="16">
                  <c:v>4.0006694793701101</c:v>
                </c:pt>
                <c:pt idx="17">
                  <c:v>4.2506084442138601</c:v>
                </c:pt>
                <c:pt idx="18">
                  <c:v>4.5000805854797301</c:v>
                </c:pt>
                <c:pt idx="19">
                  <c:v>4.7501029968261701</c:v>
                </c:pt>
                <c:pt idx="20">
                  <c:v>5.0001249313354403</c:v>
                </c:pt>
                <c:pt idx="21">
                  <c:v>5.2501473426818803</c:v>
                </c:pt>
                <c:pt idx="22">
                  <c:v>5.5001692771911603</c:v>
                </c:pt>
                <c:pt idx="23">
                  <c:v>5.7501916885375897</c:v>
                </c:pt>
                <c:pt idx="24">
                  <c:v>6.0002140998840297</c:v>
                </c:pt>
                <c:pt idx="25">
                  <c:v>6.2502360343933097</c:v>
                </c:pt>
                <c:pt idx="26">
                  <c:v>6.5002555847167898</c:v>
                </c:pt>
                <c:pt idx="27">
                  <c:v>6.7502779960632298</c:v>
                </c:pt>
                <c:pt idx="28">
                  <c:v>7.0002999305725098</c:v>
                </c:pt>
                <c:pt idx="29">
                  <c:v>7.25032234191894</c:v>
                </c:pt>
                <c:pt idx="30">
                  <c:v>7.50034427642822</c:v>
                </c:pt>
                <c:pt idx="31">
                  <c:v>7.7503666877746502</c:v>
                </c:pt>
                <c:pt idx="32">
                  <c:v>8.0003890991210902</c:v>
                </c:pt>
                <c:pt idx="33">
                  <c:v>8.2504110336303693</c:v>
                </c:pt>
                <c:pt idx="34">
                  <c:v>8.5004329681396396</c:v>
                </c:pt>
                <c:pt idx="35">
                  <c:v>8.7504558563232404</c:v>
                </c:pt>
                <c:pt idx="36">
                  <c:v>9.0004777908325195</c:v>
                </c:pt>
                <c:pt idx="37">
                  <c:v>9.2504997253417898</c:v>
                </c:pt>
                <c:pt idx="38">
                  <c:v>9.5005226135253906</c:v>
                </c:pt>
                <c:pt idx="39">
                  <c:v>9.7505445480346609</c:v>
                </c:pt>
                <c:pt idx="40">
                  <c:v>10.000566482543899</c:v>
                </c:pt>
                <c:pt idx="41">
                  <c:v>10.2505884170532</c:v>
                </c:pt>
                <c:pt idx="42">
                  <c:v>10.5006084442138</c:v>
                </c:pt>
                <c:pt idx="43">
                  <c:v>10.7506303787231</c:v>
                </c:pt>
                <c:pt idx="44">
                  <c:v>11.000652313232401</c:v>
                </c:pt>
                <c:pt idx="45">
                  <c:v>11.250016212463301</c:v>
                </c:pt>
                <c:pt idx="46">
                  <c:v>11.5000391006469</c:v>
                </c:pt>
                <c:pt idx="47">
                  <c:v>11.7500610351562</c:v>
                </c:pt>
                <c:pt idx="48">
                  <c:v>12.000082969665501</c:v>
                </c:pt>
                <c:pt idx="49">
                  <c:v>12.2501058578491</c:v>
                </c:pt>
                <c:pt idx="50">
                  <c:v>12.500124931335399</c:v>
                </c:pt>
                <c:pt idx="51">
                  <c:v>12.7501468658447</c:v>
                </c:pt>
                <c:pt idx="52">
                  <c:v>13.000169754028301</c:v>
                </c:pt>
                <c:pt idx="53">
                  <c:v>13.250191688537599</c:v>
                </c:pt>
                <c:pt idx="54">
                  <c:v>13.5002136230468</c:v>
                </c:pt>
                <c:pt idx="55">
                  <c:v>13.750236511230399</c:v>
                </c:pt>
                <c:pt idx="56">
                  <c:v>14.0002584457397</c:v>
                </c:pt>
                <c:pt idx="57">
                  <c:v>14.250280380249</c:v>
                </c:pt>
                <c:pt idx="58">
                  <c:v>14.500302314758301</c:v>
                </c:pt>
                <c:pt idx="59">
                  <c:v>14.7503252029418</c:v>
                </c:pt>
                <c:pt idx="60">
                  <c:v>15.000347137451101</c:v>
                </c:pt>
                <c:pt idx="61">
                  <c:v>15.250369071960399</c:v>
                </c:pt>
                <c:pt idx="62">
                  <c:v>15.500391960144</c:v>
                </c:pt>
                <c:pt idx="63">
                  <c:v>15.750413894653301</c:v>
                </c:pt>
                <c:pt idx="64">
                  <c:v>16.0004367828369</c:v>
                </c:pt>
                <c:pt idx="65">
                  <c:v>16.2504558563232</c:v>
                </c:pt>
                <c:pt idx="66">
                  <c:v>16.5004768371582</c:v>
                </c:pt>
                <c:pt idx="67">
                  <c:v>16.7504997253418</c:v>
                </c:pt>
                <c:pt idx="68">
                  <c:v>17.000522613525298</c:v>
                </c:pt>
                <c:pt idx="69">
                  <c:v>17.250543594360298</c:v>
                </c:pt>
                <c:pt idx="70">
                  <c:v>17.500566482543899</c:v>
                </c:pt>
                <c:pt idx="71">
                  <c:v>17.7505893707275</c:v>
                </c:pt>
                <c:pt idx="72">
                  <c:v>18.0006103515625</c:v>
                </c:pt>
                <c:pt idx="73">
                  <c:v>18.250633239746001</c:v>
                </c:pt>
                <c:pt idx="74">
                  <c:v>18.500656127929599</c:v>
                </c:pt>
                <c:pt idx="75">
                  <c:v>18.750017166137699</c:v>
                </c:pt>
                <c:pt idx="76">
                  <c:v>19.000038146972599</c:v>
                </c:pt>
                <c:pt idx="77">
                  <c:v>19.2500610351562</c:v>
                </c:pt>
                <c:pt idx="78">
                  <c:v>19.500083923339801</c:v>
                </c:pt>
                <c:pt idx="79">
                  <c:v>19.750104904174801</c:v>
                </c:pt>
                <c:pt idx="80">
                  <c:v>20.000127792358398</c:v>
                </c:pt>
                <c:pt idx="81">
                  <c:v>20.2501506805419</c:v>
                </c:pt>
                <c:pt idx="82">
                  <c:v>20.5001716613769</c:v>
                </c:pt>
                <c:pt idx="83">
                  <c:v>20.750194549560501</c:v>
                </c:pt>
                <c:pt idx="84">
                  <c:v>21.000217437744102</c:v>
                </c:pt>
                <c:pt idx="85">
                  <c:v>21.250238418579102</c:v>
                </c:pt>
                <c:pt idx="86">
                  <c:v>21.500261306762699</c:v>
                </c:pt>
                <c:pt idx="87">
                  <c:v>21.7502841949462</c:v>
                </c:pt>
                <c:pt idx="88">
                  <c:v>22.000303268432599</c:v>
                </c:pt>
                <c:pt idx="89">
                  <c:v>22.2503242492675</c:v>
                </c:pt>
                <c:pt idx="90">
                  <c:v>22.500347137451101</c:v>
                </c:pt>
                <c:pt idx="91">
                  <c:v>22.750370025634702</c:v>
                </c:pt>
                <c:pt idx="92">
                  <c:v>23.000391006469702</c:v>
                </c:pt>
                <c:pt idx="93">
                  <c:v>23.250413894653299</c:v>
                </c:pt>
                <c:pt idx="94">
                  <c:v>23.5004367828369</c:v>
                </c:pt>
                <c:pt idx="95">
                  <c:v>23.7504577636718</c:v>
                </c:pt>
                <c:pt idx="96">
                  <c:v>24.000480651855401</c:v>
                </c:pt>
                <c:pt idx="97">
                  <c:v>24.250503540038999</c:v>
                </c:pt>
                <c:pt idx="98">
                  <c:v>24.500524520873999</c:v>
                </c:pt>
                <c:pt idx="99">
                  <c:v>24.750547409057599</c:v>
                </c:pt>
                <c:pt idx="100">
                  <c:v>25.0005702972412</c:v>
                </c:pt>
                <c:pt idx="101">
                  <c:v>25.250591278076101</c:v>
                </c:pt>
                <c:pt idx="102">
                  <c:v>25.500614166259702</c:v>
                </c:pt>
                <c:pt idx="103">
                  <c:v>25.750637054443299</c:v>
                </c:pt>
                <c:pt idx="104">
                  <c:v>26.000656127929599</c:v>
                </c:pt>
                <c:pt idx="105">
                  <c:v>26.2500190734863</c:v>
                </c:pt>
                <c:pt idx="106">
                  <c:v>26.500041961669901</c:v>
                </c:pt>
                <c:pt idx="107">
                  <c:v>26.750062942504801</c:v>
                </c:pt>
                <c:pt idx="108">
                  <c:v>27.000085830688398</c:v>
                </c:pt>
                <c:pt idx="109">
                  <c:v>27.250108718871999</c:v>
                </c:pt>
                <c:pt idx="110">
                  <c:v>27.500129699706999</c:v>
                </c:pt>
                <c:pt idx="111">
                  <c:v>27.7501525878906</c:v>
                </c:pt>
                <c:pt idx="112">
                  <c:v>28.000165939331001</c:v>
                </c:pt>
                <c:pt idx="113">
                  <c:v>28.250194549560501</c:v>
                </c:pt>
                <c:pt idx="114">
                  <c:v>28.50022315979</c:v>
                </c:pt>
                <c:pt idx="115">
                  <c:v>28.750249862670898</c:v>
                </c:pt>
                <c:pt idx="116">
                  <c:v>29.000249862670898</c:v>
                </c:pt>
                <c:pt idx="117">
                  <c:v>29.250278472900298</c:v>
                </c:pt>
                <c:pt idx="118">
                  <c:v>29.5003051757812</c:v>
                </c:pt>
                <c:pt idx="119">
                  <c:v>29.7503337860107</c:v>
                </c:pt>
                <c:pt idx="120">
                  <c:v>30.000360488891602</c:v>
                </c:pt>
                <c:pt idx="121">
                  <c:v>30.250360488891602</c:v>
                </c:pt>
                <c:pt idx="122">
                  <c:v>30.500389099121001</c:v>
                </c:pt>
                <c:pt idx="123">
                  <c:v>30.7504158020019</c:v>
                </c:pt>
                <c:pt idx="124">
                  <c:v>31.000444412231399</c:v>
                </c:pt>
                <c:pt idx="125">
                  <c:v>31.250473022460898</c:v>
                </c:pt>
                <c:pt idx="126">
                  <c:v>31.500473022460898</c:v>
                </c:pt>
                <c:pt idx="127">
                  <c:v>31.7504997253418</c:v>
                </c:pt>
                <c:pt idx="128">
                  <c:v>32.000526428222599</c:v>
                </c:pt>
                <c:pt idx="129">
                  <c:v>32.250556945800703</c:v>
                </c:pt>
                <c:pt idx="130">
                  <c:v>32.500583648681598</c:v>
                </c:pt>
                <c:pt idx="131">
                  <c:v>32.750583648681598</c:v>
                </c:pt>
                <c:pt idx="132">
                  <c:v>33.0006103515625</c:v>
                </c:pt>
                <c:pt idx="133">
                  <c:v>33.250637054443303</c:v>
                </c:pt>
                <c:pt idx="134">
                  <c:v>33.500667572021399</c:v>
                </c:pt>
                <c:pt idx="135">
                  <c:v>33.750026702880803</c:v>
                </c:pt>
                <c:pt idx="136">
                  <c:v>34.000057220458899</c:v>
                </c:pt>
                <c:pt idx="137">
                  <c:v>34.250057220458899</c:v>
                </c:pt>
                <c:pt idx="138">
                  <c:v>34.500083923339801</c:v>
                </c:pt>
                <c:pt idx="139">
                  <c:v>34.750110626220703</c:v>
                </c:pt>
                <c:pt idx="140">
                  <c:v>35.000137329101499</c:v>
                </c:pt>
                <c:pt idx="141">
                  <c:v>35.250167846679602</c:v>
                </c:pt>
                <c:pt idx="142">
                  <c:v>35.500167846679602</c:v>
                </c:pt>
                <c:pt idx="143">
                  <c:v>35.750194549560497</c:v>
                </c:pt>
                <c:pt idx="144">
                  <c:v>36.000221252441399</c:v>
                </c:pt>
                <c:pt idx="145">
                  <c:v>36.250251770019503</c:v>
                </c:pt>
                <c:pt idx="146">
                  <c:v>36.500251770019503</c:v>
                </c:pt>
                <c:pt idx="147">
                  <c:v>36.750278472900298</c:v>
                </c:pt>
                <c:pt idx="148">
                  <c:v>37.0003051757812</c:v>
                </c:pt>
                <c:pt idx="149">
                  <c:v>37.250331878662102</c:v>
                </c:pt>
                <c:pt idx="150">
                  <c:v>37.500362396240199</c:v>
                </c:pt>
                <c:pt idx="151">
                  <c:v>37.750362396240199</c:v>
                </c:pt>
                <c:pt idx="152">
                  <c:v>38.000389099121001</c:v>
                </c:pt>
                <c:pt idx="153">
                  <c:v>38.250415802001903</c:v>
                </c:pt>
                <c:pt idx="154">
                  <c:v>38.50044631958</c:v>
                </c:pt>
                <c:pt idx="155">
                  <c:v>38.750473022460902</c:v>
                </c:pt>
                <c:pt idx="156">
                  <c:v>39.000473022460902</c:v>
                </c:pt>
                <c:pt idx="157">
                  <c:v>39.250499725341797</c:v>
                </c:pt>
                <c:pt idx="158">
                  <c:v>39.500526428222599</c:v>
                </c:pt>
                <c:pt idx="159">
                  <c:v>39.750556945800703</c:v>
                </c:pt>
                <c:pt idx="160">
                  <c:v>40.000583648681598</c:v>
                </c:pt>
                <c:pt idx="161">
                  <c:v>40.250583648681598</c:v>
                </c:pt>
                <c:pt idx="162">
                  <c:v>40.5006103515625</c:v>
                </c:pt>
                <c:pt idx="163">
                  <c:v>40.750637054443303</c:v>
                </c:pt>
                <c:pt idx="164">
                  <c:v>41</c:v>
                </c:pt>
                <c:pt idx="165">
                  <c:v>41.250026702880803</c:v>
                </c:pt>
                <c:pt idx="166">
                  <c:v>41.500057220458899</c:v>
                </c:pt>
                <c:pt idx="167">
                  <c:v>41.750057220458899</c:v>
                </c:pt>
                <c:pt idx="168">
                  <c:v>42.000083923339801</c:v>
                </c:pt>
                <c:pt idx="169">
                  <c:v>42.250110626220703</c:v>
                </c:pt>
                <c:pt idx="170">
                  <c:v>42.500137329101499</c:v>
                </c:pt>
                <c:pt idx="171">
                  <c:v>42.750167846679602</c:v>
                </c:pt>
                <c:pt idx="172">
                  <c:v>43.000167846679602</c:v>
                </c:pt>
                <c:pt idx="173">
                  <c:v>43.250194549560497</c:v>
                </c:pt>
                <c:pt idx="174">
                  <c:v>43.500221252441399</c:v>
                </c:pt>
                <c:pt idx="175">
                  <c:v>43.750251770019503</c:v>
                </c:pt>
                <c:pt idx="176">
                  <c:v>44.000278472900298</c:v>
                </c:pt>
                <c:pt idx="177">
                  <c:v>44.250278472900298</c:v>
                </c:pt>
                <c:pt idx="178">
                  <c:v>44.5003051757812</c:v>
                </c:pt>
                <c:pt idx="179">
                  <c:v>44.750331878662102</c:v>
                </c:pt>
                <c:pt idx="180">
                  <c:v>45.000362396240199</c:v>
                </c:pt>
                <c:pt idx="181">
                  <c:v>45.250389099121001</c:v>
                </c:pt>
                <c:pt idx="182">
                  <c:v>45.500389099121001</c:v>
                </c:pt>
                <c:pt idx="183">
                  <c:v>45.750415802001903</c:v>
                </c:pt>
                <c:pt idx="184">
                  <c:v>46.00044631958</c:v>
                </c:pt>
                <c:pt idx="185">
                  <c:v>46.250473022460902</c:v>
                </c:pt>
                <c:pt idx="186">
                  <c:v>46.500473022460902</c:v>
                </c:pt>
                <c:pt idx="187">
                  <c:v>46.750499725341797</c:v>
                </c:pt>
                <c:pt idx="188">
                  <c:v>47.000526428222599</c:v>
                </c:pt>
                <c:pt idx="189">
                  <c:v>47.250556945800703</c:v>
                </c:pt>
                <c:pt idx="190">
                  <c:v>47.500583648681598</c:v>
                </c:pt>
                <c:pt idx="191">
                  <c:v>47.750583648681598</c:v>
                </c:pt>
                <c:pt idx="192">
                  <c:v>48.0006103515625</c:v>
                </c:pt>
                <c:pt idx="193">
                  <c:v>48.250637054443303</c:v>
                </c:pt>
                <c:pt idx="194">
                  <c:v>48.5</c:v>
                </c:pt>
                <c:pt idx="195">
                  <c:v>48.750026702880803</c:v>
                </c:pt>
                <c:pt idx="196">
                  <c:v>49.000057220458899</c:v>
                </c:pt>
                <c:pt idx="197">
                  <c:v>49.250057220458899</c:v>
                </c:pt>
                <c:pt idx="198">
                  <c:v>49.500083923339801</c:v>
                </c:pt>
                <c:pt idx="199">
                  <c:v>49.750110626220703</c:v>
                </c:pt>
                <c:pt idx="200">
                  <c:v>50.000137329101499</c:v>
                </c:pt>
                <c:pt idx="201">
                  <c:v>50.250167846679602</c:v>
                </c:pt>
                <c:pt idx="202">
                  <c:v>50.500167846679602</c:v>
                </c:pt>
                <c:pt idx="203">
                  <c:v>50.750194549560497</c:v>
                </c:pt>
                <c:pt idx="204">
                  <c:v>51.000221252441399</c:v>
                </c:pt>
                <c:pt idx="205">
                  <c:v>51.250251770019503</c:v>
                </c:pt>
                <c:pt idx="206">
                  <c:v>51.500278472900298</c:v>
                </c:pt>
                <c:pt idx="207">
                  <c:v>51.750278472900298</c:v>
                </c:pt>
                <c:pt idx="208">
                  <c:v>52.0003051757812</c:v>
                </c:pt>
                <c:pt idx="209">
                  <c:v>52.250331878662102</c:v>
                </c:pt>
                <c:pt idx="210">
                  <c:v>52.500362396240199</c:v>
                </c:pt>
                <c:pt idx="211">
                  <c:v>52.750389099121001</c:v>
                </c:pt>
                <c:pt idx="212">
                  <c:v>53.000389099121001</c:v>
                </c:pt>
                <c:pt idx="213">
                  <c:v>53.250415802001903</c:v>
                </c:pt>
                <c:pt idx="214">
                  <c:v>53.50044631958</c:v>
                </c:pt>
                <c:pt idx="215">
                  <c:v>53.750473022460902</c:v>
                </c:pt>
                <c:pt idx="216">
                  <c:v>54.000499725341797</c:v>
                </c:pt>
                <c:pt idx="217">
                  <c:v>54.250499725341797</c:v>
                </c:pt>
                <c:pt idx="218">
                  <c:v>54.500526428222599</c:v>
                </c:pt>
                <c:pt idx="219">
                  <c:v>54.750556945800703</c:v>
                </c:pt>
                <c:pt idx="220">
                  <c:v>55.000583648681598</c:v>
                </c:pt>
                <c:pt idx="221">
                  <c:v>55.250583648681598</c:v>
                </c:pt>
                <c:pt idx="222">
                  <c:v>55.5006103515625</c:v>
                </c:pt>
                <c:pt idx="223">
                  <c:v>55.750637054443303</c:v>
                </c:pt>
                <c:pt idx="224">
                  <c:v>56</c:v>
                </c:pt>
                <c:pt idx="225">
                  <c:v>56.250026702880803</c:v>
                </c:pt>
                <c:pt idx="226">
                  <c:v>56.500057220458899</c:v>
                </c:pt>
                <c:pt idx="227">
                  <c:v>56.750083923339801</c:v>
                </c:pt>
                <c:pt idx="228">
                  <c:v>57.000083923339801</c:v>
                </c:pt>
                <c:pt idx="229">
                  <c:v>57.250110626220703</c:v>
                </c:pt>
                <c:pt idx="230">
                  <c:v>57.500137329101499</c:v>
                </c:pt>
                <c:pt idx="231">
                  <c:v>57.750167846679602</c:v>
                </c:pt>
                <c:pt idx="232">
                  <c:v>58.000167846679602</c:v>
                </c:pt>
                <c:pt idx="233">
                  <c:v>58.250194549560497</c:v>
                </c:pt>
                <c:pt idx="234">
                  <c:v>58.500221252441399</c:v>
                </c:pt>
                <c:pt idx="235">
                  <c:v>58.750251770019503</c:v>
                </c:pt>
                <c:pt idx="236">
                  <c:v>59.000278472900298</c:v>
                </c:pt>
                <c:pt idx="237">
                  <c:v>59.250278472900298</c:v>
                </c:pt>
                <c:pt idx="238">
                  <c:v>59.5003051757812</c:v>
                </c:pt>
                <c:pt idx="239">
                  <c:v>59.750331878662102</c:v>
                </c:pt>
                <c:pt idx="240">
                  <c:v>60.000362396240199</c:v>
                </c:pt>
                <c:pt idx="241">
                  <c:v>60.250389099121001</c:v>
                </c:pt>
                <c:pt idx="242">
                  <c:v>60.500389099121001</c:v>
                </c:pt>
                <c:pt idx="243">
                  <c:v>60.750415802001903</c:v>
                </c:pt>
                <c:pt idx="244">
                  <c:v>61.00044631958</c:v>
                </c:pt>
                <c:pt idx="245">
                  <c:v>61.250473022460902</c:v>
                </c:pt>
                <c:pt idx="246">
                  <c:v>61.500499725341797</c:v>
                </c:pt>
                <c:pt idx="247">
                  <c:v>61.750499725341797</c:v>
                </c:pt>
                <c:pt idx="248">
                  <c:v>62.000526428222599</c:v>
                </c:pt>
                <c:pt idx="249">
                  <c:v>62.250556945800703</c:v>
                </c:pt>
                <c:pt idx="250">
                  <c:v>62.500583648681598</c:v>
                </c:pt>
                <c:pt idx="251">
                  <c:v>62.7506103515625</c:v>
                </c:pt>
                <c:pt idx="252">
                  <c:v>63.0006103515625</c:v>
                </c:pt>
                <c:pt idx="253">
                  <c:v>63.250637054443303</c:v>
                </c:pt>
                <c:pt idx="254">
                  <c:v>63.5</c:v>
                </c:pt>
                <c:pt idx="255">
                  <c:v>63.750026702880803</c:v>
                </c:pt>
                <c:pt idx="256">
                  <c:v>64.000053405761705</c:v>
                </c:pt>
                <c:pt idx="257">
                  <c:v>64.250083923339801</c:v>
                </c:pt>
                <c:pt idx="258">
                  <c:v>64.500083923339801</c:v>
                </c:pt>
                <c:pt idx="259">
                  <c:v>64.750114440917898</c:v>
                </c:pt>
                <c:pt idx="260">
                  <c:v>65.000137329101506</c:v>
                </c:pt>
                <c:pt idx="261">
                  <c:v>65.250167846679602</c:v>
                </c:pt>
                <c:pt idx="262">
                  <c:v>65.500190734863196</c:v>
                </c:pt>
                <c:pt idx="263">
                  <c:v>65.750190734863196</c:v>
                </c:pt>
                <c:pt idx="264">
                  <c:v>66.000221252441406</c:v>
                </c:pt>
                <c:pt idx="265">
                  <c:v>66.250251770019503</c:v>
                </c:pt>
                <c:pt idx="266">
                  <c:v>66.500274658203097</c:v>
                </c:pt>
                <c:pt idx="267">
                  <c:v>66.750305175781193</c:v>
                </c:pt>
                <c:pt idx="268">
                  <c:v>67.000305175781193</c:v>
                </c:pt>
                <c:pt idx="269">
                  <c:v>67.250335693359304</c:v>
                </c:pt>
                <c:pt idx="270">
                  <c:v>67.500358581542898</c:v>
                </c:pt>
                <c:pt idx="271">
                  <c:v>67.750389099120994</c:v>
                </c:pt>
                <c:pt idx="272">
                  <c:v>68.000389099120994</c:v>
                </c:pt>
                <c:pt idx="273">
                  <c:v>68.250419616699205</c:v>
                </c:pt>
                <c:pt idx="274">
                  <c:v>68.500442504882798</c:v>
                </c:pt>
                <c:pt idx="275">
                  <c:v>68.750473022460895</c:v>
                </c:pt>
                <c:pt idx="276">
                  <c:v>69.000503540039006</c:v>
                </c:pt>
                <c:pt idx="277">
                  <c:v>69.250503540039006</c:v>
                </c:pt>
                <c:pt idx="278">
                  <c:v>69.500526428222599</c:v>
                </c:pt>
                <c:pt idx="279">
                  <c:v>69.750556945800696</c:v>
                </c:pt>
                <c:pt idx="280">
                  <c:v>70.000579833984304</c:v>
                </c:pt>
                <c:pt idx="281">
                  <c:v>70.2506103515625</c:v>
                </c:pt>
                <c:pt idx="282">
                  <c:v>70.5006103515625</c:v>
                </c:pt>
                <c:pt idx="283">
                  <c:v>70.750640869140597</c:v>
                </c:pt>
                <c:pt idx="284">
                  <c:v>71</c:v>
                </c:pt>
                <c:pt idx="285">
                  <c:v>71.250030517578097</c:v>
                </c:pt>
                <c:pt idx="286">
                  <c:v>71.500053405761705</c:v>
                </c:pt>
                <c:pt idx="287">
                  <c:v>71.750083923339801</c:v>
                </c:pt>
                <c:pt idx="288">
                  <c:v>72.000083923339801</c:v>
                </c:pt>
              </c:numCache>
            </c:numRef>
          </c:xVal>
          <c:yVal>
            <c:numRef>
              <c:f>Variable!$B$11:$B$299</c:f>
              <c:numCache>
                <c:formatCode>General</c:formatCode>
                <c:ptCount val="289"/>
                <c:pt idx="0">
                  <c:v>88.442352294921804</c:v>
                </c:pt>
                <c:pt idx="1">
                  <c:v>88.549140930175696</c:v>
                </c:pt>
                <c:pt idx="2">
                  <c:v>88.482513427734304</c:v>
                </c:pt>
                <c:pt idx="3">
                  <c:v>88.478256225585895</c:v>
                </c:pt>
                <c:pt idx="4">
                  <c:v>88.477600097656193</c:v>
                </c:pt>
                <c:pt idx="5">
                  <c:v>88.478012084960895</c:v>
                </c:pt>
                <c:pt idx="6">
                  <c:v>88.479621887207003</c:v>
                </c:pt>
                <c:pt idx="7">
                  <c:v>88.479179382324205</c:v>
                </c:pt>
                <c:pt idx="8">
                  <c:v>88.478477478027301</c:v>
                </c:pt>
                <c:pt idx="9">
                  <c:v>88.478431701660099</c:v>
                </c:pt>
                <c:pt idx="10">
                  <c:v>88.478340148925696</c:v>
                </c:pt>
                <c:pt idx="11">
                  <c:v>84.026802062988196</c:v>
                </c:pt>
                <c:pt idx="12">
                  <c:v>88.481521606445298</c:v>
                </c:pt>
                <c:pt idx="13">
                  <c:v>88.478057861328097</c:v>
                </c:pt>
                <c:pt idx="14">
                  <c:v>88.479026794433494</c:v>
                </c:pt>
                <c:pt idx="15">
                  <c:v>88.479011535644503</c:v>
                </c:pt>
                <c:pt idx="16">
                  <c:v>88.479011535644503</c:v>
                </c:pt>
                <c:pt idx="17">
                  <c:v>88.479049682617102</c:v>
                </c:pt>
                <c:pt idx="18">
                  <c:v>88.479026794433494</c:v>
                </c:pt>
                <c:pt idx="19">
                  <c:v>88.479202270507798</c:v>
                </c:pt>
                <c:pt idx="20">
                  <c:v>88.479232788085895</c:v>
                </c:pt>
                <c:pt idx="21">
                  <c:v>88.479217529296804</c:v>
                </c:pt>
                <c:pt idx="22">
                  <c:v>88.479217529296804</c:v>
                </c:pt>
                <c:pt idx="23">
                  <c:v>88.479148864745994</c:v>
                </c:pt>
                <c:pt idx="24">
                  <c:v>88.478973388671804</c:v>
                </c:pt>
                <c:pt idx="25">
                  <c:v>88.478813171386705</c:v>
                </c:pt>
                <c:pt idx="26">
                  <c:v>88.478752136230398</c:v>
                </c:pt>
                <c:pt idx="27">
                  <c:v>88.478706359863196</c:v>
                </c:pt>
                <c:pt idx="28">
                  <c:v>88.478668212890597</c:v>
                </c:pt>
                <c:pt idx="29">
                  <c:v>88.478691101074205</c:v>
                </c:pt>
                <c:pt idx="30">
                  <c:v>88.478790283203097</c:v>
                </c:pt>
                <c:pt idx="31">
                  <c:v>88.478927612304602</c:v>
                </c:pt>
                <c:pt idx="32">
                  <c:v>88.479042053222599</c:v>
                </c:pt>
                <c:pt idx="33">
                  <c:v>88.479148864745994</c:v>
                </c:pt>
                <c:pt idx="34">
                  <c:v>88.479232788085895</c:v>
                </c:pt>
                <c:pt idx="35">
                  <c:v>88.479270935058494</c:v>
                </c:pt>
                <c:pt idx="36">
                  <c:v>88.479209899902301</c:v>
                </c:pt>
                <c:pt idx="37">
                  <c:v>88.479110717773395</c:v>
                </c:pt>
                <c:pt idx="38">
                  <c:v>88.478981018066406</c:v>
                </c:pt>
                <c:pt idx="39">
                  <c:v>88.478851318359304</c:v>
                </c:pt>
                <c:pt idx="40">
                  <c:v>88.478729248046804</c:v>
                </c:pt>
                <c:pt idx="41">
                  <c:v>88.478683471679602</c:v>
                </c:pt>
                <c:pt idx="42">
                  <c:v>88.478668212890597</c:v>
                </c:pt>
                <c:pt idx="43">
                  <c:v>88.478721618652301</c:v>
                </c:pt>
                <c:pt idx="44">
                  <c:v>88.478782653808494</c:v>
                </c:pt>
                <c:pt idx="45">
                  <c:v>88.478782653808494</c:v>
                </c:pt>
                <c:pt idx="46">
                  <c:v>88.478919982910099</c:v>
                </c:pt>
                <c:pt idx="47">
                  <c:v>88.479042053222599</c:v>
                </c:pt>
                <c:pt idx="48">
                  <c:v>88.479156494140597</c:v>
                </c:pt>
                <c:pt idx="49">
                  <c:v>88.479217529296804</c:v>
                </c:pt>
                <c:pt idx="50">
                  <c:v>88.479263305664006</c:v>
                </c:pt>
                <c:pt idx="51">
                  <c:v>88.479209899902301</c:v>
                </c:pt>
                <c:pt idx="52">
                  <c:v>88.479118347167898</c:v>
                </c:pt>
                <c:pt idx="53">
                  <c:v>88.478973388671804</c:v>
                </c:pt>
                <c:pt idx="54">
                  <c:v>88.478851318359304</c:v>
                </c:pt>
                <c:pt idx="55">
                  <c:v>88.478729248046804</c:v>
                </c:pt>
                <c:pt idx="56">
                  <c:v>88.478691101074205</c:v>
                </c:pt>
                <c:pt idx="57">
                  <c:v>88.478660583495994</c:v>
                </c:pt>
                <c:pt idx="58">
                  <c:v>88.478706359863196</c:v>
                </c:pt>
                <c:pt idx="59">
                  <c:v>88.478782653808494</c:v>
                </c:pt>
                <c:pt idx="60">
                  <c:v>88.478912353515597</c:v>
                </c:pt>
                <c:pt idx="61">
                  <c:v>88.479026794433494</c:v>
                </c:pt>
                <c:pt idx="62">
                  <c:v>88.479156494140597</c:v>
                </c:pt>
                <c:pt idx="63">
                  <c:v>88.479217529296804</c:v>
                </c:pt>
                <c:pt idx="64">
                  <c:v>88.479263305664006</c:v>
                </c:pt>
                <c:pt idx="65">
                  <c:v>88.479209899902301</c:v>
                </c:pt>
                <c:pt idx="66">
                  <c:v>88.479118347167898</c:v>
                </c:pt>
                <c:pt idx="67">
                  <c:v>88.478973388671804</c:v>
                </c:pt>
                <c:pt idx="68">
                  <c:v>88.478843688964801</c:v>
                </c:pt>
                <c:pt idx="69">
                  <c:v>88.478729248046804</c:v>
                </c:pt>
                <c:pt idx="70">
                  <c:v>88.478691101074205</c:v>
                </c:pt>
                <c:pt idx="71">
                  <c:v>88.478660583495994</c:v>
                </c:pt>
                <c:pt idx="72">
                  <c:v>88.478706359863196</c:v>
                </c:pt>
                <c:pt idx="73">
                  <c:v>88.478782653808494</c:v>
                </c:pt>
                <c:pt idx="74">
                  <c:v>88.478912353515597</c:v>
                </c:pt>
                <c:pt idx="75">
                  <c:v>88.478912353515597</c:v>
                </c:pt>
                <c:pt idx="76">
                  <c:v>88.479026794433494</c:v>
                </c:pt>
                <c:pt idx="77">
                  <c:v>88.479156494140597</c:v>
                </c:pt>
                <c:pt idx="78">
                  <c:v>88.479217529296804</c:v>
                </c:pt>
                <c:pt idx="79">
                  <c:v>88.479263305664006</c:v>
                </c:pt>
                <c:pt idx="80">
                  <c:v>88.479209899902301</c:v>
                </c:pt>
                <c:pt idx="81">
                  <c:v>88.479118347167898</c:v>
                </c:pt>
                <c:pt idx="82">
                  <c:v>88.478973388671804</c:v>
                </c:pt>
                <c:pt idx="83">
                  <c:v>88.478843688964801</c:v>
                </c:pt>
                <c:pt idx="84">
                  <c:v>88.478729248046804</c:v>
                </c:pt>
                <c:pt idx="85">
                  <c:v>88.478683471679602</c:v>
                </c:pt>
                <c:pt idx="86">
                  <c:v>88.478660583495994</c:v>
                </c:pt>
                <c:pt idx="87">
                  <c:v>88.478706359863196</c:v>
                </c:pt>
                <c:pt idx="88">
                  <c:v>88.478782653808494</c:v>
                </c:pt>
                <c:pt idx="89">
                  <c:v>88.478912353515597</c:v>
                </c:pt>
                <c:pt idx="90">
                  <c:v>88.479026794433494</c:v>
                </c:pt>
                <c:pt idx="91">
                  <c:v>88.479148864745994</c:v>
                </c:pt>
                <c:pt idx="92">
                  <c:v>88.479217529296804</c:v>
                </c:pt>
                <c:pt idx="93">
                  <c:v>88.479248046875</c:v>
                </c:pt>
                <c:pt idx="94">
                  <c:v>88.479209899902301</c:v>
                </c:pt>
                <c:pt idx="95">
                  <c:v>88.479118347167898</c:v>
                </c:pt>
                <c:pt idx="96">
                  <c:v>88.478973388671804</c:v>
                </c:pt>
                <c:pt idx="97">
                  <c:v>88.478843688964801</c:v>
                </c:pt>
                <c:pt idx="98">
                  <c:v>88.478729248046804</c:v>
                </c:pt>
                <c:pt idx="99">
                  <c:v>88.478683471679602</c:v>
                </c:pt>
                <c:pt idx="100">
                  <c:v>88.478660583495994</c:v>
                </c:pt>
                <c:pt idx="101">
                  <c:v>88.478706359863196</c:v>
                </c:pt>
                <c:pt idx="102">
                  <c:v>88.478782653808494</c:v>
                </c:pt>
                <c:pt idx="103">
                  <c:v>88.478912353515597</c:v>
                </c:pt>
                <c:pt idx="104">
                  <c:v>88.479026794433494</c:v>
                </c:pt>
                <c:pt idx="105">
                  <c:v>88.479026794433494</c:v>
                </c:pt>
                <c:pt idx="106">
                  <c:v>88.479148864745994</c:v>
                </c:pt>
                <c:pt idx="107">
                  <c:v>88.479217529296804</c:v>
                </c:pt>
                <c:pt idx="108">
                  <c:v>88.479248046875</c:v>
                </c:pt>
                <c:pt idx="109">
                  <c:v>88.479209899902301</c:v>
                </c:pt>
                <c:pt idx="110">
                  <c:v>88.479110717773395</c:v>
                </c:pt>
                <c:pt idx="111">
                  <c:v>88.478973388671804</c:v>
                </c:pt>
                <c:pt idx="112">
                  <c:v>88.478843688964801</c:v>
                </c:pt>
                <c:pt idx="113">
                  <c:v>88.478729248046804</c:v>
                </c:pt>
                <c:pt idx="114">
                  <c:v>88.478683471679602</c:v>
                </c:pt>
                <c:pt idx="115">
                  <c:v>88.478660583495994</c:v>
                </c:pt>
                <c:pt idx="116">
                  <c:v>88.478706359863196</c:v>
                </c:pt>
                <c:pt idx="117">
                  <c:v>88.478782653808494</c:v>
                </c:pt>
                <c:pt idx="118">
                  <c:v>88.478912353515597</c:v>
                </c:pt>
                <c:pt idx="119">
                  <c:v>88.479026794433494</c:v>
                </c:pt>
                <c:pt idx="120">
                  <c:v>88.479148864745994</c:v>
                </c:pt>
                <c:pt idx="121">
                  <c:v>88.479217529296804</c:v>
                </c:pt>
                <c:pt idx="122">
                  <c:v>88.479248046875</c:v>
                </c:pt>
                <c:pt idx="123">
                  <c:v>88.479202270507798</c:v>
                </c:pt>
                <c:pt idx="124">
                  <c:v>88.479110717773395</c:v>
                </c:pt>
                <c:pt idx="125">
                  <c:v>88.478958129882798</c:v>
                </c:pt>
                <c:pt idx="126">
                  <c:v>88.478843688964801</c:v>
                </c:pt>
                <c:pt idx="127">
                  <c:v>88.478729248046804</c:v>
                </c:pt>
                <c:pt idx="128">
                  <c:v>88.478683471679602</c:v>
                </c:pt>
                <c:pt idx="129">
                  <c:v>88.478660583495994</c:v>
                </c:pt>
                <c:pt idx="130">
                  <c:v>88.478698730468693</c:v>
                </c:pt>
                <c:pt idx="131">
                  <c:v>88.478782653808494</c:v>
                </c:pt>
                <c:pt idx="132">
                  <c:v>88.478912353515597</c:v>
                </c:pt>
                <c:pt idx="133">
                  <c:v>88.479026794433494</c:v>
                </c:pt>
                <c:pt idx="134">
                  <c:v>88.479148864745994</c:v>
                </c:pt>
                <c:pt idx="135">
                  <c:v>88.479148864745994</c:v>
                </c:pt>
                <c:pt idx="136">
                  <c:v>88.479217529296804</c:v>
                </c:pt>
                <c:pt idx="137">
                  <c:v>88.479248046875</c:v>
                </c:pt>
                <c:pt idx="138">
                  <c:v>88.479202270507798</c:v>
                </c:pt>
                <c:pt idx="139">
                  <c:v>88.479110717773395</c:v>
                </c:pt>
                <c:pt idx="140">
                  <c:v>88.478958129882798</c:v>
                </c:pt>
                <c:pt idx="141">
                  <c:v>88.478843688964801</c:v>
                </c:pt>
                <c:pt idx="142">
                  <c:v>88.478729248046804</c:v>
                </c:pt>
                <c:pt idx="143">
                  <c:v>88.478683471679602</c:v>
                </c:pt>
                <c:pt idx="144">
                  <c:v>88.478660583495994</c:v>
                </c:pt>
                <c:pt idx="145">
                  <c:v>88.478698730468693</c:v>
                </c:pt>
                <c:pt idx="146">
                  <c:v>88.478782653808494</c:v>
                </c:pt>
                <c:pt idx="147">
                  <c:v>88.478912353515597</c:v>
                </c:pt>
                <c:pt idx="148">
                  <c:v>88.479026794433494</c:v>
                </c:pt>
                <c:pt idx="149">
                  <c:v>88.479148864745994</c:v>
                </c:pt>
                <c:pt idx="150">
                  <c:v>88.479217529296804</c:v>
                </c:pt>
                <c:pt idx="151">
                  <c:v>88.479248046875</c:v>
                </c:pt>
                <c:pt idx="152">
                  <c:v>88.479202270507798</c:v>
                </c:pt>
                <c:pt idx="153">
                  <c:v>88.479110717773395</c:v>
                </c:pt>
                <c:pt idx="154">
                  <c:v>88.478958129882798</c:v>
                </c:pt>
                <c:pt idx="155">
                  <c:v>88.478843688964801</c:v>
                </c:pt>
                <c:pt idx="156">
                  <c:v>88.478729248046804</c:v>
                </c:pt>
                <c:pt idx="157">
                  <c:v>88.478683471679602</c:v>
                </c:pt>
                <c:pt idx="158">
                  <c:v>88.478660583495994</c:v>
                </c:pt>
                <c:pt idx="159">
                  <c:v>88.478698730468693</c:v>
                </c:pt>
                <c:pt idx="160">
                  <c:v>88.478782653808494</c:v>
                </c:pt>
                <c:pt idx="161">
                  <c:v>88.478912353515597</c:v>
                </c:pt>
                <c:pt idx="162">
                  <c:v>88.479026794433494</c:v>
                </c:pt>
                <c:pt idx="163">
                  <c:v>88.479148864745994</c:v>
                </c:pt>
                <c:pt idx="164">
                  <c:v>88.479148864745994</c:v>
                </c:pt>
                <c:pt idx="165">
                  <c:v>88.479217529296804</c:v>
                </c:pt>
                <c:pt idx="166">
                  <c:v>88.479248046875</c:v>
                </c:pt>
                <c:pt idx="167">
                  <c:v>88.479202270507798</c:v>
                </c:pt>
                <c:pt idx="168">
                  <c:v>88.479110717773395</c:v>
                </c:pt>
                <c:pt idx="169">
                  <c:v>88.478958129882798</c:v>
                </c:pt>
                <c:pt idx="170">
                  <c:v>88.478843688964801</c:v>
                </c:pt>
                <c:pt idx="171">
                  <c:v>88.478721618652301</c:v>
                </c:pt>
                <c:pt idx="172">
                  <c:v>88.478683471679602</c:v>
                </c:pt>
                <c:pt idx="173">
                  <c:v>88.478660583495994</c:v>
                </c:pt>
                <c:pt idx="174">
                  <c:v>88.478698730468693</c:v>
                </c:pt>
                <c:pt idx="175">
                  <c:v>88.478782653808494</c:v>
                </c:pt>
                <c:pt idx="176">
                  <c:v>88.478912353515597</c:v>
                </c:pt>
                <c:pt idx="177">
                  <c:v>88.479026794433494</c:v>
                </c:pt>
                <c:pt idx="178">
                  <c:v>88.479148864745994</c:v>
                </c:pt>
                <c:pt idx="179">
                  <c:v>88.479217529296804</c:v>
                </c:pt>
                <c:pt idx="180">
                  <c:v>88.479248046875</c:v>
                </c:pt>
                <c:pt idx="181">
                  <c:v>88.479202270507798</c:v>
                </c:pt>
                <c:pt idx="182">
                  <c:v>88.479110717773395</c:v>
                </c:pt>
                <c:pt idx="183">
                  <c:v>88.478958129882798</c:v>
                </c:pt>
                <c:pt idx="184">
                  <c:v>88.478828430175696</c:v>
                </c:pt>
                <c:pt idx="185">
                  <c:v>88.478721618652301</c:v>
                </c:pt>
                <c:pt idx="186">
                  <c:v>88.478683471679602</c:v>
                </c:pt>
                <c:pt idx="187">
                  <c:v>88.478660583495994</c:v>
                </c:pt>
                <c:pt idx="188">
                  <c:v>88.478698730468693</c:v>
                </c:pt>
                <c:pt idx="189">
                  <c:v>88.478782653808494</c:v>
                </c:pt>
                <c:pt idx="190">
                  <c:v>88.478912353515597</c:v>
                </c:pt>
                <c:pt idx="191">
                  <c:v>88.479026794433494</c:v>
                </c:pt>
                <c:pt idx="192">
                  <c:v>88.479148864745994</c:v>
                </c:pt>
                <c:pt idx="193">
                  <c:v>88.479209899902301</c:v>
                </c:pt>
                <c:pt idx="194">
                  <c:v>88.479209899902301</c:v>
                </c:pt>
                <c:pt idx="195">
                  <c:v>88.479248046875</c:v>
                </c:pt>
                <c:pt idx="196">
                  <c:v>88.479202270507798</c:v>
                </c:pt>
                <c:pt idx="197">
                  <c:v>88.479110717773395</c:v>
                </c:pt>
                <c:pt idx="198">
                  <c:v>88.478958129882798</c:v>
                </c:pt>
                <c:pt idx="199">
                  <c:v>88.478828430175696</c:v>
                </c:pt>
                <c:pt idx="200">
                  <c:v>88.478721618652301</c:v>
                </c:pt>
                <c:pt idx="201">
                  <c:v>88.478683471679602</c:v>
                </c:pt>
                <c:pt idx="202">
                  <c:v>88.478660583495994</c:v>
                </c:pt>
                <c:pt idx="203">
                  <c:v>88.478698730468693</c:v>
                </c:pt>
                <c:pt idx="204">
                  <c:v>88.478767395019503</c:v>
                </c:pt>
                <c:pt idx="205">
                  <c:v>88.478897094726506</c:v>
                </c:pt>
                <c:pt idx="206">
                  <c:v>88.479026794433494</c:v>
                </c:pt>
                <c:pt idx="207">
                  <c:v>88.479148864745994</c:v>
                </c:pt>
                <c:pt idx="208">
                  <c:v>88.479209899902301</c:v>
                </c:pt>
                <c:pt idx="209">
                  <c:v>88.479248046875</c:v>
                </c:pt>
                <c:pt idx="210">
                  <c:v>88.479202270507798</c:v>
                </c:pt>
                <c:pt idx="211">
                  <c:v>88.479110717773395</c:v>
                </c:pt>
                <c:pt idx="212">
                  <c:v>88.478958129882798</c:v>
                </c:pt>
                <c:pt idx="213">
                  <c:v>88.478828430175696</c:v>
                </c:pt>
                <c:pt idx="214">
                  <c:v>88.478721618652301</c:v>
                </c:pt>
                <c:pt idx="215">
                  <c:v>88.478683471679602</c:v>
                </c:pt>
                <c:pt idx="216">
                  <c:v>88.478660583495994</c:v>
                </c:pt>
                <c:pt idx="217">
                  <c:v>88.478698730468693</c:v>
                </c:pt>
                <c:pt idx="218">
                  <c:v>88.478767395019503</c:v>
                </c:pt>
                <c:pt idx="219">
                  <c:v>88.478897094726506</c:v>
                </c:pt>
                <c:pt idx="220">
                  <c:v>88.479026794433494</c:v>
                </c:pt>
                <c:pt idx="221">
                  <c:v>88.479148864745994</c:v>
                </c:pt>
                <c:pt idx="222">
                  <c:v>88.479209899902301</c:v>
                </c:pt>
                <c:pt idx="223">
                  <c:v>88.479248046875</c:v>
                </c:pt>
                <c:pt idx="224">
                  <c:v>88.479248046875</c:v>
                </c:pt>
                <c:pt idx="225">
                  <c:v>88.479202270507798</c:v>
                </c:pt>
                <c:pt idx="226">
                  <c:v>88.479110717773395</c:v>
                </c:pt>
                <c:pt idx="227">
                  <c:v>88.478958129882798</c:v>
                </c:pt>
                <c:pt idx="228">
                  <c:v>88.478828430175696</c:v>
                </c:pt>
                <c:pt idx="229">
                  <c:v>88.478721618652301</c:v>
                </c:pt>
                <c:pt idx="230">
                  <c:v>88.478683471679602</c:v>
                </c:pt>
                <c:pt idx="231">
                  <c:v>88.478660583495994</c:v>
                </c:pt>
                <c:pt idx="232">
                  <c:v>88.478698730468693</c:v>
                </c:pt>
                <c:pt idx="233">
                  <c:v>88.478767395019503</c:v>
                </c:pt>
                <c:pt idx="234">
                  <c:v>88.478897094726506</c:v>
                </c:pt>
                <c:pt idx="235">
                  <c:v>88.479019165039006</c:v>
                </c:pt>
                <c:pt idx="236">
                  <c:v>88.479148864745994</c:v>
                </c:pt>
                <c:pt idx="237">
                  <c:v>88.479209899902301</c:v>
                </c:pt>
                <c:pt idx="238">
                  <c:v>88.479248046875</c:v>
                </c:pt>
                <c:pt idx="239">
                  <c:v>88.479202270507798</c:v>
                </c:pt>
                <c:pt idx="240">
                  <c:v>88.479110717773395</c:v>
                </c:pt>
                <c:pt idx="241">
                  <c:v>88.478958129882798</c:v>
                </c:pt>
                <c:pt idx="242">
                  <c:v>88.478828430175696</c:v>
                </c:pt>
                <c:pt idx="243">
                  <c:v>88.478721618652301</c:v>
                </c:pt>
                <c:pt idx="244">
                  <c:v>88.478683471679602</c:v>
                </c:pt>
                <c:pt idx="245">
                  <c:v>88.478660583495994</c:v>
                </c:pt>
                <c:pt idx="246">
                  <c:v>88.478698730468693</c:v>
                </c:pt>
                <c:pt idx="247">
                  <c:v>88.478767395019503</c:v>
                </c:pt>
                <c:pt idx="248">
                  <c:v>88.478897094726506</c:v>
                </c:pt>
                <c:pt idx="249">
                  <c:v>88.479019165039006</c:v>
                </c:pt>
                <c:pt idx="250">
                  <c:v>88.479148864745994</c:v>
                </c:pt>
                <c:pt idx="251">
                  <c:v>88.479209899902301</c:v>
                </c:pt>
                <c:pt idx="252">
                  <c:v>88.479248046875</c:v>
                </c:pt>
                <c:pt idx="253">
                  <c:v>88.479202270507798</c:v>
                </c:pt>
                <c:pt idx="254">
                  <c:v>88.479202270507798</c:v>
                </c:pt>
                <c:pt idx="255">
                  <c:v>88.479110717773395</c:v>
                </c:pt>
                <c:pt idx="256">
                  <c:v>88.478958129882798</c:v>
                </c:pt>
                <c:pt idx="257">
                  <c:v>88.478828430175696</c:v>
                </c:pt>
                <c:pt idx="258">
                  <c:v>88.478721618652301</c:v>
                </c:pt>
                <c:pt idx="259">
                  <c:v>88.478683471679602</c:v>
                </c:pt>
                <c:pt idx="260">
                  <c:v>88.478660583495994</c:v>
                </c:pt>
                <c:pt idx="261">
                  <c:v>88.478698730468693</c:v>
                </c:pt>
                <c:pt idx="262">
                  <c:v>88.478767395019503</c:v>
                </c:pt>
                <c:pt idx="263">
                  <c:v>88.478897094726506</c:v>
                </c:pt>
                <c:pt idx="264">
                  <c:v>88.479019165039006</c:v>
                </c:pt>
                <c:pt idx="265">
                  <c:v>88.479148864745994</c:v>
                </c:pt>
                <c:pt idx="266">
                  <c:v>88.479209899902301</c:v>
                </c:pt>
                <c:pt idx="267">
                  <c:v>88.479248046875</c:v>
                </c:pt>
                <c:pt idx="268">
                  <c:v>88.479202270507798</c:v>
                </c:pt>
                <c:pt idx="269">
                  <c:v>88.479110717773395</c:v>
                </c:pt>
                <c:pt idx="270">
                  <c:v>88.478958129882798</c:v>
                </c:pt>
                <c:pt idx="271">
                  <c:v>88.478828430175696</c:v>
                </c:pt>
                <c:pt idx="272">
                  <c:v>88.478721618652301</c:v>
                </c:pt>
                <c:pt idx="273">
                  <c:v>88.478683471679602</c:v>
                </c:pt>
                <c:pt idx="274">
                  <c:v>88.478660583495994</c:v>
                </c:pt>
                <c:pt idx="275">
                  <c:v>88.478698730468693</c:v>
                </c:pt>
                <c:pt idx="276">
                  <c:v>88.478767395019503</c:v>
                </c:pt>
                <c:pt idx="277">
                  <c:v>88.478897094726506</c:v>
                </c:pt>
                <c:pt idx="278">
                  <c:v>88.479019165039006</c:v>
                </c:pt>
                <c:pt idx="279">
                  <c:v>88.479148864745994</c:v>
                </c:pt>
                <c:pt idx="280">
                  <c:v>88.479209899902301</c:v>
                </c:pt>
                <c:pt idx="281">
                  <c:v>88.479248046875</c:v>
                </c:pt>
                <c:pt idx="282">
                  <c:v>88.479202270507798</c:v>
                </c:pt>
                <c:pt idx="283">
                  <c:v>88.479110717773395</c:v>
                </c:pt>
                <c:pt idx="284">
                  <c:v>88.479110717773395</c:v>
                </c:pt>
                <c:pt idx="285">
                  <c:v>88.478958129882798</c:v>
                </c:pt>
                <c:pt idx="286">
                  <c:v>88.478828430175696</c:v>
                </c:pt>
                <c:pt idx="287">
                  <c:v>88.478721618652301</c:v>
                </c:pt>
                <c:pt idx="288">
                  <c:v>88.478683471679602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75-49A0-8247-5995D9C022B6}"/>
            </c:ext>
          </c:extLst>
        </c:ser>
        <c:ser>
          <c:idx val="1"/>
          <c:order val="1"/>
          <c:tx>
            <c:strRef>
              <c:f>Variable!$C$10</c:f>
              <c:strCache>
                <c:ptCount val="1"/>
                <c:pt idx="0">
                  <c:v>SIM2</c:v>
                </c:pt>
              </c:strCache>
            </c:strRef>
          </c:tx>
          <c:marker>
            <c:symbol val="none"/>
          </c:marker>
          <c:xVal>
            <c:numRef>
              <c:f>Times!$C$11:$C$299</c:f>
              <c:numCache>
                <c:formatCode>General</c:formatCode>
                <c:ptCount val="289"/>
                <c:pt idx="0">
                  <c:v>0</c:v>
                </c:pt>
                <c:pt idx="1">
                  <c:v>0.25036987662315302</c:v>
                </c:pt>
                <c:pt idx="2">
                  <c:v>0.50034749507903997</c:v>
                </c:pt>
                <c:pt idx="3">
                  <c:v>0.75036638975143399</c:v>
                </c:pt>
                <c:pt idx="4">
                  <c:v>1.00027227401733</c:v>
                </c:pt>
                <c:pt idx="5">
                  <c:v>1.25033855438232</c:v>
                </c:pt>
                <c:pt idx="6">
                  <c:v>1.50031077861785</c:v>
                </c:pt>
                <c:pt idx="7">
                  <c:v>1.75039339065551</c:v>
                </c:pt>
                <c:pt idx="8">
                  <c:v>2.0002985000610298</c:v>
                </c:pt>
                <c:pt idx="9">
                  <c:v>2.2502260208129798</c:v>
                </c:pt>
                <c:pt idx="10">
                  <c:v>2.5003199577331499</c:v>
                </c:pt>
                <c:pt idx="11">
                  <c:v>2.7502677440643302</c:v>
                </c:pt>
                <c:pt idx="12">
                  <c:v>3.0001916885375901</c:v>
                </c:pt>
                <c:pt idx="13">
                  <c:v>3.25028324127197</c:v>
                </c:pt>
                <c:pt idx="14">
                  <c:v>3.5001471042632999</c:v>
                </c:pt>
                <c:pt idx="15">
                  <c:v>3.7502889633178702</c:v>
                </c:pt>
                <c:pt idx="16">
                  <c:v>4.0003137588500897</c:v>
                </c:pt>
                <c:pt idx="17">
                  <c:v>4.2500414848327601</c:v>
                </c:pt>
                <c:pt idx="18">
                  <c:v>4.5006608963012704</c:v>
                </c:pt>
                <c:pt idx="19">
                  <c:v>4.7502470016479403</c:v>
                </c:pt>
                <c:pt idx="20">
                  <c:v>5.0002779960632298</c:v>
                </c:pt>
                <c:pt idx="21">
                  <c:v>5.2502360343933097</c:v>
                </c:pt>
                <c:pt idx="22">
                  <c:v>5.5005168914794904</c:v>
                </c:pt>
                <c:pt idx="23">
                  <c:v>5.7500863075256303</c:v>
                </c:pt>
                <c:pt idx="24">
                  <c:v>6.0003890991210902</c:v>
                </c:pt>
                <c:pt idx="25">
                  <c:v>6.2504692077636701</c:v>
                </c:pt>
                <c:pt idx="26">
                  <c:v>6.5000529289245597</c:v>
                </c:pt>
                <c:pt idx="27">
                  <c:v>6.7505526542663503</c:v>
                </c:pt>
                <c:pt idx="28">
                  <c:v>7.0006999969482404</c:v>
                </c:pt>
                <c:pt idx="29">
                  <c:v>7.25026130676269</c:v>
                </c:pt>
                <c:pt idx="30">
                  <c:v>7.5004582405090297</c:v>
                </c:pt>
                <c:pt idx="31">
                  <c:v>7.7501306533813397</c:v>
                </c:pt>
                <c:pt idx="32">
                  <c:v>8.0003862380981392</c:v>
                </c:pt>
                <c:pt idx="33">
                  <c:v>8.2503137588500906</c:v>
                </c:pt>
                <c:pt idx="34">
                  <c:v>8.5003643035888601</c:v>
                </c:pt>
                <c:pt idx="35">
                  <c:v>8.7504053115844709</c:v>
                </c:pt>
                <c:pt idx="36">
                  <c:v>9.0001420974731392</c:v>
                </c:pt>
                <c:pt idx="37">
                  <c:v>9.2501611709594709</c:v>
                </c:pt>
                <c:pt idx="38">
                  <c:v>9.50001621246337</c:v>
                </c:pt>
                <c:pt idx="39">
                  <c:v>9.7503719329833896</c:v>
                </c:pt>
                <c:pt idx="40">
                  <c:v>10.000139236450201</c:v>
                </c:pt>
                <c:pt idx="41">
                  <c:v>10.2504224777221</c:v>
                </c:pt>
                <c:pt idx="42">
                  <c:v>10.5000858306884</c:v>
                </c:pt>
                <c:pt idx="43">
                  <c:v>10.7500495910644</c:v>
                </c:pt>
                <c:pt idx="44">
                  <c:v>11.0002698898315</c:v>
                </c:pt>
                <c:pt idx="45">
                  <c:v>11.250389099121</c:v>
                </c:pt>
                <c:pt idx="46">
                  <c:v>11.500566482543899</c:v>
                </c:pt>
                <c:pt idx="47">
                  <c:v>11.7500057220459</c:v>
                </c:pt>
                <c:pt idx="48">
                  <c:v>12.0005273818969</c:v>
                </c:pt>
                <c:pt idx="49">
                  <c:v>12.250308036804199</c:v>
                </c:pt>
                <c:pt idx="50">
                  <c:v>12.500169754028301</c:v>
                </c:pt>
                <c:pt idx="51">
                  <c:v>12.750102996826101</c:v>
                </c:pt>
                <c:pt idx="52">
                  <c:v>13.000124931335399</c:v>
                </c:pt>
                <c:pt idx="53">
                  <c:v>13.2501611709594</c:v>
                </c:pt>
                <c:pt idx="54">
                  <c:v>13.500452995300201</c:v>
                </c:pt>
                <c:pt idx="55">
                  <c:v>13.7502555847168</c:v>
                </c:pt>
                <c:pt idx="56">
                  <c:v>14.0000057220459</c:v>
                </c:pt>
                <c:pt idx="57">
                  <c:v>14.250047683715801</c:v>
                </c:pt>
                <c:pt idx="58">
                  <c:v>14.5001668930053</c:v>
                </c:pt>
                <c:pt idx="59">
                  <c:v>14.7503108978271</c:v>
                </c:pt>
                <c:pt idx="60">
                  <c:v>15.000236511230399</c:v>
                </c:pt>
                <c:pt idx="61">
                  <c:v>15.250724792480399</c:v>
                </c:pt>
                <c:pt idx="62">
                  <c:v>15.5000858306884</c:v>
                </c:pt>
                <c:pt idx="63">
                  <c:v>15.750780105590801</c:v>
                </c:pt>
                <c:pt idx="64">
                  <c:v>16.000085830688398</c:v>
                </c:pt>
                <c:pt idx="65">
                  <c:v>16.250022888183501</c:v>
                </c:pt>
                <c:pt idx="66">
                  <c:v>16.500297546386701</c:v>
                </c:pt>
                <c:pt idx="67">
                  <c:v>16.750450134277301</c:v>
                </c:pt>
                <c:pt idx="68">
                  <c:v>17.0007610321044</c:v>
                </c:pt>
                <c:pt idx="69">
                  <c:v>17.250202178955</c:v>
                </c:pt>
                <c:pt idx="70">
                  <c:v>17.500144958496001</c:v>
                </c:pt>
                <c:pt idx="71">
                  <c:v>17.750125885009702</c:v>
                </c:pt>
                <c:pt idx="72">
                  <c:v>18.000017166137699</c:v>
                </c:pt>
                <c:pt idx="73">
                  <c:v>18.250062942504801</c:v>
                </c:pt>
                <c:pt idx="74">
                  <c:v>18.500543594360298</c:v>
                </c:pt>
                <c:pt idx="75">
                  <c:v>18.750591278076101</c:v>
                </c:pt>
                <c:pt idx="76">
                  <c:v>19.000705718994102</c:v>
                </c:pt>
                <c:pt idx="77">
                  <c:v>19.250625610351499</c:v>
                </c:pt>
                <c:pt idx="78">
                  <c:v>19.500225067138601</c:v>
                </c:pt>
                <c:pt idx="79">
                  <c:v>19.7506504058837</c:v>
                </c:pt>
                <c:pt idx="80">
                  <c:v>20.0004577636718</c:v>
                </c:pt>
                <c:pt idx="81">
                  <c:v>20.2502841949462</c:v>
                </c:pt>
                <c:pt idx="82">
                  <c:v>20.5000190734863</c:v>
                </c:pt>
                <c:pt idx="83">
                  <c:v>20.750104904174801</c:v>
                </c:pt>
                <c:pt idx="84">
                  <c:v>21.000597000121999</c:v>
                </c:pt>
                <c:pt idx="85">
                  <c:v>21.2500495910644</c:v>
                </c:pt>
                <c:pt idx="86">
                  <c:v>21.500677108764599</c:v>
                </c:pt>
                <c:pt idx="87">
                  <c:v>21.7505798339843</c:v>
                </c:pt>
                <c:pt idx="88">
                  <c:v>22.0003643035888</c:v>
                </c:pt>
                <c:pt idx="89">
                  <c:v>22.250442504882798</c:v>
                </c:pt>
                <c:pt idx="90">
                  <c:v>22.5002746582031</c:v>
                </c:pt>
                <c:pt idx="91">
                  <c:v>22.750158309936499</c:v>
                </c:pt>
                <c:pt idx="92">
                  <c:v>23.000186920166001</c:v>
                </c:pt>
                <c:pt idx="93">
                  <c:v>23.250114440917901</c:v>
                </c:pt>
                <c:pt idx="94">
                  <c:v>23.5003852844238</c:v>
                </c:pt>
                <c:pt idx="95">
                  <c:v>23.750177383422798</c:v>
                </c:pt>
                <c:pt idx="96">
                  <c:v>24.0006389617919</c:v>
                </c:pt>
                <c:pt idx="97">
                  <c:v>24.250637054443299</c:v>
                </c:pt>
                <c:pt idx="98">
                  <c:v>24.500480651855401</c:v>
                </c:pt>
                <c:pt idx="99">
                  <c:v>24.750085830688398</c:v>
                </c:pt>
                <c:pt idx="100">
                  <c:v>25.000442504882798</c:v>
                </c:pt>
                <c:pt idx="101">
                  <c:v>25.2506084442138</c:v>
                </c:pt>
                <c:pt idx="102">
                  <c:v>25.5000686645507</c:v>
                </c:pt>
                <c:pt idx="103">
                  <c:v>25.750452041625898</c:v>
                </c:pt>
                <c:pt idx="104">
                  <c:v>26.000291824340799</c:v>
                </c:pt>
                <c:pt idx="105">
                  <c:v>26.250202178955</c:v>
                </c:pt>
                <c:pt idx="106">
                  <c:v>26.500719070434499</c:v>
                </c:pt>
                <c:pt idx="107">
                  <c:v>26.750350952148398</c:v>
                </c:pt>
                <c:pt idx="108">
                  <c:v>27.000438690185501</c:v>
                </c:pt>
                <c:pt idx="109">
                  <c:v>27.250247955322202</c:v>
                </c:pt>
                <c:pt idx="110">
                  <c:v>27.500322341918899</c:v>
                </c:pt>
                <c:pt idx="111">
                  <c:v>27.750181198120099</c:v>
                </c:pt>
                <c:pt idx="112">
                  <c:v>28.0000286102294</c:v>
                </c:pt>
                <c:pt idx="113">
                  <c:v>28.2500286102294</c:v>
                </c:pt>
                <c:pt idx="114">
                  <c:v>28.500278472900298</c:v>
                </c:pt>
                <c:pt idx="115">
                  <c:v>28.7501106262207</c:v>
                </c:pt>
                <c:pt idx="116">
                  <c:v>29.0006103515625</c:v>
                </c:pt>
                <c:pt idx="117">
                  <c:v>29.250249862670898</c:v>
                </c:pt>
                <c:pt idx="118">
                  <c:v>29.500473022460898</c:v>
                </c:pt>
                <c:pt idx="119">
                  <c:v>29.7501106262207</c:v>
                </c:pt>
                <c:pt idx="120">
                  <c:v>30.000249862670898</c:v>
                </c:pt>
                <c:pt idx="121">
                  <c:v>30.25</c:v>
                </c:pt>
                <c:pt idx="122">
                  <c:v>30.500165939331001</c:v>
                </c:pt>
                <c:pt idx="123">
                  <c:v>30.750583648681602</c:v>
                </c:pt>
                <c:pt idx="124">
                  <c:v>31.000083923339801</c:v>
                </c:pt>
                <c:pt idx="125">
                  <c:v>31.250278472900298</c:v>
                </c:pt>
                <c:pt idx="126">
                  <c:v>31.5003337860107</c:v>
                </c:pt>
                <c:pt idx="127">
                  <c:v>31.750194549560501</c:v>
                </c:pt>
                <c:pt idx="128">
                  <c:v>32.00044631958</c:v>
                </c:pt>
                <c:pt idx="129">
                  <c:v>32.250389099121001</c:v>
                </c:pt>
                <c:pt idx="130">
                  <c:v>32.5</c:v>
                </c:pt>
                <c:pt idx="131">
                  <c:v>32.750331878662102</c:v>
                </c:pt>
                <c:pt idx="132">
                  <c:v>33.000251770019503</c:v>
                </c:pt>
                <c:pt idx="133">
                  <c:v>33.250415802001903</c:v>
                </c:pt>
                <c:pt idx="134">
                  <c:v>33.500278472900298</c:v>
                </c:pt>
                <c:pt idx="135">
                  <c:v>33.750694274902301</c:v>
                </c:pt>
                <c:pt idx="136">
                  <c:v>34.000110626220703</c:v>
                </c:pt>
                <c:pt idx="137">
                  <c:v>34.250583648681598</c:v>
                </c:pt>
                <c:pt idx="138">
                  <c:v>34.500167846679602</c:v>
                </c:pt>
                <c:pt idx="139">
                  <c:v>34.750251770019503</c:v>
                </c:pt>
                <c:pt idx="140">
                  <c:v>35.000637054443303</c:v>
                </c:pt>
                <c:pt idx="141">
                  <c:v>35.2509155273437</c:v>
                </c:pt>
                <c:pt idx="142">
                  <c:v>35.500137329101499</c:v>
                </c:pt>
                <c:pt idx="143">
                  <c:v>35.750194549560497</c:v>
                </c:pt>
                <c:pt idx="144">
                  <c:v>36.000194549560497</c:v>
                </c:pt>
                <c:pt idx="145">
                  <c:v>36.250278472900298</c:v>
                </c:pt>
                <c:pt idx="146">
                  <c:v>36.500778198242102</c:v>
                </c:pt>
                <c:pt idx="147">
                  <c:v>36.750057220458899</c:v>
                </c:pt>
                <c:pt idx="148">
                  <c:v>37.000415802001903</c:v>
                </c:pt>
                <c:pt idx="149">
                  <c:v>37.250331878662102</c:v>
                </c:pt>
                <c:pt idx="150">
                  <c:v>37.500083923339801</c:v>
                </c:pt>
                <c:pt idx="151">
                  <c:v>37.750362396240199</c:v>
                </c:pt>
                <c:pt idx="152">
                  <c:v>38.000415802001903</c:v>
                </c:pt>
                <c:pt idx="153">
                  <c:v>38.25044631958</c:v>
                </c:pt>
                <c:pt idx="154">
                  <c:v>38.500415802001903</c:v>
                </c:pt>
                <c:pt idx="155">
                  <c:v>38.750526428222599</c:v>
                </c:pt>
                <c:pt idx="156">
                  <c:v>39.00044631958</c:v>
                </c:pt>
                <c:pt idx="157">
                  <c:v>39.250194549560497</c:v>
                </c:pt>
                <c:pt idx="158">
                  <c:v>39.500083923339801</c:v>
                </c:pt>
                <c:pt idx="159">
                  <c:v>39.750804901122997</c:v>
                </c:pt>
                <c:pt idx="160">
                  <c:v>40.000637054443303</c:v>
                </c:pt>
                <c:pt idx="161">
                  <c:v>40.250110626220703</c:v>
                </c:pt>
                <c:pt idx="162">
                  <c:v>40.5003051757812</c:v>
                </c:pt>
                <c:pt idx="163">
                  <c:v>40.750415802001903</c:v>
                </c:pt>
                <c:pt idx="164">
                  <c:v>41.000778198242102</c:v>
                </c:pt>
                <c:pt idx="165">
                  <c:v>41.250720977783203</c:v>
                </c:pt>
                <c:pt idx="166">
                  <c:v>41.500137329101499</c:v>
                </c:pt>
                <c:pt idx="167">
                  <c:v>41.750526428222599</c:v>
                </c:pt>
                <c:pt idx="168">
                  <c:v>42.0003051757812</c:v>
                </c:pt>
                <c:pt idx="169">
                  <c:v>42.250137329101499</c:v>
                </c:pt>
                <c:pt idx="170">
                  <c:v>42.5003051757812</c:v>
                </c:pt>
                <c:pt idx="171">
                  <c:v>42.750473022460902</c:v>
                </c:pt>
                <c:pt idx="172">
                  <c:v>43.0003051757812</c:v>
                </c:pt>
                <c:pt idx="173">
                  <c:v>43.250637054443303</c:v>
                </c:pt>
                <c:pt idx="174">
                  <c:v>43.5006103515625</c:v>
                </c:pt>
                <c:pt idx="175">
                  <c:v>43.750362396240199</c:v>
                </c:pt>
                <c:pt idx="176">
                  <c:v>44.000526428222599</c:v>
                </c:pt>
                <c:pt idx="177">
                  <c:v>44.250278472900298</c:v>
                </c:pt>
                <c:pt idx="178">
                  <c:v>44.500473022460902</c:v>
                </c:pt>
                <c:pt idx="179">
                  <c:v>44.750526428222599</c:v>
                </c:pt>
                <c:pt idx="180">
                  <c:v>45.000556945800703</c:v>
                </c:pt>
                <c:pt idx="181">
                  <c:v>45.250167846679602</c:v>
                </c:pt>
                <c:pt idx="182">
                  <c:v>45.5006103515625</c:v>
                </c:pt>
                <c:pt idx="183">
                  <c:v>45.750667572021399</c:v>
                </c:pt>
                <c:pt idx="184">
                  <c:v>46.000694274902301</c:v>
                </c:pt>
                <c:pt idx="185">
                  <c:v>46.250720977783203</c:v>
                </c:pt>
                <c:pt idx="186">
                  <c:v>46.500526428222599</c:v>
                </c:pt>
                <c:pt idx="187">
                  <c:v>46.750362396240199</c:v>
                </c:pt>
                <c:pt idx="188">
                  <c:v>47.0003051757812</c:v>
                </c:pt>
                <c:pt idx="189">
                  <c:v>47.250278472900298</c:v>
                </c:pt>
                <c:pt idx="190">
                  <c:v>47.500057220458899</c:v>
                </c:pt>
                <c:pt idx="191">
                  <c:v>47.750362396240199</c:v>
                </c:pt>
                <c:pt idx="192">
                  <c:v>48.000167846679602</c:v>
                </c:pt>
                <c:pt idx="193">
                  <c:v>48.250137329101499</c:v>
                </c:pt>
                <c:pt idx="194">
                  <c:v>48.500278472900298</c:v>
                </c:pt>
                <c:pt idx="195">
                  <c:v>48.750389099121001</c:v>
                </c:pt>
                <c:pt idx="196">
                  <c:v>49.000194549560497</c:v>
                </c:pt>
                <c:pt idx="197">
                  <c:v>49.250667572021399</c:v>
                </c:pt>
                <c:pt idx="198">
                  <c:v>49.500251770019503</c:v>
                </c:pt>
                <c:pt idx="199">
                  <c:v>49.750694274902301</c:v>
                </c:pt>
                <c:pt idx="200">
                  <c:v>50.000057220458899</c:v>
                </c:pt>
                <c:pt idx="201">
                  <c:v>50.2503051757812</c:v>
                </c:pt>
                <c:pt idx="202">
                  <c:v>50.500083923339801</c:v>
                </c:pt>
                <c:pt idx="203">
                  <c:v>50.750804901122997</c:v>
                </c:pt>
                <c:pt idx="204">
                  <c:v>51.000389099121001</c:v>
                </c:pt>
                <c:pt idx="205">
                  <c:v>51.250110626220703</c:v>
                </c:pt>
                <c:pt idx="206">
                  <c:v>51.500499725341797</c:v>
                </c:pt>
                <c:pt idx="207">
                  <c:v>51.750194549560497</c:v>
                </c:pt>
                <c:pt idx="208">
                  <c:v>52.0003051757812</c:v>
                </c:pt>
                <c:pt idx="209">
                  <c:v>52.2503051757812</c:v>
                </c:pt>
                <c:pt idx="210">
                  <c:v>52.500251770019503</c:v>
                </c:pt>
                <c:pt idx="211">
                  <c:v>52.750331878662102</c:v>
                </c:pt>
                <c:pt idx="212">
                  <c:v>53.000583648681598</c:v>
                </c:pt>
                <c:pt idx="213">
                  <c:v>53.250110626220703</c:v>
                </c:pt>
                <c:pt idx="214">
                  <c:v>53.500251770019503</c:v>
                </c:pt>
                <c:pt idx="215">
                  <c:v>53.750362396240199</c:v>
                </c:pt>
                <c:pt idx="216">
                  <c:v>54.000473022460902</c:v>
                </c:pt>
                <c:pt idx="217">
                  <c:v>54.250278472900298</c:v>
                </c:pt>
                <c:pt idx="218">
                  <c:v>54.500778198242102</c:v>
                </c:pt>
                <c:pt idx="219">
                  <c:v>54.750137329101499</c:v>
                </c:pt>
                <c:pt idx="220">
                  <c:v>55.000362396240199</c:v>
                </c:pt>
                <c:pt idx="221">
                  <c:v>55.250251770019503</c:v>
                </c:pt>
                <c:pt idx="222">
                  <c:v>55.500026702880803</c:v>
                </c:pt>
                <c:pt idx="223">
                  <c:v>55.750583648681598</c:v>
                </c:pt>
                <c:pt idx="224">
                  <c:v>56.000720977783203</c:v>
                </c:pt>
                <c:pt idx="225">
                  <c:v>56.250526428222599</c:v>
                </c:pt>
                <c:pt idx="226">
                  <c:v>56.5003051757812</c:v>
                </c:pt>
                <c:pt idx="227">
                  <c:v>56.75</c:v>
                </c:pt>
                <c:pt idx="228">
                  <c:v>57.000110626220703</c:v>
                </c:pt>
                <c:pt idx="229">
                  <c:v>57.250110626220703</c:v>
                </c:pt>
                <c:pt idx="230">
                  <c:v>57.500278472900298</c:v>
                </c:pt>
                <c:pt idx="231">
                  <c:v>57.750637054443303</c:v>
                </c:pt>
                <c:pt idx="232">
                  <c:v>58.000499725341797</c:v>
                </c:pt>
                <c:pt idx="233">
                  <c:v>58.250362396240199</c:v>
                </c:pt>
                <c:pt idx="234">
                  <c:v>58.5</c:v>
                </c:pt>
                <c:pt idx="235">
                  <c:v>58.750389099121001</c:v>
                </c:pt>
                <c:pt idx="236">
                  <c:v>59.000110626220703</c:v>
                </c:pt>
                <c:pt idx="237">
                  <c:v>59.250251770019503</c:v>
                </c:pt>
                <c:pt idx="238">
                  <c:v>59.500110626220703</c:v>
                </c:pt>
                <c:pt idx="239">
                  <c:v>59.750194549560497</c:v>
                </c:pt>
                <c:pt idx="240">
                  <c:v>60.000331878662102</c:v>
                </c:pt>
                <c:pt idx="241">
                  <c:v>60.250057220458899</c:v>
                </c:pt>
                <c:pt idx="242">
                  <c:v>60.500583648681598</c:v>
                </c:pt>
                <c:pt idx="243">
                  <c:v>60.750473022460902</c:v>
                </c:pt>
                <c:pt idx="244">
                  <c:v>61.000415802001903</c:v>
                </c:pt>
                <c:pt idx="245">
                  <c:v>61.250331878662102</c:v>
                </c:pt>
                <c:pt idx="246">
                  <c:v>61.500331878662102</c:v>
                </c:pt>
                <c:pt idx="247">
                  <c:v>61.750167846679602</c:v>
                </c:pt>
                <c:pt idx="248">
                  <c:v>62</c:v>
                </c:pt>
                <c:pt idx="249">
                  <c:v>62.250415802001903</c:v>
                </c:pt>
                <c:pt idx="250">
                  <c:v>62.500362396240199</c:v>
                </c:pt>
                <c:pt idx="251">
                  <c:v>62.75044631958</c:v>
                </c:pt>
                <c:pt idx="252">
                  <c:v>63.000137329101499</c:v>
                </c:pt>
                <c:pt idx="253">
                  <c:v>63.250499725341797</c:v>
                </c:pt>
                <c:pt idx="254">
                  <c:v>63.500556945800703</c:v>
                </c:pt>
                <c:pt idx="255">
                  <c:v>63.7503051757812</c:v>
                </c:pt>
                <c:pt idx="256">
                  <c:v>64.000114440917898</c:v>
                </c:pt>
                <c:pt idx="257">
                  <c:v>64.250167846679602</c:v>
                </c:pt>
                <c:pt idx="258">
                  <c:v>64.500442504882798</c:v>
                </c:pt>
                <c:pt idx="259">
                  <c:v>64.7506103515625</c:v>
                </c:pt>
                <c:pt idx="260">
                  <c:v>65.000640869140597</c:v>
                </c:pt>
                <c:pt idx="261">
                  <c:v>65.250137329101506</c:v>
                </c:pt>
                <c:pt idx="262">
                  <c:v>65.500305175781193</c:v>
                </c:pt>
                <c:pt idx="263">
                  <c:v>65.750503540039006</c:v>
                </c:pt>
                <c:pt idx="264">
                  <c:v>66.000503540039006</c:v>
                </c:pt>
                <c:pt idx="265">
                  <c:v>66.250030517578097</c:v>
                </c:pt>
                <c:pt idx="266">
                  <c:v>66.500137329101506</c:v>
                </c:pt>
                <c:pt idx="267">
                  <c:v>66.750274658203097</c:v>
                </c:pt>
                <c:pt idx="268">
                  <c:v>67.000083923339801</c:v>
                </c:pt>
                <c:pt idx="269">
                  <c:v>67.250221252441406</c:v>
                </c:pt>
                <c:pt idx="270">
                  <c:v>67.500167846679602</c:v>
                </c:pt>
                <c:pt idx="271">
                  <c:v>67.750503540039006</c:v>
                </c:pt>
                <c:pt idx="272">
                  <c:v>68.000137329101506</c:v>
                </c:pt>
                <c:pt idx="273">
                  <c:v>68.250083923339801</c:v>
                </c:pt>
                <c:pt idx="274">
                  <c:v>68.500556945800696</c:v>
                </c:pt>
                <c:pt idx="275">
                  <c:v>68.750556945800696</c:v>
                </c:pt>
                <c:pt idx="276">
                  <c:v>69.000358581542898</c:v>
                </c:pt>
                <c:pt idx="277">
                  <c:v>69.250694274902301</c:v>
                </c:pt>
                <c:pt idx="278">
                  <c:v>69.500137329101506</c:v>
                </c:pt>
                <c:pt idx="279">
                  <c:v>69.7506103515625</c:v>
                </c:pt>
                <c:pt idx="280">
                  <c:v>70.000251770019503</c:v>
                </c:pt>
                <c:pt idx="281">
                  <c:v>70.250640869140597</c:v>
                </c:pt>
                <c:pt idx="282">
                  <c:v>70.500473022460895</c:v>
                </c:pt>
                <c:pt idx="283">
                  <c:v>70.750053405761705</c:v>
                </c:pt>
                <c:pt idx="284">
                  <c:v>71.000503540039006</c:v>
                </c:pt>
                <c:pt idx="285">
                  <c:v>71.250389099120994</c:v>
                </c:pt>
                <c:pt idx="286">
                  <c:v>71.500274658203097</c:v>
                </c:pt>
                <c:pt idx="287">
                  <c:v>71.750358581542898</c:v>
                </c:pt>
                <c:pt idx="288">
                  <c:v>72.000167846679602</c:v>
                </c:pt>
              </c:numCache>
            </c:numRef>
          </c:xVal>
          <c:yVal>
            <c:numRef>
              <c:f>Variable!$C$11:$C$299</c:f>
              <c:numCache>
                <c:formatCode>General</c:formatCode>
                <c:ptCount val="289"/>
                <c:pt idx="0">
                  <c:v>88.442352294921804</c:v>
                </c:pt>
                <c:pt idx="1">
                  <c:v>88.549827575683494</c:v>
                </c:pt>
                <c:pt idx="2">
                  <c:v>88.479072570800696</c:v>
                </c:pt>
                <c:pt idx="3">
                  <c:v>88.479682922363196</c:v>
                </c:pt>
                <c:pt idx="4">
                  <c:v>88.477790832519503</c:v>
                </c:pt>
                <c:pt idx="5">
                  <c:v>88.476730346679602</c:v>
                </c:pt>
                <c:pt idx="6">
                  <c:v>88.476890563964801</c:v>
                </c:pt>
                <c:pt idx="7">
                  <c:v>88.214492797851506</c:v>
                </c:pt>
                <c:pt idx="8">
                  <c:v>86.397056579589801</c:v>
                </c:pt>
                <c:pt idx="9">
                  <c:v>65.333000183105398</c:v>
                </c:pt>
                <c:pt idx="10">
                  <c:v>71.705757141113196</c:v>
                </c:pt>
                <c:pt idx="11">
                  <c:v>88.3463134765625</c:v>
                </c:pt>
                <c:pt idx="12">
                  <c:v>88.392501831054602</c:v>
                </c:pt>
                <c:pt idx="13">
                  <c:v>88.389808654785099</c:v>
                </c:pt>
                <c:pt idx="14">
                  <c:v>88.389320373535099</c:v>
                </c:pt>
                <c:pt idx="15">
                  <c:v>88.3897705078125</c:v>
                </c:pt>
                <c:pt idx="16">
                  <c:v>88.392707824707003</c:v>
                </c:pt>
                <c:pt idx="17">
                  <c:v>88.392753601074205</c:v>
                </c:pt>
                <c:pt idx="18">
                  <c:v>87.247802734375</c:v>
                </c:pt>
                <c:pt idx="19">
                  <c:v>88.401649475097599</c:v>
                </c:pt>
                <c:pt idx="20">
                  <c:v>88.3902587890625</c:v>
                </c:pt>
                <c:pt idx="21">
                  <c:v>88.390968322753906</c:v>
                </c:pt>
                <c:pt idx="22">
                  <c:v>87.052947998046804</c:v>
                </c:pt>
                <c:pt idx="23">
                  <c:v>67.681419372558494</c:v>
                </c:pt>
                <c:pt idx="24">
                  <c:v>63.354381561279297</c:v>
                </c:pt>
                <c:pt idx="25">
                  <c:v>88.357009887695298</c:v>
                </c:pt>
                <c:pt idx="26">
                  <c:v>88.402961730957003</c:v>
                </c:pt>
                <c:pt idx="27">
                  <c:v>87.056793212890597</c:v>
                </c:pt>
                <c:pt idx="28">
                  <c:v>68.457618713378906</c:v>
                </c:pt>
                <c:pt idx="29">
                  <c:v>63.676528930663999</c:v>
                </c:pt>
                <c:pt idx="30">
                  <c:v>88.408142089843693</c:v>
                </c:pt>
                <c:pt idx="31">
                  <c:v>88.463638305664006</c:v>
                </c:pt>
                <c:pt idx="32">
                  <c:v>88.456497192382798</c:v>
                </c:pt>
                <c:pt idx="33">
                  <c:v>88.455543518066406</c:v>
                </c:pt>
                <c:pt idx="34">
                  <c:v>88.453910827636705</c:v>
                </c:pt>
                <c:pt idx="35">
                  <c:v>88.453857421875</c:v>
                </c:pt>
                <c:pt idx="36">
                  <c:v>88.452476501464801</c:v>
                </c:pt>
                <c:pt idx="37">
                  <c:v>81.144760131835895</c:v>
                </c:pt>
                <c:pt idx="38">
                  <c:v>82.099273681640597</c:v>
                </c:pt>
                <c:pt idx="39">
                  <c:v>88.447647094726506</c:v>
                </c:pt>
                <c:pt idx="40">
                  <c:v>88.454879760742102</c:v>
                </c:pt>
                <c:pt idx="41">
                  <c:v>88.174781799316406</c:v>
                </c:pt>
                <c:pt idx="42">
                  <c:v>61.813758850097599</c:v>
                </c:pt>
                <c:pt idx="43">
                  <c:v>64.671257019042898</c:v>
                </c:pt>
                <c:pt idx="44">
                  <c:v>73.474273681640597</c:v>
                </c:pt>
                <c:pt idx="45">
                  <c:v>88.450538635253906</c:v>
                </c:pt>
                <c:pt idx="46">
                  <c:v>87.155822753906193</c:v>
                </c:pt>
                <c:pt idx="47">
                  <c:v>62.124271392822202</c:v>
                </c:pt>
                <c:pt idx="48">
                  <c:v>64.6788330078125</c:v>
                </c:pt>
                <c:pt idx="49">
                  <c:v>86.756942749023395</c:v>
                </c:pt>
                <c:pt idx="50">
                  <c:v>88.465728759765597</c:v>
                </c:pt>
                <c:pt idx="51">
                  <c:v>88.453216552734304</c:v>
                </c:pt>
                <c:pt idx="52">
                  <c:v>88.455406188964801</c:v>
                </c:pt>
                <c:pt idx="53">
                  <c:v>88.453842163085895</c:v>
                </c:pt>
                <c:pt idx="54">
                  <c:v>88.451011657714801</c:v>
                </c:pt>
                <c:pt idx="55">
                  <c:v>88.452507019042898</c:v>
                </c:pt>
                <c:pt idx="56">
                  <c:v>88.45361328125</c:v>
                </c:pt>
                <c:pt idx="57">
                  <c:v>87.176033020019503</c:v>
                </c:pt>
                <c:pt idx="58">
                  <c:v>88.452941894531193</c:v>
                </c:pt>
                <c:pt idx="59">
                  <c:v>88.458801269531193</c:v>
                </c:pt>
                <c:pt idx="60">
                  <c:v>88.455032348632798</c:v>
                </c:pt>
                <c:pt idx="61">
                  <c:v>87.157669067382798</c:v>
                </c:pt>
                <c:pt idx="62">
                  <c:v>69.681106567382798</c:v>
                </c:pt>
                <c:pt idx="63">
                  <c:v>60.692501068115199</c:v>
                </c:pt>
                <c:pt idx="64">
                  <c:v>88.344718933105398</c:v>
                </c:pt>
                <c:pt idx="65">
                  <c:v>88.479179382324205</c:v>
                </c:pt>
                <c:pt idx="66">
                  <c:v>88.279266357421804</c:v>
                </c:pt>
                <c:pt idx="67">
                  <c:v>69.820419311523395</c:v>
                </c:pt>
                <c:pt idx="68">
                  <c:v>63.238430023193303</c:v>
                </c:pt>
                <c:pt idx="69">
                  <c:v>88.408737182617102</c:v>
                </c:pt>
                <c:pt idx="70">
                  <c:v>88.470962524414006</c:v>
                </c:pt>
                <c:pt idx="71">
                  <c:v>88.454963684082003</c:v>
                </c:pt>
                <c:pt idx="72">
                  <c:v>88.454132080078097</c:v>
                </c:pt>
                <c:pt idx="73">
                  <c:v>88.453781127929602</c:v>
                </c:pt>
                <c:pt idx="74">
                  <c:v>88.455657958984304</c:v>
                </c:pt>
                <c:pt idx="75">
                  <c:v>88.455718994140597</c:v>
                </c:pt>
                <c:pt idx="76">
                  <c:v>88.455673217773395</c:v>
                </c:pt>
                <c:pt idx="77">
                  <c:v>88.262443542480398</c:v>
                </c:pt>
                <c:pt idx="78">
                  <c:v>88.447853088378906</c:v>
                </c:pt>
                <c:pt idx="79">
                  <c:v>88.454277038574205</c:v>
                </c:pt>
                <c:pt idx="80">
                  <c:v>81.930290222167898</c:v>
                </c:pt>
                <c:pt idx="81">
                  <c:v>64.465629577636705</c:v>
                </c:pt>
                <c:pt idx="82">
                  <c:v>66.592689514160099</c:v>
                </c:pt>
                <c:pt idx="83">
                  <c:v>65.877189636230398</c:v>
                </c:pt>
                <c:pt idx="84">
                  <c:v>88.421661376953097</c:v>
                </c:pt>
                <c:pt idx="85">
                  <c:v>85.753578186035099</c:v>
                </c:pt>
                <c:pt idx="86">
                  <c:v>86.69140625</c:v>
                </c:pt>
                <c:pt idx="87">
                  <c:v>66.3975830078125</c:v>
                </c:pt>
                <c:pt idx="88">
                  <c:v>86.754417419433494</c:v>
                </c:pt>
                <c:pt idx="89">
                  <c:v>88.4580078125</c:v>
                </c:pt>
                <c:pt idx="90">
                  <c:v>88.452926635742102</c:v>
                </c:pt>
                <c:pt idx="91">
                  <c:v>88.454917907714801</c:v>
                </c:pt>
                <c:pt idx="92">
                  <c:v>88.454010009765597</c:v>
                </c:pt>
                <c:pt idx="93">
                  <c:v>88.457099914550696</c:v>
                </c:pt>
                <c:pt idx="94">
                  <c:v>88.454528808593693</c:v>
                </c:pt>
                <c:pt idx="95">
                  <c:v>88.456626892089801</c:v>
                </c:pt>
                <c:pt idx="96">
                  <c:v>88.223922729492102</c:v>
                </c:pt>
                <c:pt idx="97">
                  <c:v>88.451187133789006</c:v>
                </c:pt>
                <c:pt idx="98">
                  <c:v>88.459968566894503</c:v>
                </c:pt>
                <c:pt idx="99">
                  <c:v>88.451553344726506</c:v>
                </c:pt>
                <c:pt idx="100">
                  <c:v>87.170028686523395</c:v>
                </c:pt>
                <c:pt idx="101">
                  <c:v>70.683631896972599</c:v>
                </c:pt>
                <c:pt idx="102">
                  <c:v>61.803329467773402</c:v>
                </c:pt>
                <c:pt idx="103">
                  <c:v>85.566459655761705</c:v>
                </c:pt>
                <c:pt idx="104">
                  <c:v>88.477958679199205</c:v>
                </c:pt>
                <c:pt idx="105">
                  <c:v>88.263809204101506</c:v>
                </c:pt>
                <c:pt idx="106">
                  <c:v>70.841178894042898</c:v>
                </c:pt>
                <c:pt idx="107">
                  <c:v>62.622329711913999</c:v>
                </c:pt>
                <c:pt idx="108">
                  <c:v>88.391616821289006</c:v>
                </c:pt>
                <c:pt idx="109">
                  <c:v>88.477928161620994</c:v>
                </c:pt>
                <c:pt idx="110">
                  <c:v>88.453056335449205</c:v>
                </c:pt>
                <c:pt idx="111">
                  <c:v>88.453330993652301</c:v>
                </c:pt>
                <c:pt idx="112">
                  <c:v>88.454849243164006</c:v>
                </c:pt>
                <c:pt idx="113">
                  <c:v>88.452888488769503</c:v>
                </c:pt>
                <c:pt idx="114">
                  <c:v>88.453956604003906</c:v>
                </c:pt>
                <c:pt idx="115">
                  <c:v>88.454353332519503</c:v>
                </c:pt>
                <c:pt idx="116">
                  <c:v>87.150421142578097</c:v>
                </c:pt>
                <c:pt idx="117">
                  <c:v>88.450752258300696</c:v>
                </c:pt>
                <c:pt idx="118">
                  <c:v>88.453620910644503</c:v>
                </c:pt>
                <c:pt idx="119">
                  <c:v>88.583778381347599</c:v>
                </c:pt>
                <c:pt idx="120">
                  <c:v>86.857170104980398</c:v>
                </c:pt>
                <c:pt idx="121">
                  <c:v>67.073951721191406</c:v>
                </c:pt>
                <c:pt idx="122">
                  <c:v>64.120201110839801</c:v>
                </c:pt>
                <c:pt idx="123">
                  <c:v>88.416343688964801</c:v>
                </c:pt>
                <c:pt idx="124">
                  <c:v>83.331497192382798</c:v>
                </c:pt>
                <c:pt idx="125">
                  <c:v>86.856651306152301</c:v>
                </c:pt>
                <c:pt idx="126">
                  <c:v>66.993392944335895</c:v>
                </c:pt>
                <c:pt idx="127">
                  <c:v>70.413650512695298</c:v>
                </c:pt>
                <c:pt idx="128">
                  <c:v>88.436592102050696</c:v>
                </c:pt>
                <c:pt idx="129">
                  <c:v>88.455711364745994</c:v>
                </c:pt>
                <c:pt idx="130">
                  <c:v>88.452781677245994</c:v>
                </c:pt>
                <c:pt idx="131">
                  <c:v>88.453308105468693</c:v>
                </c:pt>
                <c:pt idx="132">
                  <c:v>88.455596923828097</c:v>
                </c:pt>
                <c:pt idx="133">
                  <c:v>88.456031799316406</c:v>
                </c:pt>
                <c:pt idx="134">
                  <c:v>88.455451965332003</c:v>
                </c:pt>
                <c:pt idx="135">
                  <c:v>86.963981628417898</c:v>
                </c:pt>
                <c:pt idx="136">
                  <c:v>88.438667297363196</c:v>
                </c:pt>
                <c:pt idx="137">
                  <c:v>88.450729370117102</c:v>
                </c:pt>
                <c:pt idx="138">
                  <c:v>88.454971313476506</c:v>
                </c:pt>
                <c:pt idx="139">
                  <c:v>88.229316711425696</c:v>
                </c:pt>
                <c:pt idx="140">
                  <c:v>62.758590698242102</c:v>
                </c:pt>
                <c:pt idx="141">
                  <c:v>63.374259948730398</c:v>
                </c:pt>
                <c:pt idx="142">
                  <c:v>88.003227233886705</c:v>
                </c:pt>
                <c:pt idx="143">
                  <c:v>88.466567993164006</c:v>
                </c:pt>
                <c:pt idx="144">
                  <c:v>88.23828125</c:v>
                </c:pt>
                <c:pt idx="145">
                  <c:v>66.244949340820298</c:v>
                </c:pt>
                <c:pt idx="146">
                  <c:v>63.086170196533203</c:v>
                </c:pt>
                <c:pt idx="147">
                  <c:v>88.294342041015597</c:v>
                </c:pt>
                <c:pt idx="148">
                  <c:v>88.472213745117102</c:v>
                </c:pt>
                <c:pt idx="149">
                  <c:v>88.454330444335895</c:v>
                </c:pt>
                <c:pt idx="150">
                  <c:v>88.455108642578097</c:v>
                </c:pt>
                <c:pt idx="151">
                  <c:v>88.453338623046804</c:v>
                </c:pt>
                <c:pt idx="152">
                  <c:v>88.456642150878906</c:v>
                </c:pt>
                <c:pt idx="153">
                  <c:v>88.456222534179602</c:v>
                </c:pt>
                <c:pt idx="154">
                  <c:v>88.455612182617102</c:v>
                </c:pt>
                <c:pt idx="155">
                  <c:v>87.176712036132798</c:v>
                </c:pt>
                <c:pt idx="156">
                  <c:v>88.455810546875</c:v>
                </c:pt>
                <c:pt idx="157">
                  <c:v>88.454910278320298</c:v>
                </c:pt>
                <c:pt idx="158">
                  <c:v>88.455909729003906</c:v>
                </c:pt>
                <c:pt idx="159">
                  <c:v>86.913436889648395</c:v>
                </c:pt>
                <c:pt idx="160">
                  <c:v>67.248336791992102</c:v>
                </c:pt>
                <c:pt idx="161">
                  <c:v>65.998321533203097</c:v>
                </c:pt>
                <c:pt idx="162">
                  <c:v>88.423660278320298</c:v>
                </c:pt>
                <c:pt idx="163">
                  <c:v>87.044921875</c:v>
                </c:pt>
                <c:pt idx="164">
                  <c:v>86.785202026367102</c:v>
                </c:pt>
                <c:pt idx="165">
                  <c:v>66.79345703125</c:v>
                </c:pt>
                <c:pt idx="166">
                  <c:v>73.436180114745994</c:v>
                </c:pt>
                <c:pt idx="167">
                  <c:v>88.445480346679602</c:v>
                </c:pt>
                <c:pt idx="168">
                  <c:v>88.454238891601506</c:v>
                </c:pt>
                <c:pt idx="169">
                  <c:v>88.457237243652301</c:v>
                </c:pt>
                <c:pt idx="170">
                  <c:v>88.453872680664006</c:v>
                </c:pt>
                <c:pt idx="171">
                  <c:v>88.455551147460895</c:v>
                </c:pt>
                <c:pt idx="172">
                  <c:v>88.455039978027301</c:v>
                </c:pt>
                <c:pt idx="173">
                  <c:v>88.4527587890625</c:v>
                </c:pt>
                <c:pt idx="174">
                  <c:v>88.282867431640597</c:v>
                </c:pt>
                <c:pt idx="175">
                  <c:v>88.450057983398395</c:v>
                </c:pt>
                <c:pt idx="176">
                  <c:v>88.454811096191406</c:v>
                </c:pt>
                <c:pt idx="177">
                  <c:v>88.456710815429602</c:v>
                </c:pt>
                <c:pt idx="178">
                  <c:v>87.173210144042898</c:v>
                </c:pt>
                <c:pt idx="179">
                  <c:v>70.825912475585895</c:v>
                </c:pt>
                <c:pt idx="180">
                  <c:v>61.928508758544901</c:v>
                </c:pt>
                <c:pt idx="181">
                  <c:v>88.577072143554602</c:v>
                </c:pt>
                <c:pt idx="182">
                  <c:v>88.476982116699205</c:v>
                </c:pt>
                <c:pt idx="183">
                  <c:v>88.271522521972599</c:v>
                </c:pt>
                <c:pt idx="184">
                  <c:v>70.618888854980398</c:v>
                </c:pt>
                <c:pt idx="185">
                  <c:v>62.742141723632798</c:v>
                </c:pt>
                <c:pt idx="186">
                  <c:v>88.392318725585895</c:v>
                </c:pt>
                <c:pt idx="187">
                  <c:v>88.473106384277301</c:v>
                </c:pt>
                <c:pt idx="188">
                  <c:v>88.452117919921804</c:v>
                </c:pt>
                <c:pt idx="189">
                  <c:v>88.452819824218693</c:v>
                </c:pt>
                <c:pt idx="190">
                  <c:v>88.455856323242102</c:v>
                </c:pt>
                <c:pt idx="191">
                  <c:v>88.454696655273395</c:v>
                </c:pt>
                <c:pt idx="192">
                  <c:v>88.454048156738196</c:v>
                </c:pt>
                <c:pt idx="193">
                  <c:v>88.453666687011705</c:v>
                </c:pt>
                <c:pt idx="194">
                  <c:v>87.172119140625</c:v>
                </c:pt>
                <c:pt idx="195">
                  <c:v>88.452308654785099</c:v>
                </c:pt>
                <c:pt idx="196">
                  <c:v>88.452682495117102</c:v>
                </c:pt>
                <c:pt idx="197">
                  <c:v>85.538291931152301</c:v>
                </c:pt>
                <c:pt idx="198">
                  <c:v>63.871261596679602</c:v>
                </c:pt>
                <c:pt idx="199">
                  <c:v>66.193748474120994</c:v>
                </c:pt>
                <c:pt idx="200">
                  <c:v>68.169456481933494</c:v>
                </c:pt>
                <c:pt idx="201">
                  <c:v>88.432861328125</c:v>
                </c:pt>
                <c:pt idx="202">
                  <c:v>88.175132751464801</c:v>
                </c:pt>
                <c:pt idx="203">
                  <c:v>63.388931274413999</c:v>
                </c:pt>
                <c:pt idx="204">
                  <c:v>65.776527404785099</c:v>
                </c:pt>
                <c:pt idx="205">
                  <c:v>86.489707946777301</c:v>
                </c:pt>
                <c:pt idx="206">
                  <c:v>88.453811645507798</c:v>
                </c:pt>
                <c:pt idx="207">
                  <c:v>88.451988220214801</c:v>
                </c:pt>
                <c:pt idx="208">
                  <c:v>88.455741882324205</c:v>
                </c:pt>
                <c:pt idx="209">
                  <c:v>88.453750610351506</c:v>
                </c:pt>
                <c:pt idx="210">
                  <c:v>88.454368591308494</c:v>
                </c:pt>
                <c:pt idx="211">
                  <c:v>88.452308654785099</c:v>
                </c:pt>
                <c:pt idx="212">
                  <c:v>88.451843261718693</c:v>
                </c:pt>
                <c:pt idx="213">
                  <c:v>88.180976867675696</c:v>
                </c:pt>
                <c:pt idx="214">
                  <c:v>88.452430725097599</c:v>
                </c:pt>
                <c:pt idx="215">
                  <c:v>88.456146240234304</c:v>
                </c:pt>
                <c:pt idx="216">
                  <c:v>88.455650329589801</c:v>
                </c:pt>
                <c:pt idx="217">
                  <c:v>88.273078918457003</c:v>
                </c:pt>
                <c:pt idx="218">
                  <c:v>70.267059326171804</c:v>
                </c:pt>
                <c:pt idx="219">
                  <c:v>61.391338348388601</c:v>
                </c:pt>
                <c:pt idx="220">
                  <c:v>88.327079772949205</c:v>
                </c:pt>
                <c:pt idx="221">
                  <c:v>88.476577758789006</c:v>
                </c:pt>
                <c:pt idx="222">
                  <c:v>88.274032592773395</c:v>
                </c:pt>
                <c:pt idx="223">
                  <c:v>70.144371032714801</c:v>
                </c:pt>
                <c:pt idx="224">
                  <c:v>63.197299957275298</c:v>
                </c:pt>
                <c:pt idx="225">
                  <c:v>88.405906677245994</c:v>
                </c:pt>
                <c:pt idx="226">
                  <c:v>88.4774169921875</c:v>
                </c:pt>
                <c:pt idx="227">
                  <c:v>88.455856323242102</c:v>
                </c:pt>
                <c:pt idx="228">
                  <c:v>88.454116821289006</c:v>
                </c:pt>
                <c:pt idx="229">
                  <c:v>88.455192565917898</c:v>
                </c:pt>
                <c:pt idx="230">
                  <c:v>88.454620361328097</c:v>
                </c:pt>
                <c:pt idx="231">
                  <c:v>88.454971313476506</c:v>
                </c:pt>
                <c:pt idx="232">
                  <c:v>88.457199096679602</c:v>
                </c:pt>
                <c:pt idx="233">
                  <c:v>87.165916442870994</c:v>
                </c:pt>
                <c:pt idx="234">
                  <c:v>88.45068359375</c:v>
                </c:pt>
                <c:pt idx="235">
                  <c:v>88.455871582031193</c:v>
                </c:pt>
                <c:pt idx="236">
                  <c:v>87.155006408691406</c:v>
                </c:pt>
                <c:pt idx="237">
                  <c:v>86.454177856445298</c:v>
                </c:pt>
                <c:pt idx="238">
                  <c:v>65.967552185058494</c:v>
                </c:pt>
                <c:pt idx="239">
                  <c:v>69.536720275878906</c:v>
                </c:pt>
                <c:pt idx="240">
                  <c:v>88.438072204589801</c:v>
                </c:pt>
                <c:pt idx="241">
                  <c:v>87.140319824218693</c:v>
                </c:pt>
                <c:pt idx="242">
                  <c:v>62.934150695800703</c:v>
                </c:pt>
                <c:pt idx="243">
                  <c:v>65.512390136718693</c:v>
                </c:pt>
                <c:pt idx="244">
                  <c:v>88.028350830078097</c:v>
                </c:pt>
                <c:pt idx="245">
                  <c:v>88.459083557128906</c:v>
                </c:pt>
                <c:pt idx="246">
                  <c:v>88.452003479003906</c:v>
                </c:pt>
                <c:pt idx="247">
                  <c:v>88.449661254882798</c:v>
                </c:pt>
                <c:pt idx="248">
                  <c:v>88.455017089843693</c:v>
                </c:pt>
                <c:pt idx="249">
                  <c:v>88.454757690429602</c:v>
                </c:pt>
                <c:pt idx="250">
                  <c:v>88.454498291015597</c:v>
                </c:pt>
                <c:pt idx="251">
                  <c:v>88.456359863281193</c:v>
                </c:pt>
                <c:pt idx="252">
                  <c:v>87.120178222656193</c:v>
                </c:pt>
                <c:pt idx="253">
                  <c:v>88.452911376953097</c:v>
                </c:pt>
                <c:pt idx="254">
                  <c:v>88.455619812011705</c:v>
                </c:pt>
                <c:pt idx="255">
                  <c:v>88.453773498535099</c:v>
                </c:pt>
                <c:pt idx="256">
                  <c:v>88.275543212890597</c:v>
                </c:pt>
                <c:pt idx="257">
                  <c:v>70.041252136230398</c:v>
                </c:pt>
                <c:pt idx="258">
                  <c:v>61.339401245117102</c:v>
                </c:pt>
                <c:pt idx="259">
                  <c:v>88.349906921386705</c:v>
                </c:pt>
                <c:pt idx="260">
                  <c:v>88.473808288574205</c:v>
                </c:pt>
                <c:pt idx="261">
                  <c:v>87.142837524414006</c:v>
                </c:pt>
                <c:pt idx="262">
                  <c:v>69.771667480468693</c:v>
                </c:pt>
                <c:pt idx="263">
                  <c:v>63.079418182372997</c:v>
                </c:pt>
                <c:pt idx="264">
                  <c:v>88.404350280761705</c:v>
                </c:pt>
                <c:pt idx="265">
                  <c:v>88.471710205078097</c:v>
                </c:pt>
                <c:pt idx="266">
                  <c:v>88.453781127929602</c:v>
                </c:pt>
                <c:pt idx="267">
                  <c:v>88.453720092773395</c:v>
                </c:pt>
                <c:pt idx="268">
                  <c:v>88.454513549804602</c:v>
                </c:pt>
                <c:pt idx="269">
                  <c:v>88.453773498535099</c:v>
                </c:pt>
                <c:pt idx="270">
                  <c:v>88.454521179199205</c:v>
                </c:pt>
                <c:pt idx="271">
                  <c:v>88.454811096191406</c:v>
                </c:pt>
                <c:pt idx="272">
                  <c:v>88.584640502929602</c:v>
                </c:pt>
                <c:pt idx="273">
                  <c:v>88.452949523925696</c:v>
                </c:pt>
                <c:pt idx="274">
                  <c:v>88.454902648925696</c:v>
                </c:pt>
                <c:pt idx="275">
                  <c:v>87.132217407226506</c:v>
                </c:pt>
                <c:pt idx="276">
                  <c:v>62.354881286621001</c:v>
                </c:pt>
                <c:pt idx="277">
                  <c:v>65.157676696777301</c:v>
                </c:pt>
                <c:pt idx="278">
                  <c:v>73.377113342285099</c:v>
                </c:pt>
                <c:pt idx="279">
                  <c:v>88.453033447265597</c:v>
                </c:pt>
                <c:pt idx="280">
                  <c:v>87.108932495117102</c:v>
                </c:pt>
                <c:pt idx="281">
                  <c:v>61.493938446044901</c:v>
                </c:pt>
                <c:pt idx="282">
                  <c:v>64.582443237304602</c:v>
                </c:pt>
                <c:pt idx="283">
                  <c:v>86.735076904296804</c:v>
                </c:pt>
                <c:pt idx="284">
                  <c:v>88.467430114745994</c:v>
                </c:pt>
                <c:pt idx="285">
                  <c:v>88.453208923339801</c:v>
                </c:pt>
                <c:pt idx="286">
                  <c:v>88.455177307128906</c:v>
                </c:pt>
                <c:pt idx="287">
                  <c:v>88.4517822265625</c:v>
                </c:pt>
                <c:pt idx="288">
                  <c:v>88.454826354980398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75-49A0-8247-5995D9C02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91328"/>
        <c:axId val="75089408"/>
      </c:scatterChart>
      <c:valAx>
        <c:axId val="7509132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crossBetween val="midCat"/>
      </c:val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r>
                  <a:rPr lang="en-GB"/>
                  <a:t>(BAR)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18</xdr:col>
      <xdr:colOff>95250</xdr:colOff>
      <xdr:row>24</xdr:row>
      <xdr:rowOff>95250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>
    <row r="1" spans="1:1" x14ac:dyDescent="0.3">
      <c r="A1" t="s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tabSelected="1" workbookViewId="0">
      <selection activeCell="B1" sqref="B1"/>
    </sheetView>
  </sheetViews>
  <sheetFormatPr defaultRowHeight="14.4" x14ac:dyDescent="0.3"/>
  <cols>
    <col min="1" max="1" width="84.88671875" bestFit="1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t="s">
        <v>3</v>
      </c>
      <c r="B2" t="s">
        <v>4</v>
      </c>
    </row>
    <row r="3" spans="1:2" x14ac:dyDescent="0.3">
      <c r="A3" t="s">
        <v>5</v>
      </c>
      <c r="B3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9"/>
  <sheetViews>
    <sheetView workbookViewId="0">
      <selection activeCell="C10" sqref="C10"/>
    </sheetView>
  </sheetViews>
  <sheetFormatPr defaultRowHeight="14.4" x14ac:dyDescent="0.3"/>
  <sheetData>
    <row r="1" spans="1:6" x14ac:dyDescent="0.3">
      <c r="A1" s="1"/>
      <c r="B1" s="3" t="s">
        <v>7</v>
      </c>
      <c r="C1" s="3" t="s">
        <v>7</v>
      </c>
      <c r="F1" s="2" t="s">
        <v>8</v>
      </c>
    </row>
    <row r="2" spans="1:6" x14ac:dyDescent="0.3">
      <c r="A2" s="1"/>
      <c r="B2" s="1" t="str">
        <f>Legends!B2</f>
        <v>SIM1</v>
      </c>
      <c r="C2" s="1" t="str">
        <f>Legends!B3</f>
        <v>SIM2</v>
      </c>
    </row>
    <row r="3" spans="1:6" x14ac:dyDescent="0.3">
      <c r="A3" s="1" t="s">
        <v>9</v>
      </c>
      <c r="B3">
        <f>MIN($B$11:$B$299)</f>
        <v>84.026802062988196</v>
      </c>
      <c r="C3">
        <f>MIN($C$11:$C$299)</f>
        <v>60.692501068115199</v>
      </c>
    </row>
    <row r="4" spans="1:6" x14ac:dyDescent="0.3">
      <c r="A4" s="1" t="s">
        <v>10</v>
      </c>
      <c r="B4">
        <f>MEDIAN($B$11:$B$299)</f>
        <v>88.478958129882798</v>
      </c>
      <c r="C4">
        <f>MEDIAN($C$11:$C$299)</f>
        <v>88.438667297363196</v>
      </c>
    </row>
    <row r="5" spans="1:6" x14ac:dyDescent="0.3">
      <c r="A5" s="1" t="s">
        <v>11</v>
      </c>
      <c r="B5">
        <f>MAX($B$11:$B$299)</f>
        <v>88.549140930175696</v>
      </c>
      <c r="C5">
        <f>MAX($C$11:$C$299)</f>
        <v>88.584640502929602</v>
      </c>
    </row>
    <row r="6" spans="1:6" x14ac:dyDescent="0.3">
      <c r="A6" s="1" t="s">
        <v>12</v>
      </c>
      <c r="B6">
        <f>$B5-$B3</f>
        <v>4.5223388671875</v>
      </c>
      <c r="C6">
        <f>$C5-$C3</f>
        <v>27.892139434814403</v>
      </c>
    </row>
    <row r="7" spans="1:6" x14ac:dyDescent="0.3">
      <c r="A7" s="1"/>
    </row>
    <row r="8" spans="1:6" x14ac:dyDescent="0.3">
      <c r="A8" s="1" t="s">
        <v>13</v>
      </c>
      <c r="B8">
        <v>0</v>
      </c>
      <c r="C8">
        <v>0</v>
      </c>
    </row>
    <row r="9" spans="1:6" x14ac:dyDescent="0.3">
      <c r="A9" s="1" t="s">
        <v>14</v>
      </c>
      <c r="B9">
        <v>1</v>
      </c>
      <c r="C9">
        <v>1</v>
      </c>
    </row>
    <row r="10" spans="1:6" x14ac:dyDescent="0.3">
      <c r="A10" s="1"/>
      <c r="B10" s="1" t="str">
        <f>Legends!B2</f>
        <v>SIM1</v>
      </c>
      <c r="C10" s="1" t="str">
        <f>Legends!B3</f>
        <v>SIM2</v>
      </c>
    </row>
    <row r="11" spans="1:6" x14ac:dyDescent="0.3">
      <c r="B11">
        <f>B$9 * (88.4423522949218 -B$8)</f>
        <v>88.442352294921804</v>
      </c>
      <c r="C11">
        <f>C$9 * (88.4423522949218 -C$8)</f>
        <v>88.442352294921804</v>
      </c>
    </row>
    <row r="12" spans="1:6" x14ac:dyDescent="0.3">
      <c r="B12">
        <f>B$9 * (88.5491409301757 -B$8)</f>
        <v>88.549140930175696</v>
      </c>
      <c r="C12">
        <f>C$9 * (88.5498275756835 -C$8)</f>
        <v>88.549827575683494</v>
      </c>
    </row>
    <row r="13" spans="1:6" x14ac:dyDescent="0.3">
      <c r="B13">
        <f>B$9 * (88.4825134277343 -B$8)</f>
        <v>88.482513427734304</v>
      </c>
      <c r="C13">
        <f>C$9 * (88.4790725708007 -C$8)</f>
        <v>88.479072570800696</v>
      </c>
    </row>
    <row r="14" spans="1:6" x14ac:dyDescent="0.3">
      <c r="B14">
        <f>B$9 * (88.4782562255859 -B$8)</f>
        <v>88.478256225585895</v>
      </c>
      <c r="C14">
        <f>C$9 * (88.4796829223632 -C$8)</f>
        <v>88.479682922363196</v>
      </c>
    </row>
    <row r="15" spans="1:6" x14ac:dyDescent="0.3">
      <c r="B15">
        <f>B$9 * (88.4776000976562 -B$8)</f>
        <v>88.477600097656193</v>
      </c>
      <c r="C15">
        <f>C$9 * (88.4777908325195 -C$8)</f>
        <v>88.477790832519503</v>
      </c>
    </row>
    <row r="16" spans="1:6" x14ac:dyDescent="0.3">
      <c r="B16">
        <f>B$9 * (88.4780120849609 -B$8)</f>
        <v>88.478012084960895</v>
      </c>
      <c r="C16">
        <f>C$9 * (88.4767303466796 -C$8)</f>
        <v>88.476730346679602</v>
      </c>
    </row>
    <row r="17" spans="2:3" x14ac:dyDescent="0.3">
      <c r="B17">
        <f>B$9 * (88.479621887207 -B$8)</f>
        <v>88.479621887207003</v>
      </c>
      <c r="C17">
        <f>C$9 * (88.4768905639648 -C$8)</f>
        <v>88.476890563964801</v>
      </c>
    </row>
    <row r="18" spans="2:3" x14ac:dyDescent="0.3">
      <c r="B18">
        <f>B$9 * (88.4791793823242 -B$8)</f>
        <v>88.479179382324205</v>
      </c>
      <c r="C18">
        <f>C$9 * (88.2144927978515 -C$8)</f>
        <v>88.214492797851506</v>
      </c>
    </row>
    <row r="19" spans="2:3" x14ac:dyDescent="0.3">
      <c r="B19">
        <f>B$9 * (88.4784774780273 -B$8)</f>
        <v>88.478477478027301</v>
      </c>
      <c r="C19">
        <f>C$9 * (86.3970565795898 -C$8)</f>
        <v>86.397056579589801</v>
      </c>
    </row>
    <row r="20" spans="2:3" x14ac:dyDescent="0.3">
      <c r="B20">
        <f>B$9 * (88.4784317016601 -B$8)</f>
        <v>88.478431701660099</v>
      </c>
      <c r="C20">
        <f>C$9 * (65.3330001831054 -C$8)</f>
        <v>65.333000183105398</v>
      </c>
    </row>
    <row r="21" spans="2:3" x14ac:dyDescent="0.3">
      <c r="B21">
        <f>B$9 * (88.4783401489257 -B$8)</f>
        <v>88.478340148925696</v>
      </c>
      <c r="C21">
        <f>C$9 * (71.7057571411132 -C$8)</f>
        <v>71.705757141113196</v>
      </c>
    </row>
    <row r="22" spans="2:3" x14ac:dyDescent="0.3">
      <c r="B22">
        <f>B$9 * (84.0268020629882 -B$8)</f>
        <v>84.026802062988196</v>
      </c>
      <c r="C22">
        <f>C$9 * (88.3463134765625 -C$8)</f>
        <v>88.3463134765625</v>
      </c>
    </row>
    <row r="23" spans="2:3" x14ac:dyDescent="0.3">
      <c r="B23">
        <f>B$9 * (88.4815216064453 -B$8)</f>
        <v>88.481521606445298</v>
      </c>
      <c r="C23">
        <f>C$9 * (88.3925018310546 -C$8)</f>
        <v>88.392501831054602</v>
      </c>
    </row>
    <row r="24" spans="2:3" x14ac:dyDescent="0.3">
      <c r="B24">
        <f>B$9 * (88.4780578613281 -B$8)</f>
        <v>88.478057861328097</v>
      </c>
      <c r="C24">
        <f>C$9 * (88.3898086547851 -C$8)</f>
        <v>88.389808654785099</v>
      </c>
    </row>
    <row r="25" spans="2:3" x14ac:dyDescent="0.3">
      <c r="B25">
        <f>B$9 * (88.4790267944335 -B$8)</f>
        <v>88.479026794433494</v>
      </c>
      <c r="C25">
        <f>C$9 * (88.3893203735351 -C$8)</f>
        <v>88.389320373535099</v>
      </c>
    </row>
    <row r="26" spans="2:3" x14ac:dyDescent="0.3">
      <c r="B26">
        <f>B$9 * (88.4790115356445 -B$8)</f>
        <v>88.479011535644503</v>
      </c>
      <c r="C26">
        <f>C$9 * (88.3897705078125 -C$8)</f>
        <v>88.3897705078125</v>
      </c>
    </row>
    <row r="27" spans="2:3" x14ac:dyDescent="0.3">
      <c r="B27">
        <f>B$9 * (88.4790115356445 -B$8)</f>
        <v>88.479011535644503</v>
      </c>
      <c r="C27">
        <f>C$9 * (88.392707824707 -C$8)</f>
        <v>88.392707824707003</v>
      </c>
    </row>
    <row r="28" spans="2:3" x14ac:dyDescent="0.3">
      <c r="B28">
        <f>B$9 * (88.4790496826171 -B$8)</f>
        <v>88.479049682617102</v>
      </c>
      <c r="C28">
        <f>C$9 * (88.3927536010742 -C$8)</f>
        <v>88.392753601074205</v>
      </c>
    </row>
    <row r="29" spans="2:3" x14ac:dyDescent="0.3">
      <c r="B29">
        <f>B$9 * (88.4790267944335 -B$8)</f>
        <v>88.479026794433494</v>
      </c>
      <c r="C29">
        <f>C$9 * (87.247802734375 -C$8)</f>
        <v>87.247802734375</v>
      </c>
    </row>
    <row r="30" spans="2:3" x14ac:dyDescent="0.3">
      <c r="B30">
        <f>B$9 * (88.4792022705078 -B$8)</f>
        <v>88.479202270507798</v>
      </c>
      <c r="C30">
        <f>C$9 * (88.4016494750976 -C$8)</f>
        <v>88.401649475097599</v>
      </c>
    </row>
    <row r="31" spans="2:3" x14ac:dyDescent="0.3">
      <c r="B31">
        <f>B$9 * (88.4792327880859 -B$8)</f>
        <v>88.479232788085895</v>
      </c>
      <c r="C31">
        <f>C$9 * (88.3902587890625 -C$8)</f>
        <v>88.3902587890625</v>
      </c>
    </row>
    <row r="32" spans="2:3" x14ac:dyDescent="0.3">
      <c r="B32">
        <f>B$9 * (88.4792175292968 -B$8)</f>
        <v>88.479217529296804</v>
      </c>
      <c r="C32">
        <f>C$9 * (88.3909683227539 -C$8)</f>
        <v>88.390968322753906</v>
      </c>
    </row>
    <row r="33" spans="2:3" x14ac:dyDescent="0.3">
      <c r="B33">
        <f>B$9 * (88.4792175292968 -B$8)</f>
        <v>88.479217529296804</v>
      </c>
      <c r="C33">
        <f>C$9 * (87.0529479980468 -C$8)</f>
        <v>87.052947998046804</v>
      </c>
    </row>
    <row r="34" spans="2:3" x14ac:dyDescent="0.3">
      <c r="B34">
        <f>B$9 * (88.479148864746 -B$8)</f>
        <v>88.479148864745994</v>
      </c>
      <c r="C34">
        <f>C$9 * (67.6814193725585 -C$8)</f>
        <v>67.681419372558494</v>
      </c>
    </row>
    <row r="35" spans="2:3" x14ac:dyDescent="0.3">
      <c r="B35">
        <f>B$9 * (88.4789733886718 -B$8)</f>
        <v>88.478973388671804</v>
      </c>
      <c r="C35">
        <f>C$9 * (63.3543815612793 -C$8)</f>
        <v>63.354381561279297</v>
      </c>
    </row>
    <row r="36" spans="2:3" x14ac:dyDescent="0.3">
      <c r="B36">
        <f>B$9 * (88.4788131713867 -B$8)</f>
        <v>88.478813171386705</v>
      </c>
      <c r="C36">
        <f>C$9 * (88.3570098876953 -C$8)</f>
        <v>88.357009887695298</v>
      </c>
    </row>
    <row r="37" spans="2:3" x14ac:dyDescent="0.3">
      <c r="B37">
        <f>B$9 * (88.4787521362304 -B$8)</f>
        <v>88.478752136230398</v>
      </c>
      <c r="C37">
        <f>C$9 * (88.402961730957 -C$8)</f>
        <v>88.402961730957003</v>
      </c>
    </row>
    <row r="38" spans="2:3" x14ac:dyDescent="0.3">
      <c r="B38">
        <f>B$9 * (88.4787063598632 -B$8)</f>
        <v>88.478706359863196</v>
      </c>
      <c r="C38">
        <f>C$9 * (87.0567932128906 -C$8)</f>
        <v>87.056793212890597</v>
      </c>
    </row>
    <row r="39" spans="2:3" x14ac:dyDescent="0.3">
      <c r="B39">
        <f>B$9 * (88.4786682128906 -B$8)</f>
        <v>88.478668212890597</v>
      </c>
      <c r="C39">
        <f>C$9 * (68.4576187133789 -C$8)</f>
        <v>68.457618713378906</v>
      </c>
    </row>
    <row r="40" spans="2:3" x14ac:dyDescent="0.3">
      <c r="B40">
        <f>B$9 * (88.4786911010742 -B$8)</f>
        <v>88.478691101074205</v>
      </c>
      <c r="C40">
        <f>C$9 * (63.676528930664 -C$8)</f>
        <v>63.676528930663999</v>
      </c>
    </row>
    <row r="41" spans="2:3" x14ac:dyDescent="0.3">
      <c r="B41">
        <f>B$9 * (88.4787902832031 -B$8)</f>
        <v>88.478790283203097</v>
      </c>
      <c r="C41">
        <f>C$9 * (88.4081420898437 -C$8)</f>
        <v>88.408142089843693</v>
      </c>
    </row>
    <row r="42" spans="2:3" x14ac:dyDescent="0.3">
      <c r="B42">
        <f>B$9 * (88.4789276123046 -B$8)</f>
        <v>88.478927612304602</v>
      </c>
      <c r="C42">
        <f>C$9 * (88.463638305664 -C$8)</f>
        <v>88.463638305664006</v>
      </c>
    </row>
    <row r="43" spans="2:3" x14ac:dyDescent="0.3">
      <c r="B43">
        <f>B$9 * (88.4790420532226 -B$8)</f>
        <v>88.479042053222599</v>
      </c>
      <c r="C43">
        <f>C$9 * (88.4564971923828 -C$8)</f>
        <v>88.456497192382798</v>
      </c>
    </row>
    <row r="44" spans="2:3" x14ac:dyDescent="0.3">
      <c r="B44">
        <f>B$9 * (88.479148864746 -B$8)</f>
        <v>88.479148864745994</v>
      </c>
      <c r="C44">
        <f>C$9 * (88.4555435180664 -C$8)</f>
        <v>88.455543518066406</v>
      </c>
    </row>
    <row r="45" spans="2:3" x14ac:dyDescent="0.3">
      <c r="B45">
        <f>B$9 * (88.4792327880859 -B$8)</f>
        <v>88.479232788085895</v>
      </c>
      <c r="C45">
        <f>C$9 * (88.4539108276367 -C$8)</f>
        <v>88.453910827636705</v>
      </c>
    </row>
    <row r="46" spans="2:3" x14ac:dyDescent="0.3">
      <c r="B46">
        <f>B$9 * (88.4792709350585 -B$8)</f>
        <v>88.479270935058494</v>
      </c>
      <c r="C46">
        <f>C$9 * (88.453857421875 -C$8)</f>
        <v>88.453857421875</v>
      </c>
    </row>
    <row r="47" spans="2:3" x14ac:dyDescent="0.3">
      <c r="B47">
        <f>B$9 * (88.4792098999023 -B$8)</f>
        <v>88.479209899902301</v>
      </c>
      <c r="C47">
        <f>C$9 * (88.4524765014648 -C$8)</f>
        <v>88.452476501464801</v>
      </c>
    </row>
    <row r="48" spans="2:3" x14ac:dyDescent="0.3">
      <c r="B48">
        <f>B$9 * (88.4791107177734 -B$8)</f>
        <v>88.479110717773395</v>
      </c>
      <c r="C48">
        <f>C$9 * (81.1447601318359 -C$8)</f>
        <v>81.144760131835895</v>
      </c>
    </row>
    <row r="49" spans="2:3" x14ac:dyDescent="0.3">
      <c r="B49">
        <f>B$9 * (88.4789810180664 -B$8)</f>
        <v>88.478981018066406</v>
      </c>
      <c r="C49">
        <f>C$9 * (82.0992736816406 -C$8)</f>
        <v>82.099273681640597</v>
      </c>
    </row>
    <row r="50" spans="2:3" x14ac:dyDescent="0.3">
      <c r="B50">
        <f>B$9 * (88.4788513183593 -B$8)</f>
        <v>88.478851318359304</v>
      </c>
      <c r="C50">
        <f>C$9 * (88.4476470947265 -C$8)</f>
        <v>88.447647094726506</v>
      </c>
    </row>
    <row r="51" spans="2:3" x14ac:dyDescent="0.3">
      <c r="B51">
        <f>B$9 * (88.4787292480468 -B$8)</f>
        <v>88.478729248046804</v>
      </c>
      <c r="C51">
        <f>C$9 * (88.4548797607421 -C$8)</f>
        <v>88.454879760742102</v>
      </c>
    </row>
    <row r="52" spans="2:3" x14ac:dyDescent="0.3">
      <c r="B52">
        <f>B$9 * (88.4786834716796 -B$8)</f>
        <v>88.478683471679602</v>
      </c>
      <c r="C52">
        <f>C$9 * (88.1747817993164 -C$8)</f>
        <v>88.174781799316406</v>
      </c>
    </row>
    <row r="53" spans="2:3" x14ac:dyDescent="0.3">
      <c r="B53">
        <f>B$9 * (88.4786682128906 -B$8)</f>
        <v>88.478668212890597</v>
      </c>
      <c r="C53">
        <f>C$9 * (61.8137588500976 -C$8)</f>
        <v>61.813758850097599</v>
      </c>
    </row>
    <row r="54" spans="2:3" x14ac:dyDescent="0.3">
      <c r="B54">
        <f>B$9 * (88.4787216186523 -B$8)</f>
        <v>88.478721618652301</v>
      </c>
      <c r="C54">
        <f>C$9 * (64.6712570190429 -C$8)</f>
        <v>64.671257019042898</v>
      </c>
    </row>
    <row r="55" spans="2:3" x14ac:dyDescent="0.3">
      <c r="B55">
        <f>B$9 * (88.4787826538085 -B$8)</f>
        <v>88.478782653808494</v>
      </c>
      <c r="C55">
        <f>C$9 * (73.4742736816406 -C$8)</f>
        <v>73.474273681640597</v>
      </c>
    </row>
    <row r="56" spans="2:3" x14ac:dyDescent="0.3">
      <c r="B56">
        <f>B$9 * (88.4787826538085 -B$8)</f>
        <v>88.478782653808494</v>
      </c>
      <c r="C56">
        <f>C$9 * (88.4505386352539 -C$8)</f>
        <v>88.450538635253906</v>
      </c>
    </row>
    <row r="57" spans="2:3" x14ac:dyDescent="0.3">
      <c r="B57">
        <f>B$9 * (88.4789199829101 -B$8)</f>
        <v>88.478919982910099</v>
      </c>
      <c r="C57">
        <f>C$9 * (87.1558227539062 -C$8)</f>
        <v>87.155822753906193</v>
      </c>
    </row>
    <row r="58" spans="2:3" x14ac:dyDescent="0.3">
      <c r="B58">
        <f>B$9 * (88.4790420532226 -B$8)</f>
        <v>88.479042053222599</v>
      </c>
      <c r="C58">
        <f>C$9 * (62.1242713928222 -C$8)</f>
        <v>62.124271392822202</v>
      </c>
    </row>
    <row r="59" spans="2:3" x14ac:dyDescent="0.3">
      <c r="B59">
        <f>B$9 * (88.4791564941406 -B$8)</f>
        <v>88.479156494140597</v>
      </c>
      <c r="C59">
        <f>C$9 * (64.6788330078125 -C$8)</f>
        <v>64.6788330078125</v>
      </c>
    </row>
    <row r="60" spans="2:3" x14ac:dyDescent="0.3">
      <c r="B60">
        <f>B$9 * (88.4792175292968 -B$8)</f>
        <v>88.479217529296804</v>
      </c>
      <c r="C60">
        <f>C$9 * (86.7569427490234 -C$8)</f>
        <v>86.756942749023395</v>
      </c>
    </row>
    <row r="61" spans="2:3" x14ac:dyDescent="0.3">
      <c r="B61">
        <f>B$9 * (88.479263305664 -B$8)</f>
        <v>88.479263305664006</v>
      </c>
      <c r="C61">
        <f>C$9 * (88.4657287597656 -C$8)</f>
        <v>88.465728759765597</v>
      </c>
    </row>
    <row r="62" spans="2:3" x14ac:dyDescent="0.3">
      <c r="B62">
        <f>B$9 * (88.4792098999023 -B$8)</f>
        <v>88.479209899902301</v>
      </c>
      <c r="C62">
        <f>C$9 * (88.4532165527343 -C$8)</f>
        <v>88.453216552734304</v>
      </c>
    </row>
    <row r="63" spans="2:3" x14ac:dyDescent="0.3">
      <c r="B63">
        <f>B$9 * (88.4791183471679 -B$8)</f>
        <v>88.479118347167898</v>
      </c>
      <c r="C63">
        <f>C$9 * (88.4554061889648 -C$8)</f>
        <v>88.455406188964801</v>
      </c>
    </row>
    <row r="64" spans="2:3" x14ac:dyDescent="0.3">
      <c r="B64">
        <f>B$9 * (88.4789733886718 -B$8)</f>
        <v>88.478973388671804</v>
      </c>
      <c r="C64">
        <f>C$9 * (88.4538421630859 -C$8)</f>
        <v>88.453842163085895</v>
      </c>
    </row>
    <row r="65" spans="2:3" x14ac:dyDescent="0.3">
      <c r="B65">
        <f>B$9 * (88.4788513183593 -B$8)</f>
        <v>88.478851318359304</v>
      </c>
      <c r="C65">
        <f>C$9 * (88.4510116577148 -C$8)</f>
        <v>88.451011657714801</v>
      </c>
    </row>
    <row r="66" spans="2:3" x14ac:dyDescent="0.3">
      <c r="B66">
        <f>B$9 * (88.4787292480468 -B$8)</f>
        <v>88.478729248046804</v>
      </c>
      <c r="C66">
        <f>C$9 * (88.4525070190429 -C$8)</f>
        <v>88.452507019042898</v>
      </c>
    </row>
    <row r="67" spans="2:3" x14ac:dyDescent="0.3">
      <c r="B67">
        <f>B$9 * (88.4786911010742 -B$8)</f>
        <v>88.478691101074205</v>
      </c>
      <c r="C67">
        <f>C$9 * (88.45361328125 -C$8)</f>
        <v>88.45361328125</v>
      </c>
    </row>
    <row r="68" spans="2:3" x14ac:dyDescent="0.3">
      <c r="B68">
        <f>B$9 * (88.478660583496 -B$8)</f>
        <v>88.478660583495994</v>
      </c>
      <c r="C68">
        <f>C$9 * (87.1760330200195 -C$8)</f>
        <v>87.176033020019503</v>
      </c>
    </row>
    <row r="69" spans="2:3" x14ac:dyDescent="0.3">
      <c r="B69">
        <f>B$9 * (88.4787063598632 -B$8)</f>
        <v>88.478706359863196</v>
      </c>
      <c r="C69">
        <f>C$9 * (88.4529418945312 -C$8)</f>
        <v>88.452941894531193</v>
      </c>
    </row>
    <row r="70" spans="2:3" x14ac:dyDescent="0.3">
      <c r="B70">
        <f>B$9 * (88.4787826538085 -B$8)</f>
        <v>88.478782653808494</v>
      </c>
      <c r="C70">
        <f>C$9 * (88.4588012695312 -C$8)</f>
        <v>88.458801269531193</v>
      </c>
    </row>
    <row r="71" spans="2:3" x14ac:dyDescent="0.3">
      <c r="B71">
        <f>B$9 * (88.4789123535156 -B$8)</f>
        <v>88.478912353515597</v>
      </c>
      <c r="C71">
        <f>C$9 * (88.4550323486328 -C$8)</f>
        <v>88.455032348632798</v>
      </c>
    </row>
    <row r="72" spans="2:3" x14ac:dyDescent="0.3">
      <c r="B72">
        <f>B$9 * (88.4790267944335 -B$8)</f>
        <v>88.479026794433494</v>
      </c>
      <c r="C72">
        <f>C$9 * (87.1576690673828 -C$8)</f>
        <v>87.157669067382798</v>
      </c>
    </row>
    <row r="73" spans="2:3" x14ac:dyDescent="0.3">
      <c r="B73">
        <f>B$9 * (88.4791564941406 -B$8)</f>
        <v>88.479156494140597</v>
      </c>
      <c r="C73">
        <f>C$9 * (69.6811065673828 -C$8)</f>
        <v>69.681106567382798</v>
      </c>
    </row>
    <row r="74" spans="2:3" x14ac:dyDescent="0.3">
      <c r="B74">
        <f>B$9 * (88.4792175292968 -B$8)</f>
        <v>88.479217529296804</v>
      </c>
      <c r="C74">
        <f>C$9 * (60.6925010681152 -C$8)</f>
        <v>60.692501068115199</v>
      </c>
    </row>
    <row r="75" spans="2:3" x14ac:dyDescent="0.3">
      <c r="B75">
        <f>B$9 * (88.479263305664 -B$8)</f>
        <v>88.479263305664006</v>
      </c>
      <c r="C75">
        <f>C$9 * (88.3447189331054 -C$8)</f>
        <v>88.344718933105398</v>
      </c>
    </row>
    <row r="76" spans="2:3" x14ac:dyDescent="0.3">
      <c r="B76">
        <f>B$9 * (88.4792098999023 -B$8)</f>
        <v>88.479209899902301</v>
      </c>
      <c r="C76">
        <f>C$9 * (88.4791793823242 -C$8)</f>
        <v>88.479179382324205</v>
      </c>
    </row>
    <row r="77" spans="2:3" x14ac:dyDescent="0.3">
      <c r="B77">
        <f>B$9 * (88.4791183471679 -B$8)</f>
        <v>88.479118347167898</v>
      </c>
      <c r="C77">
        <f>C$9 * (88.2792663574218 -C$8)</f>
        <v>88.279266357421804</v>
      </c>
    </row>
    <row r="78" spans="2:3" x14ac:dyDescent="0.3">
      <c r="B78">
        <f>B$9 * (88.4789733886718 -B$8)</f>
        <v>88.478973388671804</v>
      </c>
      <c r="C78">
        <f>C$9 * (69.8204193115234 -C$8)</f>
        <v>69.820419311523395</v>
      </c>
    </row>
    <row r="79" spans="2:3" x14ac:dyDescent="0.3">
      <c r="B79">
        <f>B$9 * (88.4788436889648 -B$8)</f>
        <v>88.478843688964801</v>
      </c>
      <c r="C79">
        <f>C$9 * (63.2384300231933 -C$8)</f>
        <v>63.238430023193303</v>
      </c>
    </row>
    <row r="80" spans="2:3" x14ac:dyDescent="0.3">
      <c r="B80">
        <f>B$9 * (88.4787292480468 -B$8)</f>
        <v>88.478729248046804</v>
      </c>
      <c r="C80">
        <f>C$9 * (88.4087371826171 -C$8)</f>
        <v>88.408737182617102</v>
      </c>
    </row>
    <row r="81" spans="2:3" x14ac:dyDescent="0.3">
      <c r="B81">
        <f>B$9 * (88.4786911010742 -B$8)</f>
        <v>88.478691101074205</v>
      </c>
      <c r="C81">
        <f>C$9 * (88.470962524414 -C$8)</f>
        <v>88.470962524414006</v>
      </c>
    </row>
    <row r="82" spans="2:3" x14ac:dyDescent="0.3">
      <c r="B82">
        <f>B$9 * (88.478660583496 -B$8)</f>
        <v>88.478660583495994</v>
      </c>
      <c r="C82">
        <f>C$9 * (88.454963684082 -C$8)</f>
        <v>88.454963684082003</v>
      </c>
    </row>
    <row r="83" spans="2:3" x14ac:dyDescent="0.3">
      <c r="B83">
        <f>B$9 * (88.4787063598632 -B$8)</f>
        <v>88.478706359863196</v>
      </c>
      <c r="C83">
        <f>C$9 * (88.4541320800781 -C$8)</f>
        <v>88.454132080078097</v>
      </c>
    </row>
    <row r="84" spans="2:3" x14ac:dyDescent="0.3">
      <c r="B84">
        <f>B$9 * (88.4787826538085 -B$8)</f>
        <v>88.478782653808494</v>
      </c>
      <c r="C84">
        <f>C$9 * (88.4537811279296 -C$8)</f>
        <v>88.453781127929602</v>
      </c>
    </row>
    <row r="85" spans="2:3" x14ac:dyDescent="0.3">
      <c r="B85">
        <f>B$9 * (88.4789123535156 -B$8)</f>
        <v>88.478912353515597</v>
      </c>
      <c r="C85">
        <f>C$9 * (88.4556579589843 -C$8)</f>
        <v>88.455657958984304</v>
      </c>
    </row>
    <row r="86" spans="2:3" x14ac:dyDescent="0.3">
      <c r="B86">
        <f>B$9 * (88.4789123535156 -B$8)</f>
        <v>88.478912353515597</v>
      </c>
      <c r="C86">
        <f>C$9 * (88.4557189941406 -C$8)</f>
        <v>88.455718994140597</v>
      </c>
    </row>
    <row r="87" spans="2:3" x14ac:dyDescent="0.3">
      <c r="B87">
        <f>B$9 * (88.4790267944335 -B$8)</f>
        <v>88.479026794433494</v>
      </c>
      <c r="C87">
        <f>C$9 * (88.4556732177734 -C$8)</f>
        <v>88.455673217773395</v>
      </c>
    </row>
    <row r="88" spans="2:3" x14ac:dyDescent="0.3">
      <c r="B88">
        <f>B$9 * (88.4791564941406 -B$8)</f>
        <v>88.479156494140597</v>
      </c>
      <c r="C88">
        <f>C$9 * (88.2624435424804 -C$8)</f>
        <v>88.262443542480398</v>
      </c>
    </row>
    <row r="89" spans="2:3" x14ac:dyDescent="0.3">
      <c r="B89">
        <f>B$9 * (88.4792175292968 -B$8)</f>
        <v>88.479217529296804</v>
      </c>
      <c r="C89">
        <f>C$9 * (88.4478530883789 -C$8)</f>
        <v>88.447853088378906</v>
      </c>
    </row>
    <row r="90" spans="2:3" x14ac:dyDescent="0.3">
      <c r="B90">
        <f>B$9 * (88.479263305664 -B$8)</f>
        <v>88.479263305664006</v>
      </c>
      <c r="C90">
        <f>C$9 * (88.4542770385742 -C$8)</f>
        <v>88.454277038574205</v>
      </c>
    </row>
    <row r="91" spans="2:3" x14ac:dyDescent="0.3">
      <c r="B91">
        <f>B$9 * (88.4792098999023 -B$8)</f>
        <v>88.479209899902301</v>
      </c>
      <c r="C91">
        <f>C$9 * (81.9302902221679 -C$8)</f>
        <v>81.930290222167898</v>
      </c>
    </row>
    <row r="92" spans="2:3" x14ac:dyDescent="0.3">
      <c r="B92">
        <f>B$9 * (88.4791183471679 -B$8)</f>
        <v>88.479118347167898</v>
      </c>
      <c r="C92">
        <f>C$9 * (64.4656295776367 -C$8)</f>
        <v>64.465629577636705</v>
      </c>
    </row>
    <row r="93" spans="2:3" x14ac:dyDescent="0.3">
      <c r="B93">
        <f>B$9 * (88.4789733886718 -B$8)</f>
        <v>88.478973388671804</v>
      </c>
      <c r="C93">
        <f>C$9 * (66.5926895141601 -C$8)</f>
        <v>66.592689514160099</v>
      </c>
    </row>
    <row r="94" spans="2:3" x14ac:dyDescent="0.3">
      <c r="B94">
        <f>B$9 * (88.4788436889648 -B$8)</f>
        <v>88.478843688964801</v>
      </c>
      <c r="C94">
        <f>C$9 * (65.8771896362304 -C$8)</f>
        <v>65.877189636230398</v>
      </c>
    </row>
    <row r="95" spans="2:3" x14ac:dyDescent="0.3">
      <c r="B95">
        <f>B$9 * (88.4787292480468 -B$8)</f>
        <v>88.478729248046804</v>
      </c>
      <c r="C95">
        <f>C$9 * (88.4216613769531 -C$8)</f>
        <v>88.421661376953097</v>
      </c>
    </row>
    <row r="96" spans="2:3" x14ac:dyDescent="0.3">
      <c r="B96">
        <f>B$9 * (88.4786834716796 -B$8)</f>
        <v>88.478683471679602</v>
      </c>
      <c r="C96">
        <f>C$9 * (85.7535781860351 -C$8)</f>
        <v>85.753578186035099</v>
      </c>
    </row>
    <row r="97" spans="2:3" x14ac:dyDescent="0.3">
      <c r="B97">
        <f>B$9 * (88.478660583496 -B$8)</f>
        <v>88.478660583495994</v>
      </c>
      <c r="C97">
        <f>C$9 * (86.69140625 -C$8)</f>
        <v>86.69140625</v>
      </c>
    </row>
    <row r="98" spans="2:3" x14ac:dyDescent="0.3">
      <c r="B98">
        <f>B$9 * (88.4787063598632 -B$8)</f>
        <v>88.478706359863196</v>
      </c>
      <c r="C98">
        <f>C$9 * (66.3975830078125 -C$8)</f>
        <v>66.3975830078125</v>
      </c>
    </row>
    <row r="99" spans="2:3" x14ac:dyDescent="0.3">
      <c r="B99">
        <f>B$9 * (88.4787826538085 -B$8)</f>
        <v>88.478782653808494</v>
      </c>
      <c r="C99">
        <f>C$9 * (86.7544174194335 -C$8)</f>
        <v>86.754417419433494</v>
      </c>
    </row>
    <row r="100" spans="2:3" x14ac:dyDescent="0.3">
      <c r="B100">
        <f>B$9 * (88.4789123535156 -B$8)</f>
        <v>88.478912353515597</v>
      </c>
      <c r="C100">
        <f>C$9 * (88.4580078125 -C$8)</f>
        <v>88.4580078125</v>
      </c>
    </row>
    <row r="101" spans="2:3" x14ac:dyDescent="0.3">
      <c r="B101">
        <f>B$9 * (88.4790267944335 -B$8)</f>
        <v>88.479026794433494</v>
      </c>
      <c r="C101">
        <f>C$9 * (88.4529266357421 -C$8)</f>
        <v>88.452926635742102</v>
      </c>
    </row>
    <row r="102" spans="2:3" x14ac:dyDescent="0.3">
      <c r="B102">
        <f>B$9 * (88.479148864746 -B$8)</f>
        <v>88.479148864745994</v>
      </c>
      <c r="C102">
        <f>C$9 * (88.4549179077148 -C$8)</f>
        <v>88.454917907714801</v>
      </c>
    </row>
    <row r="103" spans="2:3" x14ac:dyDescent="0.3">
      <c r="B103">
        <f>B$9 * (88.4792175292968 -B$8)</f>
        <v>88.479217529296804</v>
      </c>
      <c r="C103">
        <f>C$9 * (88.4540100097656 -C$8)</f>
        <v>88.454010009765597</v>
      </c>
    </row>
    <row r="104" spans="2:3" x14ac:dyDescent="0.3">
      <c r="B104">
        <f>B$9 * (88.479248046875 -B$8)</f>
        <v>88.479248046875</v>
      </c>
      <c r="C104">
        <f>C$9 * (88.4570999145507 -C$8)</f>
        <v>88.457099914550696</v>
      </c>
    </row>
    <row r="105" spans="2:3" x14ac:dyDescent="0.3">
      <c r="B105">
        <f>B$9 * (88.4792098999023 -B$8)</f>
        <v>88.479209899902301</v>
      </c>
      <c r="C105">
        <f>C$9 * (88.4545288085937 -C$8)</f>
        <v>88.454528808593693</v>
      </c>
    </row>
    <row r="106" spans="2:3" x14ac:dyDescent="0.3">
      <c r="B106">
        <f>B$9 * (88.4791183471679 -B$8)</f>
        <v>88.479118347167898</v>
      </c>
      <c r="C106">
        <f>C$9 * (88.4566268920898 -C$8)</f>
        <v>88.456626892089801</v>
      </c>
    </row>
    <row r="107" spans="2:3" x14ac:dyDescent="0.3">
      <c r="B107">
        <f>B$9 * (88.4789733886718 -B$8)</f>
        <v>88.478973388671804</v>
      </c>
      <c r="C107">
        <f>C$9 * (88.2239227294921 -C$8)</f>
        <v>88.223922729492102</v>
      </c>
    </row>
    <row r="108" spans="2:3" x14ac:dyDescent="0.3">
      <c r="B108">
        <f>B$9 * (88.4788436889648 -B$8)</f>
        <v>88.478843688964801</v>
      </c>
      <c r="C108">
        <f>C$9 * (88.451187133789 -C$8)</f>
        <v>88.451187133789006</v>
      </c>
    </row>
    <row r="109" spans="2:3" x14ac:dyDescent="0.3">
      <c r="B109">
        <f>B$9 * (88.4787292480468 -B$8)</f>
        <v>88.478729248046804</v>
      </c>
      <c r="C109">
        <f>C$9 * (88.4599685668945 -C$8)</f>
        <v>88.459968566894503</v>
      </c>
    </row>
    <row r="110" spans="2:3" x14ac:dyDescent="0.3">
      <c r="B110">
        <f>B$9 * (88.4786834716796 -B$8)</f>
        <v>88.478683471679602</v>
      </c>
      <c r="C110">
        <f>C$9 * (88.4515533447265 -C$8)</f>
        <v>88.451553344726506</v>
      </c>
    </row>
    <row r="111" spans="2:3" x14ac:dyDescent="0.3">
      <c r="B111">
        <f>B$9 * (88.478660583496 -B$8)</f>
        <v>88.478660583495994</v>
      </c>
      <c r="C111">
        <f>C$9 * (87.1700286865234 -C$8)</f>
        <v>87.170028686523395</v>
      </c>
    </row>
    <row r="112" spans="2:3" x14ac:dyDescent="0.3">
      <c r="B112">
        <f>B$9 * (88.4787063598632 -B$8)</f>
        <v>88.478706359863196</v>
      </c>
      <c r="C112">
        <f>C$9 * (70.6836318969726 -C$8)</f>
        <v>70.683631896972599</v>
      </c>
    </row>
    <row r="113" spans="2:3" x14ac:dyDescent="0.3">
      <c r="B113">
        <f>B$9 * (88.4787826538085 -B$8)</f>
        <v>88.478782653808494</v>
      </c>
      <c r="C113">
        <f>C$9 * (61.8033294677734 -C$8)</f>
        <v>61.803329467773402</v>
      </c>
    </row>
    <row r="114" spans="2:3" x14ac:dyDescent="0.3">
      <c r="B114">
        <f>B$9 * (88.4789123535156 -B$8)</f>
        <v>88.478912353515597</v>
      </c>
      <c r="C114">
        <f>C$9 * (85.5664596557617 -C$8)</f>
        <v>85.566459655761705</v>
      </c>
    </row>
    <row r="115" spans="2:3" x14ac:dyDescent="0.3">
      <c r="B115">
        <f>B$9 * (88.4790267944335 -B$8)</f>
        <v>88.479026794433494</v>
      </c>
      <c r="C115">
        <f>C$9 * (88.4779586791992 -C$8)</f>
        <v>88.477958679199205</v>
      </c>
    </row>
    <row r="116" spans="2:3" x14ac:dyDescent="0.3">
      <c r="B116">
        <f>B$9 * (88.4790267944335 -B$8)</f>
        <v>88.479026794433494</v>
      </c>
      <c r="C116">
        <f>C$9 * (88.2638092041015 -C$8)</f>
        <v>88.263809204101506</v>
      </c>
    </row>
    <row r="117" spans="2:3" x14ac:dyDescent="0.3">
      <c r="B117">
        <f>B$9 * (88.479148864746 -B$8)</f>
        <v>88.479148864745994</v>
      </c>
      <c r="C117">
        <f>C$9 * (70.8411788940429 -C$8)</f>
        <v>70.841178894042898</v>
      </c>
    </row>
    <row r="118" spans="2:3" x14ac:dyDescent="0.3">
      <c r="B118">
        <f>B$9 * (88.4792175292968 -B$8)</f>
        <v>88.479217529296804</v>
      </c>
      <c r="C118">
        <f>C$9 * (62.622329711914 -C$8)</f>
        <v>62.622329711913999</v>
      </c>
    </row>
    <row r="119" spans="2:3" x14ac:dyDescent="0.3">
      <c r="B119">
        <f>B$9 * (88.479248046875 -B$8)</f>
        <v>88.479248046875</v>
      </c>
      <c r="C119">
        <f>C$9 * (88.391616821289 -C$8)</f>
        <v>88.391616821289006</v>
      </c>
    </row>
    <row r="120" spans="2:3" x14ac:dyDescent="0.3">
      <c r="B120">
        <f>B$9 * (88.4792098999023 -B$8)</f>
        <v>88.479209899902301</v>
      </c>
      <c r="C120">
        <f>C$9 * (88.477928161621 -C$8)</f>
        <v>88.477928161620994</v>
      </c>
    </row>
    <row r="121" spans="2:3" x14ac:dyDescent="0.3">
      <c r="B121">
        <f>B$9 * (88.4791107177734 -B$8)</f>
        <v>88.479110717773395</v>
      </c>
      <c r="C121">
        <f>C$9 * (88.4530563354492 -C$8)</f>
        <v>88.453056335449205</v>
      </c>
    </row>
    <row r="122" spans="2:3" x14ac:dyDescent="0.3">
      <c r="B122">
        <f>B$9 * (88.4789733886718 -B$8)</f>
        <v>88.478973388671804</v>
      </c>
      <c r="C122">
        <f>C$9 * (88.4533309936523 -C$8)</f>
        <v>88.453330993652301</v>
      </c>
    </row>
    <row r="123" spans="2:3" x14ac:dyDescent="0.3">
      <c r="B123">
        <f>B$9 * (88.4788436889648 -B$8)</f>
        <v>88.478843688964801</v>
      </c>
      <c r="C123">
        <f>C$9 * (88.454849243164 -C$8)</f>
        <v>88.454849243164006</v>
      </c>
    </row>
    <row r="124" spans="2:3" x14ac:dyDescent="0.3">
      <c r="B124">
        <f>B$9 * (88.4787292480468 -B$8)</f>
        <v>88.478729248046804</v>
      </c>
      <c r="C124">
        <f>C$9 * (88.4528884887695 -C$8)</f>
        <v>88.452888488769503</v>
      </c>
    </row>
    <row r="125" spans="2:3" x14ac:dyDescent="0.3">
      <c r="B125">
        <f>B$9 * (88.4786834716796 -B$8)</f>
        <v>88.478683471679602</v>
      </c>
      <c r="C125">
        <f>C$9 * (88.4539566040039 -C$8)</f>
        <v>88.453956604003906</v>
      </c>
    </row>
    <row r="126" spans="2:3" x14ac:dyDescent="0.3">
      <c r="B126">
        <f>B$9 * (88.478660583496 -B$8)</f>
        <v>88.478660583495994</v>
      </c>
      <c r="C126">
        <f>C$9 * (88.4543533325195 -C$8)</f>
        <v>88.454353332519503</v>
      </c>
    </row>
    <row r="127" spans="2:3" x14ac:dyDescent="0.3">
      <c r="B127">
        <f>B$9 * (88.4787063598632 -B$8)</f>
        <v>88.478706359863196</v>
      </c>
      <c r="C127">
        <f>C$9 * (87.1504211425781 -C$8)</f>
        <v>87.150421142578097</v>
      </c>
    </row>
    <row r="128" spans="2:3" x14ac:dyDescent="0.3">
      <c r="B128">
        <f>B$9 * (88.4787826538085 -B$8)</f>
        <v>88.478782653808494</v>
      </c>
      <c r="C128">
        <f>C$9 * (88.4507522583007 -C$8)</f>
        <v>88.450752258300696</v>
      </c>
    </row>
    <row r="129" spans="2:3" x14ac:dyDescent="0.3">
      <c r="B129">
        <f>B$9 * (88.4789123535156 -B$8)</f>
        <v>88.478912353515597</v>
      </c>
      <c r="C129">
        <f>C$9 * (88.4536209106445 -C$8)</f>
        <v>88.453620910644503</v>
      </c>
    </row>
    <row r="130" spans="2:3" x14ac:dyDescent="0.3">
      <c r="B130">
        <f>B$9 * (88.4790267944335 -B$8)</f>
        <v>88.479026794433494</v>
      </c>
      <c r="C130">
        <f>C$9 * (88.5837783813476 -C$8)</f>
        <v>88.583778381347599</v>
      </c>
    </row>
    <row r="131" spans="2:3" x14ac:dyDescent="0.3">
      <c r="B131">
        <f>B$9 * (88.479148864746 -B$8)</f>
        <v>88.479148864745994</v>
      </c>
      <c r="C131">
        <f>C$9 * (86.8571701049804 -C$8)</f>
        <v>86.857170104980398</v>
      </c>
    </row>
    <row r="132" spans="2:3" x14ac:dyDescent="0.3">
      <c r="B132">
        <f>B$9 * (88.4792175292968 -B$8)</f>
        <v>88.479217529296804</v>
      </c>
      <c r="C132">
        <f>C$9 * (67.0739517211914 -C$8)</f>
        <v>67.073951721191406</v>
      </c>
    </row>
    <row r="133" spans="2:3" x14ac:dyDescent="0.3">
      <c r="B133">
        <f>B$9 * (88.479248046875 -B$8)</f>
        <v>88.479248046875</v>
      </c>
      <c r="C133">
        <f>C$9 * (64.1202011108398 -C$8)</f>
        <v>64.120201110839801</v>
      </c>
    </row>
    <row r="134" spans="2:3" x14ac:dyDescent="0.3">
      <c r="B134">
        <f>B$9 * (88.4792022705078 -B$8)</f>
        <v>88.479202270507798</v>
      </c>
      <c r="C134">
        <f>C$9 * (88.4163436889648 -C$8)</f>
        <v>88.416343688964801</v>
      </c>
    </row>
    <row r="135" spans="2:3" x14ac:dyDescent="0.3">
      <c r="B135">
        <f>B$9 * (88.4791107177734 -B$8)</f>
        <v>88.479110717773395</v>
      </c>
      <c r="C135">
        <f>C$9 * (83.3314971923828 -C$8)</f>
        <v>83.331497192382798</v>
      </c>
    </row>
    <row r="136" spans="2:3" x14ac:dyDescent="0.3">
      <c r="B136">
        <f>B$9 * (88.4789581298828 -B$8)</f>
        <v>88.478958129882798</v>
      </c>
      <c r="C136">
        <f>C$9 * (86.8566513061523 -C$8)</f>
        <v>86.856651306152301</v>
      </c>
    </row>
    <row r="137" spans="2:3" x14ac:dyDescent="0.3">
      <c r="B137">
        <f>B$9 * (88.4788436889648 -B$8)</f>
        <v>88.478843688964801</v>
      </c>
      <c r="C137">
        <f>C$9 * (66.9933929443359 -C$8)</f>
        <v>66.993392944335895</v>
      </c>
    </row>
    <row r="138" spans="2:3" x14ac:dyDescent="0.3">
      <c r="B138">
        <f>B$9 * (88.4787292480468 -B$8)</f>
        <v>88.478729248046804</v>
      </c>
      <c r="C138">
        <f>C$9 * (70.4136505126953 -C$8)</f>
        <v>70.413650512695298</v>
      </c>
    </row>
    <row r="139" spans="2:3" x14ac:dyDescent="0.3">
      <c r="B139">
        <f>B$9 * (88.4786834716796 -B$8)</f>
        <v>88.478683471679602</v>
      </c>
      <c r="C139">
        <f>C$9 * (88.4365921020507 -C$8)</f>
        <v>88.436592102050696</v>
      </c>
    </row>
    <row r="140" spans="2:3" x14ac:dyDescent="0.3">
      <c r="B140">
        <f>B$9 * (88.478660583496 -B$8)</f>
        <v>88.478660583495994</v>
      </c>
      <c r="C140">
        <f>C$9 * (88.455711364746 -C$8)</f>
        <v>88.455711364745994</v>
      </c>
    </row>
    <row r="141" spans="2:3" x14ac:dyDescent="0.3">
      <c r="B141">
        <f>B$9 * (88.4786987304687 -B$8)</f>
        <v>88.478698730468693</v>
      </c>
      <c r="C141">
        <f>C$9 * (88.452781677246 -C$8)</f>
        <v>88.452781677245994</v>
      </c>
    </row>
    <row r="142" spans="2:3" x14ac:dyDescent="0.3">
      <c r="B142">
        <f>B$9 * (88.4787826538085 -B$8)</f>
        <v>88.478782653808494</v>
      </c>
      <c r="C142">
        <f>C$9 * (88.4533081054687 -C$8)</f>
        <v>88.453308105468693</v>
      </c>
    </row>
    <row r="143" spans="2:3" x14ac:dyDescent="0.3">
      <c r="B143">
        <f>B$9 * (88.4789123535156 -B$8)</f>
        <v>88.478912353515597</v>
      </c>
      <c r="C143">
        <f>C$9 * (88.4555969238281 -C$8)</f>
        <v>88.455596923828097</v>
      </c>
    </row>
    <row r="144" spans="2:3" x14ac:dyDescent="0.3">
      <c r="B144">
        <f>B$9 * (88.4790267944335 -B$8)</f>
        <v>88.479026794433494</v>
      </c>
      <c r="C144">
        <f>C$9 * (88.4560317993164 -C$8)</f>
        <v>88.456031799316406</v>
      </c>
    </row>
    <row r="145" spans="2:3" x14ac:dyDescent="0.3">
      <c r="B145">
        <f>B$9 * (88.479148864746 -B$8)</f>
        <v>88.479148864745994</v>
      </c>
      <c r="C145">
        <f>C$9 * (88.455451965332 -C$8)</f>
        <v>88.455451965332003</v>
      </c>
    </row>
    <row r="146" spans="2:3" x14ac:dyDescent="0.3">
      <c r="B146">
        <f>B$9 * (88.479148864746 -B$8)</f>
        <v>88.479148864745994</v>
      </c>
      <c r="C146">
        <f>C$9 * (86.9639816284179 -C$8)</f>
        <v>86.963981628417898</v>
      </c>
    </row>
    <row r="147" spans="2:3" x14ac:dyDescent="0.3">
      <c r="B147">
        <f>B$9 * (88.4792175292968 -B$8)</f>
        <v>88.479217529296804</v>
      </c>
      <c r="C147">
        <f>C$9 * (88.4386672973632 -C$8)</f>
        <v>88.438667297363196</v>
      </c>
    </row>
    <row r="148" spans="2:3" x14ac:dyDescent="0.3">
      <c r="B148">
        <f>B$9 * (88.479248046875 -B$8)</f>
        <v>88.479248046875</v>
      </c>
      <c r="C148">
        <f>C$9 * (88.4507293701171 -C$8)</f>
        <v>88.450729370117102</v>
      </c>
    </row>
    <row r="149" spans="2:3" x14ac:dyDescent="0.3">
      <c r="B149">
        <f>B$9 * (88.4792022705078 -B$8)</f>
        <v>88.479202270507798</v>
      </c>
      <c r="C149">
        <f>C$9 * (88.4549713134765 -C$8)</f>
        <v>88.454971313476506</v>
      </c>
    </row>
    <row r="150" spans="2:3" x14ac:dyDescent="0.3">
      <c r="B150">
        <f>B$9 * (88.4791107177734 -B$8)</f>
        <v>88.479110717773395</v>
      </c>
      <c r="C150">
        <f>C$9 * (88.2293167114257 -C$8)</f>
        <v>88.229316711425696</v>
      </c>
    </row>
    <row r="151" spans="2:3" x14ac:dyDescent="0.3">
      <c r="B151">
        <f>B$9 * (88.4789581298828 -B$8)</f>
        <v>88.478958129882798</v>
      </c>
      <c r="C151">
        <f>C$9 * (62.7585906982421 -C$8)</f>
        <v>62.758590698242102</v>
      </c>
    </row>
    <row r="152" spans="2:3" x14ac:dyDescent="0.3">
      <c r="B152">
        <f>B$9 * (88.4788436889648 -B$8)</f>
        <v>88.478843688964801</v>
      </c>
      <c r="C152">
        <f>C$9 * (63.3742599487304 -C$8)</f>
        <v>63.374259948730398</v>
      </c>
    </row>
    <row r="153" spans="2:3" x14ac:dyDescent="0.3">
      <c r="B153">
        <f>B$9 * (88.4787292480468 -B$8)</f>
        <v>88.478729248046804</v>
      </c>
      <c r="C153">
        <f>C$9 * (88.0032272338867 -C$8)</f>
        <v>88.003227233886705</v>
      </c>
    </row>
    <row r="154" spans="2:3" x14ac:dyDescent="0.3">
      <c r="B154">
        <f>B$9 * (88.4786834716796 -B$8)</f>
        <v>88.478683471679602</v>
      </c>
      <c r="C154">
        <f>C$9 * (88.466567993164 -C$8)</f>
        <v>88.466567993164006</v>
      </c>
    </row>
    <row r="155" spans="2:3" x14ac:dyDescent="0.3">
      <c r="B155">
        <f>B$9 * (88.478660583496 -B$8)</f>
        <v>88.478660583495994</v>
      </c>
      <c r="C155">
        <f>C$9 * (88.23828125 -C$8)</f>
        <v>88.23828125</v>
      </c>
    </row>
    <row r="156" spans="2:3" x14ac:dyDescent="0.3">
      <c r="B156">
        <f>B$9 * (88.4786987304687 -B$8)</f>
        <v>88.478698730468693</v>
      </c>
      <c r="C156">
        <f>C$9 * (66.2449493408203 -C$8)</f>
        <v>66.244949340820298</v>
      </c>
    </row>
    <row r="157" spans="2:3" x14ac:dyDescent="0.3">
      <c r="B157">
        <f>B$9 * (88.4787826538085 -B$8)</f>
        <v>88.478782653808494</v>
      </c>
      <c r="C157">
        <f>C$9 * (63.0861701965332 -C$8)</f>
        <v>63.086170196533203</v>
      </c>
    </row>
    <row r="158" spans="2:3" x14ac:dyDescent="0.3">
      <c r="B158">
        <f>B$9 * (88.4789123535156 -B$8)</f>
        <v>88.478912353515597</v>
      </c>
      <c r="C158">
        <f>C$9 * (88.2943420410156 -C$8)</f>
        <v>88.294342041015597</v>
      </c>
    </row>
    <row r="159" spans="2:3" x14ac:dyDescent="0.3">
      <c r="B159">
        <f>B$9 * (88.4790267944335 -B$8)</f>
        <v>88.479026794433494</v>
      </c>
      <c r="C159">
        <f>C$9 * (88.4722137451171 -C$8)</f>
        <v>88.472213745117102</v>
      </c>
    </row>
    <row r="160" spans="2:3" x14ac:dyDescent="0.3">
      <c r="B160">
        <f>B$9 * (88.479148864746 -B$8)</f>
        <v>88.479148864745994</v>
      </c>
      <c r="C160">
        <f>C$9 * (88.4543304443359 -C$8)</f>
        <v>88.454330444335895</v>
      </c>
    </row>
    <row r="161" spans="2:3" x14ac:dyDescent="0.3">
      <c r="B161">
        <f>B$9 * (88.4792175292968 -B$8)</f>
        <v>88.479217529296804</v>
      </c>
      <c r="C161">
        <f>C$9 * (88.4551086425781 -C$8)</f>
        <v>88.455108642578097</v>
      </c>
    </row>
    <row r="162" spans="2:3" x14ac:dyDescent="0.3">
      <c r="B162">
        <f>B$9 * (88.479248046875 -B$8)</f>
        <v>88.479248046875</v>
      </c>
      <c r="C162">
        <f>C$9 * (88.4533386230468 -C$8)</f>
        <v>88.453338623046804</v>
      </c>
    </row>
    <row r="163" spans="2:3" x14ac:dyDescent="0.3">
      <c r="B163">
        <f>B$9 * (88.4792022705078 -B$8)</f>
        <v>88.479202270507798</v>
      </c>
      <c r="C163">
        <f>C$9 * (88.4566421508789 -C$8)</f>
        <v>88.456642150878906</v>
      </c>
    </row>
    <row r="164" spans="2:3" x14ac:dyDescent="0.3">
      <c r="B164">
        <f>B$9 * (88.4791107177734 -B$8)</f>
        <v>88.479110717773395</v>
      </c>
      <c r="C164">
        <f>C$9 * (88.4562225341796 -C$8)</f>
        <v>88.456222534179602</v>
      </c>
    </row>
    <row r="165" spans="2:3" x14ac:dyDescent="0.3">
      <c r="B165">
        <f>B$9 * (88.4789581298828 -B$8)</f>
        <v>88.478958129882798</v>
      </c>
      <c r="C165">
        <f>C$9 * (88.4556121826171 -C$8)</f>
        <v>88.455612182617102</v>
      </c>
    </row>
    <row r="166" spans="2:3" x14ac:dyDescent="0.3">
      <c r="B166">
        <f>B$9 * (88.4788436889648 -B$8)</f>
        <v>88.478843688964801</v>
      </c>
      <c r="C166">
        <f>C$9 * (87.1767120361328 -C$8)</f>
        <v>87.176712036132798</v>
      </c>
    </row>
    <row r="167" spans="2:3" x14ac:dyDescent="0.3">
      <c r="B167">
        <f>B$9 * (88.4787292480468 -B$8)</f>
        <v>88.478729248046804</v>
      </c>
      <c r="C167">
        <f>C$9 * (88.455810546875 -C$8)</f>
        <v>88.455810546875</v>
      </c>
    </row>
    <row r="168" spans="2:3" x14ac:dyDescent="0.3">
      <c r="B168">
        <f>B$9 * (88.4786834716796 -B$8)</f>
        <v>88.478683471679602</v>
      </c>
      <c r="C168">
        <f>C$9 * (88.4549102783203 -C$8)</f>
        <v>88.454910278320298</v>
      </c>
    </row>
    <row r="169" spans="2:3" x14ac:dyDescent="0.3">
      <c r="B169">
        <f>B$9 * (88.478660583496 -B$8)</f>
        <v>88.478660583495994</v>
      </c>
      <c r="C169">
        <f>C$9 * (88.4559097290039 -C$8)</f>
        <v>88.455909729003906</v>
      </c>
    </row>
    <row r="170" spans="2:3" x14ac:dyDescent="0.3">
      <c r="B170">
        <f>B$9 * (88.4786987304687 -B$8)</f>
        <v>88.478698730468693</v>
      </c>
      <c r="C170">
        <f>C$9 * (86.9134368896484 -C$8)</f>
        <v>86.913436889648395</v>
      </c>
    </row>
    <row r="171" spans="2:3" x14ac:dyDescent="0.3">
      <c r="B171">
        <f>B$9 * (88.4787826538085 -B$8)</f>
        <v>88.478782653808494</v>
      </c>
      <c r="C171">
        <f>C$9 * (67.2483367919921 -C$8)</f>
        <v>67.248336791992102</v>
      </c>
    </row>
    <row r="172" spans="2:3" x14ac:dyDescent="0.3">
      <c r="B172">
        <f>B$9 * (88.4789123535156 -B$8)</f>
        <v>88.478912353515597</v>
      </c>
      <c r="C172">
        <f>C$9 * (65.9983215332031 -C$8)</f>
        <v>65.998321533203097</v>
      </c>
    </row>
    <row r="173" spans="2:3" x14ac:dyDescent="0.3">
      <c r="B173">
        <f>B$9 * (88.4790267944335 -B$8)</f>
        <v>88.479026794433494</v>
      </c>
      <c r="C173">
        <f>C$9 * (88.4236602783203 -C$8)</f>
        <v>88.423660278320298</v>
      </c>
    </row>
    <row r="174" spans="2:3" x14ac:dyDescent="0.3">
      <c r="B174">
        <f>B$9 * (88.479148864746 -B$8)</f>
        <v>88.479148864745994</v>
      </c>
      <c r="C174">
        <f>C$9 * (87.044921875 -C$8)</f>
        <v>87.044921875</v>
      </c>
    </row>
    <row r="175" spans="2:3" x14ac:dyDescent="0.3">
      <c r="B175">
        <f>B$9 * (88.479148864746 -B$8)</f>
        <v>88.479148864745994</v>
      </c>
      <c r="C175">
        <f>C$9 * (86.7852020263671 -C$8)</f>
        <v>86.785202026367102</v>
      </c>
    </row>
    <row r="176" spans="2:3" x14ac:dyDescent="0.3">
      <c r="B176">
        <f>B$9 * (88.4792175292968 -B$8)</f>
        <v>88.479217529296804</v>
      </c>
      <c r="C176">
        <f>C$9 * (66.79345703125 -C$8)</f>
        <v>66.79345703125</v>
      </c>
    </row>
    <row r="177" spans="2:3" x14ac:dyDescent="0.3">
      <c r="B177">
        <f>B$9 * (88.479248046875 -B$8)</f>
        <v>88.479248046875</v>
      </c>
      <c r="C177">
        <f>C$9 * (73.436180114746 -C$8)</f>
        <v>73.436180114745994</v>
      </c>
    </row>
    <row r="178" spans="2:3" x14ac:dyDescent="0.3">
      <c r="B178">
        <f>B$9 * (88.4792022705078 -B$8)</f>
        <v>88.479202270507798</v>
      </c>
      <c r="C178">
        <f>C$9 * (88.4454803466796 -C$8)</f>
        <v>88.445480346679602</v>
      </c>
    </row>
    <row r="179" spans="2:3" x14ac:dyDescent="0.3">
      <c r="B179">
        <f>B$9 * (88.4791107177734 -B$8)</f>
        <v>88.479110717773395</v>
      </c>
      <c r="C179">
        <f>C$9 * (88.4542388916015 -C$8)</f>
        <v>88.454238891601506</v>
      </c>
    </row>
    <row r="180" spans="2:3" x14ac:dyDescent="0.3">
      <c r="B180">
        <f>B$9 * (88.4789581298828 -B$8)</f>
        <v>88.478958129882798</v>
      </c>
      <c r="C180">
        <f>C$9 * (88.4572372436523 -C$8)</f>
        <v>88.457237243652301</v>
      </c>
    </row>
    <row r="181" spans="2:3" x14ac:dyDescent="0.3">
      <c r="B181">
        <f>B$9 * (88.4788436889648 -B$8)</f>
        <v>88.478843688964801</v>
      </c>
      <c r="C181">
        <f>C$9 * (88.453872680664 -C$8)</f>
        <v>88.453872680664006</v>
      </c>
    </row>
    <row r="182" spans="2:3" x14ac:dyDescent="0.3">
      <c r="B182">
        <f>B$9 * (88.4787216186523 -B$8)</f>
        <v>88.478721618652301</v>
      </c>
      <c r="C182">
        <f>C$9 * (88.4555511474609 -C$8)</f>
        <v>88.455551147460895</v>
      </c>
    </row>
    <row r="183" spans="2:3" x14ac:dyDescent="0.3">
      <c r="B183">
        <f>B$9 * (88.4786834716796 -B$8)</f>
        <v>88.478683471679602</v>
      </c>
      <c r="C183">
        <f>C$9 * (88.4550399780273 -C$8)</f>
        <v>88.455039978027301</v>
      </c>
    </row>
    <row r="184" spans="2:3" x14ac:dyDescent="0.3">
      <c r="B184">
        <f>B$9 * (88.478660583496 -B$8)</f>
        <v>88.478660583495994</v>
      </c>
      <c r="C184">
        <f>C$9 * (88.4527587890625 -C$8)</f>
        <v>88.4527587890625</v>
      </c>
    </row>
    <row r="185" spans="2:3" x14ac:dyDescent="0.3">
      <c r="B185">
        <f>B$9 * (88.4786987304687 -B$8)</f>
        <v>88.478698730468693</v>
      </c>
      <c r="C185">
        <f>C$9 * (88.2828674316406 -C$8)</f>
        <v>88.282867431640597</v>
      </c>
    </row>
    <row r="186" spans="2:3" x14ac:dyDescent="0.3">
      <c r="B186">
        <f>B$9 * (88.4787826538085 -B$8)</f>
        <v>88.478782653808494</v>
      </c>
      <c r="C186">
        <f>C$9 * (88.4500579833984 -C$8)</f>
        <v>88.450057983398395</v>
      </c>
    </row>
    <row r="187" spans="2:3" x14ac:dyDescent="0.3">
      <c r="B187">
        <f>B$9 * (88.4789123535156 -B$8)</f>
        <v>88.478912353515597</v>
      </c>
      <c r="C187">
        <f>C$9 * (88.4548110961914 -C$8)</f>
        <v>88.454811096191406</v>
      </c>
    </row>
    <row r="188" spans="2:3" x14ac:dyDescent="0.3">
      <c r="B188">
        <f>B$9 * (88.4790267944335 -B$8)</f>
        <v>88.479026794433494</v>
      </c>
      <c r="C188">
        <f>C$9 * (88.4567108154296 -C$8)</f>
        <v>88.456710815429602</v>
      </c>
    </row>
    <row r="189" spans="2:3" x14ac:dyDescent="0.3">
      <c r="B189">
        <f>B$9 * (88.479148864746 -B$8)</f>
        <v>88.479148864745994</v>
      </c>
      <c r="C189">
        <f>C$9 * (87.1732101440429 -C$8)</f>
        <v>87.173210144042898</v>
      </c>
    </row>
    <row r="190" spans="2:3" x14ac:dyDescent="0.3">
      <c r="B190">
        <f>B$9 * (88.4792175292968 -B$8)</f>
        <v>88.479217529296804</v>
      </c>
      <c r="C190">
        <f>C$9 * (70.8259124755859 -C$8)</f>
        <v>70.825912475585895</v>
      </c>
    </row>
    <row r="191" spans="2:3" x14ac:dyDescent="0.3">
      <c r="B191">
        <f>B$9 * (88.479248046875 -B$8)</f>
        <v>88.479248046875</v>
      </c>
      <c r="C191">
        <f>C$9 * (61.9285087585449 -C$8)</f>
        <v>61.928508758544901</v>
      </c>
    </row>
    <row r="192" spans="2:3" x14ac:dyDescent="0.3">
      <c r="B192">
        <f>B$9 * (88.4792022705078 -B$8)</f>
        <v>88.479202270507798</v>
      </c>
      <c r="C192">
        <f>C$9 * (88.5770721435546 -C$8)</f>
        <v>88.577072143554602</v>
      </c>
    </row>
    <row r="193" spans="2:3" x14ac:dyDescent="0.3">
      <c r="B193">
        <f>B$9 * (88.4791107177734 -B$8)</f>
        <v>88.479110717773395</v>
      </c>
      <c r="C193">
        <f>C$9 * (88.4769821166992 -C$8)</f>
        <v>88.476982116699205</v>
      </c>
    </row>
    <row r="194" spans="2:3" x14ac:dyDescent="0.3">
      <c r="B194">
        <f>B$9 * (88.4789581298828 -B$8)</f>
        <v>88.478958129882798</v>
      </c>
      <c r="C194">
        <f>C$9 * (88.2715225219726 -C$8)</f>
        <v>88.271522521972599</v>
      </c>
    </row>
    <row r="195" spans="2:3" x14ac:dyDescent="0.3">
      <c r="B195">
        <f>B$9 * (88.4788284301757 -B$8)</f>
        <v>88.478828430175696</v>
      </c>
      <c r="C195">
        <f>C$9 * (70.6188888549804 -C$8)</f>
        <v>70.618888854980398</v>
      </c>
    </row>
    <row r="196" spans="2:3" x14ac:dyDescent="0.3">
      <c r="B196">
        <f>B$9 * (88.4787216186523 -B$8)</f>
        <v>88.478721618652301</v>
      </c>
      <c r="C196">
        <f>C$9 * (62.7421417236328 -C$8)</f>
        <v>62.742141723632798</v>
      </c>
    </row>
    <row r="197" spans="2:3" x14ac:dyDescent="0.3">
      <c r="B197">
        <f>B$9 * (88.4786834716796 -B$8)</f>
        <v>88.478683471679602</v>
      </c>
      <c r="C197">
        <f>C$9 * (88.3923187255859 -C$8)</f>
        <v>88.392318725585895</v>
      </c>
    </row>
    <row r="198" spans="2:3" x14ac:dyDescent="0.3">
      <c r="B198">
        <f>B$9 * (88.478660583496 -B$8)</f>
        <v>88.478660583495994</v>
      </c>
      <c r="C198">
        <f>C$9 * (88.4731063842773 -C$8)</f>
        <v>88.473106384277301</v>
      </c>
    </row>
    <row r="199" spans="2:3" x14ac:dyDescent="0.3">
      <c r="B199">
        <f>B$9 * (88.4786987304687 -B$8)</f>
        <v>88.478698730468693</v>
      </c>
      <c r="C199">
        <f>C$9 * (88.4521179199218 -C$8)</f>
        <v>88.452117919921804</v>
      </c>
    </row>
    <row r="200" spans="2:3" x14ac:dyDescent="0.3">
      <c r="B200">
        <f>B$9 * (88.4787826538085 -B$8)</f>
        <v>88.478782653808494</v>
      </c>
      <c r="C200">
        <f>C$9 * (88.4528198242187 -C$8)</f>
        <v>88.452819824218693</v>
      </c>
    </row>
    <row r="201" spans="2:3" x14ac:dyDescent="0.3">
      <c r="B201">
        <f>B$9 * (88.4789123535156 -B$8)</f>
        <v>88.478912353515597</v>
      </c>
      <c r="C201">
        <f>C$9 * (88.4558563232421 -C$8)</f>
        <v>88.455856323242102</v>
      </c>
    </row>
    <row r="202" spans="2:3" x14ac:dyDescent="0.3">
      <c r="B202">
        <f>B$9 * (88.4790267944335 -B$8)</f>
        <v>88.479026794433494</v>
      </c>
      <c r="C202">
        <f>C$9 * (88.4546966552734 -C$8)</f>
        <v>88.454696655273395</v>
      </c>
    </row>
    <row r="203" spans="2:3" x14ac:dyDescent="0.3">
      <c r="B203">
        <f>B$9 * (88.479148864746 -B$8)</f>
        <v>88.479148864745994</v>
      </c>
      <c r="C203">
        <f>C$9 * (88.4540481567382 -C$8)</f>
        <v>88.454048156738196</v>
      </c>
    </row>
    <row r="204" spans="2:3" x14ac:dyDescent="0.3">
      <c r="B204">
        <f>B$9 * (88.4792098999023 -B$8)</f>
        <v>88.479209899902301</v>
      </c>
      <c r="C204">
        <f>C$9 * (88.4536666870117 -C$8)</f>
        <v>88.453666687011705</v>
      </c>
    </row>
    <row r="205" spans="2:3" x14ac:dyDescent="0.3">
      <c r="B205">
        <f>B$9 * (88.4792098999023 -B$8)</f>
        <v>88.479209899902301</v>
      </c>
      <c r="C205">
        <f>C$9 * (87.172119140625 -C$8)</f>
        <v>87.172119140625</v>
      </c>
    </row>
    <row r="206" spans="2:3" x14ac:dyDescent="0.3">
      <c r="B206">
        <f>B$9 * (88.479248046875 -B$8)</f>
        <v>88.479248046875</v>
      </c>
      <c r="C206">
        <f>C$9 * (88.4523086547851 -C$8)</f>
        <v>88.452308654785099</v>
      </c>
    </row>
    <row r="207" spans="2:3" x14ac:dyDescent="0.3">
      <c r="B207">
        <f>B$9 * (88.4792022705078 -B$8)</f>
        <v>88.479202270507798</v>
      </c>
      <c r="C207">
        <f>C$9 * (88.4526824951171 -C$8)</f>
        <v>88.452682495117102</v>
      </c>
    </row>
    <row r="208" spans="2:3" x14ac:dyDescent="0.3">
      <c r="B208">
        <f>B$9 * (88.4791107177734 -B$8)</f>
        <v>88.479110717773395</v>
      </c>
      <c r="C208">
        <f>C$9 * (85.5382919311523 -C$8)</f>
        <v>85.538291931152301</v>
      </c>
    </row>
    <row r="209" spans="2:3" x14ac:dyDescent="0.3">
      <c r="B209">
        <f>B$9 * (88.4789581298828 -B$8)</f>
        <v>88.478958129882798</v>
      </c>
      <c r="C209">
        <f>C$9 * (63.8712615966796 -C$8)</f>
        <v>63.871261596679602</v>
      </c>
    </row>
    <row r="210" spans="2:3" x14ac:dyDescent="0.3">
      <c r="B210">
        <f>B$9 * (88.4788284301757 -B$8)</f>
        <v>88.478828430175696</v>
      </c>
      <c r="C210">
        <f>C$9 * (66.193748474121 -C$8)</f>
        <v>66.193748474120994</v>
      </c>
    </row>
    <row r="211" spans="2:3" x14ac:dyDescent="0.3">
      <c r="B211">
        <f>B$9 * (88.4787216186523 -B$8)</f>
        <v>88.478721618652301</v>
      </c>
      <c r="C211">
        <f>C$9 * (68.1694564819335 -C$8)</f>
        <v>68.169456481933494</v>
      </c>
    </row>
    <row r="212" spans="2:3" x14ac:dyDescent="0.3">
      <c r="B212">
        <f>B$9 * (88.4786834716796 -B$8)</f>
        <v>88.478683471679602</v>
      </c>
      <c r="C212">
        <f>C$9 * (88.432861328125 -C$8)</f>
        <v>88.432861328125</v>
      </c>
    </row>
    <row r="213" spans="2:3" x14ac:dyDescent="0.3">
      <c r="B213">
        <f>B$9 * (88.478660583496 -B$8)</f>
        <v>88.478660583495994</v>
      </c>
      <c r="C213">
        <f>C$9 * (88.1751327514648 -C$8)</f>
        <v>88.175132751464801</v>
      </c>
    </row>
    <row r="214" spans="2:3" x14ac:dyDescent="0.3">
      <c r="B214">
        <f>B$9 * (88.4786987304687 -B$8)</f>
        <v>88.478698730468693</v>
      </c>
      <c r="C214">
        <f>C$9 * (63.388931274414 -C$8)</f>
        <v>63.388931274413999</v>
      </c>
    </row>
    <row r="215" spans="2:3" x14ac:dyDescent="0.3">
      <c r="B215">
        <f>B$9 * (88.4787673950195 -B$8)</f>
        <v>88.478767395019503</v>
      </c>
      <c r="C215">
        <f>C$9 * (65.7765274047851 -C$8)</f>
        <v>65.776527404785099</v>
      </c>
    </row>
    <row r="216" spans="2:3" x14ac:dyDescent="0.3">
      <c r="B216">
        <f>B$9 * (88.4788970947265 -B$8)</f>
        <v>88.478897094726506</v>
      </c>
      <c r="C216">
        <f>C$9 * (86.4897079467773 -C$8)</f>
        <v>86.489707946777301</v>
      </c>
    </row>
    <row r="217" spans="2:3" x14ac:dyDescent="0.3">
      <c r="B217">
        <f>B$9 * (88.4790267944335 -B$8)</f>
        <v>88.479026794433494</v>
      </c>
      <c r="C217">
        <f>C$9 * (88.4538116455078 -C$8)</f>
        <v>88.453811645507798</v>
      </c>
    </row>
    <row r="218" spans="2:3" x14ac:dyDescent="0.3">
      <c r="B218">
        <f>B$9 * (88.479148864746 -B$8)</f>
        <v>88.479148864745994</v>
      </c>
      <c r="C218">
        <f>C$9 * (88.4519882202148 -C$8)</f>
        <v>88.451988220214801</v>
      </c>
    </row>
    <row r="219" spans="2:3" x14ac:dyDescent="0.3">
      <c r="B219">
        <f>B$9 * (88.4792098999023 -B$8)</f>
        <v>88.479209899902301</v>
      </c>
      <c r="C219">
        <f>C$9 * (88.4557418823242 -C$8)</f>
        <v>88.455741882324205</v>
      </c>
    </row>
    <row r="220" spans="2:3" x14ac:dyDescent="0.3">
      <c r="B220">
        <f>B$9 * (88.479248046875 -B$8)</f>
        <v>88.479248046875</v>
      </c>
      <c r="C220">
        <f>C$9 * (88.4537506103515 -C$8)</f>
        <v>88.453750610351506</v>
      </c>
    </row>
    <row r="221" spans="2:3" x14ac:dyDescent="0.3">
      <c r="B221">
        <f>B$9 * (88.4792022705078 -B$8)</f>
        <v>88.479202270507798</v>
      </c>
      <c r="C221">
        <f>C$9 * (88.4543685913085 -C$8)</f>
        <v>88.454368591308494</v>
      </c>
    </row>
    <row r="222" spans="2:3" x14ac:dyDescent="0.3">
      <c r="B222">
        <f>B$9 * (88.4791107177734 -B$8)</f>
        <v>88.479110717773395</v>
      </c>
      <c r="C222">
        <f>C$9 * (88.4523086547851 -C$8)</f>
        <v>88.452308654785099</v>
      </c>
    </row>
    <row r="223" spans="2:3" x14ac:dyDescent="0.3">
      <c r="B223">
        <f>B$9 * (88.4789581298828 -B$8)</f>
        <v>88.478958129882798</v>
      </c>
      <c r="C223">
        <f>C$9 * (88.4518432617187 -C$8)</f>
        <v>88.451843261718693</v>
      </c>
    </row>
    <row r="224" spans="2:3" x14ac:dyDescent="0.3">
      <c r="B224">
        <f>B$9 * (88.4788284301757 -B$8)</f>
        <v>88.478828430175696</v>
      </c>
      <c r="C224">
        <f>C$9 * (88.1809768676757 -C$8)</f>
        <v>88.180976867675696</v>
      </c>
    </row>
    <row r="225" spans="2:3" x14ac:dyDescent="0.3">
      <c r="B225">
        <f>B$9 * (88.4787216186523 -B$8)</f>
        <v>88.478721618652301</v>
      </c>
      <c r="C225">
        <f>C$9 * (88.4524307250976 -C$8)</f>
        <v>88.452430725097599</v>
      </c>
    </row>
    <row r="226" spans="2:3" x14ac:dyDescent="0.3">
      <c r="B226">
        <f>B$9 * (88.4786834716796 -B$8)</f>
        <v>88.478683471679602</v>
      </c>
      <c r="C226">
        <f>C$9 * (88.4561462402343 -C$8)</f>
        <v>88.456146240234304</v>
      </c>
    </row>
    <row r="227" spans="2:3" x14ac:dyDescent="0.3">
      <c r="B227">
        <f>B$9 * (88.478660583496 -B$8)</f>
        <v>88.478660583495994</v>
      </c>
      <c r="C227">
        <f>C$9 * (88.4556503295898 -C$8)</f>
        <v>88.455650329589801</v>
      </c>
    </row>
    <row r="228" spans="2:3" x14ac:dyDescent="0.3">
      <c r="B228">
        <f>B$9 * (88.4786987304687 -B$8)</f>
        <v>88.478698730468693</v>
      </c>
      <c r="C228">
        <f>C$9 * (88.273078918457 -C$8)</f>
        <v>88.273078918457003</v>
      </c>
    </row>
    <row r="229" spans="2:3" x14ac:dyDescent="0.3">
      <c r="B229">
        <f>B$9 * (88.4787673950195 -B$8)</f>
        <v>88.478767395019503</v>
      </c>
      <c r="C229">
        <f>C$9 * (70.2670593261718 -C$8)</f>
        <v>70.267059326171804</v>
      </c>
    </row>
    <row r="230" spans="2:3" x14ac:dyDescent="0.3">
      <c r="B230">
        <f>B$9 * (88.4788970947265 -B$8)</f>
        <v>88.478897094726506</v>
      </c>
      <c r="C230">
        <f>C$9 * (61.3913383483886 -C$8)</f>
        <v>61.391338348388601</v>
      </c>
    </row>
    <row r="231" spans="2:3" x14ac:dyDescent="0.3">
      <c r="B231">
        <f>B$9 * (88.4790267944335 -B$8)</f>
        <v>88.479026794433494</v>
      </c>
      <c r="C231">
        <f>C$9 * (88.3270797729492 -C$8)</f>
        <v>88.327079772949205</v>
      </c>
    </row>
    <row r="232" spans="2:3" x14ac:dyDescent="0.3">
      <c r="B232">
        <f>B$9 * (88.479148864746 -B$8)</f>
        <v>88.479148864745994</v>
      </c>
      <c r="C232">
        <f>C$9 * (88.476577758789 -C$8)</f>
        <v>88.476577758789006</v>
      </c>
    </row>
    <row r="233" spans="2:3" x14ac:dyDescent="0.3">
      <c r="B233">
        <f>B$9 * (88.4792098999023 -B$8)</f>
        <v>88.479209899902301</v>
      </c>
      <c r="C233">
        <f>C$9 * (88.2740325927734 -C$8)</f>
        <v>88.274032592773395</v>
      </c>
    </row>
    <row r="234" spans="2:3" x14ac:dyDescent="0.3">
      <c r="B234">
        <f>B$9 * (88.479248046875 -B$8)</f>
        <v>88.479248046875</v>
      </c>
      <c r="C234">
        <f>C$9 * (70.1443710327148 -C$8)</f>
        <v>70.144371032714801</v>
      </c>
    </row>
    <row r="235" spans="2:3" x14ac:dyDescent="0.3">
      <c r="B235">
        <f>B$9 * (88.479248046875 -B$8)</f>
        <v>88.479248046875</v>
      </c>
      <c r="C235">
        <f>C$9 * (63.1972999572753 -C$8)</f>
        <v>63.197299957275298</v>
      </c>
    </row>
    <row r="236" spans="2:3" x14ac:dyDescent="0.3">
      <c r="B236">
        <f>B$9 * (88.4792022705078 -B$8)</f>
        <v>88.479202270507798</v>
      </c>
      <c r="C236">
        <f>C$9 * (88.405906677246 -C$8)</f>
        <v>88.405906677245994</v>
      </c>
    </row>
    <row r="237" spans="2:3" x14ac:dyDescent="0.3">
      <c r="B237">
        <f>B$9 * (88.4791107177734 -B$8)</f>
        <v>88.479110717773395</v>
      </c>
      <c r="C237">
        <f>C$9 * (88.4774169921875 -C$8)</f>
        <v>88.4774169921875</v>
      </c>
    </row>
    <row r="238" spans="2:3" x14ac:dyDescent="0.3">
      <c r="B238">
        <f>B$9 * (88.4789581298828 -B$8)</f>
        <v>88.478958129882798</v>
      </c>
      <c r="C238">
        <f>C$9 * (88.4558563232421 -C$8)</f>
        <v>88.455856323242102</v>
      </c>
    </row>
    <row r="239" spans="2:3" x14ac:dyDescent="0.3">
      <c r="B239">
        <f>B$9 * (88.4788284301757 -B$8)</f>
        <v>88.478828430175696</v>
      </c>
      <c r="C239">
        <f>C$9 * (88.454116821289 -C$8)</f>
        <v>88.454116821289006</v>
      </c>
    </row>
    <row r="240" spans="2:3" x14ac:dyDescent="0.3">
      <c r="B240">
        <f>B$9 * (88.4787216186523 -B$8)</f>
        <v>88.478721618652301</v>
      </c>
      <c r="C240">
        <f>C$9 * (88.4551925659179 -C$8)</f>
        <v>88.455192565917898</v>
      </c>
    </row>
    <row r="241" spans="2:3" x14ac:dyDescent="0.3">
      <c r="B241">
        <f>B$9 * (88.4786834716796 -B$8)</f>
        <v>88.478683471679602</v>
      </c>
      <c r="C241">
        <f>C$9 * (88.4546203613281 -C$8)</f>
        <v>88.454620361328097</v>
      </c>
    </row>
    <row r="242" spans="2:3" x14ac:dyDescent="0.3">
      <c r="B242">
        <f>B$9 * (88.478660583496 -B$8)</f>
        <v>88.478660583495994</v>
      </c>
      <c r="C242">
        <f>C$9 * (88.4549713134765 -C$8)</f>
        <v>88.454971313476506</v>
      </c>
    </row>
    <row r="243" spans="2:3" x14ac:dyDescent="0.3">
      <c r="B243">
        <f>B$9 * (88.4786987304687 -B$8)</f>
        <v>88.478698730468693</v>
      </c>
      <c r="C243">
        <f>C$9 * (88.4571990966796 -C$8)</f>
        <v>88.457199096679602</v>
      </c>
    </row>
    <row r="244" spans="2:3" x14ac:dyDescent="0.3">
      <c r="B244">
        <f>B$9 * (88.4787673950195 -B$8)</f>
        <v>88.478767395019503</v>
      </c>
      <c r="C244">
        <f>C$9 * (87.165916442871 -C$8)</f>
        <v>87.165916442870994</v>
      </c>
    </row>
    <row r="245" spans="2:3" x14ac:dyDescent="0.3">
      <c r="B245">
        <f>B$9 * (88.4788970947265 -B$8)</f>
        <v>88.478897094726506</v>
      </c>
      <c r="C245">
        <f>C$9 * (88.45068359375 -C$8)</f>
        <v>88.45068359375</v>
      </c>
    </row>
    <row r="246" spans="2:3" x14ac:dyDescent="0.3">
      <c r="B246">
        <f>B$9 * (88.479019165039 -B$8)</f>
        <v>88.479019165039006</v>
      </c>
      <c r="C246">
        <f>C$9 * (88.4558715820312 -C$8)</f>
        <v>88.455871582031193</v>
      </c>
    </row>
    <row r="247" spans="2:3" x14ac:dyDescent="0.3">
      <c r="B247">
        <f>B$9 * (88.479148864746 -B$8)</f>
        <v>88.479148864745994</v>
      </c>
      <c r="C247">
        <f>C$9 * (87.1550064086914 -C$8)</f>
        <v>87.155006408691406</v>
      </c>
    </row>
    <row r="248" spans="2:3" x14ac:dyDescent="0.3">
      <c r="B248">
        <f>B$9 * (88.4792098999023 -B$8)</f>
        <v>88.479209899902301</v>
      </c>
      <c r="C248">
        <f>C$9 * (86.4541778564453 -C$8)</f>
        <v>86.454177856445298</v>
      </c>
    </row>
    <row r="249" spans="2:3" x14ac:dyDescent="0.3">
      <c r="B249">
        <f>B$9 * (88.479248046875 -B$8)</f>
        <v>88.479248046875</v>
      </c>
      <c r="C249">
        <f>C$9 * (65.9675521850585 -C$8)</f>
        <v>65.967552185058494</v>
      </c>
    </row>
    <row r="250" spans="2:3" x14ac:dyDescent="0.3">
      <c r="B250">
        <f>B$9 * (88.4792022705078 -B$8)</f>
        <v>88.479202270507798</v>
      </c>
      <c r="C250">
        <f>C$9 * (69.5367202758789 -C$8)</f>
        <v>69.536720275878906</v>
      </c>
    </row>
    <row r="251" spans="2:3" x14ac:dyDescent="0.3">
      <c r="B251">
        <f>B$9 * (88.4791107177734 -B$8)</f>
        <v>88.479110717773395</v>
      </c>
      <c r="C251">
        <f>C$9 * (88.4380722045898 -C$8)</f>
        <v>88.438072204589801</v>
      </c>
    </row>
    <row r="252" spans="2:3" x14ac:dyDescent="0.3">
      <c r="B252">
        <f>B$9 * (88.4789581298828 -B$8)</f>
        <v>88.478958129882798</v>
      </c>
      <c r="C252">
        <f>C$9 * (87.1403198242187 -C$8)</f>
        <v>87.140319824218693</v>
      </c>
    </row>
    <row r="253" spans="2:3" x14ac:dyDescent="0.3">
      <c r="B253">
        <f>B$9 * (88.4788284301757 -B$8)</f>
        <v>88.478828430175696</v>
      </c>
      <c r="C253">
        <f>C$9 * (62.9341506958007 -C$8)</f>
        <v>62.934150695800703</v>
      </c>
    </row>
    <row r="254" spans="2:3" x14ac:dyDescent="0.3">
      <c r="B254">
        <f>B$9 * (88.4787216186523 -B$8)</f>
        <v>88.478721618652301</v>
      </c>
      <c r="C254">
        <f>C$9 * (65.5123901367187 -C$8)</f>
        <v>65.512390136718693</v>
      </c>
    </row>
    <row r="255" spans="2:3" x14ac:dyDescent="0.3">
      <c r="B255">
        <f>B$9 * (88.4786834716796 -B$8)</f>
        <v>88.478683471679602</v>
      </c>
      <c r="C255">
        <f>C$9 * (88.0283508300781 -C$8)</f>
        <v>88.028350830078097</v>
      </c>
    </row>
    <row r="256" spans="2:3" x14ac:dyDescent="0.3">
      <c r="B256">
        <f>B$9 * (88.478660583496 -B$8)</f>
        <v>88.478660583495994</v>
      </c>
      <c r="C256">
        <f>C$9 * (88.4590835571289 -C$8)</f>
        <v>88.459083557128906</v>
      </c>
    </row>
    <row r="257" spans="2:3" x14ac:dyDescent="0.3">
      <c r="B257">
        <f>B$9 * (88.4786987304687 -B$8)</f>
        <v>88.478698730468693</v>
      </c>
      <c r="C257">
        <f>C$9 * (88.4520034790039 -C$8)</f>
        <v>88.452003479003906</v>
      </c>
    </row>
    <row r="258" spans="2:3" x14ac:dyDescent="0.3">
      <c r="B258">
        <f>B$9 * (88.4787673950195 -B$8)</f>
        <v>88.478767395019503</v>
      </c>
      <c r="C258">
        <f>C$9 * (88.4496612548828 -C$8)</f>
        <v>88.449661254882798</v>
      </c>
    </row>
    <row r="259" spans="2:3" x14ac:dyDescent="0.3">
      <c r="B259">
        <f>B$9 * (88.4788970947265 -B$8)</f>
        <v>88.478897094726506</v>
      </c>
      <c r="C259">
        <f>C$9 * (88.4550170898437 -C$8)</f>
        <v>88.455017089843693</v>
      </c>
    </row>
    <row r="260" spans="2:3" x14ac:dyDescent="0.3">
      <c r="B260">
        <f>B$9 * (88.479019165039 -B$8)</f>
        <v>88.479019165039006</v>
      </c>
      <c r="C260">
        <f>C$9 * (88.4547576904296 -C$8)</f>
        <v>88.454757690429602</v>
      </c>
    </row>
    <row r="261" spans="2:3" x14ac:dyDescent="0.3">
      <c r="B261">
        <f>B$9 * (88.479148864746 -B$8)</f>
        <v>88.479148864745994</v>
      </c>
      <c r="C261">
        <f>C$9 * (88.4544982910156 -C$8)</f>
        <v>88.454498291015597</v>
      </c>
    </row>
    <row r="262" spans="2:3" x14ac:dyDescent="0.3">
      <c r="B262">
        <f>B$9 * (88.4792098999023 -B$8)</f>
        <v>88.479209899902301</v>
      </c>
      <c r="C262">
        <f>C$9 * (88.4563598632812 -C$8)</f>
        <v>88.456359863281193</v>
      </c>
    </row>
    <row r="263" spans="2:3" x14ac:dyDescent="0.3">
      <c r="B263">
        <f>B$9 * (88.479248046875 -B$8)</f>
        <v>88.479248046875</v>
      </c>
      <c r="C263">
        <f>C$9 * (87.1201782226562 -C$8)</f>
        <v>87.120178222656193</v>
      </c>
    </row>
    <row r="264" spans="2:3" x14ac:dyDescent="0.3">
      <c r="B264">
        <f>B$9 * (88.4792022705078 -B$8)</f>
        <v>88.479202270507798</v>
      </c>
      <c r="C264">
        <f>C$9 * (88.4529113769531 -C$8)</f>
        <v>88.452911376953097</v>
      </c>
    </row>
    <row r="265" spans="2:3" x14ac:dyDescent="0.3">
      <c r="B265">
        <f>B$9 * (88.4792022705078 -B$8)</f>
        <v>88.479202270507798</v>
      </c>
      <c r="C265">
        <f>C$9 * (88.4556198120117 -C$8)</f>
        <v>88.455619812011705</v>
      </c>
    </row>
    <row r="266" spans="2:3" x14ac:dyDescent="0.3">
      <c r="B266">
        <f>B$9 * (88.4791107177734 -B$8)</f>
        <v>88.479110717773395</v>
      </c>
      <c r="C266">
        <f>C$9 * (88.4537734985351 -C$8)</f>
        <v>88.453773498535099</v>
      </c>
    </row>
    <row r="267" spans="2:3" x14ac:dyDescent="0.3">
      <c r="B267">
        <f>B$9 * (88.4789581298828 -B$8)</f>
        <v>88.478958129882798</v>
      </c>
      <c r="C267">
        <f>C$9 * (88.2755432128906 -C$8)</f>
        <v>88.275543212890597</v>
      </c>
    </row>
    <row r="268" spans="2:3" x14ac:dyDescent="0.3">
      <c r="B268">
        <f>B$9 * (88.4788284301757 -B$8)</f>
        <v>88.478828430175696</v>
      </c>
      <c r="C268">
        <f>C$9 * (70.0412521362304 -C$8)</f>
        <v>70.041252136230398</v>
      </c>
    </row>
    <row r="269" spans="2:3" x14ac:dyDescent="0.3">
      <c r="B269">
        <f>B$9 * (88.4787216186523 -B$8)</f>
        <v>88.478721618652301</v>
      </c>
      <c r="C269">
        <f>C$9 * (61.3394012451171 -C$8)</f>
        <v>61.339401245117102</v>
      </c>
    </row>
    <row r="270" spans="2:3" x14ac:dyDescent="0.3">
      <c r="B270">
        <f>B$9 * (88.4786834716796 -B$8)</f>
        <v>88.478683471679602</v>
      </c>
      <c r="C270">
        <f>C$9 * (88.3499069213867 -C$8)</f>
        <v>88.349906921386705</v>
      </c>
    </row>
    <row r="271" spans="2:3" x14ac:dyDescent="0.3">
      <c r="B271">
        <f>B$9 * (88.478660583496 -B$8)</f>
        <v>88.478660583495994</v>
      </c>
      <c r="C271">
        <f>C$9 * (88.4738082885742 -C$8)</f>
        <v>88.473808288574205</v>
      </c>
    </row>
    <row r="272" spans="2:3" x14ac:dyDescent="0.3">
      <c r="B272">
        <f>B$9 * (88.4786987304687 -B$8)</f>
        <v>88.478698730468693</v>
      </c>
      <c r="C272">
        <f>C$9 * (87.142837524414 -C$8)</f>
        <v>87.142837524414006</v>
      </c>
    </row>
    <row r="273" spans="2:3" x14ac:dyDescent="0.3">
      <c r="B273">
        <f>B$9 * (88.4787673950195 -B$8)</f>
        <v>88.478767395019503</v>
      </c>
      <c r="C273">
        <f>C$9 * (69.7716674804687 -C$8)</f>
        <v>69.771667480468693</v>
      </c>
    </row>
    <row r="274" spans="2:3" x14ac:dyDescent="0.3">
      <c r="B274">
        <f>B$9 * (88.4788970947265 -B$8)</f>
        <v>88.478897094726506</v>
      </c>
      <c r="C274">
        <f>C$9 * (63.079418182373 -C$8)</f>
        <v>63.079418182372997</v>
      </c>
    </row>
    <row r="275" spans="2:3" x14ac:dyDescent="0.3">
      <c r="B275">
        <f>B$9 * (88.479019165039 -B$8)</f>
        <v>88.479019165039006</v>
      </c>
      <c r="C275">
        <f>C$9 * (88.4043502807617 -C$8)</f>
        <v>88.404350280761705</v>
      </c>
    </row>
    <row r="276" spans="2:3" x14ac:dyDescent="0.3">
      <c r="B276">
        <f>B$9 * (88.479148864746 -B$8)</f>
        <v>88.479148864745994</v>
      </c>
      <c r="C276">
        <f>C$9 * (88.4717102050781 -C$8)</f>
        <v>88.471710205078097</v>
      </c>
    </row>
    <row r="277" spans="2:3" x14ac:dyDescent="0.3">
      <c r="B277">
        <f>B$9 * (88.4792098999023 -B$8)</f>
        <v>88.479209899902301</v>
      </c>
      <c r="C277">
        <f>C$9 * (88.4537811279296 -C$8)</f>
        <v>88.453781127929602</v>
      </c>
    </row>
    <row r="278" spans="2:3" x14ac:dyDescent="0.3">
      <c r="B278">
        <f>B$9 * (88.479248046875 -B$8)</f>
        <v>88.479248046875</v>
      </c>
      <c r="C278">
        <f>C$9 * (88.4537200927734 -C$8)</f>
        <v>88.453720092773395</v>
      </c>
    </row>
    <row r="279" spans="2:3" x14ac:dyDescent="0.3">
      <c r="B279">
        <f>B$9 * (88.4792022705078 -B$8)</f>
        <v>88.479202270507798</v>
      </c>
      <c r="C279">
        <f>C$9 * (88.4545135498046 -C$8)</f>
        <v>88.454513549804602</v>
      </c>
    </row>
    <row r="280" spans="2:3" x14ac:dyDescent="0.3">
      <c r="B280">
        <f>B$9 * (88.4791107177734 -B$8)</f>
        <v>88.479110717773395</v>
      </c>
      <c r="C280">
        <f>C$9 * (88.4537734985351 -C$8)</f>
        <v>88.453773498535099</v>
      </c>
    </row>
    <row r="281" spans="2:3" x14ac:dyDescent="0.3">
      <c r="B281">
        <f>B$9 * (88.4789581298828 -B$8)</f>
        <v>88.478958129882798</v>
      </c>
      <c r="C281">
        <f>C$9 * (88.4545211791992 -C$8)</f>
        <v>88.454521179199205</v>
      </c>
    </row>
    <row r="282" spans="2:3" x14ac:dyDescent="0.3">
      <c r="B282">
        <f>B$9 * (88.4788284301757 -B$8)</f>
        <v>88.478828430175696</v>
      </c>
      <c r="C282">
        <f>C$9 * (88.4548110961914 -C$8)</f>
        <v>88.454811096191406</v>
      </c>
    </row>
    <row r="283" spans="2:3" x14ac:dyDescent="0.3">
      <c r="B283">
        <f>B$9 * (88.4787216186523 -B$8)</f>
        <v>88.478721618652301</v>
      </c>
      <c r="C283">
        <f>C$9 * (88.5846405029296 -C$8)</f>
        <v>88.584640502929602</v>
      </c>
    </row>
    <row r="284" spans="2:3" x14ac:dyDescent="0.3">
      <c r="B284">
        <f>B$9 * (88.4786834716796 -B$8)</f>
        <v>88.478683471679602</v>
      </c>
      <c r="C284">
        <f>C$9 * (88.4529495239257 -C$8)</f>
        <v>88.452949523925696</v>
      </c>
    </row>
    <row r="285" spans="2:3" x14ac:dyDescent="0.3">
      <c r="B285">
        <f>B$9 * (88.478660583496 -B$8)</f>
        <v>88.478660583495994</v>
      </c>
      <c r="C285">
        <f>C$9 * (88.4549026489257 -C$8)</f>
        <v>88.454902648925696</v>
      </c>
    </row>
    <row r="286" spans="2:3" x14ac:dyDescent="0.3">
      <c r="B286">
        <f>B$9 * (88.4786987304687 -B$8)</f>
        <v>88.478698730468693</v>
      </c>
      <c r="C286">
        <f>C$9 * (87.1322174072265 -C$8)</f>
        <v>87.132217407226506</v>
      </c>
    </row>
    <row r="287" spans="2:3" x14ac:dyDescent="0.3">
      <c r="B287">
        <f>B$9 * (88.4787673950195 -B$8)</f>
        <v>88.478767395019503</v>
      </c>
      <c r="C287">
        <f>C$9 * (62.354881286621 -C$8)</f>
        <v>62.354881286621001</v>
      </c>
    </row>
    <row r="288" spans="2:3" x14ac:dyDescent="0.3">
      <c r="B288">
        <f>B$9 * (88.4788970947265 -B$8)</f>
        <v>88.478897094726506</v>
      </c>
      <c r="C288">
        <f>C$9 * (65.1576766967773 -C$8)</f>
        <v>65.157676696777301</v>
      </c>
    </row>
    <row r="289" spans="2:3" x14ac:dyDescent="0.3">
      <c r="B289">
        <f>B$9 * (88.479019165039 -B$8)</f>
        <v>88.479019165039006</v>
      </c>
      <c r="C289">
        <f>C$9 * (73.3771133422851 -C$8)</f>
        <v>73.377113342285099</v>
      </c>
    </row>
    <row r="290" spans="2:3" x14ac:dyDescent="0.3">
      <c r="B290">
        <f>B$9 * (88.479148864746 -B$8)</f>
        <v>88.479148864745994</v>
      </c>
      <c r="C290">
        <f>C$9 * (88.4530334472656 -C$8)</f>
        <v>88.453033447265597</v>
      </c>
    </row>
    <row r="291" spans="2:3" x14ac:dyDescent="0.3">
      <c r="B291">
        <f>B$9 * (88.4792098999023 -B$8)</f>
        <v>88.479209899902301</v>
      </c>
      <c r="C291">
        <f>C$9 * (87.1089324951171 -C$8)</f>
        <v>87.108932495117102</v>
      </c>
    </row>
    <row r="292" spans="2:3" x14ac:dyDescent="0.3">
      <c r="B292">
        <f>B$9 * (88.479248046875 -B$8)</f>
        <v>88.479248046875</v>
      </c>
      <c r="C292">
        <f>C$9 * (61.4939384460449 -C$8)</f>
        <v>61.493938446044901</v>
      </c>
    </row>
    <row r="293" spans="2:3" x14ac:dyDescent="0.3">
      <c r="B293">
        <f>B$9 * (88.4792022705078 -B$8)</f>
        <v>88.479202270507798</v>
      </c>
      <c r="C293">
        <f>C$9 * (64.5824432373046 -C$8)</f>
        <v>64.582443237304602</v>
      </c>
    </row>
    <row r="294" spans="2:3" x14ac:dyDescent="0.3">
      <c r="B294">
        <f>B$9 * (88.4791107177734 -B$8)</f>
        <v>88.479110717773395</v>
      </c>
      <c r="C294">
        <f>C$9 * (86.7350769042968 -C$8)</f>
        <v>86.735076904296804</v>
      </c>
    </row>
    <row r="295" spans="2:3" x14ac:dyDescent="0.3">
      <c r="B295">
        <f>B$9 * (88.4791107177734 -B$8)</f>
        <v>88.479110717773395</v>
      </c>
      <c r="C295">
        <f>C$9 * (88.467430114746 -C$8)</f>
        <v>88.467430114745994</v>
      </c>
    </row>
    <row r="296" spans="2:3" x14ac:dyDescent="0.3">
      <c r="B296">
        <f>B$9 * (88.4789581298828 -B$8)</f>
        <v>88.478958129882798</v>
      </c>
      <c r="C296">
        <f>C$9 * (88.4532089233398 -C$8)</f>
        <v>88.453208923339801</v>
      </c>
    </row>
    <row r="297" spans="2:3" x14ac:dyDescent="0.3">
      <c r="B297">
        <f>B$9 * (88.4788284301757 -B$8)</f>
        <v>88.478828430175696</v>
      </c>
      <c r="C297">
        <f>C$9 * (88.4551773071289 -C$8)</f>
        <v>88.455177307128906</v>
      </c>
    </row>
    <row r="298" spans="2:3" x14ac:dyDescent="0.3">
      <c r="B298">
        <f>B$9 * (88.4787216186523 -B$8)</f>
        <v>88.478721618652301</v>
      </c>
      <c r="C298">
        <f>C$9 * (88.4517822265625 -C$8)</f>
        <v>88.4517822265625</v>
      </c>
    </row>
    <row r="299" spans="2:3" x14ac:dyDescent="0.3">
      <c r="B299">
        <f>B$9 * (88.4786834716796 -B$8)</f>
        <v>88.478683471679602</v>
      </c>
      <c r="C299">
        <f>C$9 * (88.4548263549804 -C$8)</f>
        <v>88.454826354980398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9"/>
  <sheetViews>
    <sheetView workbookViewId="0">
      <selection activeCell="C10" sqref="C10"/>
    </sheetView>
  </sheetViews>
  <sheetFormatPr defaultRowHeight="14.4" x14ac:dyDescent="0.3"/>
  <sheetData>
    <row r="1" spans="1:3" x14ac:dyDescent="0.3">
      <c r="B1" s="3" t="s">
        <v>15</v>
      </c>
      <c r="C1" s="3" t="s">
        <v>15</v>
      </c>
    </row>
    <row r="2" spans="1:3" x14ac:dyDescent="0.3">
      <c r="B2" s="1" t="s">
        <v>16</v>
      </c>
      <c r="C2" s="1" t="s">
        <v>17</v>
      </c>
    </row>
    <row r="3" spans="1:3" x14ac:dyDescent="0.3">
      <c r="A3" t="s">
        <v>9</v>
      </c>
      <c r="B3">
        <f>MIN($B$11:$B$12)</f>
        <v>0</v>
      </c>
      <c r="C3">
        <f>MIN($C$11:$C$12)</f>
        <v>0</v>
      </c>
    </row>
    <row r="4" spans="1:3" x14ac:dyDescent="0.3">
      <c r="A4" t="s">
        <v>10</v>
      </c>
      <c r="B4">
        <f>MEDIAN($B$11:$B$12)</f>
        <v>0.125196188688278</v>
      </c>
      <c r="C4">
        <f>MEDIAN($C$11:$C$12)</f>
        <v>0.12518493831157651</v>
      </c>
    </row>
    <row r="5" spans="1:3" x14ac:dyDescent="0.3">
      <c r="A5" t="s">
        <v>11</v>
      </c>
      <c r="B5">
        <f>MAX($B$11:$B$12)</f>
        <v>0.25039237737655601</v>
      </c>
      <c r="C5">
        <f>MAX($C$11:$C$12)</f>
        <v>0.25036987662315302</v>
      </c>
    </row>
    <row r="6" spans="1:3" x14ac:dyDescent="0.3">
      <c r="A6" t="s">
        <v>12</v>
      </c>
      <c r="B6">
        <f>$B5-$B3</f>
        <v>0.25039237737655601</v>
      </c>
      <c r="C6">
        <f>$C5-$C3</f>
        <v>0.25036987662315302</v>
      </c>
    </row>
    <row r="8" spans="1:3" x14ac:dyDescent="0.3">
      <c r="A8" t="s">
        <v>13</v>
      </c>
      <c r="B8">
        <v>0</v>
      </c>
      <c r="C8">
        <v>0</v>
      </c>
    </row>
    <row r="9" spans="1:3" x14ac:dyDescent="0.3">
      <c r="A9" t="s">
        <v>14</v>
      </c>
      <c r="B9">
        <v>1</v>
      </c>
      <c r="C9">
        <v>1</v>
      </c>
    </row>
    <row r="10" spans="1:3" x14ac:dyDescent="0.3">
      <c r="B10" s="1" t="s">
        <v>16</v>
      </c>
      <c r="C10" s="1" t="s">
        <v>17</v>
      </c>
    </row>
    <row r="11" spans="1:3" x14ac:dyDescent="0.3">
      <c r="B11">
        <f>B$9 * (0 -B$8)</f>
        <v>0</v>
      </c>
      <c r="C11">
        <f>C$9 * (0 -C$8)</f>
        <v>0</v>
      </c>
    </row>
    <row r="12" spans="1:3" x14ac:dyDescent="0.3">
      <c r="B12">
        <f>B$9 * (0.250392377376556 -B$8)</f>
        <v>0.25039237737655601</v>
      </c>
      <c r="C12">
        <f>C$9 * (0.250369876623153 -C$8)</f>
        <v>0.25036987662315302</v>
      </c>
    </row>
    <row r="13" spans="1:3" x14ac:dyDescent="0.3">
      <c r="B13">
        <f>B$9 * (0.500002801418304 -B$8)</f>
        <v>0.500002801418304</v>
      </c>
      <c r="C13">
        <f>C$9 * (0.50034749507904 -C$8)</f>
        <v>0.50034749507903997</v>
      </c>
    </row>
    <row r="14" spans="1:3" x14ac:dyDescent="0.3">
      <c r="B14">
        <f>B$9 * (0.750080525875091 -B$8)</f>
        <v>0.750080525875091</v>
      </c>
      <c r="C14">
        <f>C$9 * (0.750366389751434 -C$8)</f>
        <v>0.75036638975143399</v>
      </c>
    </row>
    <row r="15" spans="1:3" x14ac:dyDescent="0.3">
      <c r="B15">
        <f>B$9 * (1.00001060962677 -B$8)</f>
        <v>1.00001060962677</v>
      </c>
      <c r="C15">
        <f>C$9 * (1.00027227401733 -C$8)</f>
        <v>1.00027227401733</v>
      </c>
    </row>
    <row r="16" spans="1:3" x14ac:dyDescent="0.3">
      <c r="B16">
        <f>B$9 * (1.25021255016326 -B$8)</f>
        <v>1.2502125501632599</v>
      </c>
      <c r="C16">
        <f>C$9 * (1.25033855438232 -C$8)</f>
        <v>1.25033855438232</v>
      </c>
    </row>
    <row r="17" spans="2:3" x14ac:dyDescent="0.3">
      <c r="B17">
        <f>B$9 * (1.50015115737915 -B$8)</f>
        <v>1.5001511573791499</v>
      </c>
      <c r="C17">
        <f>C$9 * (1.50031077861785 -C$8)</f>
        <v>1.50031077861785</v>
      </c>
    </row>
    <row r="18" spans="2:3" x14ac:dyDescent="0.3">
      <c r="B18">
        <f>B$9 * (1.75008249282836 -B$8)</f>
        <v>1.75008249282836</v>
      </c>
      <c r="C18">
        <f>C$9 * (1.75039339065551 -C$8)</f>
        <v>1.75039339065551</v>
      </c>
    </row>
    <row r="19" spans="2:3" x14ac:dyDescent="0.3">
      <c r="B19">
        <f>B$9 * (2.0003707408905 -B$8)</f>
        <v>2.0003707408904998</v>
      </c>
      <c r="C19">
        <f>C$9 * (2.00029850006103 -C$8)</f>
        <v>2.0002985000610298</v>
      </c>
    </row>
    <row r="20" spans="2:3" x14ac:dyDescent="0.3">
      <c r="B20">
        <f>B$9 * (2.25034308433532 -B$8)</f>
        <v>2.25034308433532</v>
      </c>
      <c r="C20">
        <f>C$9 * (2.25022602081298 -C$8)</f>
        <v>2.2502260208129798</v>
      </c>
    </row>
    <row r="21" spans="2:3" x14ac:dyDescent="0.3">
      <c r="B21">
        <f>B$9 * (2.50008368492126 -B$8)</f>
        <v>2.5000836849212602</v>
      </c>
      <c r="C21">
        <f>C$9 * (2.50031995773315 -C$8)</f>
        <v>2.5003199577331499</v>
      </c>
    </row>
    <row r="22" spans="2:3" x14ac:dyDescent="0.3">
      <c r="B22">
        <f>B$9 * (2.75025224685668 -B$8)</f>
        <v>2.7502522468566801</v>
      </c>
      <c r="C22">
        <f>C$9 * (2.75026774406433 -C$8)</f>
        <v>2.7502677440643302</v>
      </c>
    </row>
    <row r="23" spans="2:3" x14ac:dyDescent="0.3">
      <c r="B23">
        <f>B$9 * (3.0002167224884 -B$8)</f>
        <v>3.0002167224884002</v>
      </c>
      <c r="C23">
        <f>C$9 * (3.00019168853759 -C$8)</f>
        <v>3.0001916885375901</v>
      </c>
    </row>
    <row r="24" spans="2:3" x14ac:dyDescent="0.3">
      <c r="B24">
        <f>B$9 * (3.25043606758117 -B$8)</f>
        <v>3.2504360675811701</v>
      </c>
      <c r="C24">
        <f>C$9 * (3.25028324127197 -C$8)</f>
        <v>3.25028324127197</v>
      </c>
    </row>
    <row r="25" spans="2:3" x14ac:dyDescent="0.3">
      <c r="B25">
        <f>B$9 * (3.50005841255188 -B$8)</f>
        <v>3.5000584125518799</v>
      </c>
      <c r="C25">
        <f>C$9 * (3.5001471042633 -C$8)</f>
        <v>3.5001471042632999</v>
      </c>
    </row>
    <row r="26" spans="2:3" x14ac:dyDescent="0.3">
      <c r="B26">
        <f>B$9 * (3.7503638267517 -B$8)</f>
        <v>3.7503638267517001</v>
      </c>
      <c r="C26">
        <f>C$9 * (3.75028896331787 -C$8)</f>
        <v>3.7502889633178702</v>
      </c>
    </row>
    <row r="27" spans="2:3" x14ac:dyDescent="0.3">
      <c r="B27">
        <f>B$9 * (4.00066947937011 -B$8)</f>
        <v>4.0006694793701101</v>
      </c>
      <c r="C27">
        <f>C$9 * (4.00031375885009 -C$8)</f>
        <v>4.0003137588500897</v>
      </c>
    </row>
    <row r="28" spans="2:3" x14ac:dyDescent="0.3">
      <c r="B28">
        <f>B$9 * (4.25060844421386 -B$8)</f>
        <v>4.2506084442138601</v>
      </c>
      <c r="C28">
        <f>C$9 * (4.25004148483276 -C$8)</f>
        <v>4.2500414848327601</v>
      </c>
    </row>
    <row r="29" spans="2:3" x14ac:dyDescent="0.3">
      <c r="B29">
        <f>B$9 * (4.50008058547973 -B$8)</f>
        <v>4.5000805854797301</v>
      </c>
      <c r="C29">
        <f>C$9 * (4.50066089630127 -C$8)</f>
        <v>4.5006608963012704</v>
      </c>
    </row>
    <row r="30" spans="2:3" x14ac:dyDescent="0.3">
      <c r="B30">
        <f>B$9 * (4.75010299682617 -B$8)</f>
        <v>4.7501029968261701</v>
      </c>
      <c r="C30">
        <f>C$9 * (4.75024700164794 -C$8)</f>
        <v>4.7502470016479403</v>
      </c>
    </row>
    <row r="31" spans="2:3" x14ac:dyDescent="0.3">
      <c r="B31">
        <f>B$9 * (5.00012493133544 -B$8)</f>
        <v>5.0001249313354403</v>
      </c>
      <c r="C31">
        <f>C$9 * (5.00027799606323 -C$8)</f>
        <v>5.0002779960632298</v>
      </c>
    </row>
    <row r="32" spans="2:3" x14ac:dyDescent="0.3">
      <c r="B32">
        <f>B$9 * (5.25014734268188 -B$8)</f>
        <v>5.2501473426818803</v>
      </c>
      <c r="C32">
        <f>C$9 * (5.25023603439331 -C$8)</f>
        <v>5.2502360343933097</v>
      </c>
    </row>
    <row r="33" spans="2:3" x14ac:dyDescent="0.3">
      <c r="B33">
        <f>B$9 * (5.50016927719116 -B$8)</f>
        <v>5.5001692771911603</v>
      </c>
      <c r="C33">
        <f>C$9 * (5.50051689147949 -C$8)</f>
        <v>5.5005168914794904</v>
      </c>
    </row>
    <row r="34" spans="2:3" x14ac:dyDescent="0.3">
      <c r="B34">
        <f>B$9 * (5.75019168853759 -B$8)</f>
        <v>5.7501916885375897</v>
      </c>
      <c r="C34">
        <f>C$9 * (5.75008630752563 -C$8)</f>
        <v>5.7500863075256303</v>
      </c>
    </row>
    <row r="35" spans="2:3" x14ac:dyDescent="0.3">
      <c r="B35">
        <f>B$9 * (6.00021409988403 -B$8)</f>
        <v>6.0002140998840297</v>
      </c>
      <c r="C35">
        <f>C$9 * (6.00038909912109 -C$8)</f>
        <v>6.0003890991210902</v>
      </c>
    </row>
    <row r="36" spans="2:3" x14ac:dyDescent="0.3">
      <c r="B36">
        <f>B$9 * (6.25023603439331 -B$8)</f>
        <v>6.2502360343933097</v>
      </c>
      <c r="C36">
        <f>C$9 * (6.25046920776367 -C$8)</f>
        <v>6.2504692077636701</v>
      </c>
    </row>
    <row r="37" spans="2:3" x14ac:dyDescent="0.3">
      <c r="B37">
        <f>B$9 * (6.50025558471679 -B$8)</f>
        <v>6.5002555847167898</v>
      </c>
      <c r="C37">
        <f>C$9 * (6.50005292892456 -C$8)</f>
        <v>6.5000529289245597</v>
      </c>
    </row>
    <row r="38" spans="2:3" x14ac:dyDescent="0.3">
      <c r="B38">
        <f>B$9 * (6.75027799606323 -B$8)</f>
        <v>6.7502779960632298</v>
      </c>
      <c r="C38">
        <f>C$9 * (6.75055265426635 -C$8)</f>
        <v>6.7505526542663503</v>
      </c>
    </row>
    <row r="39" spans="2:3" x14ac:dyDescent="0.3">
      <c r="B39">
        <f>B$9 * (7.00029993057251 -B$8)</f>
        <v>7.0002999305725098</v>
      </c>
      <c r="C39">
        <f>C$9 * (7.00069999694824 -C$8)</f>
        <v>7.0006999969482404</v>
      </c>
    </row>
    <row r="40" spans="2:3" x14ac:dyDescent="0.3">
      <c r="B40">
        <f>B$9 * (7.25032234191894 -B$8)</f>
        <v>7.25032234191894</v>
      </c>
      <c r="C40">
        <f>C$9 * (7.25026130676269 -C$8)</f>
        <v>7.25026130676269</v>
      </c>
    </row>
    <row r="41" spans="2:3" x14ac:dyDescent="0.3">
      <c r="B41">
        <f>B$9 * (7.50034427642822 -B$8)</f>
        <v>7.50034427642822</v>
      </c>
      <c r="C41">
        <f>C$9 * (7.50045824050903 -C$8)</f>
        <v>7.5004582405090297</v>
      </c>
    </row>
    <row r="42" spans="2:3" x14ac:dyDescent="0.3">
      <c r="B42">
        <f>B$9 * (7.75036668777465 -B$8)</f>
        <v>7.7503666877746502</v>
      </c>
      <c r="C42">
        <f>C$9 * (7.75013065338134 -C$8)</f>
        <v>7.7501306533813397</v>
      </c>
    </row>
    <row r="43" spans="2:3" x14ac:dyDescent="0.3">
      <c r="B43">
        <f>B$9 * (8.00038909912109 -B$8)</f>
        <v>8.0003890991210902</v>
      </c>
      <c r="C43">
        <f>C$9 * (8.00038623809814 -C$8)</f>
        <v>8.0003862380981392</v>
      </c>
    </row>
    <row r="44" spans="2:3" x14ac:dyDescent="0.3">
      <c r="B44">
        <f>B$9 * (8.25041103363037 -B$8)</f>
        <v>8.2504110336303693</v>
      </c>
      <c r="C44">
        <f>C$9 * (8.25031375885009 -C$8)</f>
        <v>8.2503137588500906</v>
      </c>
    </row>
    <row r="45" spans="2:3" x14ac:dyDescent="0.3">
      <c r="B45">
        <f>B$9 * (8.50043296813964 -B$8)</f>
        <v>8.5004329681396396</v>
      </c>
      <c r="C45">
        <f>C$9 * (8.50036430358886 -C$8)</f>
        <v>8.5003643035888601</v>
      </c>
    </row>
    <row r="46" spans="2:3" x14ac:dyDescent="0.3">
      <c r="B46">
        <f>B$9 * (8.75045585632324 -B$8)</f>
        <v>8.7504558563232404</v>
      </c>
      <c r="C46">
        <f>C$9 * (8.75040531158447 -C$8)</f>
        <v>8.7504053115844709</v>
      </c>
    </row>
    <row r="47" spans="2:3" x14ac:dyDescent="0.3">
      <c r="B47">
        <f>B$9 * (9.00047779083252 -B$8)</f>
        <v>9.0004777908325195</v>
      </c>
      <c r="C47">
        <f>C$9 * (9.00014209747314 -C$8)</f>
        <v>9.0001420974731392</v>
      </c>
    </row>
    <row r="48" spans="2:3" x14ac:dyDescent="0.3">
      <c r="B48">
        <f>B$9 * (9.25049972534179 -B$8)</f>
        <v>9.2504997253417898</v>
      </c>
      <c r="C48">
        <f>C$9 * (9.25016117095947 -C$8)</f>
        <v>9.2501611709594709</v>
      </c>
    </row>
    <row r="49" spans="2:3" x14ac:dyDescent="0.3">
      <c r="B49">
        <f>B$9 * (9.50052261352539 -B$8)</f>
        <v>9.5005226135253906</v>
      </c>
      <c r="C49">
        <f>C$9 * (9.50001621246337 -C$8)</f>
        <v>9.50001621246337</v>
      </c>
    </row>
    <row r="50" spans="2:3" x14ac:dyDescent="0.3">
      <c r="B50">
        <f>B$9 * (9.75054454803466 -B$8)</f>
        <v>9.7505445480346609</v>
      </c>
      <c r="C50">
        <f>C$9 * (9.75037193298339 -C$8)</f>
        <v>9.7503719329833896</v>
      </c>
    </row>
    <row r="51" spans="2:3" x14ac:dyDescent="0.3">
      <c r="B51">
        <f>B$9 * (10.0005664825439 -B$8)</f>
        <v>10.000566482543899</v>
      </c>
      <c r="C51">
        <f>C$9 * (10.0001392364502 -C$8)</f>
        <v>10.000139236450201</v>
      </c>
    </row>
    <row r="52" spans="2:3" x14ac:dyDescent="0.3">
      <c r="B52">
        <f>B$9 * (10.2505884170532 -B$8)</f>
        <v>10.2505884170532</v>
      </c>
      <c r="C52">
        <f>C$9 * (10.2504224777221 -C$8)</f>
        <v>10.2504224777221</v>
      </c>
    </row>
    <row r="53" spans="2:3" x14ac:dyDescent="0.3">
      <c r="B53">
        <f>B$9 * (10.5006084442138 -B$8)</f>
        <v>10.5006084442138</v>
      </c>
      <c r="C53">
        <f>C$9 * (10.5000858306884 -C$8)</f>
        <v>10.5000858306884</v>
      </c>
    </row>
    <row r="54" spans="2:3" x14ac:dyDescent="0.3">
      <c r="B54">
        <f>B$9 * (10.7506303787231 -B$8)</f>
        <v>10.7506303787231</v>
      </c>
      <c r="C54">
        <f>C$9 * (10.7500495910644 -C$8)</f>
        <v>10.7500495910644</v>
      </c>
    </row>
    <row r="55" spans="2:3" x14ac:dyDescent="0.3">
      <c r="B55">
        <f>B$9 * (11.0006523132324 -B$8)</f>
        <v>11.000652313232401</v>
      </c>
      <c r="C55">
        <f>C$9 * (11.0002698898315 -C$8)</f>
        <v>11.0002698898315</v>
      </c>
    </row>
    <row r="56" spans="2:3" x14ac:dyDescent="0.3">
      <c r="B56">
        <f>B$9 * (11.2500162124633 -B$8)</f>
        <v>11.250016212463301</v>
      </c>
      <c r="C56">
        <f>C$9 * (11.250389099121 -C$8)</f>
        <v>11.250389099121</v>
      </c>
    </row>
    <row r="57" spans="2:3" x14ac:dyDescent="0.3">
      <c r="B57">
        <f>B$9 * (11.5000391006469 -B$8)</f>
        <v>11.5000391006469</v>
      </c>
      <c r="C57">
        <f>C$9 * (11.5005664825439 -C$8)</f>
        <v>11.500566482543899</v>
      </c>
    </row>
    <row r="58" spans="2:3" x14ac:dyDescent="0.3">
      <c r="B58">
        <f>B$9 * (11.7500610351562 -B$8)</f>
        <v>11.7500610351562</v>
      </c>
      <c r="C58">
        <f>C$9 * (11.7500057220459 -C$8)</f>
        <v>11.7500057220459</v>
      </c>
    </row>
    <row r="59" spans="2:3" x14ac:dyDescent="0.3">
      <c r="B59">
        <f>B$9 * (12.0000829696655 -B$8)</f>
        <v>12.000082969665501</v>
      </c>
      <c r="C59">
        <f>C$9 * (12.0005273818969 -C$8)</f>
        <v>12.0005273818969</v>
      </c>
    </row>
    <row r="60" spans="2:3" x14ac:dyDescent="0.3">
      <c r="B60">
        <f>B$9 * (12.2501058578491 -B$8)</f>
        <v>12.2501058578491</v>
      </c>
      <c r="C60">
        <f>C$9 * (12.2503080368042 -C$8)</f>
        <v>12.250308036804199</v>
      </c>
    </row>
    <row r="61" spans="2:3" x14ac:dyDescent="0.3">
      <c r="B61">
        <f>B$9 * (12.5001249313354 -B$8)</f>
        <v>12.500124931335399</v>
      </c>
      <c r="C61">
        <f>C$9 * (12.5001697540283 -C$8)</f>
        <v>12.500169754028301</v>
      </c>
    </row>
    <row r="62" spans="2:3" x14ac:dyDescent="0.3">
      <c r="B62">
        <f>B$9 * (12.7501468658447 -B$8)</f>
        <v>12.7501468658447</v>
      </c>
      <c r="C62">
        <f>C$9 * (12.7501029968261 -C$8)</f>
        <v>12.750102996826101</v>
      </c>
    </row>
    <row r="63" spans="2:3" x14ac:dyDescent="0.3">
      <c r="B63">
        <f>B$9 * (13.0001697540283 -B$8)</f>
        <v>13.000169754028301</v>
      </c>
      <c r="C63">
        <f>C$9 * (13.0001249313354 -C$8)</f>
        <v>13.000124931335399</v>
      </c>
    </row>
    <row r="64" spans="2:3" x14ac:dyDescent="0.3">
      <c r="B64">
        <f>B$9 * (13.2501916885376 -B$8)</f>
        <v>13.250191688537599</v>
      </c>
      <c r="C64">
        <f>C$9 * (13.2501611709594 -C$8)</f>
        <v>13.2501611709594</v>
      </c>
    </row>
    <row r="65" spans="2:3" x14ac:dyDescent="0.3">
      <c r="B65">
        <f>B$9 * (13.5002136230468 -B$8)</f>
        <v>13.5002136230468</v>
      </c>
      <c r="C65">
        <f>C$9 * (13.5004529953002 -C$8)</f>
        <v>13.500452995300201</v>
      </c>
    </row>
    <row r="66" spans="2:3" x14ac:dyDescent="0.3">
      <c r="B66">
        <f>B$9 * (13.7502365112304 -B$8)</f>
        <v>13.750236511230399</v>
      </c>
      <c r="C66">
        <f>C$9 * (13.7502555847168 -C$8)</f>
        <v>13.7502555847168</v>
      </c>
    </row>
    <row r="67" spans="2:3" x14ac:dyDescent="0.3">
      <c r="B67">
        <f>B$9 * (14.0002584457397 -B$8)</f>
        <v>14.0002584457397</v>
      </c>
      <c r="C67">
        <f>C$9 * (14.0000057220459 -C$8)</f>
        <v>14.0000057220459</v>
      </c>
    </row>
    <row r="68" spans="2:3" x14ac:dyDescent="0.3">
      <c r="B68">
        <f>B$9 * (14.250280380249 -B$8)</f>
        <v>14.250280380249</v>
      </c>
      <c r="C68">
        <f>C$9 * (14.2500476837158 -C$8)</f>
        <v>14.250047683715801</v>
      </c>
    </row>
    <row r="69" spans="2:3" x14ac:dyDescent="0.3">
      <c r="B69">
        <f>B$9 * (14.5003023147583 -B$8)</f>
        <v>14.500302314758301</v>
      </c>
      <c r="C69">
        <f>C$9 * (14.5001668930053 -C$8)</f>
        <v>14.5001668930053</v>
      </c>
    </row>
    <row r="70" spans="2:3" x14ac:dyDescent="0.3">
      <c r="B70">
        <f>B$9 * (14.7503252029418 -B$8)</f>
        <v>14.7503252029418</v>
      </c>
      <c r="C70">
        <f>C$9 * (14.7503108978271 -C$8)</f>
        <v>14.7503108978271</v>
      </c>
    </row>
    <row r="71" spans="2:3" x14ac:dyDescent="0.3">
      <c r="B71">
        <f>B$9 * (15.0003471374511 -B$8)</f>
        <v>15.000347137451101</v>
      </c>
      <c r="C71">
        <f>C$9 * (15.0002365112304 -C$8)</f>
        <v>15.000236511230399</v>
      </c>
    </row>
    <row r="72" spans="2:3" x14ac:dyDescent="0.3">
      <c r="B72">
        <f>B$9 * (15.2503690719604 -B$8)</f>
        <v>15.250369071960399</v>
      </c>
      <c r="C72">
        <f>C$9 * (15.2507247924804 -C$8)</f>
        <v>15.250724792480399</v>
      </c>
    </row>
    <row r="73" spans="2:3" x14ac:dyDescent="0.3">
      <c r="B73">
        <f>B$9 * (15.500391960144 -B$8)</f>
        <v>15.500391960144</v>
      </c>
      <c r="C73">
        <f>C$9 * (15.5000858306884 -C$8)</f>
        <v>15.5000858306884</v>
      </c>
    </row>
    <row r="74" spans="2:3" x14ac:dyDescent="0.3">
      <c r="B74">
        <f>B$9 * (15.7504138946533 -B$8)</f>
        <v>15.750413894653301</v>
      </c>
      <c r="C74">
        <f>C$9 * (15.7507801055908 -C$8)</f>
        <v>15.750780105590801</v>
      </c>
    </row>
    <row r="75" spans="2:3" x14ac:dyDescent="0.3">
      <c r="B75">
        <f>B$9 * (16.0004367828369 -B$8)</f>
        <v>16.0004367828369</v>
      </c>
      <c r="C75">
        <f>C$9 * (16.0000858306884 -C$8)</f>
        <v>16.000085830688398</v>
      </c>
    </row>
    <row r="76" spans="2:3" x14ac:dyDescent="0.3">
      <c r="B76">
        <f>B$9 * (16.2504558563232 -B$8)</f>
        <v>16.2504558563232</v>
      </c>
      <c r="C76">
        <f>C$9 * (16.2500228881835 -C$8)</f>
        <v>16.250022888183501</v>
      </c>
    </row>
    <row r="77" spans="2:3" x14ac:dyDescent="0.3">
      <c r="B77">
        <f>B$9 * (16.5004768371582 -B$8)</f>
        <v>16.5004768371582</v>
      </c>
      <c r="C77">
        <f>C$9 * (16.5002975463867 -C$8)</f>
        <v>16.500297546386701</v>
      </c>
    </row>
    <row r="78" spans="2:3" x14ac:dyDescent="0.3">
      <c r="B78">
        <f>B$9 * (16.7504997253418 -B$8)</f>
        <v>16.7504997253418</v>
      </c>
      <c r="C78">
        <f>C$9 * (16.7504501342773 -C$8)</f>
        <v>16.750450134277301</v>
      </c>
    </row>
    <row r="79" spans="2:3" x14ac:dyDescent="0.3">
      <c r="B79">
        <f>B$9 * (17.0005226135253 -B$8)</f>
        <v>17.000522613525298</v>
      </c>
      <c r="C79">
        <f>C$9 * (17.0007610321044 -C$8)</f>
        <v>17.0007610321044</v>
      </c>
    </row>
    <row r="80" spans="2:3" x14ac:dyDescent="0.3">
      <c r="B80">
        <f>B$9 * (17.2505435943603 -B$8)</f>
        <v>17.250543594360298</v>
      </c>
      <c r="C80">
        <f>C$9 * (17.250202178955 -C$8)</f>
        <v>17.250202178955</v>
      </c>
    </row>
    <row r="81" spans="2:3" x14ac:dyDescent="0.3">
      <c r="B81">
        <f>B$9 * (17.5005664825439 -B$8)</f>
        <v>17.500566482543899</v>
      </c>
      <c r="C81">
        <f>C$9 * (17.500144958496 -C$8)</f>
        <v>17.500144958496001</v>
      </c>
    </row>
    <row r="82" spans="2:3" x14ac:dyDescent="0.3">
      <c r="B82">
        <f>B$9 * (17.7505893707275 -B$8)</f>
        <v>17.7505893707275</v>
      </c>
      <c r="C82">
        <f>C$9 * (17.7501258850097 -C$8)</f>
        <v>17.750125885009702</v>
      </c>
    </row>
    <row r="83" spans="2:3" x14ac:dyDescent="0.3">
      <c r="B83">
        <f>B$9 * (18.0006103515625 -B$8)</f>
        <v>18.0006103515625</v>
      </c>
      <c r="C83">
        <f>C$9 * (18.0000171661377 -C$8)</f>
        <v>18.000017166137699</v>
      </c>
    </row>
    <row r="84" spans="2:3" x14ac:dyDescent="0.3">
      <c r="B84">
        <f>B$9 * (18.250633239746 -B$8)</f>
        <v>18.250633239746001</v>
      </c>
      <c r="C84">
        <f>C$9 * (18.2500629425048 -C$8)</f>
        <v>18.250062942504801</v>
      </c>
    </row>
    <row r="85" spans="2:3" x14ac:dyDescent="0.3">
      <c r="B85">
        <f>B$9 * (18.5006561279296 -B$8)</f>
        <v>18.500656127929599</v>
      </c>
      <c r="C85">
        <f>C$9 * (18.5005435943603 -C$8)</f>
        <v>18.500543594360298</v>
      </c>
    </row>
    <row r="86" spans="2:3" x14ac:dyDescent="0.3">
      <c r="B86">
        <f>B$9 * (18.7500171661377 -B$8)</f>
        <v>18.750017166137699</v>
      </c>
      <c r="C86">
        <f>C$9 * (18.7505912780761 -C$8)</f>
        <v>18.750591278076101</v>
      </c>
    </row>
    <row r="87" spans="2:3" x14ac:dyDescent="0.3">
      <c r="B87">
        <f>B$9 * (19.0000381469726 -B$8)</f>
        <v>19.000038146972599</v>
      </c>
      <c r="C87">
        <f>C$9 * (19.0007057189941 -C$8)</f>
        <v>19.000705718994102</v>
      </c>
    </row>
    <row r="88" spans="2:3" x14ac:dyDescent="0.3">
      <c r="B88">
        <f>B$9 * (19.2500610351562 -B$8)</f>
        <v>19.2500610351562</v>
      </c>
      <c r="C88">
        <f>C$9 * (19.2506256103515 -C$8)</f>
        <v>19.250625610351499</v>
      </c>
    </row>
    <row r="89" spans="2:3" x14ac:dyDescent="0.3">
      <c r="B89">
        <f>B$9 * (19.5000839233398 -B$8)</f>
        <v>19.500083923339801</v>
      </c>
      <c r="C89">
        <f>C$9 * (19.5002250671386 -C$8)</f>
        <v>19.500225067138601</v>
      </c>
    </row>
    <row r="90" spans="2:3" x14ac:dyDescent="0.3">
      <c r="B90">
        <f>B$9 * (19.7501049041748 -B$8)</f>
        <v>19.750104904174801</v>
      </c>
      <c r="C90">
        <f>C$9 * (19.7506504058837 -C$8)</f>
        <v>19.7506504058837</v>
      </c>
    </row>
    <row r="91" spans="2:3" x14ac:dyDescent="0.3">
      <c r="B91">
        <f>B$9 * (20.0001277923584 -B$8)</f>
        <v>20.000127792358398</v>
      </c>
      <c r="C91">
        <f>C$9 * (20.0004577636718 -C$8)</f>
        <v>20.0004577636718</v>
      </c>
    </row>
    <row r="92" spans="2:3" x14ac:dyDescent="0.3">
      <c r="B92">
        <f>B$9 * (20.2501506805419 -B$8)</f>
        <v>20.2501506805419</v>
      </c>
      <c r="C92">
        <f>C$9 * (20.2502841949462 -C$8)</f>
        <v>20.2502841949462</v>
      </c>
    </row>
    <row r="93" spans="2:3" x14ac:dyDescent="0.3">
      <c r="B93">
        <f>B$9 * (20.5001716613769 -B$8)</f>
        <v>20.5001716613769</v>
      </c>
      <c r="C93">
        <f>C$9 * (20.5000190734863 -C$8)</f>
        <v>20.5000190734863</v>
      </c>
    </row>
    <row r="94" spans="2:3" x14ac:dyDescent="0.3">
      <c r="B94">
        <f>B$9 * (20.7501945495605 -B$8)</f>
        <v>20.750194549560501</v>
      </c>
      <c r="C94">
        <f>C$9 * (20.7501049041748 -C$8)</f>
        <v>20.750104904174801</v>
      </c>
    </row>
    <row r="95" spans="2:3" x14ac:dyDescent="0.3">
      <c r="B95">
        <f>B$9 * (21.0002174377441 -B$8)</f>
        <v>21.000217437744102</v>
      </c>
      <c r="C95">
        <f>C$9 * (21.000597000122 -C$8)</f>
        <v>21.000597000121999</v>
      </c>
    </row>
    <row r="96" spans="2:3" x14ac:dyDescent="0.3">
      <c r="B96">
        <f>B$9 * (21.2502384185791 -B$8)</f>
        <v>21.250238418579102</v>
      </c>
      <c r="C96">
        <f>C$9 * (21.2500495910644 -C$8)</f>
        <v>21.2500495910644</v>
      </c>
    </row>
    <row r="97" spans="2:3" x14ac:dyDescent="0.3">
      <c r="B97">
        <f>B$9 * (21.5002613067627 -B$8)</f>
        <v>21.500261306762699</v>
      </c>
      <c r="C97">
        <f>C$9 * (21.5006771087646 -C$8)</f>
        <v>21.500677108764599</v>
      </c>
    </row>
    <row r="98" spans="2:3" x14ac:dyDescent="0.3">
      <c r="B98">
        <f>B$9 * (21.7502841949462 -B$8)</f>
        <v>21.7502841949462</v>
      </c>
      <c r="C98">
        <f>C$9 * (21.7505798339843 -C$8)</f>
        <v>21.7505798339843</v>
      </c>
    </row>
    <row r="99" spans="2:3" x14ac:dyDescent="0.3">
      <c r="B99">
        <f>B$9 * (22.0003032684326 -B$8)</f>
        <v>22.000303268432599</v>
      </c>
      <c r="C99">
        <f>C$9 * (22.0003643035888 -C$8)</f>
        <v>22.0003643035888</v>
      </c>
    </row>
    <row r="100" spans="2:3" x14ac:dyDescent="0.3">
      <c r="B100">
        <f>B$9 * (22.2503242492675 -B$8)</f>
        <v>22.2503242492675</v>
      </c>
      <c r="C100">
        <f>C$9 * (22.2504425048828 -C$8)</f>
        <v>22.250442504882798</v>
      </c>
    </row>
    <row r="101" spans="2:3" x14ac:dyDescent="0.3">
      <c r="B101">
        <f>B$9 * (22.5003471374511 -B$8)</f>
        <v>22.500347137451101</v>
      </c>
      <c r="C101">
        <f>C$9 * (22.5002746582031 -C$8)</f>
        <v>22.5002746582031</v>
      </c>
    </row>
    <row r="102" spans="2:3" x14ac:dyDescent="0.3">
      <c r="B102">
        <f>B$9 * (22.7503700256347 -B$8)</f>
        <v>22.750370025634702</v>
      </c>
      <c r="C102">
        <f>C$9 * (22.7501583099365 -C$8)</f>
        <v>22.750158309936499</v>
      </c>
    </row>
    <row r="103" spans="2:3" x14ac:dyDescent="0.3">
      <c r="B103">
        <f>B$9 * (23.0003910064697 -B$8)</f>
        <v>23.000391006469702</v>
      </c>
      <c r="C103">
        <f>C$9 * (23.000186920166 -C$8)</f>
        <v>23.000186920166001</v>
      </c>
    </row>
    <row r="104" spans="2:3" x14ac:dyDescent="0.3">
      <c r="B104">
        <f>B$9 * (23.2504138946533 -B$8)</f>
        <v>23.250413894653299</v>
      </c>
      <c r="C104">
        <f>C$9 * (23.2501144409179 -C$8)</f>
        <v>23.250114440917901</v>
      </c>
    </row>
    <row r="105" spans="2:3" x14ac:dyDescent="0.3">
      <c r="B105">
        <f>B$9 * (23.5004367828369 -B$8)</f>
        <v>23.5004367828369</v>
      </c>
      <c r="C105">
        <f>C$9 * (23.5003852844238 -C$8)</f>
        <v>23.5003852844238</v>
      </c>
    </row>
    <row r="106" spans="2:3" x14ac:dyDescent="0.3">
      <c r="B106">
        <f>B$9 * (23.7504577636718 -B$8)</f>
        <v>23.7504577636718</v>
      </c>
      <c r="C106">
        <f>C$9 * (23.7501773834228 -C$8)</f>
        <v>23.750177383422798</v>
      </c>
    </row>
    <row r="107" spans="2:3" x14ac:dyDescent="0.3">
      <c r="B107">
        <f>B$9 * (24.0004806518554 -B$8)</f>
        <v>24.000480651855401</v>
      </c>
      <c r="C107">
        <f>C$9 * (24.0006389617919 -C$8)</f>
        <v>24.0006389617919</v>
      </c>
    </row>
    <row r="108" spans="2:3" x14ac:dyDescent="0.3">
      <c r="B108">
        <f>B$9 * (24.250503540039 -B$8)</f>
        <v>24.250503540038999</v>
      </c>
      <c r="C108">
        <f>C$9 * (24.2506370544433 -C$8)</f>
        <v>24.250637054443299</v>
      </c>
    </row>
    <row r="109" spans="2:3" x14ac:dyDescent="0.3">
      <c r="B109">
        <f>B$9 * (24.500524520874 -B$8)</f>
        <v>24.500524520873999</v>
      </c>
      <c r="C109">
        <f>C$9 * (24.5004806518554 -C$8)</f>
        <v>24.500480651855401</v>
      </c>
    </row>
    <row r="110" spans="2:3" x14ac:dyDescent="0.3">
      <c r="B110">
        <f>B$9 * (24.7505474090576 -B$8)</f>
        <v>24.750547409057599</v>
      </c>
      <c r="C110">
        <f>C$9 * (24.7500858306884 -C$8)</f>
        <v>24.750085830688398</v>
      </c>
    </row>
    <row r="111" spans="2:3" x14ac:dyDescent="0.3">
      <c r="B111">
        <f>B$9 * (25.0005702972412 -B$8)</f>
        <v>25.0005702972412</v>
      </c>
      <c r="C111">
        <f>C$9 * (25.0004425048828 -C$8)</f>
        <v>25.000442504882798</v>
      </c>
    </row>
    <row r="112" spans="2:3" x14ac:dyDescent="0.3">
      <c r="B112">
        <f>B$9 * (25.2505912780761 -B$8)</f>
        <v>25.250591278076101</v>
      </c>
      <c r="C112">
        <f>C$9 * (25.2506084442138 -C$8)</f>
        <v>25.2506084442138</v>
      </c>
    </row>
    <row r="113" spans="2:3" x14ac:dyDescent="0.3">
      <c r="B113">
        <f>B$9 * (25.5006141662597 -B$8)</f>
        <v>25.500614166259702</v>
      </c>
      <c r="C113">
        <f>C$9 * (25.5000686645507 -C$8)</f>
        <v>25.5000686645507</v>
      </c>
    </row>
    <row r="114" spans="2:3" x14ac:dyDescent="0.3">
      <c r="B114">
        <f>B$9 * (25.7506370544433 -B$8)</f>
        <v>25.750637054443299</v>
      </c>
      <c r="C114">
        <f>C$9 * (25.7504520416259 -C$8)</f>
        <v>25.750452041625898</v>
      </c>
    </row>
    <row r="115" spans="2:3" x14ac:dyDescent="0.3">
      <c r="B115">
        <f>B$9 * (26.0006561279296 -B$8)</f>
        <v>26.000656127929599</v>
      </c>
      <c r="C115">
        <f>C$9 * (26.0002918243408 -C$8)</f>
        <v>26.000291824340799</v>
      </c>
    </row>
    <row r="116" spans="2:3" x14ac:dyDescent="0.3">
      <c r="B116">
        <f>B$9 * (26.2500190734863 -B$8)</f>
        <v>26.2500190734863</v>
      </c>
      <c r="C116">
        <f>C$9 * (26.250202178955 -C$8)</f>
        <v>26.250202178955</v>
      </c>
    </row>
    <row r="117" spans="2:3" x14ac:dyDescent="0.3">
      <c r="B117">
        <f>B$9 * (26.5000419616699 -B$8)</f>
        <v>26.500041961669901</v>
      </c>
      <c r="C117">
        <f>C$9 * (26.5007190704345 -C$8)</f>
        <v>26.500719070434499</v>
      </c>
    </row>
    <row r="118" spans="2:3" x14ac:dyDescent="0.3">
      <c r="B118">
        <f>B$9 * (26.7500629425048 -B$8)</f>
        <v>26.750062942504801</v>
      </c>
      <c r="C118">
        <f>C$9 * (26.7503509521484 -C$8)</f>
        <v>26.750350952148398</v>
      </c>
    </row>
    <row r="119" spans="2:3" x14ac:dyDescent="0.3">
      <c r="B119">
        <f>B$9 * (27.0000858306884 -B$8)</f>
        <v>27.000085830688398</v>
      </c>
      <c r="C119">
        <f>C$9 * (27.0004386901855 -C$8)</f>
        <v>27.000438690185501</v>
      </c>
    </row>
    <row r="120" spans="2:3" x14ac:dyDescent="0.3">
      <c r="B120">
        <f>B$9 * (27.250108718872 -B$8)</f>
        <v>27.250108718871999</v>
      </c>
      <c r="C120">
        <f>C$9 * (27.2502479553222 -C$8)</f>
        <v>27.250247955322202</v>
      </c>
    </row>
    <row r="121" spans="2:3" x14ac:dyDescent="0.3">
      <c r="B121">
        <f>B$9 * (27.500129699707 -B$8)</f>
        <v>27.500129699706999</v>
      </c>
      <c r="C121">
        <f>C$9 * (27.5003223419189 -C$8)</f>
        <v>27.500322341918899</v>
      </c>
    </row>
    <row r="122" spans="2:3" x14ac:dyDescent="0.3">
      <c r="B122">
        <f>B$9 * (27.7501525878906 -B$8)</f>
        <v>27.7501525878906</v>
      </c>
      <c r="C122">
        <f>C$9 * (27.7501811981201 -C$8)</f>
        <v>27.750181198120099</v>
      </c>
    </row>
    <row r="123" spans="2:3" x14ac:dyDescent="0.3">
      <c r="B123">
        <f>B$9 * (28.000165939331 -B$8)</f>
        <v>28.000165939331001</v>
      </c>
      <c r="C123">
        <f>C$9 * (28.0000286102294 -C$8)</f>
        <v>28.0000286102294</v>
      </c>
    </row>
    <row r="124" spans="2:3" x14ac:dyDescent="0.3">
      <c r="B124">
        <f>B$9 * (28.2501945495605 -B$8)</f>
        <v>28.250194549560501</v>
      </c>
      <c r="C124">
        <f>C$9 * (28.2500286102294 -C$8)</f>
        <v>28.2500286102294</v>
      </c>
    </row>
    <row r="125" spans="2:3" x14ac:dyDescent="0.3">
      <c r="B125">
        <f>B$9 * (28.50022315979 -B$8)</f>
        <v>28.50022315979</v>
      </c>
      <c r="C125">
        <f>C$9 * (28.5002784729003 -C$8)</f>
        <v>28.500278472900298</v>
      </c>
    </row>
    <row r="126" spans="2:3" x14ac:dyDescent="0.3">
      <c r="B126">
        <f>B$9 * (28.7502498626709 -B$8)</f>
        <v>28.750249862670898</v>
      </c>
      <c r="C126">
        <f>C$9 * (28.7501106262207 -C$8)</f>
        <v>28.7501106262207</v>
      </c>
    </row>
    <row r="127" spans="2:3" x14ac:dyDescent="0.3">
      <c r="B127">
        <f>B$9 * (29.0002498626709 -B$8)</f>
        <v>29.000249862670898</v>
      </c>
      <c r="C127">
        <f>C$9 * (29.0006103515625 -C$8)</f>
        <v>29.0006103515625</v>
      </c>
    </row>
    <row r="128" spans="2:3" x14ac:dyDescent="0.3">
      <c r="B128">
        <f>B$9 * (29.2502784729003 -B$8)</f>
        <v>29.250278472900298</v>
      </c>
      <c r="C128">
        <f>C$9 * (29.2502498626709 -C$8)</f>
        <v>29.250249862670898</v>
      </c>
    </row>
    <row r="129" spans="2:3" x14ac:dyDescent="0.3">
      <c r="B129">
        <f>B$9 * (29.5003051757812 -B$8)</f>
        <v>29.5003051757812</v>
      </c>
      <c r="C129">
        <f>C$9 * (29.5004730224609 -C$8)</f>
        <v>29.500473022460898</v>
      </c>
    </row>
    <row r="130" spans="2:3" x14ac:dyDescent="0.3">
      <c r="B130">
        <f>B$9 * (29.7503337860107 -B$8)</f>
        <v>29.7503337860107</v>
      </c>
      <c r="C130">
        <f>C$9 * (29.7501106262207 -C$8)</f>
        <v>29.7501106262207</v>
      </c>
    </row>
    <row r="131" spans="2:3" x14ac:dyDescent="0.3">
      <c r="B131">
        <f>B$9 * (30.0003604888916 -B$8)</f>
        <v>30.000360488891602</v>
      </c>
      <c r="C131">
        <f>C$9 * (30.0002498626709 -C$8)</f>
        <v>30.000249862670898</v>
      </c>
    </row>
    <row r="132" spans="2:3" x14ac:dyDescent="0.3">
      <c r="B132">
        <f>B$9 * (30.2503604888916 -B$8)</f>
        <v>30.250360488891602</v>
      </c>
      <c r="C132">
        <f>C$9 * (30.25 -C$8)</f>
        <v>30.25</v>
      </c>
    </row>
    <row r="133" spans="2:3" x14ac:dyDescent="0.3">
      <c r="B133">
        <f>B$9 * (30.500389099121 -B$8)</f>
        <v>30.500389099121001</v>
      </c>
      <c r="C133">
        <f>C$9 * (30.500165939331 -C$8)</f>
        <v>30.500165939331001</v>
      </c>
    </row>
    <row r="134" spans="2:3" x14ac:dyDescent="0.3">
      <c r="B134">
        <f>B$9 * (30.7504158020019 -B$8)</f>
        <v>30.7504158020019</v>
      </c>
      <c r="C134">
        <f>C$9 * (30.7505836486816 -C$8)</f>
        <v>30.750583648681602</v>
      </c>
    </row>
    <row r="135" spans="2:3" x14ac:dyDescent="0.3">
      <c r="B135">
        <f>B$9 * (31.0004444122314 -B$8)</f>
        <v>31.000444412231399</v>
      </c>
      <c r="C135">
        <f>C$9 * (31.0000839233398 -C$8)</f>
        <v>31.000083923339801</v>
      </c>
    </row>
    <row r="136" spans="2:3" x14ac:dyDescent="0.3">
      <c r="B136">
        <f>B$9 * (31.2504730224609 -B$8)</f>
        <v>31.250473022460898</v>
      </c>
      <c r="C136">
        <f>C$9 * (31.2502784729003 -C$8)</f>
        <v>31.250278472900298</v>
      </c>
    </row>
    <row r="137" spans="2:3" x14ac:dyDescent="0.3">
      <c r="B137">
        <f>B$9 * (31.5004730224609 -B$8)</f>
        <v>31.500473022460898</v>
      </c>
      <c r="C137">
        <f>C$9 * (31.5003337860107 -C$8)</f>
        <v>31.5003337860107</v>
      </c>
    </row>
    <row r="138" spans="2:3" x14ac:dyDescent="0.3">
      <c r="B138">
        <f>B$9 * (31.7504997253418 -B$8)</f>
        <v>31.7504997253418</v>
      </c>
      <c r="C138">
        <f>C$9 * (31.7501945495605 -C$8)</f>
        <v>31.750194549560501</v>
      </c>
    </row>
    <row r="139" spans="2:3" x14ac:dyDescent="0.3">
      <c r="B139">
        <f>B$9 * (32.0005264282226 -B$8)</f>
        <v>32.000526428222599</v>
      </c>
      <c r="C139">
        <f>C$9 * (32.00044631958 -C$8)</f>
        <v>32.00044631958</v>
      </c>
    </row>
    <row r="140" spans="2:3" x14ac:dyDescent="0.3">
      <c r="B140">
        <f>B$9 * (32.2505569458007 -B$8)</f>
        <v>32.250556945800703</v>
      </c>
      <c r="C140">
        <f>C$9 * (32.250389099121 -C$8)</f>
        <v>32.250389099121001</v>
      </c>
    </row>
    <row r="141" spans="2:3" x14ac:dyDescent="0.3">
      <c r="B141">
        <f>B$9 * (32.5005836486816 -B$8)</f>
        <v>32.500583648681598</v>
      </c>
      <c r="C141">
        <f>C$9 * (32.5 -C$8)</f>
        <v>32.5</v>
      </c>
    </row>
    <row r="142" spans="2:3" x14ac:dyDescent="0.3">
      <c r="B142">
        <f>B$9 * (32.7505836486816 -B$8)</f>
        <v>32.750583648681598</v>
      </c>
      <c r="C142">
        <f>C$9 * (32.7503318786621 -C$8)</f>
        <v>32.750331878662102</v>
      </c>
    </row>
    <row r="143" spans="2:3" x14ac:dyDescent="0.3">
      <c r="B143">
        <f>B$9 * (33.0006103515625 -B$8)</f>
        <v>33.0006103515625</v>
      </c>
      <c r="C143">
        <f>C$9 * (33.0002517700195 -C$8)</f>
        <v>33.000251770019503</v>
      </c>
    </row>
    <row r="144" spans="2:3" x14ac:dyDescent="0.3">
      <c r="B144">
        <f>B$9 * (33.2506370544433 -B$8)</f>
        <v>33.250637054443303</v>
      </c>
      <c r="C144">
        <f>C$9 * (33.2504158020019 -C$8)</f>
        <v>33.250415802001903</v>
      </c>
    </row>
    <row r="145" spans="2:3" x14ac:dyDescent="0.3">
      <c r="B145">
        <f>B$9 * (33.5006675720214 -B$8)</f>
        <v>33.500667572021399</v>
      </c>
      <c r="C145">
        <f>C$9 * (33.5002784729003 -C$8)</f>
        <v>33.500278472900298</v>
      </c>
    </row>
    <row r="146" spans="2:3" x14ac:dyDescent="0.3">
      <c r="B146">
        <f>B$9 * (33.7500267028808 -B$8)</f>
        <v>33.750026702880803</v>
      </c>
      <c r="C146">
        <f>C$9 * (33.7506942749023 -C$8)</f>
        <v>33.750694274902301</v>
      </c>
    </row>
    <row r="147" spans="2:3" x14ac:dyDescent="0.3">
      <c r="B147">
        <f>B$9 * (34.0000572204589 -B$8)</f>
        <v>34.000057220458899</v>
      </c>
      <c r="C147">
        <f>C$9 * (34.0001106262207 -C$8)</f>
        <v>34.000110626220703</v>
      </c>
    </row>
    <row r="148" spans="2:3" x14ac:dyDescent="0.3">
      <c r="B148">
        <f>B$9 * (34.2500572204589 -B$8)</f>
        <v>34.250057220458899</v>
      </c>
      <c r="C148">
        <f>C$9 * (34.2505836486816 -C$8)</f>
        <v>34.250583648681598</v>
      </c>
    </row>
    <row r="149" spans="2:3" x14ac:dyDescent="0.3">
      <c r="B149">
        <f>B$9 * (34.5000839233398 -B$8)</f>
        <v>34.500083923339801</v>
      </c>
      <c r="C149">
        <f>C$9 * (34.5001678466796 -C$8)</f>
        <v>34.500167846679602</v>
      </c>
    </row>
    <row r="150" spans="2:3" x14ac:dyDescent="0.3">
      <c r="B150">
        <f>B$9 * (34.7501106262207 -B$8)</f>
        <v>34.750110626220703</v>
      </c>
      <c r="C150">
        <f>C$9 * (34.7502517700195 -C$8)</f>
        <v>34.750251770019503</v>
      </c>
    </row>
    <row r="151" spans="2:3" x14ac:dyDescent="0.3">
      <c r="B151">
        <f>B$9 * (35.0001373291015 -B$8)</f>
        <v>35.000137329101499</v>
      </c>
      <c r="C151">
        <f>C$9 * (35.0006370544433 -C$8)</f>
        <v>35.000637054443303</v>
      </c>
    </row>
    <row r="152" spans="2:3" x14ac:dyDescent="0.3">
      <c r="B152">
        <f>B$9 * (35.2501678466796 -B$8)</f>
        <v>35.250167846679602</v>
      </c>
      <c r="C152">
        <f>C$9 * (35.2509155273437 -C$8)</f>
        <v>35.2509155273437</v>
      </c>
    </row>
    <row r="153" spans="2:3" x14ac:dyDescent="0.3">
      <c r="B153">
        <f>B$9 * (35.5001678466796 -B$8)</f>
        <v>35.500167846679602</v>
      </c>
      <c r="C153">
        <f>C$9 * (35.5001373291015 -C$8)</f>
        <v>35.500137329101499</v>
      </c>
    </row>
    <row r="154" spans="2:3" x14ac:dyDescent="0.3">
      <c r="B154">
        <f>B$9 * (35.7501945495605 -B$8)</f>
        <v>35.750194549560497</v>
      </c>
      <c r="C154">
        <f>C$9 * (35.7501945495605 -C$8)</f>
        <v>35.750194549560497</v>
      </c>
    </row>
    <row r="155" spans="2:3" x14ac:dyDescent="0.3">
      <c r="B155">
        <f>B$9 * (36.0002212524414 -B$8)</f>
        <v>36.000221252441399</v>
      </c>
      <c r="C155">
        <f>C$9 * (36.0001945495605 -C$8)</f>
        <v>36.000194549560497</v>
      </c>
    </row>
    <row r="156" spans="2:3" x14ac:dyDescent="0.3">
      <c r="B156">
        <f>B$9 * (36.2502517700195 -B$8)</f>
        <v>36.250251770019503</v>
      </c>
      <c r="C156">
        <f>C$9 * (36.2502784729003 -C$8)</f>
        <v>36.250278472900298</v>
      </c>
    </row>
    <row r="157" spans="2:3" x14ac:dyDescent="0.3">
      <c r="B157">
        <f>B$9 * (36.5002517700195 -B$8)</f>
        <v>36.500251770019503</v>
      </c>
      <c r="C157">
        <f>C$9 * (36.5007781982421 -C$8)</f>
        <v>36.500778198242102</v>
      </c>
    </row>
    <row r="158" spans="2:3" x14ac:dyDescent="0.3">
      <c r="B158">
        <f>B$9 * (36.7502784729003 -B$8)</f>
        <v>36.750278472900298</v>
      </c>
      <c r="C158">
        <f>C$9 * (36.7500572204589 -C$8)</f>
        <v>36.750057220458899</v>
      </c>
    </row>
    <row r="159" spans="2:3" x14ac:dyDescent="0.3">
      <c r="B159">
        <f>B$9 * (37.0003051757812 -B$8)</f>
        <v>37.0003051757812</v>
      </c>
      <c r="C159">
        <f>C$9 * (37.0004158020019 -C$8)</f>
        <v>37.000415802001903</v>
      </c>
    </row>
    <row r="160" spans="2:3" x14ac:dyDescent="0.3">
      <c r="B160">
        <f>B$9 * (37.2503318786621 -B$8)</f>
        <v>37.250331878662102</v>
      </c>
      <c r="C160">
        <f>C$9 * (37.2503318786621 -C$8)</f>
        <v>37.250331878662102</v>
      </c>
    </row>
    <row r="161" spans="2:3" x14ac:dyDescent="0.3">
      <c r="B161">
        <f>B$9 * (37.5003623962402 -B$8)</f>
        <v>37.500362396240199</v>
      </c>
      <c r="C161">
        <f>C$9 * (37.5000839233398 -C$8)</f>
        <v>37.500083923339801</v>
      </c>
    </row>
    <row r="162" spans="2:3" x14ac:dyDescent="0.3">
      <c r="B162">
        <f>B$9 * (37.7503623962402 -B$8)</f>
        <v>37.750362396240199</v>
      </c>
      <c r="C162">
        <f>C$9 * (37.7503623962402 -C$8)</f>
        <v>37.750362396240199</v>
      </c>
    </row>
    <row r="163" spans="2:3" x14ac:dyDescent="0.3">
      <c r="B163">
        <f>B$9 * (38.000389099121 -B$8)</f>
        <v>38.000389099121001</v>
      </c>
      <c r="C163">
        <f>C$9 * (38.0004158020019 -C$8)</f>
        <v>38.000415802001903</v>
      </c>
    </row>
    <row r="164" spans="2:3" x14ac:dyDescent="0.3">
      <c r="B164">
        <f>B$9 * (38.2504158020019 -B$8)</f>
        <v>38.250415802001903</v>
      </c>
      <c r="C164">
        <f>C$9 * (38.25044631958 -C$8)</f>
        <v>38.25044631958</v>
      </c>
    </row>
    <row r="165" spans="2:3" x14ac:dyDescent="0.3">
      <c r="B165">
        <f>B$9 * (38.50044631958 -B$8)</f>
        <v>38.50044631958</v>
      </c>
      <c r="C165">
        <f>C$9 * (38.5004158020019 -C$8)</f>
        <v>38.500415802001903</v>
      </c>
    </row>
    <row r="166" spans="2:3" x14ac:dyDescent="0.3">
      <c r="B166">
        <f>B$9 * (38.7504730224609 -B$8)</f>
        <v>38.750473022460902</v>
      </c>
      <c r="C166">
        <f>C$9 * (38.7505264282226 -C$8)</f>
        <v>38.750526428222599</v>
      </c>
    </row>
    <row r="167" spans="2:3" x14ac:dyDescent="0.3">
      <c r="B167">
        <f>B$9 * (39.0004730224609 -B$8)</f>
        <v>39.000473022460902</v>
      </c>
      <c r="C167">
        <f>C$9 * (39.00044631958 -C$8)</f>
        <v>39.00044631958</v>
      </c>
    </row>
    <row r="168" spans="2:3" x14ac:dyDescent="0.3">
      <c r="B168">
        <f>B$9 * (39.2504997253418 -B$8)</f>
        <v>39.250499725341797</v>
      </c>
      <c r="C168">
        <f>C$9 * (39.2501945495605 -C$8)</f>
        <v>39.250194549560497</v>
      </c>
    </row>
    <row r="169" spans="2:3" x14ac:dyDescent="0.3">
      <c r="B169">
        <f>B$9 * (39.5005264282226 -B$8)</f>
        <v>39.500526428222599</v>
      </c>
      <c r="C169">
        <f>C$9 * (39.5000839233398 -C$8)</f>
        <v>39.500083923339801</v>
      </c>
    </row>
    <row r="170" spans="2:3" x14ac:dyDescent="0.3">
      <c r="B170">
        <f>B$9 * (39.7505569458007 -B$8)</f>
        <v>39.750556945800703</v>
      </c>
      <c r="C170">
        <f>C$9 * (39.750804901123 -C$8)</f>
        <v>39.750804901122997</v>
      </c>
    </row>
    <row r="171" spans="2:3" x14ac:dyDescent="0.3">
      <c r="B171">
        <f>B$9 * (40.0005836486816 -B$8)</f>
        <v>40.000583648681598</v>
      </c>
      <c r="C171">
        <f>C$9 * (40.0006370544433 -C$8)</f>
        <v>40.000637054443303</v>
      </c>
    </row>
    <row r="172" spans="2:3" x14ac:dyDescent="0.3">
      <c r="B172">
        <f>B$9 * (40.2505836486816 -B$8)</f>
        <v>40.250583648681598</v>
      </c>
      <c r="C172">
        <f>C$9 * (40.2501106262207 -C$8)</f>
        <v>40.250110626220703</v>
      </c>
    </row>
    <row r="173" spans="2:3" x14ac:dyDescent="0.3">
      <c r="B173">
        <f>B$9 * (40.5006103515625 -B$8)</f>
        <v>40.5006103515625</v>
      </c>
      <c r="C173">
        <f>C$9 * (40.5003051757812 -C$8)</f>
        <v>40.5003051757812</v>
      </c>
    </row>
    <row r="174" spans="2:3" x14ac:dyDescent="0.3">
      <c r="B174">
        <f>B$9 * (40.7506370544433 -B$8)</f>
        <v>40.750637054443303</v>
      </c>
      <c r="C174">
        <f>C$9 * (40.7504158020019 -C$8)</f>
        <v>40.750415802001903</v>
      </c>
    </row>
    <row r="175" spans="2:3" x14ac:dyDescent="0.3">
      <c r="B175">
        <f>B$9 * (41 -B$8)</f>
        <v>41</v>
      </c>
      <c r="C175">
        <f>C$9 * (41.0007781982421 -C$8)</f>
        <v>41.000778198242102</v>
      </c>
    </row>
    <row r="176" spans="2:3" x14ac:dyDescent="0.3">
      <c r="B176">
        <f>B$9 * (41.2500267028808 -B$8)</f>
        <v>41.250026702880803</v>
      </c>
      <c r="C176">
        <f>C$9 * (41.2507209777832 -C$8)</f>
        <v>41.250720977783203</v>
      </c>
    </row>
    <row r="177" spans="2:3" x14ac:dyDescent="0.3">
      <c r="B177">
        <f>B$9 * (41.5000572204589 -B$8)</f>
        <v>41.500057220458899</v>
      </c>
      <c r="C177">
        <f>C$9 * (41.5001373291015 -C$8)</f>
        <v>41.500137329101499</v>
      </c>
    </row>
    <row r="178" spans="2:3" x14ac:dyDescent="0.3">
      <c r="B178">
        <f>B$9 * (41.7500572204589 -B$8)</f>
        <v>41.750057220458899</v>
      </c>
      <c r="C178">
        <f>C$9 * (41.7505264282226 -C$8)</f>
        <v>41.750526428222599</v>
      </c>
    </row>
    <row r="179" spans="2:3" x14ac:dyDescent="0.3">
      <c r="B179">
        <f>B$9 * (42.0000839233398 -B$8)</f>
        <v>42.000083923339801</v>
      </c>
      <c r="C179">
        <f>C$9 * (42.0003051757812 -C$8)</f>
        <v>42.0003051757812</v>
      </c>
    </row>
    <row r="180" spans="2:3" x14ac:dyDescent="0.3">
      <c r="B180">
        <f>B$9 * (42.2501106262207 -B$8)</f>
        <v>42.250110626220703</v>
      </c>
      <c r="C180">
        <f>C$9 * (42.2501373291015 -C$8)</f>
        <v>42.250137329101499</v>
      </c>
    </row>
    <row r="181" spans="2:3" x14ac:dyDescent="0.3">
      <c r="B181">
        <f>B$9 * (42.5001373291015 -B$8)</f>
        <v>42.500137329101499</v>
      </c>
      <c r="C181">
        <f>C$9 * (42.5003051757812 -C$8)</f>
        <v>42.5003051757812</v>
      </c>
    </row>
    <row r="182" spans="2:3" x14ac:dyDescent="0.3">
      <c r="B182">
        <f>B$9 * (42.7501678466796 -B$8)</f>
        <v>42.750167846679602</v>
      </c>
      <c r="C182">
        <f>C$9 * (42.7504730224609 -C$8)</f>
        <v>42.750473022460902</v>
      </c>
    </row>
    <row r="183" spans="2:3" x14ac:dyDescent="0.3">
      <c r="B183">
        <f>B$9 * (43.0001678466796 -B$8)</f>
        <v>43.000167846679602</v>
      </c>
      <c r="C183">
        <f>C$9 * (43.0003051757812 -C$8)</f>
        <v>43.0003051757812</v>
      </c>
    </row>
    <row r="184" spans="2:3" x14ac:dyDescent="0.3">
      <c r="B184">
        <f>B$9 * (43.2501945495605 -B$8)</f>
        <v>43.250194549560497</v>
      </c>
      <c r="C184">
        <f>C$9 * (43.2506370544433 -C$8)</f>
        <v>43.250637054443303</v>
      </c>
    </row>
    <row r="185" spans="2:3" x14ac:dyDescent="0.3">
      <c r="B185">
        <f>B$9 * (43.5002212524414 -B$8)</f>
        <v>43.500221252441399</v>
      </c>
      <c r="C185">
        <f>C$9 * (43.5006103515625 -C$8)</f>
        <v>43.5006103515625</v>
      </c>
    </row>
    <row r="186" spans="2:3" x14ac:dyDescent="0.3">
      <c r="B186">
        <f>B$9 * (43.7502517700195 -B$8)</f>
        <v>43.750251770019503</v>
      </c>
      <c r="C186">
        <f>C$9 * (43.7503623962402 -C$8)</f>
        <v>43.750362396240199</v>
      </c>
    </row>
    <row r="187" spans="2:3" x14ac:dyDescent="0.3">
      <c r="B187">
        <f>B$9 * (44.0002784729003 -B$8)</f>
        <v>44.000278472900298</v>
      </c>
      <c r="C187">
        <f>C$9 * (44.0005264282226 -C$8)</f>
        <v>44.000526428222599</v>
      </c>
    </row>
    <row r="188" spans="2:3" x14ac:dyDescent="0.3">
      <c r="B188">
        <f>B$9 * (44.2502784729003 -B$8)</f>
        <v>44.250278472900298</v>
      </c>
      <c r="C188">
        <f>C$9 * (44.2502784729003 -C$8)</f>
        <v>44.250278472900298</v>
      </c>
    </row>
    <row r="189" spans="2:3" x14ac:dyDescent="0.3">
      <c r="B189">
        <f>B$9 * (44.5003051757812 -B$8)</f>
        <v>44.5003051757812</v>
      </c>
      <c r="C189">
        <f>C$9 * (44.5004730224609 -C$8)</f>
        <v>44.500473022460902</v>
      </c>
    </row>
    <row r="190" spans="2:3" x14ac:dyDescent="0.3">
      <c r="B190">
        <f>B$9 * (44.7503318786621 -B$8)</f>
        <v>44.750331878662102</v>
      </c>
      <c r="C190">
        <f>C$9 * (44.7505264282226 -C$8)</f>
        <v>44.750526428222599</v>
      </c>
    </row>
    <row r="191" spans="2:3" x14ac:dyDescent="0.3">
      <c r="B191">
        <f>B$9 * (45.0003623962402 -B$8)</f>
        <v>45.000362396240199</v>
      </c>
      <c r="C191">
        <f>C$9 * (45.0005569458007 -C$8)</f>
        <v>45.000556945800703</v>
      </c>
    </row>
    <row r="192" spans="2:3" x14ac:dyDescent="0.3">
      <c r="B192">
        <f>B$9 * (45.250389099121 -B$8)</f>
        <v>45.250389099121001</v>
      </c>
      <c r="C192">
        <f>C$9 * (45.2501678466796 -C$8)</f>
        <v>45.250167846679602</v>
      </c>
    </row>
    <row r="193" spans="2:3" x14ac:dyDescent="0.3">
      <c r="B193">
        <f>B$9 * (45.500389099121 -B$8)</f>
        <v>45.500389099121001</v>
      </c>
      <c r="C193">
        <f>C$9 * (45.5006103515625 -C$8)</f>
        <v>45.5006103515625</v>
      </c>
    </row>
    <row r="194" spans="2:3" x14ac:dyDescent="0.3">
      <c r="B194">
        <f>B$9 * (45.7504158020019 -B$8)</f>
        <v>45.750415802001903</v>
      </c>
      <c r="C194">
        <f>C$9 * (45.7506675720214 -C$8)</f>
        <v>45.750667572021399</v>
      </c>
    </row>
    <row r="195" spans="2:3" x14ac:dyDescent="0.3">
      <c r="B195">
        <f>B$9 * (46.00044631958 -B$8)</f>
        <v>46.00044631958</v>
      </c>
      <c r="C195">
        <f>C$9 * (46.0006942749023 -C$8)</f>
        <v>46.000694274902301</v>
      </c>
    </row>
    <row r="196" spans="2:3" x14ac:dyDescent="0.3">
      <c r="B196">
        <f>B$9 * (46.2504730224609 -B$8)</f>
        <v>46.250473022460902</v>
      </c>
      <c r="C196">
        <f>C$9 * (46.2507209777832 -C$8)</f>
        <v>46.250720977783203</v>
      </c>
    </row>
    <row r="197" spans="2:3" x14ac:dyDescent="0.3">
      <c r="B197">
        <f>B$9 * (46.5004730224609 -B$8)</f>
        <v>46.500473022460902</v>
      </c>
      <c r="C197">
        <f>C$9 * (46.5005264282226 -C$8)</f>
        <v>46.500526428222599</v>
      </c>
    </row>
    <row r="198" spans="2:3" x14ac:dyDescent="0.3">
      <c r="B198">
        <f>B$9 * (46.7504997253418 -B$8)</f>
        <v>46.750499725341797</v>
      </c>
      <c r="C198">
        <f>C$9 * (46.7503623962402 -C$8)</f>
        <v>46.750362396240199</v>
      </c>
    </row>
    <row r="199" spans="2:3" x14ac:dyDescent="0.3">
      <c r="B199">
        <f>B$9 * (47.0005264282226 -B$8)</f>
        <v>47.000526428222599</v>
      </c>
      <c r="C199">
        <f>C$9 * (47.0003051757812 -C$8)</f>
        <v>47.0003051757812</v>
      </c>
    </row>
    <row r="200" spans="2:3" x14ac:dyDescent="0.3">
      <c r="B200">
        <f>B$9 * (47.2505569458007 -B$8)</f>
        <v>47.250556945800703</v>
      </c>
      <c r="C200">
        <f>C$9 * (47.2502784729003 -C$8)</f>
        <v>47.250278472900298</v>
      </c>
    </row>
    <row r="201" spans="2:3" x14ac:dyDescent="0.3">
      <c r="B201">
        <f>B$9 * (47.5005836486816 -B$8)</f>
        <v>47.500583648681598</v>
      </c>
      <c r="C201">
        <f>C$9 * (47.5000572204589 -C$8)</f>
        <v>47.500057220458899</v>
      </c>
    </row>
    <row r="202" spans="2:3" x14ac:dyDescent="0.3">
      <c r="B202">
        <f>B$9 * (47.7505836486816 -B$8)</f>
        <v>47.750583648681598</v>
      </c>
      <c r="C202">
        <f>C$9 * (47.7503623962402 -C$8)</f>
        <v>47.750362396240199</v>
      </c>
    </row>
    <row r="203" spans="2:3" x14ac:dyDescent="0.3">
      <c r="B203">
        <f>B$9 * (48.0006103515625 -B$8)</f>
        <v>48.0006103515625</v>
      </c>
      <c r="C203">
        <f>C$9 * (48.0001678466796 -C$8)</f>
        <v>48.000167846679602</v>
      </c>
    </row>
    <row r="204" spans="2:3" x14ac:dyDescent="0.3">
      <c r="B204">
        <f>B$9 * (48.2506370544433 -B$8)</f>
        <v>48.250637054443303</v>
      </c>
      <c r="C204">
        <f>C$9 * (48.2501373291015 -C$8)</f>
        <v>48.250137329101499</v>
      </c>
    </row>
    <row r="205" spans="2:3" x14ac:dyDescent="0.3">
      <c r="B205">
        <f>B$9 * (48.5 -B$8)</f>
        <v>48.5</v>
      </c>
      <c r="C205">
        <f>C$9 * (48.5002784729003 -C$8)</f>
        <v>48.500278472900298</v>
      </c>
    </row>
    <row r="206" spans="2:3" x14ac:dyDescent="0.3">
      <c r="B206">
        <f>B$9 * (48.7500267028808 -B$8)</f>
        <v>48.750026702880803</v>
      </c>
      <c r="C206">
        <f>C$9 * (48.750389099121 -C$8)</f>
        <v>48.750389099121001</v>
      </c>
    </row>
    <row r="207" spans="2:3" x14ac:dyDescent="0.3">
      <c r="B207">
        <f>B$9 * (49.0000572204589 -B$8)</f>
        <v>49.000057220458899</v>
      </c>
      <c r="C207">
        <f>C$9 * (49.0001945495605 -C$8)</f>
        <v>49.000194549560497</v>
      </c>
    </row>
    <row r="208" spans="2:3" x14ac:dyDescent="0.3">
      <c r="B208">
        <f>B$9 * (49.2500572204589 -B$8)</f>
        <v>49.250057220458899</v>
      </c>
      <c r="C208">
        <f>C$9 * (49.2506675720214 -C$8)</f>
        <v>49.250667572021399</v>
      </c>
    </row>
    <row r="209" spans="2:3" x14ac:dyDescent="0.3">
      <c r="B209">
        <f>B$9 * (49.5000839233398 -B$8)</f>
        <v>49.500083923339801</v>
      </c>
      <c r="C209">
        <f>C$9 * (49.5002517700195 -C$8)</f>
        <v>49.500251770019503</v>
      </c>
    </row>
    <row r="210" spans="2:3" x14ac:dyDescent="0.3">
      <c r="B210">
        <f>B$9 * (49.7501106262207 -B$8)</f>
        <v>49.750110626220703</v>
      </c>
      <c r="C210">
        <f>C$9 * (49.7506942749023 -C$8)</f>
        <v>49.750694274902301</v>
      </c>
    </row>
    <row r="211" spans="2:3" x14ac:dyDescent="0.3">
      <c r="B211">
        <f>B$9 * (50.0001373291015 -B$8)</f>
        <v>50.000137329101499</v>
      </c>
      <c r="C211">
        <f>C$9 * (50.0000572204589 -C$8)</f>
        <v>50.000057220458899</v>
      </c>
    </row>
    <row r="212" spans="2:3" x14ac:dyDescent="0.3">
      <c r="B212">
        <f>B$9 * (50.2501678466796 -B$8)</f>
        <v>50.250167846679602</v>
      </c>
      <c r="C212">
        <f>C$9 * (50.2503051757812 -C$8)</f>
        <v>50.2503051757812</v>
      </c>
    </row>
    <row r="213" spans="2:3" x14ac:dyDescent="0.3">
      <c r="B213">
        <f>B$9 * (50.5001678466796 -B$8)</f>
        <v>50.500167846679602</v>
      </c>
      <c r="C213">
        <f>C$9 * (50.5000839233398 -C$8)</f>
        <v>50.500083923339801</v>
      </c>
    </row>
    <row r="214" spans="2:3" x14ac:dyDescent="0.3">
      <c r="B214">
        <f>B$9 * (50.7501945495605 -B$8)</f>
        <v>50.750194549560497</v>
      </c>
      <c r="C214">
        <f>C$9 * (50.750804901123 -C$8)</f>
        <v>50.750804901122997</v>
      </c>
    </row>
    <row r="215" spans="2:3" x14ac:dyDescent="0.3">
      <c r="B215">
        <f>B$9 * (51.0002212524414 -B$8)</f>
        <v>51.000221252441399</v>
      </c>
      <c r="C215">
        <f>C$9 * (51.000389099121 -C$8)</f>
        <v>51.000389099121001</v>
      </c>
    </row>
    <row r="216" spans="2:3" x14ac:dyDescent="0.3">
      <c r="B216">
        <f>B$9 * (51.2502517700195 -B$8)</f>
        <v>51.250251770019503</v>
      </c>
      <c r="C216">
        <f>C$9 * (51.2501106262207 -C$8)</f>
        <v>51.250110626220703</v>
      </c>
    </row>
    <row r="217" spans="2:3" x14ac:dyDescent="0.3">
      <c r="B217">
        <f>B$9 * (51.5002784729003 -B$8)</f>
        <v>51.500278472900298</v>
      </c>
      <c r="C217">
        <f>C$9 * (51.5004997253418 -C$8)</f>
        <v>51.500499725341797</v>
      </c>
    </row>
    <row r="218" spans="2:3" x14ac:dyDescent="0.3">
      <c r="B218">
        <f>B$9 * (51.7502784729003 -B$8)</f>
        <v>51.750278472900298</v>
      </c>
      <c r="C218">
        <f>C$9 * (51.7501945495605 -C$8)</f>
        <v>51.750194549560497</v>
      </c>
    </row>
    <row r="219" spans="2:3" x14ac:dyDescent="0.3">
      <c r="B219">
        <f>B$9 * (52.0003051757812 -B$8)</f>
        <v>52.0003051757812</v>
      </c>
      <c r="C219">
        <f>C$9 * (52.0003051757812 -C$8)</f>
        <v>52.0003051757812</v>
      </c>
    </row>
    <row r="220" spans="2:3" x14ac:dyDescent="0.3">
      <c r="B220">
        <f>B$9 * (52.2503318786621 -B$8)</f>
        <v>52.250331878662102</v>
      </c>
      <c r="C220">
        <f>C$9 * (52.2503051757812 -C$8)</f>
        <v>52.2503051757812</v>
      </c>
    </row>
    <row r="221" spans="2:3" x14ac:dyDescent="0.3">
      <c r="B221">
        <f>B$9 * (52.5003623962402 -B$8)</f>
        <v>52.500362396240199</v>
      </c>
      <c r="C221">
        <f>C$9 * (52.5002517700195 -C$8)</f>
        <v>52.500251770019503</v>
      </c>
    </row>
    <row r="222" spans="2:3" x14ac:dyDescent="0.3">
      <c r="B222">
        <f>B$9 * (52.750389099121 -B$8)</f>
        <v>52.750389099121001</v>
      </c>
      <c r="C222">
        <f>C$9 * (52.7503318786621 -C$8)</f>
        <v>52.750331878662102</v>
      </c>
    </row>
    <row r="223" spans="2:3" x14ac:dyDescent="0.3">
      <c r="B223">
        <f>B$9 * (53.000389099121 -B$8)</f>
        <v>53.000389099121001</v>
      </c>
      <c r="C223">
        <f>C$9 * (53.0005836486816 -C$8)</f>
        <v>53.000583648681598</v>
      </c>
    </row>
    <row r="224" spans="2:3" x14ac:dyDescent="0.3">
      <c r="B224">
        <f>B$9 * (53.2504158020019 -B$8)</f>
        <v>53.250415802001903</v>
      </c>
      <c r="C224">
        <f>C$9 * (53.2501106262207 -C$8)</f>
        <v>53.250110626220703</v>
      </c>
    </row>
    <row r="225" spans="2:3" x14ac:dyDescent="0.3">
      <c r="B225">
        <f>B$9 * (53.50044631958 -B$8)</f>
        <v>53.50044631958</v>
      </c>
      <c r="C225">
        <f>C$9 * (53.5002517700195 -C$8)</f>
        <v>53.500251770019503</v>
      </c>
    </row>
    <row r="226" spans="2:3" x14ac:dyDescent="0.3">
      <c r="B226">
        <f>B$9 * (53.7504730224609 -B$8)</f>
        <v>53.750473022460902</v>
      </c>
      <c r="C226">
        <f>C$9 * (53.7503623962402 -C$8)</f>
        <v>53.750362396240199</v>
      </c>
    </row>
    <row r="227" spans="2:3" x14ac:dyDescent="0.3">
      <c r="B227">
        <f>B$9 * (54.0004997253418 -B$8)</f>
        <v>54.000499725341797</v>
      </c>
      <c r="C227">
        <f>C$9 * (54.0004730224609 -C$8)</f>
        <v>54.000473022460902</v>
      </c>
    </row>
    <row r="228" spans="2:3" x14ac:dyDescent="0.3">
      <c r="B228">
        <f>B$9 * (54.2504997253418 -B$8)</f>
        <v>54.250499725341797</v>
      </c>
      <c r="C228">
        <f>C$9 * (54.2502784729003 -C$8)</f>
        <v>54.250278472900298</v>
      </c>
    </row>
    <row r="229" spans="2:3" x14ac:dyDescent="0.3">
      <c r="B229">
        <f>B$9 * (54.5005264282226 -B$8)</f>
        <v>54.500526428222599</v>
      </c>
      <c r="C229">
        <f>C$9 * (54.5007781982421 -C$8)</f>
        <v>54.500778198242102</v>
      </c>
    </row>
    <row r="230" spans="2:3" x14ac:dyDescent="0.3">
      <c r="B230">
        <f>B$9 * (54.7505569458007 -B$8)</f>
        <v>54.750556945800703</v>
      </c>
      <c r="C230">
        <f>C$9 * (54.7501373291015 -C$8)</f>
        <v>54.750137329101499</v>
      </c>
    </row>
    <row r="231" spans="2:3" x14ac:dyDescent="0.3">
      <c r="B231">
        <f>B$9 * (55.0005836486816 -B$8)</f>
        <v>55.000583648681598</v>
      </c>
      <c r="C231">
        <f>C$9 * (55.0003623962402 -C$8)</f>
        <v>55.000362396240199</v>
      </c>
    </row>
    <row r="232" spans="2:3" x14ac:dyDescent="0.3">
      <c r="B232">
        <f>B$9 * (55.2505836486816 -B$8)</f>
        <v>55.250583648681598</v>
      </c>
      <c r="C232">
        <f>C$9 * (55.2502517700195 -C$8)</f>
        <v>55.250251770019503</v>
      </c>
    </row>
    <row r="233" spans="2:3" x14ac:dyDescent="0.3">
      <c r="B233">
        <f>B$9 * (55.5006103515625 -B$8)</f>
        <v>55.5006103515625</v>
      </c>
      <c r="C233">
        <f>C$9 * (55.5000267028808 -C$8)</f>
        <v>55.500026702880803</v>
      </c>
    </row>
    <row r="234" spans="2:3" x14ac:dyDescent="0.3">
      <c r="B234">
        <f>B$9 * (55.7506370544433 -B$8)</f>
        <v>55.750637054443303</v>
      </c>
      <c r="C234">
        <f>C$9 * (55.7505836486816 -C$8)</f>
        <v>55.750583648681598</v>
      </c>
    </row>
    <row r="235" spans="2:3" x14ac:dyDescent="0.3">
      <c r="B235">
        <f>B$9 * (56 -B$8)</f>
        <v>56</v>
      </c>
      <c r="C235">
        <f>C$9 * (56.0007209777832 -C$8)</f>
        <v>56.000720977783203</v>
      </c>
    </row>
    <row r="236" spans="2:3" x14ac:dyDescent="0.3">
      <c r="B236">
        <f>B$9 * (56.2500267028808 -B$8)</f>
        <v>56.250026702880803</v>
      </c>
      <c r="C236">
        <f>C$9 * (56.2505264282226 -C$8)</f>
        <v>56.250526428222599</v>
      </c>
    </row>
    <row r="237" spans="2:3" x14ac:dyDescent="0.3">
      <c r="B237">
        <f>B$9 * (56.5000572204589 -B$8)</f>
        <v>56.500057220458899</v>
      </c>
      <c r="C237">
        <f>C$9 * (56.5003051757812 -C$8)</f>
        <v>56.5003051757812</v>
      </c>
    </row>
    <row r="238" spans="2:3" x14ac:dyDescent="0.3">
      <c r="B238">
        <f>B$9 * (56.7500839233398 -B$8)</f>
        <v>56.750083923339801</v>
      </c>
      <c r="C238">
        <f>C$9 * (56.75 -C$8)</f>
        <v>56.75</v>
      </c>
    </row>
    <row r="239" spans="2:3" x14ac:dyDescent="0.3">
      <c r="B239">
        <f>B$9 * (57.0000839233398 -B$8)</f>
        <v>57.000083923339801</v>
      </c>
      <c r="C239">
        <f>C$9 * (57.0001106262207 -C$8)</f>
        <v>57.000110626220703</v>
      </c>
    </row>
    <row r="240" spans="2:3" x14ac:dyDescent="0.3">
      <c r="B240">
        <f>B$9 * (57.2501106262207 -B$8)</f>
        <v>57.250110626220703</v>
      </c>
      <c r="C240">
        <f>C$9 * (57.2501106262207 -C$8)</f>
        <v>57.250110626220703</v>
      </c>
    </row>
    <row r="241" spans="2:3" x14ac:dyDescent="0.3">
      <c r="B241">
        <f>B$9 * (57.5001373291015 -B$8)</f>
        <v>57.500137329101499</v>
      </c>
      <c r="C241">
        <f>C$9 * (57.5002784729003 -C$8)</f>
        <v>57.500278472900298</v>
      </c>
    </row>
    <row r="242" spans="2:3" x14ac:dyDescent="0.3">
      <c r="B242">
        <f>B$9 * (57.7501678466796 -B$8)</f>
        <v>57.750167846679602</v>
      </c>
      <c r="C242">
        <f>C$9 * (57.7506370544433 -C$8)</f>
        <v>57.750637054443303</v>
      </c>
    </row>
    <row r="243" spans="2:3" x14ac:dyDescent="0.3">
      <c r="B243">
        <f>B$9 * (58.0001678466796 -B$8)</f>
        <v>58.000167846679602</v>
      </c>
      <c r="C243">
        <f>C$9 * (58.0004997253418 -C$8)</f>
        <v>58.000499725341797</v>
      </c>
    </row>
    <row r="244" spans="2:3" x14ac:dyDescent="0.3">
      <c r="B244">
        <f>B$9 * (58.2501945495605 -B$8)</f>
        <v>58.250194549560497</v>
      </c>
      <c r="C244">
        <f>C$9 * (58.2503623962402 -C$8)</f>
        <v>58.250362396240199</v>
      </c>
    </row>
    <row r="245" spans="2:3" x14ac:dyDescent="0.3">
      <c r="B245">
        <f>B$9 * (58.5002212524414 -B$8)</f>
        <v>58.500221252441399</v>
      </c>
      <c r="C245">
        <f>C$9 * (58.5 -C$8)</f>
        <v>58.5</v>
      </c>
    </row>
    <row r="246" spans="2:3" x14ac:dyDescent="0.3">
      <c r="B246">
        <f>B$9 * (58.7502517700195 -B$8)</f>
        <v>58.750251770019503</v>
      </c>
      <c r="C246">
        <f>C$9 * (58.750389099121 -C$8)</f>
        <v>58.750389099121001</v>
      </c>
    </row>
    <row r="247" spans="2:3" x14ac:dyDescent="0.3">
      <c r="B247">
        <f>B$9 * (59.0002784729003 -B$8)</f>
        <v>59.000278472900298</v>
      </c>
      <c r="C247">
        <f>C$9 * (59.0001106262207 -C$8)</f>
        <v>59.000110626220703</v>
      </c>
    </row>
    <row r="248" spans="2:3" x14ac:dyDescent="0.3">
      <c r="B248">
        <f>B$9 * (59.2502784729003 -B$8)</f>
        <v>59.250278472900298</v>
      </c>
      <c r="C248">
        <f>C$9 * (59.2502517700195 -C$8)</f>
        <v>59.250251770019503</v>
      </c>
    </row>
    <row r="249" spans="2:3" x14ac:dyDescent="0.3">
      <c r="B249">
        <f>B$9 * (59.5003051757812 -B$8)</f>
        <v>59.5003051757812</v>
      </c>
      <c r="C249">
        <f>C$9 * (59.5001106262207 -C$8)</f>
        <v>59.500110626220703</v>
      </c>
    </row>
    <row r="250" spans="2:3" x14ac:dyDescent="0.3">
      <c r="B250">
        <f>B$9 * (59.7503318786621 -B$8)</f>
        <v>59.750331878662102</v>
      </c>
      <c r="C250">
        <f>C$9 * (59.7501945495605 -C$8)</f>
        <v>59.750194549560497</v>
      </c>
    </row>
    <row r="251" spans="2:3" x14ac:dyDescent="0.3">
      <c r="B251">
        <f>B$9 * (60.0003623962402 -B$8)</f>
        <v>60.000362396240199</v>
      </c>
      <c r="C251">
        <f>C$9 * (60.0003318786621 -C$8)</f>
        <v>60.000331878662102</v>
      </c>
    </row>
    <row r="252" spans="2:3" x14ac:dyDescent="0.3">
      <c r="B252">
        <f>B$9 * (60.250389099121 -B$8)</f>
        <v>60.250389099121001</v>
      </c>
      <c r="C252">
        <f>C$9 * (60.2500572204589 -C$8)</f>
        <v>60.250057220458899</v>
      </c>
    </row>
    <row r="253" spans="2:3" x14ac:dyDescent="0.3">
      <c r="B253">
        <f>B$9 * (60.500389099121 -B$8)</f>
        <v>60.500389099121001</v>
      </c>
      <c r="C253">
        <f>C$9 * (60.5005836486816 -C$8)</f>
        <v>60.500583648681598</v>
      </c>
    </row>
    <row r="254" spans="2:3" x14ac:dyDescent="0.3">
      <c r="B254">
        <f>B$9 * (60.7504158020019 -B$8)</f>
        <v>60.750415802001903</v>
      </c>
      <c r="C254">
        <f>C$9 * (60.7504730224609 -C$8)</f>
        <v>60.750473022460902</v>
      </c>
    </row>
    <row r="255" spans="2:3" x14ac:dyDescent="0.3">
      <c r="B255">
        <f>B$9 * (61.00044631958 -B$8)</f>
        <v>61.00044631958</v>
      </c>
      <c r="C255">
        <f>C$9 * (61.0004158020019 -C$8)</f>
        <v>61.000415802001903</v>
      </c>
    </row>
    <row r="256" spans="2:3" x14ac:dyDescent="0.3">
      <c r="B256">
        <f>B$9 * (61.2504730224609 -B$8)</f>
        <v>61.250473022460902</v>
      </c>
      <c r="C256">
        <f>C$9 * (61.2503318786621 -C$8)</f>
        <v>61.250331878662102</v>
      </c>
    </row>
    <row r="257" spans="2:3" x14ac:dyDescent="0.3">
      <c r="B257">
        <f>B$9 * (61.5004997253418 -B$8)</f>
        <v>61.500499725341797</v>
      </c>
      <c r="C257">
        <f>C$9 * (61.5003318786621 -C$8)</f>
        <v>61.500331878662102</v>
      </c>
    </row>
    <row r="258" spans="2:3" x14ac:dyDescent="0.3">
      <c r="B258">
        <f>B$9 * (61.7504997253418 -B$8)</f>
        <v>61.750499725341797</v>
      </c>
      <c r="C258">
        <f>C$9 * (61.7501678466796 -C$8)</f>
        <v>61.750167846679602</v>
      </c>
    </row>
    <row r="259" spans="2:3" x14ac:dyDescent="0.3">
      <c r="B259">
        <f>B$9 * (62.0005264282226 -B$8)</f>
        <v>62.000526428222599</v>
      </c>
      <c r="C259">
        <f>C$9 * (62 -C$8)</f>
        <v>62</v>
      </c>
    </row>
    <row r="260" spans="2:3" x14ac:dyDescent="0.3">
      <c r="B260">
        <f>B$9 * (62.2505569458007 -B$8)</f>
        <v>62.250556945800703</v>
      </c>
      <c r="C260">
        <f>C$9 * (62.2504158020019 -C$8)</f>
        <v>62.250415802001903</v>
      </c>
    </row>
    <row r="261" spans="2:3" x14ac:dyDescent="0.3">
      <c r="B261">
        <f>B$9 * (62.5005836486816 -B$8)</f>
        <v>62.500583648681598</v>
      </c>
      <c r="C261">
        <f>C$9 * (62.5003623962402 -C$8)</f>
        <v>62.500362396240199</v>
      </c>
    </row>
    <row r="262" spans="2:3" x14ac:dyDescent="0.3">
      <c r="B262">
        <f>B$9 * (62.7506103515625 -B$8)</f>
        <v>62.7506103515625</v>
      </c>
      <c r="C262">
        <f>C$9 * (62.75044631958 -C$8)</f>
        <v>62.75044631958</v>
      </c>
    </row>
    <row r="263" spans="2:3" x14ac:dyDescent="0.3">
      <c r="B263">
        <f>B$9 * (63.0006103515625 -B$8)</f>
        <v>63.0006103515625</v>
      </c>
      <c r="C263">
        <f>C$9 * (63.0001373291015 -C$8)</f>
        <v>63.000137329101499</v>
      </c>
    </row>
    <row r="264" spans="2:3" x14ac:dyDescent="0.3">
      <c r="B264">
        <f>B$9 * (63.2506370544433 -B$8)</f>
        <v>63.250637054443303</v>
      </c>
      <c r="C264">
        <f>C$9 * (63.2504997253418 -C$8)</f>
        <v>63.250499725341797</v>
      </c>
    </row>
    <row r="265" spans="2:3" x14ac:dyDescent="0.3">
      <c r="B265">
        <f>B$9 * (63.5 -B$8)</f>
        <v>63.5</v>
      </c>
      <c r="C265">
        <f>C$9 * (63.5005569458007 -C$8)</f>
        <v>63.500556945800703</v>
      </c>
    </row>
    <row r="266" spans="2:3" x14ac:dyDescent="0.3">
      <c r="B266">
        <f>B$9 * (63.7500267028808 -B$8)</f>
        <v>63.750026702880803</v>
      </c>
      <c r="C266">
        <f>C$9 * (63.7503051757812 -C$8)</f>
        <v>63.7503051757812</v>
      </c>
    </row>
    <row r="267" spans="2:3" x14ac:dyDescent="0.3">
      <c r="B267">
        <f>B$9 * (64.0000534057617 -B$8)</f>
        <v>64.000053405761705</v>
      </c>
      <c r="C267">
        <f>C$9 * (64.0001144409179 -C$8)</f>
        <v>64.000114440917898</v>
      </c>
    </row>
    <row r="268" spans="2:3" x14ac:dyDescent="0.3">
      <c r="B268">
        <f>B$9 * (64.2500839233398 -B$8)</f>
        <v>64.250083923339801</v>
      </c>
      <c r="C268">
        <f>C$9 * (64.2501678466796 -C$8)</f>
        <v>64.250167846679602</v>
      </c>
    </row>
    <row r="269" spans="2:3" x14ac:dyDescent="0.3">
      <c r="B269">
        <f>B$9 * (64.5000839233398 -B$8)</f>
        <v>64.500083923339801</v>
      </c>
      <c r="C269">
        <f>C$9 * (64.5004425048828 -C$8)</f>
        <v>64.500442504882798</v>
      </c>
    </row>
    <row r="270" spans="2:3" x14ac:dyDescent="0.3">
      <c r="B270">
        <f>B$9 * (64.7501144409179 -B$8)</f>
        <v>64.750114440917898</v>
      </c>
      <c r="C270">
        <f>C$9 * (64.7506103515625 -C$8)</f>
        <v>64.7506103515625</v>
      </c>
    </row>
    <row r="271" spans="2:3" x14ac:dyDescent="0.3">
      <c r="B271">
        <f>B$9 * (65.0001373291015 -B$8)</f>
        <v>65.000137329101506</v>
      </c>
      <c r="C271">
        <f>C$9 * (65.0006408691406 -C$8)</f>
        <v>65.000640869140597</v>
      </c>
    </row>
    <row r="272" spans="2:3" x14ac:dyDescent="0.3">
      <c r="B272">
        <f>B$9 * (65.2501678466796 -B$8)</f>
        <v>65.250167846679602</v>
      </c>
      <c r="C272">
        <f>C$9 * (65.2501373291015 -C$8)</f>
        <v>65.250137329101506</v>
      </c>
    </row>
    <row r="273" spans="2:3" x14ac:dyDescent="0.3">
      <c r="B273">
        <f>B$9 * (65.5001907348632 -B$8)</f>
        <v>65.500190734863196</v>
      </c>
      <c r="C273">
        <f>C$9 * (65.5003051757812 -C$8)</f>
        <v>65.500305175781193</v>
      </c>
    </row>
    <row r="274" spans="2:3" x14ac:dyDescent="0.3">
      <c r="B274">
        <f>B$9 * (65.7501907348632 -B$8)</f>
        <v>65.750190734863196</v>
      </c>
      <c r="C274">
        <f>C$9 * (65.750503540039 -C$8)</f>
        <v>65.750503540039006</v>
      </c>
    </row>
    <row r="275" spans="2:3" x14ac:dyDescent="0.3">
      <c r="B275">
        <f>B$9 * (66.0002212524414 -B$8)</f>
        <v>66.000221252441406</v>
      </c>
      <c r="C275">
        <f>C$9 * (66.000503540039 -C$8)</f>
        <v>66.000503540039006</v>
      </c>
    </row>
    <row r="276" spans="2:3" x14ac:dyDescent="0.3">
      <c r="B276">
        <f>B$9 * (66.2502517700195 -B$8)</f>
        <v>66.250251770019503</v>
      </c>
      <c r="C276">
        <f>C$9 * (66.2500305175781 -C$8)</f>
        <v>66.250030517578097</v>
      </c>
    </row>
    <row r="277" spans="2:3" x14ac:dyDescent="0.3">
      <c r="B277">
        <f>B$9 * (66.5002746582031 -B$8)</f>
        <v>66.500274658203097</v>
      </c>
      <c r="C277">
        <f>C$9 * (66.5001373291015 -C$8)</f>
        <v>66.500137329101506</v>
      </c>
    </row>
    <row r="278" spans="2:3" x14ac:dyDescent="0.3">
      <c r="B278">
        <f>B$9 * (66.7503051757812 -B$8)</f>
        <v>66.750305175781193</v>
      </c>
      <c r="C278">
        <f>C$9 * (66.7502746582031 -C$8)</f>
        <v>66.750274658203097</v>
      </c>
    </row>
    <row r="279" spans="2:3" x14ac:dyDescent="0.3">
      <c r="B279">
        <f>B$9 * (67.0003051757812 -B$8)</f>
        <v>67.000305175781193</v>
      </c>
      <c r="C279">
        <f>C$9 * (67.0000839233398 -C$8)</f>
        <v>67.000083923339801</v>
      </c>
    </row>
    <row r="280" spans="2:3" x14ac:dyDescent="0.3">
      <c r="B280">
        <f>B$9 * (67.2503356933593 -B$8)</f>
        <v>67.250335693359304</v>
      </c>
      <c r="C280">
        <f>C$9 * (67.2502212524414 -C$8)</f>
        <v>67.250221252441406</v>
      </c>
    </row>
    <row r="281" spans="2:3" x14ac:dyDescent="0.3">
      <c r="B281">
        <f>B$9 * (67.5003585815429 -B$8)</f>
        <v>67.500358581542898</v>
      </c>
      <c r="C281">
        <f>C$9 * (67.5001678466796 -C$8)</f>
        <v>67.500167846679602</v>
      </c>
    </row>
    <row r="282" spans="2:3" x14ac:dyDescent="0.3">
      <c r="B282">
        <f>B$9 * (67.750389099121 -B$8)</f>
        <v>67.750389099120994</v>
      </c>
      <c r="C282">
        <f>C$9 * (67.750503540039 -C$8)</f>
        <v>67.750503540039006</v>
      </c>
    </row>
    <row r="283" spans="2:3" x14ac:dyDescent="0.3">
      <c r="B283">
        <f>B$9 * (68.000389099121 -B$8)</f>
        <v>68.000389099120994</v>
      </c>
      <c r="C283">
        <f>C$9 * (68.0001373291015 -C$8)</f>
        <v>68.000137329101506</v>
      </c>
    </row>
    <row r="284" spans="2:3" x14ac:dyDescent="0.3">
      <c r="B284">
        <f>B$9 * (68.2504196166992 -B$8)</f>
        <v>68.250419616699205</v>
      </c>
      <c r="C284">
        <f>C$9 * (68.2500839233398 -C$8)</f>
        <v>68.250083923339801</v>
      </c>
    </row>
    <row r="285" spans="2:3" x14ac:dyDescent="0.3">
      <c r="B285">
        <f>B$9 * (68.5004425048828 -B$8)</f>
        <v>68.500442504882798</v>
      </c>
      <c r="C285">
        <f>C$9 * (68.5005569458007 -C$8)</f>
        <v>68.500556945800696</v>
      </c>
    </row>
    <row r="286" spans="2:3" x14ac:dyDescent="0.3">
      <c r="B286">
        <f>B$9 * (68.7504730224609 -B$8)</f>
        <v>68.750473022460895</v>
      </c>
      <c r="C286">
        <f>C$9 * (68.7505569458007 -C$8)</f>
        <v>68.750556945800696</v>
      </c>
    </row>
    <row r="287" spans="2:3" x14ac:dyDescent="0.3">
      <c r="B287">
        <f>B$9 * (69.000503540039 -B$8)</f>
        <v>69.000503540039006</v>
      </c>
      <c r="C287">
        <f>C$9 * (69.0003585815429 -C$8)</f>
        <v>69.000358581542898</v>
      </c>
    </row>
    <row r="288" spans="2:3" x14ac:dyDescent="0.3">
      <c r="B288">
        <f>B$9 * (69.250503540039 -B$8)</f>
        <v>69.250503540039006</v>
      </c>
      <c r="C288">
        <f>C$9 * (69.2506942749023 -C$8)</f>
        <v>69.250694274902301</v>
      </c>
    </row>
    <row r="289" spans="2:3" x14ac:dyDescent="0.3">
      <c r="B289">
        <f>B$9 * (69.5005264282226 -B$8)</f>
        <v>69.500526428222599</v>
      </c>
      <c r="C289">
        <f>C$9 * (69.5001373291015 -C$8)</f>
        <v>69.500137329101506</v>
      </c>
    </row>
    <row r="290" spans="2:3" x14ac:dyDescent="0.3">
      <c r="B290">
        <f>B$9 * (69.7505569458007 -B$8)</f>
        <v>69.750556945800696</v>
      </c>
      <c r="C290">
        <f>C$9 * (69.7506103515625 -C$8)</f>
        <v>69.7506103515625</v>
      </c>
    </row>
    <row r="291" spans="2:3" x14ac:dyDescent="0.3">
      <c r="B291">
        <f>B$9 * (70.0005798339843 -B$8)</f>
        <v>70.000579833984304</v>
      </c>
      <c r="C291">
        <f>C$9 * (70.0002517700195 -C$8)</f>
        <v>70.000251770019503</v>
      </c>
    </row>
    <row r="292" spans="2:3" x14ac:dyDescent="0.3">
      <c r="B292">
        <f>B$9 * (70.2506103515625 -B$8)</f>
        <v>70.2506103515625</v>
      </c>
      <c r="C292">
        <f>C$9 * (70.2506408691406 -C$8)</f>
        <v>70.250640869140597</v>
      </c>
    </row>
    <row r="293" spans="2:3" x14ac:dyDescent="0.3">
      <c r="B293">
        <f>B$9 * (70.5006103515625 -B$8)</f>
        <v>70.5006103515625</v>
      </c>
      <c r="C293">
        <f>C$9 * (70.5004730224609 -C$8)</f>
        <v>70.500473022460895</v>
      </c>
    </row>
    <row r="294" spans="2:3" x14ac:dyDescent="0.3">
      <c r="B294">
        <f>B$9 * (70.7506408691406 -B$8)</f>
        <v>70.750640869140597</v>
      </c>
      <c r="C294">
        <f>C$9 * (70.7500534057617 -C$8)</f>
        <v>70.750053405761705</v>
      </c>
    </row>
    <row r="295" spans="2:3" x14ac:dyDescent="0.3">
      <c r="B295">
        <f>B$9 * (71 -B$8)</f>
        <v>71</v>
      </c>
      <c r="C295">
        <f>C$9 * (71.000503540039 -C$8)</f>
        <v>71.000503540039006</v>
      </c>
    </row>
    <row r="296" spans="2:3" x14ac:dyDescent="0.3">
      <c r="B296">
        <f>B$9 * (71.2500305175781 -B$8)</f>
        <v>71.250030517578097</v>
      </c>
      <c r="C296">
        <f>C$9 * (71.250389099121 -C$8)</f>
        <v>71.250389099120994</v>
      </c>
    </row>
    <row r="297" spans="2:3" x14ac:dyDescent="0.3">
      <c r="B297">
        <f>B$9 * (71.5000534057617 -B$8)</f>
        <v>71.500053405761705</v>
      </c>
      <c r="C297">
        <f>C$9 * (71.5002746582031 -C$8)</f>
        <v>71.500274658203097</v>
      </c>
    </row>
    <row r="298" spans="2:3" x14ac:dyDescent="0.3">
      <c r="B298">
        <f>B$9 * (71.7500839233398 -B$8)</f>
        <v>71.750083923339801</v>
      </c>
      <c r="C298">
        <f>C$9 * (71.7503585815429 -C$8)</f>
        <v>71.750358581542898</v>
      </c>
    </row>
    <row r="299" spans="2:3" x14ac:dyDescent="0.3">
      <c r="B299">
        <f>B$9 * (72.0000839233398 -B$8)</f>
        <v>72.000083923339801</v>
      </c>
      <c r="C299">
        <f>C$9 * (72.0001678466796 -C$8)</f>
        <v>72.000167846679602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Chart_All</vt:lpstr>
      <vt:lpstr>Legends</vt:lpstr>
      <vt:lpstr>Variable</vt:lpstr>
      <vt:lpstr>Times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TREND___VALVDP___(BAR)___CHOKE_PCV_OP1</dc:title>
  <dc:subject>Data export</dc:subject>
  <dc:creator>e-fast(TM)</dc:creator>
  <cp:keywords>FAST/Development/TM/Agency/Yinka_Bankole/06_EBAN__01_2026_EPHQ/02_FEED/02_TD/, TREND___VALVDP___(BAR)___CHOKE_PCV_OP1</cp:keywords>
  <dc:description>The variable TREND___VALVDP___(BAR)___CHOKE_PCV_OP1 for the selected simulations</dc:description>
  <cp:lastModifiedBy>Bankole Yinka</cp:lastModifiedBy>
  <dcterms:created xsi:type="dcterms:W3CDTF">2026-08-15T14:51:12Z</dcterms:created>
  <dcterms:modified xsi:type="dcterms:W3CDTF">2026-08-15T14:52:30Z</dcterms:modified>
  <cp:category>e-fast(TM)</cp:category>
</cp:coreProperties>
</file>