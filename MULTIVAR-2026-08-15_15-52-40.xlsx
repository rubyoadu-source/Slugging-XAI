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1" firstSheet="0" minimized="0" showHorizontalScroll="1" showSheetTabs="1" showVerticalScroll="1" tabRatio="600" visibility="visible"/>
  </bookViews>
  <sheets>
    <sheet name="Legends" sheetId="1" r:id="rId4"/>
    <sheet name="SIM1" sheetId="2" r:id="rId5"/>
    <sheet name="SIM2" sheetId="3" r:id="rId6"/>
    <sheet name="SIM3" sheetId="4" r:id="rId7"/>
    <sheet name="SIM4" sheetId="5" r:id="rId8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<sst xmlns="http://schemas.openxmlformats.org/spreadsheetml/2006/main" uniqueCount="24">
  <si>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VARIABLE</t>
  </si>
  <si>
    <t>LEGEND</t>
  </si>
  <si>
    <t>TREND___QLT___(M3_S)___RISER_OUTLET</t>
  </si>
  <si>
    <t>VAR1</t>
  </si>
  <si>
    <t>TREND___UL___(M_S)___RISER_OUTLET</t>
  </si>
  <si>
    <t>VAR2</t>
  </si>
  <si>
    <t>TREND___UG___(M_S)___RISER_OUTLET</t>
  </si>
  <si>
    <t>VAR3</t>
  </si>
  <si>
    <t>h</t>
  </si>
  <si>
    <t>(M3/S)</t>
  </si>
  <si>
    <t>(M/S)</t>
  </si>
  <si>
    <t>TIME1</t>
  </si>
  <si>
    <t>TIME2</t>
  </si>
  <si>
    <t>TIME3</t>
  </si>
  <si>
    <t>Report-2031_Oil_4500bopd_Liquid_4773blpd_10MMSCFD_GL_TD_Only_OP2.genkey</t>
  </si>
  <si>
    <t>Min</t>
  </si>
  <si>
    <t>P50</t>
  </si>
  <si>
    <t>Max</t>
  </si>
  <si>
    <t>Delta</t>
  </si>
  <si>
    <t>Offset</t>
  </si>
  <si>
    <t>Scale</t>
  </si>
  <si>
    <t>Report-2031_Oil_4500bopd_Liquid_4773blpd_5MMSCFD_GL_TD_Only_OP2.genkey</t>
  </si>
  <si>
    <t>Report-2031_Oil_4500bopd_Liquid_4773blpd_No_GL_TD_Only_OP2.genkey</t>
  </si>
  <si>
    <t>Report-2031_Oil_4500bopd_Liquid_4773blpd_No_GL_TD_Only_OP2_TCV_10pc.genkey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</si>
</sst>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center" vertical="bottom" textRotation="0" wrapText="false" shrinkToFit="false"/>
    </xf>
    <xf xfId="0" fontId="2" numFmtId="0" fillId="0" borderId="0" applyFont="1" applyNumberFormat="0" applyFill="0" applyBorder="0" applyAlignment="0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Report-2031_Oil_4500bopd_Liquid_4773blpd_10MMSCFD_GL_TD_Only_OP2.genkey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Legends!B2</c:f>
              <c:strCache>
                <c:ptCount val="1"/>
                <c:pt idx="0">
                  <c:v>VAR1</c:v>
                </c:pt>
              </c:strCache>
            </c:strRef>
          </c:tx>
          <c:marker>
            <c:symbol val="none"/>
          </c:marker>
          <c:xVal>
            <c:numRef>
              <c:f>SIM1!$A$11:$A$299</c:f>
              <c:numCache>
                <c:ptCount val="289"/>
                <c:pt idx="0">
                  <c:v>0</c:v>
                </c:pt>
                <c:pt idx="1">
                  <c:v>0.2504511773586273</c:v>
                </c:pt>
                <c:pt idx="2">
                  <c:v>0.5003725290298462</c:v>
                </c:pt>
                <c:pt idx="3">
                  <c:v>0.7502644658088684</c:v>
                </c:pt>
                <c:pt idx="4">
                  <c:v>1.000229716300964</c:v>
                </c:pt>
                <c:pt idx="5">
                  <c:v>1.250013113021851</c:v>
                </c:pt>
                <c:pt idx="6">
                  <c:v>1.500121116638184</c:v>
                </c:pt>
                <c:pt idx="7">
                  <c:v>1.750328660011292</c:v>
                </c:pt>
                <c:pt idx="8">
                  <c:v>2.000328540802002</c:v>
                </c:pt>
                <c:pt idx="9">
                  <c:v>2.2502760887146</c:v>
                </c:pt>
                <c:pt idx="10">
                  <c:v>2.500304222106934</c:v>
                </c:pt>
                <c:pt idx="11">
                  <c:v>2.750331878662109</c:v>
                </c:pt>
                <c:pt idx="12">
                  <c:v>3.000361204147339</c:v>
                </c:pt>
                <c:pt idx="13">
                  <c:v>3.250388860702515</c:v>
                </c:pt>
                <c:pt idx="14">
                  <c:v>3.500027894973755</c:v>
                </c:pt>
                <c:pt idx="15">
                  <c:v>3.750055551528931</c:v>
                </c:pt>
                <c:pt idx="16">
                  <c:v>4.000083446502686</c:v>
                </c:pt>
                <c:pt idx="17">
                  <c:v>4.250111103057861</c:v>
                </c:pt>
                <c:pt idx="18">
                  <c:v>4.500138759613037</c:v>
                </c:pt>
                <c:pt idx="19">
                  <c:v>4.750166893005371</c:v>
                </c:pt>
                <c:pt idx="20">
                  <c:v>5.000194549560547</c:v>
                </c:pt>
                <c:pt idx="21">
                  <c:v>5.250222206115723</c:v>
                </c:pt>
                <c:pt idx="22">
                  <c:v>5.500249862670898</c:v>
                </c:pt>
                <c:pt idx="23">
                  <c:v>5.750277996063232</c:v>
                </c:pt>
                <c:pt idx="24">
                  <c:v>6.000305652618408</c:v>
                </c:pt>
                <c:pt idx="25">
                  <c:v>6.250333309173584</c:v>
                </c:pt>
                <c:pt idx="26">
                  <c:v>6.50036096572876</c:v>
                </c:pt>
                <c:pt idx="27">
                  <c:v>6.75</c:v>
                </c:pt>
                <c:pt idx="28">
                  <c:v>7.000027656555176</c:v>
                </c:pt>
                <c:pt idx="29">
                  <c:v>7.25005578994751</c:v>
                </c:pt>
                <c:pt idx="30">
                  <c:v>7.500086307525635</c:v>
                </c:pt>
                <c:pt idx="31">
                  <c:v>7.750113964080811</c:v>
                </c:pt>
                <c:pt idx="32">
                  <c:v>8.000142097473145</c:v>
                </c:pt>
                <c:pt idx="33">
                  <c:v>8.25016975402832</c:v>
                </c:pt>
                <c:pt idx="34">
                  <c:v>8.500197410583496</c:v>
                </c:pt>
                <c:pt idx="35">
                  <c:v>8.750225067138672</c:v>
                </c:pt>
                <c:pt idx="36">
                  <c:v>9.000252723693848</c:v>
                </c:pt>
                <c:pt idx="37">
                  <c:v>9.250280380249023</c:v>
                </c:pt>
                <c:pt idx="38">
                  <c:v>9.500308036804199</c:v>
                </c:pt>
                <c:pt idx="39">
                  <c:v>9.750335693359375</c:v>
                </c:pt>
                <c:pt idx="40">
                  <c:v>10.00036430358887</c:v>
                </c:pt>
                <c:pt idx="41">
                  <c:v>10.25000286102295</c:v>
                </c:pt>
                <c:pt idx="42">
                  <c:v>10.50003051757812</c:v>
                </c:pt>
                <c:pt idx="43">
                  <c:v>10.7500581741333</c:v>
                </c:pt>
                <c:pt idx="44">
                  <c:v>11.00008583068848</c:v>
                </c:pt>
                <c:pt idx="45">
                  <c:v>11.25011348724365</c:v>
                </c:pt>
                <c:pt idx="46">
                  <c:v>11.50014209747314</c:v>
                </c:pt>
                <c:pt idx="47">
                  <c:v>11.75016975402832</c:v>
                </c:pt>
                <c:pt idx="48">
                  <c:v>12.00020027160645</c:v>
                </c:pt>
                <c:pt idx="49">
                  <c:v>12.25022792816162</c:v>
                </c:pt>
                <c:pt idx="50">
                  <c:v>12.5002555847168</c:v>
                </c:pt>
                <c:pt idx="51">
                  <c:v>12.75028324127197</c:v>
                </c:pt>
                <c:pt idx="52">
                  <c:v>13.00031089782715</c:v>
                </c:pt>
                <c:pt idx="53">
                  <c:v>13.25033855438232</c:v>
                </c:pt>
                <c:pt idx="54">
                  <c:v>13.5003662109375</c:v>
                </c:pt>
                <c:pt idx="55">
                  <c:v>13.7500057220459</c:v>
                </c:pt>
                <c:pt idx="56">
                  <c:v>14.00003337860107</c:v>
                </c:pt>
                <c:pt idx="57">
                  <c:v>14.25006103515625</c:v>
                </c:pt>
                <c:pt idx="58">
                  <c:v>14.50008869171143</c:v>
                </c:pt>
                <c:pt idx="59">
                  <c:v>14.7501163482666</c:v>
                </c:pt>
                <c:pt idx="60">
                  <c:v>15.00014400482178</c:v>
                </c:pt>
                <c:pt idx="61">
                  <c:v>15.25017261505127</c:v>
                </c:pt>
                <c:pt idx="62">
                  <c:v>15.50020027160645</c:v>
                </c:pt>
                <c:pt idx="63">
                  <c:v>15.75022792816162</c:v>
                </c:pt>
                <c:pt idx="64">
                  <c:v>16.0002555847168</c:v>
                </c:pt>
                <c:pt idx="65">
                  <c:v>16.25028419494629</c:v>
                </c:pt>
                <c:pt idx="66">
                  <c:v>16.50031089782715</c:v>
                </c:pt>
                <c:pt idx="67">
                  <c:v>16.75034141540527</c:v>
                </c:pt>
                <c:pt idx="68">
                  <c:v>17.00037002563477</c:v>
                </c:pt>
                <c:pt idx="69">
                  <c:v>17.25000762939453</c:v>
                </c:pt>
                <c:pt idx="70">
                  <c:v>17.50003623962402</c:v>
                </c:pt>
                <c:pt idx="71">
                  <c:v>17.75006294250488</c:v>
                </c:pt>
                <c:pt idx="72">
                  <c:v>18.00009155273438</c:v>
                </c:pt>
                <c:pt idx="73">
                  <c:v>18.25012016296387</c:v>
                </c:pt>
                <c:pt idx="74">
                  <c:v>18.50014686584473</c:v>
                </c:pt>
                <c:pt idx="75">
                  <c:v>18.75017547607422</c:v>
                </c:pt>
                <c:pt idx="76">
                  <c:v>19.00020217895508</c:v>
                </c:pt>
                <c:pt idx="77">
                  <c:v>19.25023078918457</c:v>
                </c:pt>
                <c:pt idx="78">
                  <c:v>19.50025749206543</c:v>
                </c:pt>
                <c:pt idx="79">
                  <c:v>19.75028610229492</c:v>
                </c:pt>
                <c:pt idx="80">
                  <c:v>20.00031471252441</c:v>
                </c:pt>
                <c:pt idx="81">
                  <c:v>20.25034141540527</c:v>
                </c:pt>
                <c:pt idx="82">
                  <c:v>20.50037002563477</c:v>
                </c:pt>
                <c:pt idx="83">
                  <c:v>20.75000762939453</c:v>
                </c:pt>
                <c:pt idx="84">
                  <c:v>21.00003623962402</c:v>
                </c:pt>
                <c:pt idx="85">
                  <c:v>21.25006675720215</c:v>
                </c:pt>
                <c:pt idx="86">
                  <c:v>21.50009536743164</c:v>
                </c:pt>
                <c:pt idx="87">
                  <c:v>21.7501220703125</c:v>
                </c:pt>
                <c:pt idx="88">
                  <c:v>22.00015068054199</c:v>
                </c:pt>
                <c:pt idx="89">
                  <c:v>22.25017738342285</c:v>
                </c:pt>
                <c:pt idx="90">
                  <c:v>22.50020599365234</c:v>
                </c:pt>
                <c:pt idx="91">
                  <c:v>22.7502326965332</c:v>
                </c:pt>
                <c:pt idx="92">
                  <c:v>23.0002613067627</c:v>
                </c:pt>
                <c:pt idx="93">
                  <c:v>23.25028800964355</c:v>
                </c:pt>
                <c:pt idx="94">
                  <c:v>23.50031661987305</c:v>
                </c:pt>
                <c:pt idx="95">
                  <c:v>23.75034523010254</c:v>
                </c:pt>
                <c:pt idx="96">
                  <c:v>24.0003719329834</c:v>
                </c:pt>
                <c:pt idx="97">
                  <c:v>24.2500114440918</c:v>
                </c:pt>
                <c:pt idx="98">
                  <c:v>24.50003814697266</c:v>
                </c:pt>
                <c:pt idx="99">
                  <c:v>24.75006675720215</c:v>
                </c:pt>
                <c:pt idx="100">
                  <c:v>25.00009536743164</c:v>
                </c:pt>
                <c:pt idx="101">
                  <c:v>25.2501220703125</c:v>
                </c:pt>
                <c:pt idx="102">
                  <c:v>25.50015068054199</c:v>
                </c:pt>
                <c:pt idx="103">
                  <c:v>25.75017738342285</c:v>
                </c:pt>
                <c:pt idx="104">
                  <c:v>26.00020790100098</c:v>
                </c:pt>
                <c:pt idx="105">
                  <c:v>26.25023651123047</c:v>
                </c:pt>
                <c:pt idx="106">
                  <c:v>26.50026321411133</c:v>
                </c:pt>
                <c:pt idx="107">
                  <c:v>26.75029182434082</c:v>
                </c:pt>
                <c:pt idx="108">
                  <c:v>27.00031852722168</c:v>
                </c:pt>
                <c:pt idx="109">
                  <c:v>27.25034713745117</c:v>
                </c:pt>
                <c:pt idx="110">
                  <c:v>27.50037574768066</c:v>
                </c:pt>
                <c:pt idx="111">
                  <c:v>27.75001335144043</c:v>
                </c:pt>
                <c:pt idx="112">
                  <c:v>28.00002861022949</c:v>
                </c:pt>
                <c:pt idx="113">
                  <c:v>28.25008392333984</c:v>
                </c:pt>
                <c:pt idx="114">
                  <c:v>28.5001106262207</c:v>
                </c:pt>
                <c:pt idx="115">
                  <c:v>28.7501392364502</c:v>
                </c:pt>
                <c:pt idx="116">
                  <c:v>29.00016593933105</c:v>
                </c:pt>
                <c:pt idx="117">
                  <c:v>29.25019454956055</c:v>
                </c:pt>
                <c:pt idx="118">
                  <c:v>29.50022315979004</c:v>
                </c:pt>
                <c:pt idx="119">
                  <c:v>29.7502498626709</c:v>
                </c:pt>
                <c:pt idx="120">
                  <c:v>30.00027847290039</c:v>
                </c:pt>
                <c:pt idx="121">
                  <c:v>30.25030517578125</c:v>
                </c:pt>
                <c:pt idx="122">
                  <c:v>30.50033378601074</c:v>
                </c:pt>
                <c:pt idx="123">
                  <c:v>30.7503604888916</c:v>
                </c:pt>
                <c:pt idx="124">
                  <c:v>31.00038909912109</c:v>
                </c:pt>
                <c:pt idx="125">
                  <c:v>31.25002861022949</c:v>
                </c:pt>
                <c:pt idx="126">
                  <c:v>31.50005531311035</c:v>
                </c:pt>
                <c:pt idx="127">
                  <c:v>31.75008392333984</c:v>
                </c:pt>
                <c:pt idx="128">
                  <c:v>32.0001106262207</c:v>
                </c:pt>
                <c:pt idx="129">
                  <c:v>32.25013732910156</c:v>
                </c:pt>
                <c:pt idx="130">
                  <c:v>32.50016784667969</c:v>
                </c:pt>
                <c:pt idx="131">
                  <c:v>32.75019454956055</c:v>
                </c:pt>
                <c:pt idx="132">
                  <c:v>33.00022125244141</c:v>
                </c:pt>
                <c:pt idx="133">
                  <c:v>33.25025177001953</c:v>
                </c:pt>
                <c:pt idx="134">
                  <c:v>33.50027847290039</c:v>
                </c:pt>
                <c:pt idx="135">
                  <c:v>33.75030517578125</c:v>
                </c:pt>
                <c:pt idx="136">
                  <c:v>34.00033187866211</c:v>
                </c:pt>
                <c:pt idx="137">
                  <c:v>34.25036239624023</c:v>
                </c:pt>
                <c:pt idx="138">
                  <c:v>34.50038909912109</c:v>
                </c:pt>
                <c:pt idx="139">
                  <c:v>34.75002670288086</c:v>
                </c:pt>
                <c:pt idx="140">
                  <c:v>35.00005722045898</c:v>
                </c:pt>
                <c:pt idx="141">
                  <c:v>35.25008392333984</c:v>
                </c:pt>
                <c:pt idx="142">
                  <c:v>35.5001106262207</c:v>
                </c:pt>
                <c:pt idx="143">
                  <c:v>35.75013732910156</c:v>
                </c:pt>
                <c:pt idx="144">
                  <c:v>36.00016784667969</c:v>
                </c:pt>
                <c:pt idx="145">
                  <c:v>36.25019454956055</c:v>
                </c:pt>
                <c:pt idx="146">
                  <c:v>36.50022125244141</c:v>
                </c:pt>
                <c:pt idx="147">
                  <c:v>36.75025177001953</c:v>
                </c:pt>
                <c:pt idx="148">
                  <c:v>37.00027847290039</c:v>
                </c:pt>
                <c:pt idx="149">
                  <c:v>37.25030517578125</c:v>
                </c:pt>
                <c:pt idx="150">
                  <c:v>37.50033187866211</c:v>
                </c:pt>
                <c:pt idx="151">
                  <c:v>37.75036239624023</c:v>
                </c:pt>
                <c:pt idx="152">
                  <c:v>38.00038909912109</c:v>
                </c:pt>
                <c:pt idx="153">
                  <c:v>38.25002670288086</c:v>
                </c:pt>
                <c:pt idx="154">
                  <c:v>38.50005722045898</c:v>
                </c:pt>
                <c:pt idx="155">
                  <c:v>38.75008392333984</c:v>
                </c:pt>
                <c:pt idx="156">
                  <c:v>39.0001106262207</c:v>
                </c:pt>
                <c:pt idx="157">
                  <c:v>39.25013732910156</c:v>
                </c:pt>
                <c:pt idx="158">
                  <c:v>39.50016784667969</c:v>
                </c:pt>
                <c:pt idx="159">
                  <c:v>39.75019454956055</c:v>
                </c:pt>
                <c:pt idx="160">
                  <c:v>40.00022125244141</c:v>
                </c:pt>
                <c:pt idx="161">
                  <c:v>40.25025177001953</c:v>
                </c:pt>
                <c:pt idx="162">
                  <c:v>40.50027847290039</c:v>
                </c:pt>
                <c:pt idx="163">
                  <c:v>40.75030517578125</c:v>
                </c:pt>
                <c:pt idx="164">
                  <c:v>41.00033187866211</c:v>
                </c:pt>
                <c:pt idx="165">
                  <c:v>41.25036239624023</c:v>
                </c:pt>
                <c:pt idx="166">
                  <c:v>41.50038909912109</c:v>
                </c:pt>
                <c:pt idx="167">
                  <c:v>41.75002670288086</c:v>
                </c:pt>
                <c:pt idx="168">
                  <c:v>42.00005722045898</c:v>
                </c:pt>
                <c:pt idx="169">
                  <c:v>42.25008392333984</c:v>
                </c:pt>
                <c:pt idx="170">
                  <c:v>42.5001106262207</c:v>
                </c:pt>
                <c:pt idx="171">
                  <c:v>42.75013732910156</c:v>
                </c:pt>
                <c:pt idx="172">
                  <c:v>43.00016784667969</c:v>
                </c:pt>
                <c:pt idx="173">
                  <c:v>43.25019454956055</c:v>
                </c:pt>
                <c:pt idx="174">
                  <c:v>43.50022125244141</c:v>
                </c:pt>
                <c:pt idx="175">
                  <c:v>43.75025177001953</c:v>
                </c:pt>
                <c:pt idx="176">
                  <c:v>44.00027847290039</c:v>
                </c:pt>
                <c:pt idx="177">
                  <c:v>44.25030517578125</c:v>
                </c:pt>
                <c:pt idx="178">
                  <c:v>44.50033187866211</c:v>
                </c:pt>
                <c:pt idx="179">
                  <c:v>44.75036239624023</c:v>
                </c:pt>
                <c:pt idx="180">
                  <c:v>45.00038909912109</c:v>
                </c:pt>
                <c:pt idx="181">
                  <c:v>45.25002670288086</c:v>
                </c:pt>
                <c:pt idx="182">
                  <c:v>45.50005722045898</c:v>
                </c:pt>
                <c:pt idx="183">
                  <c:v>45.75008392333984</c:v>
                </c:pt>
                <c:pt idx="184">
                  <c:v>46.0001106262207</c:v>
                </c:pt>
                <c:pt idx="185">
                  <c:v>46.25013732910156</c:v>
                </c:pt>
                <c:pt idx="186">
                  <c:v>46.50016784667969</c:v>
                </c:pt>
                <c:pt idx="187">
                  <c:v>46.75019454956055</c:v>
                </c:pt>
                <c:pt idx="188">
                  <c:v>47.00022125244141</c:v>
                </c:pt>
                <c:pt idx="189">
                  <c:v>47.25025177001953</c:v>
                </c:pt>
                <c:pt idx="190">
                  <c:v>47.50027847290039</c:v>
                </c:pt>
                <c:pt idx="191">
                  <c:v>47.75030517578125</c:v>
                </c:pt>
                <c:pt idx="192">
                  <c:v>48.00033187866211</c:v>
                </c:pt>
                <c:pt idx="193">
                  <c:v>48.25036239624023</c:v>
                </c:pt>
                <c:pt idx="194">
                  <c:v>48.50038909912109</c:v>
                </c:pt>
                <c:pt idx="195">
                  <c:v>48.75002670288086</c:v>
                </c:pt>
                <c:pt idx="196">
                  <c:v>49.00005722045898</c:v>
                </c:pt>
                <c:pt idx="197">
                  <c:v>49.25008392333984</c:v>
                </c:pt>
                <c:pt idx="198">
                  <c:v>49.5001106262207</c:v>
                </c:pt>
                <c:pt idx="199">
                  <c:v>49.75013732910156</c:v>
                </c:pt>
                <c:pt idx="200">
                  <c:v>50.00016784667969</c:v>
                </c:pt>
                <c:pt idx="201">
                  <c:v>50.25019454956055</c:v>
                </c:pt>
                <c:pt idx="202">
                  <c:v>50.50022125244141</c:v>
                </c:pt>
                <c:pt idx="203">
                  <c:v>50.75025177001953</c:v>
                </c:pt>
                <c:pt idx="204">
                  <c:v>51.00027847290039</c:v>
                </c:pt>
                <c:pt idx="205">
                  <c:v>51.25030517578125</c:v>
                </c:pt>
                <c:pt idx="206">
                  <c:v>51.50033187866211</c:v>
                </c:pt>
                <c:pt idx="207">
                  <c:v>51.75036239624023</c:v>
                </c:pt>
                <c:pt idx="208">
                  <c:v>52</c:v>
                </c:pt>
                <c:pt idx="209">
                  <c:v>52.25002670288086</c:v>
                </c:pt>
                <c:pt idx="210">
                  <c:v>52.50005722045898</c:v>
                </c:pt>
                <c:pt idx="211">
                  <c:v>52.75008392333984</c:v>
                </c:pt>
                <c:pt idx="212">
                  <c:v>53.0001106262207</c:v>
                </c:pt>
                <c:pt idx="213">
                  <c:v>53.25013732910156</c:v>
                </c:pt>
                <c:pt idx="214">
                  <c:v>53.50016784667969</c:v>
                </c:pt>
                <c:pt idx="215">
                  <c:v>53.75019454956055</c:v>
                </c:pt>
                <c:pt idx="216">
                  <c:v>54.00022125244141</c:v>
                </c:pt>
                <c:pt idx="217">
                  <c:v>54.25025177001953</c:v>
                </c:pt>
                <c:pt idx="218">
                  <c:v>54.50027847290039</c:v>
                </c:pt>
                <c:pt idx="219">
                  <c:v>54.75030517578125</c:v>
                </c:pt>
                <c:pt idx="220">
                  <c:v>55.00033187866211</c:v>
                </c:pt>
                <c:pt idx="221">
                  <c:v>55.25036239624023</c:v>
                </c:pt>
                <c:pt idx="222">
                  <c:v>55.5</c:v>
                </c:pt>
                <c:pt idx="223">
                  <c:v>55.75002670288086</c:v>
                </c:pt>
                <c:pt idx="224">
                  <c:v>56.00005722045898</c:v>
                </c:pt>
                <c:pt idx="225">
                  <c:v>56.25008392333984</c:v>
                </c:pt>
                <c:pt idx="226">
                  <c:v>56.5001106262207</c:v>
                </c:pt>
                <c:pt idx="227">
                  <c:v>56.75013732910156</c:v>
                </c:pt>
                <c:pt idx="228">
                  <c:v>57.00016784667969</c:v>
                </c:pt>
                <c:pt idx="229">
                  <c:v>57.25019454956055</c:v>
                </c:pt>
                <c:pt idx="230">
                  <c:v>57.50022125244141</c:v>
                </c:pt>
                <c:pt idx="231">
                  <c:v>57.75025177001953</c:v>
                </c:pt>
                <c:pt idx="232">
                  <c:v>58.00027847290039</c:v>
                </c:pt>
                <c:pt idx="233">
                  <c:v>58.25030517578125</c:v>
                </c:pt>
                <c:pt idx="234">
                  <c:v>58.50033187866211</c:v>
                </c:pt>
                <c:pt idx="235">
                  <c:v>58.75036239624023</c:v>
                </c:pt>
                <c:pt idx="236">
                  <c:v>59</c:v>
                </c:pt>
                <c:pt idx="237">
                  <c:v>59.25002670288086</c:v>
                </c:pt>
                <c:pt idx="238">
                  <c:v>59.50005722045898</c:v>
                </c:pt>
                <c:pt idx="239">
                  <c:v>59.75008392333984</c:v>
                </c:pt>
                <c:pt idx="240">
                  <c:v>60.0001106262207</c:v>
                </c:pt>
                <c:pt idx="241">
                  <c:v>60.25013732910156</c:v>
                </c:pt>
                <c:pt idx="242">
                  <c:v>60.50016784667969</c:v>
                </c:pt>
                <c:pt idx="243">
                  <c:v>60.75019454956055</c:v>
                </c:pt>
                <c:pt idx="244">
                  <c:v>61.00022125244141</c:v>
                </c:pt>
                <c:pt idx="245">
                  <c:v>61.25025177001953</c:v>
                </c:pt>
                <c:pt idx="246">
                  <c:v>61.50027847290039</c:v>
                </c:pt>
                <c:pt idx="247">
                  <c:v>61.75030517578125</c:v>
                </c:pt>
                <c:pt idx="248">
                  <c:v>62.00033187866211</c:v>
                </c:pt>
                <c:pt idx="249">
                  <c:v>62.25036239624023</c:v>
                </c:pt>
                <c:pt idx="250">
                  <c:v>62.5</c:v>
                </c:pt>
                <c:pt idx="251">
                  <c:v>62.75002670288086</c:v>
                </c:pt>
                <c:pt idx="252">
                  <c:v>63.00005722045898</c:v>
                </c:pt>
                <c:pt idx="253">
                  <c:v>63.25008392333984</c:v>
                </c:pt>
                <c:pt idx="254">
                  <c:v>63.5001106262207</c:v>
                </c:pt>
                <c:pt idx="255">
                  <c:v>63.75013732910156</c:v>
                </c:pt>
                <c:pt idx="256">
                  <c:v>64.00016784667969</c:v>
                </c:pt>
                <c:pt idx="257">
                  <c:v>64.25019073486328</c:v>
                </c:pt>
                <c:pt idx="258">
                  <c:v>64.50022125244141</c:v>
                </c:pt>
                <c:pt idx="259">
                  <c:v>64.75025177001953</c:v>
                </c:pt>
                <c:pt idx="260">
                  <c:v>65.00027465820312</c:v>
                </c:pt>
                <c:pt idx="261">
                  <c:v>65.25030517578125</c:v>
                </c:pt>
                <c:pt idx="262">
                  <c:v>65.50033569335938</c:v>
                </c:pt>
                <c:pt idx="263">
                  <c:v>65.75035858154297</c:v>
                </c:pt>
                <c:pt idx="264">
                  <c:v>66</c:v>
                </c:pt>
                <c:pt idx="265">
                  <c:v>66.25003051757812</c:v>
                </c:pt>
                <c:pt idx="266">
                  <c:v>66.50005340576172</c:v>
                </c:pt>
                <c:pt idx="267">
                  <c:v>66.75008392333984</c:v>
                </c:pt>
                <c:pt idx="268">
                  <c:v>67.00011444091797</c:v>
                </c:pt>
                <c:pt idx="269">
                  <c:v>67.25013732910156</c:v>
                </c:pt>
                <c:pt idx="270">
                  <c:v>67.50016784667969</c:v>
                </c:pt>
                <c:pt idx="271">
                  <c:v>67.75019073486328</c:v>
                </c:pt>
                <c:pt idx="272">
                  <c:v>68.00022125244141</c:v>
                </c:pt>
                <c:pt idx="273">
                  <c:v>68.25025177001953</c:v>
                </c:pt>
                <c:pt idx="274">
                  <c:v>68.50027465820312</c:v>
                </c:pt>
                <c:pt idx="275">
                  <c:v>68.75030517578125</c:v>
                </c:pt>
                <c:pt idx="276">
                  <c:v>69.00033569335938</c:v>
                </c:pt>
                <c:pt idx="277">
                  <c:v>69.25035858154297</c:v>
                </c:pt>
                <c:pt idx="278">
                  <c:v>69.5</c:v>
                </c:pt>
                <c:pt idx="279">
                  <c:v>69.75003051757812</c:v>
                </c:pt>
                <c:pt idx="280">
                  <c:v>70.00005340576172</c:v>
                </c:pt>
                <c:pt idx="281">
                  <c:v>70.25008392333984</c:v>
                </c:pt>
                <c:pt idx="282">
                  <c:v>70.50011444091797</c:v>
                </c:pt>
                <c:pt idx="283">
                  <c:v>70.75013732910156</c:v>
                </c:pt>
                <c:pt idx="284">
                  <c:v>71.00016784667969</c:v>
                </c:pt>
                <c:pt idx="285">
                  <c:v>71.25019073486328</c:v>
                </c:pt>
                <c:pt idx="286">
                  <c:v>71.50022125244141</c:v>
                </c:pt>
                <c:pt idx="287">
                  <c:v>71.75025177001953</c:v>
                </c:pt>
                <c:pt idx="288">
                  <c:v>72.00027465820312</c:v>
                </c:pt>
              </c:numCache>
            </c:numRef>
          </c:xVal>
          <c:yVal>
            <c:numRef>
              <c:f>SIM1!$E$11:$E$299</c:f>
              <c:numCache>
                <c:ptCount val="289"/>
                <c:pt idx="0">
                  <c:v>0.01899014040827751</c:v>
                </c:pt>
                <c:pt idx="1">
                  <c:v>0.01235297974199057</c:v>
                </c:pt>
                <c:pt idx="2">
                  <c:v>0.008767951279878616</c:v>
                </c:pt>
                <c:pt idx="3">
                  <c:v>0.01135827973484993</c:v>
                </c:pt>
                <c:pt idx="4">
                  <c:v>0.009398536756634712</c:v>
                </c:pt>
                <c:pt idx="5">
                  <c:v>0.01062831003218889</c:v>
                </c:pt>
                <c:pt idx="6">
                  <c:v>0.00895081739872694</c:v>
                </c:pt>
                <c:pt idx="7">
                  <c:v>0.008839445188641548</c:v>
                </c:pt>
                <c:pt idx="8">
                  <c:v>0.01007585041224957</c:v>
                </c:pt>
                <c:pt idx="9">
                  <c:v>0.008484907448291779</c:v>
                </c:pt>
                <c:pt idx="10">
                  <c:v>0.01016569044440985</c:v>
                </c:pt>
                <c:pt idx="11">
                  <c:v>0.009207810275256634</c:v>
                </c:pt>
                <c:pt idx="12">
                  <c:v>0.009293840266764164</c:v>
                </c:pt>
                <c:pt idx="13">
                  <c:v>0.009793265722692013</c:v>
                </c:pt>
                <c:pt idx="14">
                  <c:v>0.009593348950147629</c:v>
                </c:pt>
                <c:pt idx="15">
                  <c:v>0.009927818551659584</c:v>
                </c:pt>
                <c:pt idx="16">
                  <c:v>0.009745977818965912</c:v>
                </c:pt>
                <c:pt idx="17">
                  <c:v>0.009619700722396374</c:v>
                </c:pt>
                <c:pt idx="18">
                  <c:v>0.009813901968300343</c:v>
                </c:pt>
                <c:pt idx="19">
                  <c:v>0.009633160196244717</c:v>
                </c:pt>
                <c:pt idx="20">
                  <c:v>0.009712209925055504</c:v>
                </c:pt>
                <c:pt idx="21">
                  <c:v>0.009768794290721416</c:v>
                </c:pt>
                <c:pt idx="22">
                  <c:v>0.009662165306508541</c:v>
                </c:pt>
                <c:pt idx="23">
                  <c:v>0.009771605953574181</c:v>
                </c:pt>
                <c:pt idx="24">
                  <c:v>0.009737667627632618</c:v>
                </c:pt>
                <c:pt idx="25">
                  <c:v>0.009715227410197258</c:v>
                </c:pt>
                <c:pt idx="26">
                  <c:v>0.00978646706789732</c:v>
                </c:pt>
                <c:pt idx="27">
                  <c:v>0.009734553284943104</c:v>
                </c:pt>
                <c:pt idx="28">
                  <c:v>0.009760910645127296</c:v>
                </c:pt>
                <c:pt idx="29">
                  <c:v>0.009783023037016392</c:v>
                </c:pt>
                <c:pt idx="30">
                  <c:v>0.00975111685693264</c:v>
                </c:pt>
                <c:pt idx="31">
                  <c:v>0.009788159281015396</c:v>
                </c:pt>
                <c:pt idx="32">
                  <c:v>0.00978029053658247</c:v>
                </c:pt>
                <c:pt idx="33">
                  <c:v>0.009774362668395042</c:v>
                </c:pt>
                <c:pt idx="34">
                  <c:v>0.009799705818295479</c:v>
                </c:pt>
                <c:pt idx="35">
                  <c:v>0.00978455226868391</c:v>
                </c:pt>
                <c:pt idx="36">
                  <c:v>0.009794468060135841</c:v>
                </c:pt>
                <c:pt idx="37">
                  <c:v>0.009803810156881809</c:v>
                </c:pt>
                <c:pt idx="38">
                  <c:v>0.009794159792363644</c:v>
                </c:pt>
                <c:pt idx="39">
                  <c:v>0.009807662107050419</c:v>
                </c:pt>
                <c:pt idx="40">
                  <c:v>0.009806664660573006</c:v>
                </c:pt>
                <c:pt idx="41">
                  <c:v>0.009805206209421158</c:v>
                </c:pt>
                <c:pt idx="42">
                  <c:v>0.009814918972551823</c:v>
                </c:pt>
                <c:pt idx="43">
                  <c:v>0.009810834191739559</c:v>
                </c:pt>
                <c:pt idx="44">
                  <c:v>0.009814619086682796</c:v>
                </c:pt>
                <c:pt idx="45">
                  <c:v>0.009818880818784237</c:v>
                </c:pt>
                <c:pt idx="46">
                  <c:v>0.009816126897931099</c:v>
                </c:pt>
                <c:pt idx="47">
                  <c:v>0.009821218438446522</c:v>
                </c:pt>
                <c:pt idx="48">
                  <c:v>0.009821701794862747</c:v>
                </c:pt>
                <c:pt idx="49">
                  <c:v>0.009821474552154541</c:v>
                </c:pt>
                <c:pt idx="50">
                  <c:v>0.009825333021581173</c:v>
                </c:pt>
                <c:pt idx="51">
                  <c:v>0.00982443243265152</c:v>
                </c:pt>
                <c:pt idx="52">
                  <c:v>0.009825949557125568</c:v>
                </c:pt>
                <c:pt idx="53">
                  <c:v>0.009827896952629089</c:v>
                </c:pt>
                <c:pt idx="54">
                  <c:v>0.009827222675085068</c:v>
                </c:pt>
                <c:pt idx="55">
                  <c:v>0.009829211980104446</c:v>
                </c:pt>
                <c:pt idx="56">
                  <c:v>0.009829753078520298</c:v>
                </c:pt>
                <c:pt idx="57">
                  <c:v>0.009829831309616566</c:v>
                </c:pt>
                <c:pt idx="58">
                  <c:v>0.009831408970057964</c:v>
                </c:pt>
                <c:pt idx="59">
                  <c:v>0.00983133539557457</c:v>
                </c:pt>
                <c:pt idx="60">
                  <c:v>0.009831976145505905</c:v>
                </c:pt>
                <c:pt idx="61">
                  <c:v>0.009832865558564663</c:v>
                </c:pt>
                <c:pt idx="62">
                  <c:v>0.009832767769694328</c:v>
                </c:pt>
                <c:pt idx="63">
                  <c:v>0.009833565913140774</c:v>
                </c:pt>
                <c:pt idx="64">
                  <c:v>0.009833912365138531</c:v>
                </c:pt>
                <c:pt idx="65">
                  <c:v>0.009834017604589462</c:v>
                </c:pt>
                <c:pt idx="66">
                  <c:v>0.009834667667746544</c:v>
                </c:pt>
                <c:pt idx="67">
                  <c:v>0.009834746830165386</c:v>
                </c:pt>
                <c:pt idx="68">
                  <c:v>0.009835026226937771</c:v>
                </c:pt>
                <c:pt idx="69">
                  <c:v>0.009835423901677132</c:v>
                </c:pt>
                <c:pt idx="70">
                  <c:v>0.009835452772676945</c:v>
                </c:pt>
                <c:pt idx="71">
                  <c:v>0.00983577873557806</c:v>
                </c:pt>
                <c:pt idx="72">
                  <c:v>0.009835967794060707</c:v>
                </c:pt>
                <c:pt idx="73">
                  <c:v>0.009836043231189251</c:v>
                </c:pt>
                <c:pt idx="74">
                  <c:v>0.00983631145209074</c:v>
                </c:pt>
                <c:pt idx="75">
                  <c:v>0.009836386889219284</c:v>
                </c:pt>
                <c:pt idx="76">
                  <c:v>0.009836510755121708</c:v>
                </c:pt>
                <c:pt idx="77">
                  <c:v>0.009836687706410885</c:v>
                </c:pt>
                <c:pt idx="78">
                  <c:v>0.009836726821959019</c:v>
                </c:pt>
                <c:pt idx="79">
                  <c:v>0.009836861863732338</c:v>
                </c:pt>
                <c:pt idx="80">
                  <c:v>0.009836957789957523</c:v>
                </c:pt>
                <c:pt idx="81">
                  <c:v>0.00983700156211853</c:v>
                </c:pt>
                <c:pt idx="82">
                  <c:v>0.009837115183472633</c:v>
                </c:pt>
                <c:pt idx="83">
                  <c:v>0.00983715895563364</c:v>
                </c:pt>
                <c:pt idx="84">
                  <c:v>0.009837216697633266</c:v>
                </c:pt>
                <c:pt idx="85">
                  <c:v>0.009837293066084385</c:v>
                </c:pt>
                <c:pt idx="86">
                  <c:v>0.009837321005761623</c:v>
                </c:pt>
                <c:pt idx="87">
                  <c:v>0.009837379679083824</c:v>
                </c:pt>
                <c:pt idx="88">
                  <c:v>0.009837424382567406</c:v>
                </c:pt>
                <c:pt idx="89">
                  <c:v>0.009837446734309196</c:v>
                </c:pt>
                <c:pt idx="90">
                  <c:v>0.009837495163083076</c:v>
                </c:pt>
                <c:pt idx="91">
                  <c:v>0.00983752217143774</c:v>
                </c:pt>
                <c:pt idx="92">
                  <c:v>0.00983754638582468</c:v>
                </c:pt>
                <c:pt idx="93">
                  <c:v>0.009837581776082516</c:v>
                </c:pt>
                <c:pt idx="94">
                  <c:v>0.009837597608566284</c:v>
                </c:pt>
                <c:pt idx="95">
                  <c:v>0.009837622754275799</c:v>
                </c:pt>
                <c:pt idx="96">
                  <c:v>0.009837641380727291</c:v>
                </c:pt>
                <c:pt idx="97">
                  <c:v>0.00983765721321106</c:v>
                </c:pt>
                <c:pt idx="98">
                  <c:v>0.009837676770985126</c:v>
                </c:pt>
                <c:pt idx="99">
                  <c:v>0.009837689809501171</c:v>
                </c:pt>
                <c:pt idx="100">
                  <c:v>0.009837700054049492</c:v>
                </c:pt>
                <c:pt idx="101">
                  <c:v>0.00983771774917841</c:v>
                </c:pt>
                <c:pt idx="102">
                  <c:v>0.009837723337113857</c:v>
                </c:pt>
                <c:pt idx="103">
                  <c:v>0.009837736375629902</c:v>
                </c:pt>
                <c:pt idx="104">
                  <c:v>0.009837744757533073</c:v>
                </c:pt>
                <c:pt idx="105">
                  <c:v>0.009837751276791096</c:v>
                </c:pt>
                <c:pt idx="106">
                  <c:v>0.009837759658694267</c:v>
                </c:pt>
                <c:pt idx="107">
                  <c:v>0.009837768971920013</c:v>
                </c:pt>
                <c:pt idx="108">
                  <c:v>0.009837772697210312</c:v>
                </c:pt>
                <c:pt idx="109">
                  <c:v>0.009837782010436058</c:v>
                </c:pt>
                <c:pt idx="110">
                  <c:v>0.009837783873081207</c:v>
                </c:pt>
                <c:pt idx="111">
                  <c:v>0.009837791323661804</c:v>
                </c:pt>
                <c:pt idx="112">
                  <c:v>0.009837794117629528</c:v>
                </c:pt>
                <c:pt idx="113">
                  <c:v>0.009837799705564976</c:v>
                </c:pt>
                <c:pt idx="114">
                  <c:v>0.009837804362177849</c:v>
                </c:pt>
                <c:pt idx="115">
                  <c:v>0.009837805293500423</c:v>
                </c:pt>
                <c:pt idx="116">
                  <c:v>0.009837809018790722</c:v>
                </c:pt>
                <c:pt idx="117">
                  <c:v>0.009837811812758446</c:v>
                </c:pt>
                <c:pt idx="118">
                  <c:v>0.009837813675403595</c:v>
                </c:pt>
                <c:pt idx="119">
                  <c:v>0.009837818332016468</c:v>
                </c:pt>
                <c:pt idx="120">
                  <c:v>0.009837821125984192</c:v>
                </c:pt>
                <c:pt idx="121">
                  <c:v>0.009837823919951916</c:v>
                </c:pt>
                <c:pt idx="122">
                  <c:v>0.009837822988629341</c:v>
                </c:pt>
                <c:pt idx="123">
                  <c:v>0.009837827645242214</c:v>
                </c:pt>
                <c:pt idx="124">
                  <c:v>0.009837827645242214</c:v>
                </c:pt>
                <c:pt idx="125">
                  <c:v>0.009837828576564789</c:v>
                </c:pt>
                <c:pt idx="126">
                  <c:v>0.009837834164500237</c:v>
                </c:pt>
                <c:pt idx="127">
                  <c:v>0.009837835095822811</c:v>
                </c:pt>
                <c:pt idx="128">
                  <c:v>0.00983783695846796</c:v>
                </c:pt>
                <c:pt idx="129">
                  <c:v>0.00983783695846796</c:v>
                </c:pt>
                <c:pt idx="130">
                  <c:v>0.00983783695846796</c:v>
                </c:pt>
                <c:pt idx="131">
                  <c:v>0.009837837889790535</c:v>
                </c:pt>
                <c:pt idx="132">
                  <c:v>0.00983783882111311</c:v>
                </c:pt>
                <c:pt idx="133">
                  <c:v>0.009837839752435684</c:v>
                </c:pt>
                <c:pt idx="134">
                  <c:v>0.009837844409048557</c:v>
                </c:pt>
                <c:pt idx="135">
                  <c:v>0.009837844409048557</c:v>
                </c:pt>
                <c:pt idx="136">
                  <c:v>0.009837846271693707</c:v>
                </c:pt>
                <c:pt idx="137">
                  <c:v>0.009837844409048557</c:v>
                </c:pt>
                <c:pt idx="138">
                  <c:v>0.009837847203016281</c:v>
                </c:pt>
                <c:pt idx="139">
                  <c:v>0.009837848134338856</c:v>
                </c:pt>
                <c:pt idx="140">
                  <c:v>0.009837848134338856</c:v>
                </c:pt>
                <c:pt idx="141">
                  <c:v>0.00983784906566143</c:v>
                </c:pt>
                <c:pt idx="142">
                  <c:v>0.009837847203016281</c:v>
                </c:pt>
                <c:pt idx="143">
                  <c:v>0.00983784906566143</c:v>
                </c:pt>
                <c:pt idx="144">
                  <c:v>0.009837852790951729</c:v>
                </c:pt>
                <c:pt idx="145">
                  <c:v>0.009837851859629154</c:v>
                </c:pt>
                <c:pt idx="146">
                  <c:v>0.009837849996984005</c:v>
                </c:pt>
                <c:pt idx="147">
                  <c:v>0.00983785092830658</c:v>
                </c:pt>
                <c:pt idx="148">
                  <c:v>0.009837851859629154</c:v>
                </c:pt>
                <c:pt idx="149">
                  <c:v>0.009837853722274303</c:v>
                </c:pt>
                <c:pt idx="150">
                  <c:v>0.009837853722274303</c:v>
                </c:pt>
                <c:pt idx="151">
                  <c:v>0.009837857447564602</c:v>
                </c:pt>
                <c:pt idx="152">
                  <c:v>0.009837855584919453</c:v>
                </c:pt>
                <c:pt idx="153">
                  <c:v>0.009837853722274303</c:v>
                </c:pt>
                <c:pt idx="154">
                  <c:v>0.009837854653596878</c:v>
                </c:pt>
                <c:pt idx="155">
                  <c:v>0.009837858378887177</c:v>
                </c:pt>
                <c:pt idx="156">
                  <c:v>0.009837858378887177</c:v>
                </c:pt>
                <c:pt idx="157">
                  <c:v>0.009837859310209751</c:v>
                </c:pt>
                <c:pt idx="158">
                  <c:v>0.009837858378887177</c:v>
                </c:pt>
                <c:pt idx="159">
                  <c:v>0.009837859310209751</c:v>
                </c:pt>
                <c:pt idx="160">
                  <c:v>0.009837860241532326</c:v>
                </c:pt>
                <c:pt idx="161">
                  <c:v>0.009837860241532326</c:v>
                </c:pt>
                <c:pt idx="162">
                  <c:v>0.009837859310209751</c:v>
                </c:pt>
                <c:pt idx="163">
                  <c:v>0.0098378611728549</c:v>
                </c:pt>
                <c:pt idx="164">
                  <c:v>0.009837860241532326</c:v>
                </c:pt>
                <c:pt idx="165">
                  <c:v>0.0098378611728549</c:v>
                </c:pt>
                <c:pt idx="166">
                  <c:v>0.009837860241532326</c:v>
                </c:pt>
                <c:pt idx="167">
                  <c:v>0.009837860241532326</c:v>
                </c:pt>
                <c:pt idx="168">
                  <c:v>0.00983786303550005</c:v>
                </c:pt>
                <c:pt idx="169">
                  <c:v>0.009837862104177475</c:v>
                </c:pt>
                <c:pt idx="170">
                  <c:v>0.009837863966822624</c:v>
                </c:pt>
                <c:pt idx="171">
                  <c:v>0.00983786303550005</c:v>
                </c:pt>
                <c:pt idx="172">
                  <c:v>0.009837864898145199</c:v>
                </c:pt>
                <c:pt idx="173">
                  <c:v>0.00983786303550005</c:v>
                </c:pt>
                <c:pt idx="174">
                  <c:v>0.009837863966822624</c:v>
                </c:pt>
                <c:pt idx="175">
                  <c:v>0.009837864898145199</c:v>
                </c:pt>
                <c:pt idx="176">
                  <c:v>0.009837866760790348</c:v>
                </c:pt>
                <c:pt idx="177">
                  <c:v>0.009837865829467773</c:v>
                </c:pt>
                <c:pt idx="178">
                  <c:v>0.009837866760790348</c:v>
                </c:pt>
                <c:pt idx="179">
                  <c:v>0.009837867692112923</c:v>
                </c:pt>
                <c:pt idx="180">
                  <c:v>0.009837866760790348</c:v>
                </c:pt>
                <c:pt idx="181">
                  <c:v>0.009837866760790348</c:v>
                </c:pt>
                <c:pt idx="182">
                  <c:v>0.009837867692112923</c:v>
                </c:pt>
                <c:pt idx="183">
                  <c:v>0.009837865829467773</c:v>
                </c:pt>
                <c:pt idx="184">
                  <c:v>0.009837866760790348</c:v>
                </c:pt>
                <c:pt idx="185">
                  <c:v>0.009837868623435497</c:v>
                </c:pt>
                <c:pt idx="186">
                  <c:v>0.009837869554758072</c:v>
                </c:pt>
                <c:pt idx="187">
                  <c:v>0.009837866760790348</c:v>
                </c:pt>
                <c:pt idx="188">
                  <c:v>0.009837867692112923</c:v>
                </c:pt>
                <c:pt idx="189">
                  <c:v>0.009837869554758072</c:v>
                </c:pt>
                <c:pt idx="190">
                  <c:v>0.009837867692112923</c:v>
                </c:pt>
                <c:pt idx="191">
                  <c:v>0.009837868623435497</c:v>
                </c:pt>
                <c:pt idx="192">
                  <c:v>0.009837871417403221</c:v>
                </c:pt>
                <c:pt idx="193">
                  <c:v>0.009837868623435497</c:v>
                </c:pt>
                <c:pt idx="194">
                  <c:v>0.009837869554758072</c:v>
                </c:pt>
                <c:pt idx="195">
                  <c:v>0.009837872348725796</c:v>
                </c:pt>
                <c:pt idx="196">
                  <c:v>0.009837869554758072</c:v>
                </c:pt>
                <c:pt idx="197">
                  <c:v>0.009837868623435497</c:v>
                </c:pt>
                <c:pt idx="198">
                  <c:v>0.009837872348725796</c:v>
                </c:pt>
                <c:pt idx="199">
                  <c:v>0.009837871417403221</c:v>
                </c:pt>
                <c:pt idx="200">
                  <c:v>0.00983787328004837</c:v>
                </c:pt>
                <c:pt idx="201">
                  <c:v>0.00983787328004837</c:v>
                </c:pt>
                <c:pt idx="202">
                  <c:v>0.00983787328004837</c:v>
                </c:pt>
                <c:pt idx="203">
                  <c:v>0.009837872348725796</c:v>
                </c:pt>
                <c:pt idx="204">
                  <c:v>0.009837874211370945</c:v>
                </c:pt>
                <c:pt idx="205">
                  <c:v>0.009837872348725796</c:v>
                </c:pt>
                <c:pt idx="206">
                  <c:v>0.009837874211370945</c:v>
                </c:pt>
                <c:pt idx="207">
                  <c:v>0.00983787514269352</c:v>
                </c:pt>
                <c:pt idx="208">
                  <c:v>0.009837874211370945</c:v>
                </c:pt>
                <c:pt idx="209">
                  <c:v>0.009837872348725796</c:v>
                </c:pt>
                <c:pt idx="210">
                  <c:v>0.00983787514269352</c:v>
                </c:pt>
                <c:pt idx="211">
                  <c:v>0.009837872348725796</c:v>
                </c:pt>
                <c:pt idx="212">
                  <c:v>0.00983787514269352</c:v>
                </c:pt>
                <c:pt idx="213">
                  <c:v>0.00983787514269352</c:v>
                </c:pt>
                <c:pt idx="214">
                  <c:v>0.00983787514269352</c:v>
                </c:pt>
                <c:pt idx="215">
                  <c:v>0.009837874211370945</c:v>
                </c:pt>
                <c:pt idx="216">
                  <c:v>0.009837874211370945</c:v>
                </c:pt>
                <c:pt idx="217">
                  <c:v>0.00983787328004837</c:v>
                </c:pt>
                <c:pt idx="218">
                  <c:v>0.00983787328004837</c:v>
                </c:pt>
                <c:pt idx="219">
                  <c:v>0.009837874211370945</c:v>
                </c:pt>
                <c:pt idx="220">
                  <c:v>0.00983787514269352</c:v>
                </c:pt>
                <c:pt idx="221">
                  <c:v>0.00983787514269352</c:v>
                </c:pt>
                <c:pt idx="222">
                  <c:v>0.009837877936661243</c:v>
                </c:pt>
                <c:pt idx="223">
                  <c:v>0.009837877005338669</c:v>
                </c:pt>
                <c:pt idx="224">
                  <c:v>0.009837877936661243</c:v>
                </c:pt>
                <c:pt idx="225">
                  <c:v>0.009837877005338669</c:v>
                </c:pt>
                <c:pt idx="226">
                  <c:v>0.009837877005338669</c:v>
                </c:pt>
                <c:pt idx="227">
                  <c:v>0.00983787514269352</c:v>
                </c:pt>
                <c:pt idx="228">
                  <c:v>0.009837876074016094</c:v>
                </c:pt>
                <c:pt idx="229">
                  <c:v>0.009837877936661243</c:v>
                </c:pt>
                <c:pt idx="230">
                  <c:v>0.009837879799306393</c:v>
                </c:pt>
                <c:pt idx="231">
                  <c:v>0.009837878867983818</c:v>
                </c:pt>
                <c:pt idx="232">
                  <c:v>0.009837877936661243</c:v>
                </c:pt>
                <c:pt idx="233">
                  <c:v>0.009837879799306393</c:v>
                </c:pt>
                <c:pt idx="234">
                  <c:v>0.009837877936661243</c:v>
                </c:pt>
                <c:pt idx="235">
                  <c:v>0.009837877936661243</c:v>
                </c:pt>
                <c:pt idx="236">
                  <c:v>0.009837879799306393</c:v>
                </c:pt>
                <c:pt idx="237">
                  <c:v>0.009837877005338669</c:v>
                </c:pt>
                <c:pt idx="238">
                  <c:v>0.009837879799306393</c:v>
                </c:pt>
                <c:pt idx="239">
                  <c:v>0.009837878867983818</c:v>
                </c:pt>
                <c:pt idx="240">
                  <c:v>0.009837879799306393</c:v>
                </c:pt>
                <c:pt idx="241">
                  <c:v>0.009837879799306393</c:v>
                </c:pt>
                <c:pt idx="242">
                  <c:v>0.009837877936661243</c:v>
                </c:pt>
                <c:pt idx="243">
                  <c:v>0.009837879799306393</c:v>
                </c:pt>
                <c:pt idx="244">
                  <c:v>0.009837880730628967</c:v>
                </c:pt>
                <c:pt idx="245">
                  <c:v>0.009837880730628967</c:v>
                </c:pt>
                <c:pt idx="246">
                  <c:v>0.009837880730628967</c:v>
                </c:pt>
                <c:pt idx="247">
                  <c:v>0.009837881661951542</c:v>
                </c:pt>
                <c:pt idx="248">
                  <c:v>0.009837878867983818</c:v>
                </c:pt>
                <c:pt idx="249">
                  <c:v>0.009837880730628967</c:v>
                </c:pt>
                <c:pt idx="250">
                  <c:v>0.009837880730628967</c:v>
                </c:pt>
                <c:pt idx="251">
                  <c:v>0.009837879799306393</c:v>
                </c:pt>
                <c:pt idx="252">
                  <c:v>0.009837879799306393</c:v>
                </c:pt>
                <c:pt idx="253">
                  <c:v>0.009837879799306393</c:v>
                </c:pt>
                <c:pt idx="254">
                  <c:v>0.009837880730628967</c:v>
                </c:pt>
                <c:pt idx="255">
                  <c:v>0.009837881661951542</c:v>
                </c:pt>
                <c:pt idx="256">
                  <c:v>0.009837884455919266</c:v>
                </c:pt>
                <c:pt idx="257">
                  <c:v>0.009837880730628967</c:v>
                </c:pt>
                <c:pt idx="258">
                  <c:v>0.009837882593274117</c:v>
                </c:pt>
                <c:pt idx="259">
                  <c:v>0.009837881661951542</c:v>
                </c:pt>
                <c:pt idx="260">
                  <c:v>0.009837879799306393</c:v>
                </c:pt>
                <c:pt idx="261">
                  <c:v>0.009837881661951542</c:v>
                </c:pt>
                <c:pt idx="262">
                  <c:v>0.009837882593274117</c:v>
                </c:pt>
                <c:pt idx="263">
                  <c:v>0.009837882593274117</c:v>
                </c:pt>
                <c:pt idx="264">
                  <c:v>0.009837884455919266</c:v>
                </c:pt>
                <c:pt idx="265">
                  <c:v>0.009837880730628967</c:v>
                </c:pt>
                <c:pt idx="266">
                  <c:v>0.009837884455919266</c:v>
                </c:pt>
                <c:pt idx="267">
                  <c:v>0.009837880730628967</c:v>
                </c:pt>
                <c:pt idx="268">
                  <c:v>0.009837881661951542</c:v>
                </c:pt>
                <c:pt idx="269">
                  <c:v>0.009837880730628967</c:v>
                </c:pt>
                <c:pt idx="270">
                  <c:v>0.00983788538724184</c:v>
                </c:pt>
                <c:pt idx="271">
                  <c:v>0.009837882593274117</c:v>
                </c:pt>
                <c:pt idx="272">
                  <c:v>0.009837884455919266</c:v>
                </c:pt>
                <c:pt idx="273">
                  <c:v>0.009837882593274117</c:v>
                </c:pt>
                <c:pt idx="274">
                  <c:v>0.009837884455919266</c:v>
                </c:pt>
                <c:pt idx="275">
                  <c:v>0.009837882593274117</c:v>
                </c:pt>
                <c:pt idx="276">
                  <c:v>0.009837882593274117</c:v>
                </c:pt>
                <c:pt idx="277">
                  <c:v>0.009837882593274117</c:v>
                </c:pt>
                <c:pt idx="278">
                  <c:v>0.00983788538724184</c:v>
                </c:pt>
                <c:pt idx="279">
                  <c:v>0.009837881661951542</c:v>
                </c:pt>
                <c:pt idx="280">
                  <c:v>0.00983788538724184</c:v>
                </c:pt>
                <c:pt idx="281">
                  <c:v>0.009837881661951542</c:v>
                </c:pt>
                <c:pt idx="282">
                  <c:v>0.00983788538724184</c:v>
                </c:pt>
                <c:pt idx="283">
                  <c:v>0.00983788538724184</c:v>
                </c:pt>
                <c:pt idx="284">
                  <c:v>0.009837886318564415</c:v>
                </c:pt>
                <c:pt idx="285">
                  <c:v>0.00983788538724184</c:v>
                </c:pt>
                <c:pt idx="286">
                  <c:v>0.009837886318564415</c:v>
                </c:pt>
                <c:pt idx="287">
                  <c:v>0.009837886318564415</c:v>
                </c:pt>
                <c:pt idx="288">
                  <c:v>0.009837886318564415</c:v>
                </c:pt>
              </c:numCache>
            </c:numRef>
          </c:yVal>
        </c:ser>
        <c:ser>
          <c:idx val="1"/>
          <c:order val="1"/>
          <c:tx>
            <c:strRef>
              <c:f>Legends!B3</c:f>
              <c:strCache>
                <c:ptCount val="1"/>
                <c:pt idx="0">
                  <c:v>VAR2</c:v>
                </c:pt>
              </c:strCache>
            </c:strRef>
          </c:tx>
          <c:marker>
            <c:symbol val="none"/>
          </c:marker>
          <c:xVal>
            <c:numRef>
              <c:f>SIM1!$B$11:$B$299</c:f>
              <c:numCache>
                <c:ptCount val="289"/>
                <c:pt idx="0">
                  <c:v>0</c:v>
                </c:pt>
                <c:pt idx="1">
                  <c:v>0.2504511773586273</c:v>
                </c:pt>
                <c:pt idx="2">
                  <c:v>0.5003725290298462</c:v>
                </c:pt>
                <c:pt idx="3">
                  <c:v>0.7502644658088684</c:v>
                </c:pt>
                <c:pt idx="4">
                  <c:v>1.000229716300964</c:v>
                </c:pt>
                <c:pt idx="5">
                  <c:v>1.250013113021851</c:v>
                </c:pt>
                <c:pt idx="6">
                  <c:v>1.500121116638184</c:v>
                </c:pt>
                <c:pt idx="7">
                  <c:v>1.750328660011292</c:v>
                </c:pt>
                <c:pt idx="8">
                  <c:v>2.000328540802002</c:v>
                </c:pt>
                <c:pt idx="9">
                  <c:v>2.2502760887146</c:v>
                </c:pt>
                <c:pt idx="10">
                  <c:v>2.500304222106934</c:v>
                </c:pt>
                <c:pt idx="11">
                  <c:v>2.750331878662109</c:v>
                </c:pt>
                <c:pt idx="12">
                  <c:v>3.000361204147339</c:v>
                </c:pt>
                <c:pt idx="13">
                  <c:v>3.250388860702515</c:v>
                </c:pt>
                <c:pt idx="14">
                  <c:v>3.500027894973755</c:v>
                </c:pt>
                <c:pt idx="15">
                  <c:v>3.750055551528931</c:v>
                </c:pt>
                <c:pt idx="16">
                  <c:v>4.000083446502686</c:v>
                </c:pt>
                <c:pt idx="17">
                  <c:v>4.250111103057861</c:v>
                </c:pt>
                <c:pt idx="18">
                  <c:v>4.500138759613037</c:v>
                </c:pt>
                <c:pt idx="19">
                  <c:v>4.750166893005371</c:v>
                </c:pt>
                <c:pt idx="20">
                  <c:v>5.000194549560547</c:v>
                </c:pt>
                <c:pt idx="21">
                  <c:v>5.250222206115723</c:v>
                </c:pt>
                <c:pt idx="22">
                  <c:v>5.500249862670898</c:v>
                </c:pt>
                <c:pt idx="23">
                  <c:v>5.750277996063232</c:v>
                </c:pt>
                <c:pt idx="24">
                  <c:v>6.000305652618408</c:v>
                </c:pt>
                <c:pt idx="25">
                  <c:v>6.250333309173584</c:v>
                </c:pt>
                <c:pt idx="26">
                  <c:v>6.50036096572876</c:v>
                </c:pt>
                <c:pt idx="27">
                  <c:v>6.75</c:v>
                </c:pt>
                <c:pt idx="28">
                  <c:v>7.000027656555176</c:v>
                </c:pt>
                <c:pt idx="29">
                  <c:v>7.25005578994751</c:v>
                </c:pt>
                <c:pt idx="30">
                  <c:v>7.500086307525635</c:v>
                </c:pt>
                <c:pt idx="31">
                  <c:v>7.750113964080811</c:v>
                </c:pt>
                <c:pt idx="32">
                  <c:v>8.000142097473145</c:v>
                </c:pt>
                <c:pt idx="33">
                  <c:v>8.25016975402832</c:v>
                </c:pt>
                <c:pt idx="34">
                  <c:v>8.500197410583496</c:v>
                </c:pt>
                <c:pt idx="35">
                  <c:v>8.750225067138672</c:v>
                </c:pt>
                <c:pt idx="36">
                  <c:v>9.000252723693848</c:v>
                </c:pt>
                <c:pt idx="37">
                  <c:v>9.250280380249023</c:v>
                </c:pt>
                <c:pt idx="38">
                  <c:v>9.500308036804199</c:v>
                </c:pt>
                <c:pt idx="39">
                  <c:v>9.750335693359375</c:v>
                </c:pt>
                <c:pt idx="40">
                  <c:v>10.00036430358887</c:v>
                </c:pt>
                <c:pt idx="41">
                  <c:v>10.25000286102295</c:v>
                </c:pt>
                <c:pt idx="42">
                  <c:v>10.50003051757812</c:v>
                </c:pt>
                <c:pt idx="43">
                  <c:v>10.7500581741333</c:v>
                </c:pt>
                <c:pt idx="44">
                  <c:v>11.00008583068848</c:v>
                </c:pt>
                <c:pt idx="45">
                  <c:v>11.25011348724365</c:v>
                </c:pt>
                <c:pt idx="46">
                  <c:v>11.50014209747314</c:v>
                </c:pt>
                <c:pt idx="47">
                  <c:v>11.75016975402832</c:v>
                </c:pt>
                <c:pt idx="48">
                  <c:v>12.00020027160645</c:v>
                </c:pt>
                <c:pt idx="49">
                  <c:v>12.25022792816162</c:v>
                </c:pt>
                <c:pt idx="50">
                  <c:v>12.5002555847168</c:v>
                </c:pt>
                <c:pt idx="51">
                  <c:v>12.75028324127197</c:v>
                </c:pt>
                <c:pt idx="52">
                  <c:v>13.00031089782715</c:v>
                </c:pt>
                <c:pt idx="53">
                  <c:v>13.25033855438232</c:v>
                </c:pt>
                <c:pt idx="54">
                  <c:v>13.5003662109375</c:v>
                </c:pt>
                <c:pt idx="55">
                  <c:v>13.7500057220459</c:v>
                </c:pt>
                <c:pt idx="56">
                  <c:v>14.00003337860107</c:v>
                </c:pt>
                <c:pt idx="57">
                  <c:v>14.25006103515625</c:v>
                </c:pt>
                <c:pt idx="58">
                  <c:v>14.50008869171143</c:v>
                </c:pt>
                <c:pt idx="59">
                  <c:v>14.7501163482666</c:v>
                </c:pt>
                <c:pt idx="60">
                  <c:v>15.00014400482178</c:v>
                </c:pt>
                <c:pt idx="61">
                  <c:v>15.25017261505127</c:v>
                </c:pt>
                <c:pt idx="62">
                  <c:v>15.50020027160645</c:v>
                </c:pt>
                <c:pt idx="63">
                  <c:v>15.75022792816162</c:v>
                </c:pt>
                <c:pt idx="64">
                  <c:v>16.0002555847168</c:v>
                </c:pt>
                <c:pt idx="65">
                  <c:v>16.25028419494629</c:v>
                </c:pt>
                <c:pt idx="66">
                  <c:v>16.50031089782715</c:v>
                </c:pt>
                <c:pt idx="67">
                  <c:v>16.75034141540527</c:v>
                </c:pt>
                <c:pt idx="68">
                  <c:v>17.00037002563477</c:v>
                </c:pt>
                <c:pt idx="69">
                  <c:v>17.25000762939453</c:v>
                </c:pt>
                <c:pt idx="70">
                  <c:v>17.50003623962402</c:v>
                </c:pt>
                <c:pt idx="71">
                  <c:v>17.75006294250488</c:v>
                </c:pt>
                <c:pt idx="72">
                  <c:v>18.00009155273438</c:v>
                </c:pt>
                <c:pt idx="73">
                  <c:v>18.25012016296387</c:v>
                </c:pt>
                <c:pt idx="74">
                  <c:v>18.50014686584473</c:v>
                </c:pt>
                <c:pt idx="75">
                  <c:v>18.75017547607422</c:v>
                </c:pt>
                <c:pt idx="76">
                  <c:v>19.00020217895508</c:v>
                </c:pt>
                <c:pt idx="77">
                  <c:v>19.25023078918457</c:v>
                </c:pt>
                <c:pt idx="78">
                  <c:v>19.50025749206543</c:v>
                </c:pt>
                <c:pt idx="79">
                  <c:v>19.75028610229492</c:v>
                </c:pt>
                <c:pt idx="80">
                  <c:v>20.00031471252441</c:v>
                </c:pt>
                <c:pt idx="81">
                  <c:v>20.25034141540527</c:v>
                </c:pt>
                <c:pt idx="82">
                  <c:v>20.50037002563477</c:v>
                </c:pt>
                <c:pt idx="83">
                  <c:v>20.75000762939453</c:v>
                </c:pt>
                <c:pt idx="84">
                  <c:v>21.00003623962402</c:v>
                </c:pt>
                <c:pt idx="85">
                  <c:v>21.25006675720215</c:v>
                </c:pt>
                <c:pt idx="86">
                  <c:v>21.50009536743164</c:v>
                </c:pt>
                <c:pt idx="87">
                  <c:v>21.7501220703125</c:v>
                </c:pt>
                <c:pt idx="88">
                  <c:v>22.00015068054199</c:v>
                </c:pt>
                <c:pt idx="89">
                  <c:v>22.25017738342285</c:v>
                </c:pt>
                <c:pt idx="90">
                  <c:v>22.50020599365234</c:v>
                </c:pt>
                <c:pt idx="91">
                  <c:v>22.7502326965332</c:v>
                </c:pt>
                <c:pt idx="92">
                  <c:v>23.0002613067627</c:v>
                </c:pt>
                <c:pt idx="93">
                  <c:v>23.25028800964355</c:v>
                </c:pt>
                <c:pt idx="94">
                  <c:v>23.50031661987305</c:v>
                </c:pt>
                <c:pt idx="95">
                  <c:v>23.75034523010254</c:v>
                </c:pt>
                <c:pt idx="96">
                  <c:v>24.0003719329834</c:v>
                </c:pt>
                <c:pt idx="97">
                  <c:v>24.2500114440918</c:v>
                </c:pt>
                <c:pt idx="98">
                  <c:v>24.50003814697266</c:v>
                </c:pt>
                <c:pt idx="99">
                  <c:v>24.75006675720215</c:v>
                </c:pt>
                <c:pt idx="100">
                  <c:v>25.00009536743164</c:v>
                </c:pt>
                <c:pt idx="101">
                  <c:v>25.2501220703125</c:v>
                </c:pt>
                <c:pt idx="102">
                  <c:v>25.50015068054199</c:v>
                </c:pt>
                <c:pt idx="103">
                  <c:v>25.75017738342285</c:v>
                </c:pt>
                <c:pt idx="104">
                  <c:v>26.00020790100098</c:v>
                </c:pt>
                <c:pt idx="105">
                  <c:v>26.25023651123047</c:v>
                </c:pt>
                <c:pt idx="106">
                  <c:v>26.50026321411133</c:v>
                </c:pt>
                <c:pt idx="107">
                  <c:v>26.75029182434082</c:v>
                </c:pt>
                <c:pt idx="108">
                  <c:v>27.00031852722168</c:v>
                </c:pt>
                <c:pt idx="109">
                  <c:v>27.25034713745117</c:v>
                </c:pt>
                <c:pt idx="110">
                  <c:v>27.50037574768066</c:v>
                </c:pt>
                <c:pt idx="111">
                  <c:v>27.75001335144043</c:v>
                </c:pt>
                <c:pt idx="112">
                  <c:v>28.00002861022949</c:v>
                </c:pt>
                <c:pt idx="113">
                  <c:v>28.25008392333984</c:v>
                </c:pt>
                <c:pt idx="114">
                  <c:v>28.5001106262207</c:v>
                </c:pt>
                <c:pt idx="115">
                  <c:v>28.7501392364502</c:v>
                </c:pt>
                <c:pt idx="116">
                  <c:v>29.00016593933105</c:v>
                </c:pt>
                <c:pt idx="117">
                  <c:v>29.25019454956055</c:v>
                </c:pt>
                <c:pt idx="118">
                  <c:v>29.50022315979004</c:v>
                </c:pt>
                <c:pt idx="119">
                  <c:v>29.7502498626709</c:v>
                </c:pt>
                <c:pt idx="120">
                  <c:v>30.00027847290039</c:v>
                </c:pt>
                <c:pt idx="121">
                  <c:v>30.25030517578125</c:v>
                </c:pt>
                <c:pt idx="122">
                  <c:v>30.50033378601074</c:v>
                </c:pt>
                <c:pt idx="123">
                  <c:v>30.7503604888916</c:v>
                </c:pt>
                <c:pt idx="124">
                  <c:v>31.00038909912109</c:v>
                </c:pt>
                <c:pt idx="125">
                  <c:v>31.25002861022949</c:v>
                </c:pt>
                <c:pt idx="126">
                  <c:v>31.50005531311035</c:v>
                </c:pt>
                <c:pt idx="127">
                  <c:v>31.75008392333984</c:v>
                </c:pt>
                <c:pt idx="128">
                  <c:v>32.0001106262207</c:v>
                </c:pt>
                <c:pt idx="129">
                  <c:v>32.25013732910156</c:v>
                </c:pt>
                <c:pt idx="130">
                  <c:v>32.50016784667969</c:v>
                </c:pt>
                <c:pt idx="131">
                  <c:v>32.75019454956055</c:v>
                </c:pt>
                <c:pt idx="132">
                  <c:v>33.00022125244141</c:v>
                </c:pt>
                <c:pt idx="133">
                  <c:v>33.25025177001953</c:v>
                </c:pt>
                <c:pt idx="134">
                  <c:v>33.50027847290039</c:v>
                </c:pt>
                <c:pt idx="135">
                  <c:v>33.75030517578125</c:v>
                </c:pt>
                <c:pt idx="136">
                  <c:v>34.00033187866211</c:v>
                </c:pt>
                <c:pt idx="137">
                  <c:v>34.25036239624023</c:v>
                </c:pt>
                <c:pt idx="138">
                  <c:v>34.50038909912109</c:v>
                </c:pt>
                <c:pt idx="139">
                  <c:v>34.75002670288086</c:v>
                </c:pt>
                <c:pt idx="140">
                  <c:v>35.00005722045898</c:v>
                </c:pt>
                <c:pt idx="141">
                  <c:v>35.25008392333984</c:v>
                </c:pt>
                <c:pt idx="142">
                  <c:v>35.5001106262207</c:v>
                </c:pt>
                <c:pt idx="143">
                  <c:v>35.75013732910156</c:v>
                </c:pt>
                <c:pt idx="144">
                  <c:v>36.00016784667969</c:v>
                </c:pt>
                <c:pt idx="145">
                  <c:v>36.25019454956055</c:v>
                </c:pt>
                <c:pt idx="146">
                  <c:v>36.50022125244141</c:v>
                </c:pt>
                <c:pt idx="147">
                  <c:v>36.75025177001953</c:v>
                </c:pt>
                <c:pt idx="148">
                  <c:v>37.00027847290039</c:v>
                </c:pt>
                <c:pt idx="149">
                  <c:v>37.25030517578125</c:v>
                </c:pt>
                <c:pt idx="150">
                  <c:v>37.50033187866211</c:v>
                </c:pt>
                <c:pt idx="151">
                  <c:v>37.75036239624023</c:v>
                </c:pt>
                <c:pt idx="152">
                  <c:v>38.00038909912109</c:v>
                </c:pt>
                <c:pt idx="153">
                  <c:v>38.25002670288086</c:v>
                </c:pt>
                <c:pt idx="154">
                  <c:v>38.50005722045898</c:v>
                </c:pt>
                <c:pt idx="155">
                  <c:v>38.75008392333984</c:v>
                </c:pt>
                <c:pt idx="156">
                  <c:v>39.0001106262207</c:v>
                </c:pt>
                <c:pt idx="157">
                  <c:v>39.25013732910156</c:v>
                </c:pt>
                <c:pt idx="158">
                  <c:v>39.50016784667969</c:v>
                </c:pt>
                <c:pt idx="159">
                  <c:v>39.75019454956055</c:v>
                </c:pt>
                <c:pt idx="160">
                  <c:v>40.00022125244141</c:v>
                </c:pt>
                <c:pt idx="161">
                  <c:v>40.25025177001953</c:v>
                </c:pt>
                <c:pt idx="162">
                  <c:v>40.50027847290039</c:v>
                </c:pt>
                <c:pt idx="163">
                  <c:v>40.75030517578125</c:v>
                </c:pt>
                <c:pt idx="164">
                  <c:v>41.00033187866211</c:v>
                </c:pt>
                <c:pt idx="165">
                  <c:v>41.25036239624023</c:v>
                </c:pt>
                <c:pt idx="166">
                  <c:v>41.50038909912109</c:v>
                </c:pt>
                <c:pt idx="167">
                  <c:v>41.75002670288086</c:v>
                </c:pt>
                <c:pt idx="168">
                  <c:v>42.00005722045898</c:v>
                </c:pt>
                <c:pt idx="169">
                  <c:v>42.25008392333984</c:v>
                </c:pt>
                <c:pt idx="170">
                  <c:v>42.5001106262207</c:v>
                </c:pt>
                <c:pt idx="171">
                  <c:v>42.75013732910156</c:v>
                </c:pt>
                <c:pt idx="172">
                  <c:v>43.00016784667969</c:v>
                </c:pt>
                <c:pt idx="173">
                  <c:v>43.25019454956055</c:v>
                </c:pt>
                <c:pt idx="174">
                  <c:v>43.50022125244141</c:v>
                </c:pt>
                <c:pt idx="175">
                  <c:v>43.75025177001953</c:v>
                </c:pt>
                <c:pt idx="176">
                  <c:v>44.00027847290039</c:v>
                </c:pt>
                <c:pt idx="177">
                  <c:v>44.25030517578125</c:v>
                </c:pt>
                <c:pt idx="178">
                  <c:v>44.50033187866211</c:v>
                </c:pt>
                <c:pt idx="179">
                  <c:v>44.75036239624023</c:v>
                </c:pt>
                <c:pt idx="180">
                  <c:v>45.00038909912109</c:v>
                </c:pt>
                <c:pt idx="181">
                  <c:v>45.25002670288086</c:v>
                </c:pt>
                <c:pt idx="182">
                  <c:v>45.50005722045898</c:v>
                </c:pt>
                <c:pt idx="183">
                  <c:v>45.75008392333984</c:v>
                </c:pt>
                <c:pt idx="184">
                  <c:v>46.0001106262207</c:v>
                </c:pt>
                <c:pt idx="185">
                  <c:v>46.25013732910156</c:v>
                </c:pt>
                <c:pt idx="186">
                  <c:v>46.50016784667969</c:v>
                </c:pt>
                <c:pt idx="187">
                  <c:v>46.75019454956055</c:v>
                </c:pt>
                <c:pt idx="188">
                  <c:v>47.00022125244141</c:v>
                </c:pt>
                <c:pt idx="189">
                  <c:v>47.25025177001953</c:v>
                </c:pt>
                <c:pt idx="190">
                  <c:v>47.50027847290039</c:v>
                </c:pt>
                <c:pt idx="191">
                  <c:v>47.75030517578125</c:v>
                </c:pt>
                <c:pt idx="192">
                  <c:v>48.00033187866211</c:v>
                </c:pt>
                <c:pt idx="193">
                  <c:v>48.25036239624023</c:v>
                </c:pt>
                <c:pt idx="194">
                  <c:v>48.50038909912109</c:v>
                </c:pt>
                <c:pt idx="195">
                  <c:v>48.75002670288086</c:v>
                </c:pt>
                <c:pt idx="196">
                  <c:v>49.00005722045898</c:v>
                </c:pt>
                <c:pt idx="197">
                  <c:v>49.25008392333984</c:v>
                </c:pt>
                <c:pt idx="198">
                  <c:v>49.5001106262207</c:v>
                </c:pt>
                <c:pt idx="199">
                  <c:v>49.75013732910156</c:v>
                </c:pt>
                <c:pt idx="200">
                  <c:v>50.00016784667969</c:v>
                </c:pt>
                <c:pt idx="201">
                  <c:v>50.25019454956055</c:v>
                </c:pt>
                <c:pt idx="202">
                  <c:v>50.50022125244141</c:v>
                </c:pt>
                <c:pt idx="203">
                  <c:v>50.75025177001953</c:v>
                </c:pt>
                <c:pt idx="204">
                  <c:v>51.00027847290039</c:v>
                </c:pt>
                <c:pt idx="205">
                  <c:v>51.25030517578125</c:v>
                </c:pt>
                <c:pt idx="206">
                  <c:v>51.50033187866211</c:v>
                </c:pt>
                <c:pt idx="207">
                  <c:v>51.75036239624023</c:v>
                </c:pt>
                <c:pt idx="208">
                  <c:v>52</c:v>
                </c:pt>
                <c:pt idx="209">
                  <c:v>52.25002670288086</c:v>
                </c:pt>
                <c:pt idx="210">
                  <c:v>52.50005722045898</c:v>
                </c:pt>
                <c:pt idx="211">
                  <c:v>52.75008392333984</c:v>
                </c:pt>
                <c:pt idx="212">
                  <c:v>53.0001106262207</c:v>
                </c:pt>
                <c:pt idx="213">
                  <c:v>53.25013732910156</c:v>
                </c:pt>
                <c:pt idx="214">
                  <c:v>53.50016784667969</c:v>
                </c:pt>
                <c:pt idx="215">
                  <c:v>53.75019454956055</c:v>
                </c:pt>
                <c:pt idx="216">
                  <c:v>54.00022125244141</c:v>
                </c:pt>
                <c:pt idx="217">
                  <c:v>54.25025177001953</c:v>
                </c:pt>
                <c:pt idx="218">
                  <c:v>54.50027847290039</c:v>
                </c:pt>
                <c:pt idx="219">
                  <c:v>54.75030517578125</c:v>
                </c:pt>
                <c:pt idx="220">
                  <c:v>55.00033187866211</c:v>
                </c:pt>
                <c:pt idx="221">
                  <c:v>55.25036239624023</c:v>
                </c:pt>
                <c:pt idx="222">
                  <c:v>55.5</c:v>
                </c:pt>
                <c:pt idx="223">
                  <c:v>55.75002670288086</c:v>
                </c:pt>
                <c:pt idx="224">
                  <c:v>56.00005722045898</c:v>
                </c:pt>
                <c:pt idx="225">
                  <c:v>56.25008392333984</c:v>
                </c:pt>
                <c:pt idx="226">
                  <c:v>56.5001106262207</c:v>
                </c:pt>
                <c:pt idx="227">
                  <c:v>56.75013732910156</c:v>
                </c:pt>
                <c:pt idx="228">
                  <c:v>57.00016784667969</c:v>
                </c:pt>
                <c:pt idx="229">
                  <c:v>57.25019454956055</c:v>
                </c:pt>
                <c:pt idx="230">
                  <c:v>57.50022125244141</c:v>
                </c:pt>
                <c:pt idx="231">
                  <c:v>57.75025177001953</c:v>
                </c:pt>
                <c:pt idx="232">
                  <c:v>58.00027847290039</c:v>
                </c:pt>
                <c:pt idx="233">
                  <c:v>58.25030517578125</c:v>
                </c:pt>
                <c:pt idx="234">
                  <c:v>58.50033187866211</c:v>
                </c:pt>
                <c:pt idx="235">
                  <c:v>58.75036239624023</c:v>
                </c:pt>
                <c:pt idx="236">
                  <c:v>59</c:v>
                </c:pt>
                <c:pt idx="237">
                  <c:v>59.25002670288086</c:v>
                </c:pt>
                <c:pt idx="238">
                  <c:v>59.50005722045898</c:v>
                </c:pt>
                <c:pt idx="239">
                  <c:v>59.75008392333984</c:v>
                </c:pt>
                <c:pt idx="240">
                  <c:v>60.0001106262207</c:v>
                </c:pt>
                <c:pt idx="241">
                  <c:v>60.25013732910156</c:v>
                </c:pt>
                <c:pt idx="242">
                  <c:v>60.50016784667969</c:v>
                </c:pt>
                <c:pt idx="243">
                  <c:v>60.75019454956055</c:v>
                </c:pt>
                <c:pt idx="244">
                  <c:v>61.00022125244141</c:v>
                </c:pt>
                <c:pt idx="245">
                  <c:v>61.25025177001953</c:v>
                </c:pt>
                <c:pt idx="246">
                  <c:v>61.50027847290039</c:v>
                </c:pt>
                <c:pt idx="247">
                  <c:v>61.75030517578125</c:v>
                </c:pt>
                <c:pt idx="248">
                  <c:v>62.00033187866211</c:v>
                </c:pt>
                <c:pt idx="249">
                  <c:v>62.25036239624023</c:v>
                </c:pt>
                <c:pt idx="250">
                  <c:v>62.5</c:v>
                </c:pt>
                <c:pt idx="251">
                  <c:v>62.75002670288086</c:v>
                </c:pt>
                <c:pt idx="252">
                  <c:v>63.00005722045898</c:v>
                </c:pt>
                <c:pt idx="253">
                  <c:v>63.25008392333984</c:v>
                </c:pt>
                <c:pt idx="254">
                  <c:v>63.5001106262207</c:v>
                </c:pt>
                <c:pt idx="255">
                  <c:v>63.75013732910156</c:v>
                </c:pt>
                <c:pt idx="256">
                  <c:v>64.00016784667969</c:v>
                </c:pt>
                <c:pt idx="257">
                  <c:v>64.25019073486328</c:v>
                </c:pt>
                <c:pt idx="258">
                  <c:v>64.50022125244141</c:v>
                </c:pt>
                <c:pt idx="259">
                  <c:v>64.75025177001953</c:v>
                </c:pt>
                <c:pt idx="260">
                  <c:v>65.00027465820312</c:v>
                </c:pt>
                <c:pt idx="261">
                  <c:v>65.25030517578125</c:v>
                </c:pt>
                <c:pt idx="262">
                  <c:v>65.50033569335938</c:v>
                </c:pt>
                <c:pt idx="263">
                  <c:v>65.75035858154297</c:v>
                </c:pt>
                <c:pt idx="264">
                  <c:v>66</c:v>
                </c:pt>
                <c:pt idx="265">
                  <c:v>66.25003051757812</c:v>
                </c:pt>
                <c:pt idx="266">
                  <c:v>66.50005340576172</c:v>
                </c:pt>
                <c:pt idx="267">
                  <c:v>66.75008392333984</c:v>
                </c:pt>
                <c:pt idx="268">
                  <c:v>67.00011444091797</c:v>
                </c:pt>
                <c:pt idx="269">
                  <c:v>67.25013732910156</c:v>
                </c:pt>
                <c:pt idx="270">
                  <c:v>67.50016784667969</c:v>
                </c:pt>
                <c:pt idx="271">
                  <c:v>67.75019073486328</c:v>
                </c:pt>
                <c:pt idx="272">
                  <c:v>68.00022125244141</c:v>
                </c:pt>
                <c:pt idx="273">
                  <c:v>68.25025177001953</c:v>
                </c:pt>
                <c:pt idx="274">
                  <c:v>68.50027465820312</c:v>
                </c:pt>
                <c:pt idx="275">
                  <c:v>68.75030517578125</c:v>
                </c:pt>
                <c:pt idx="276">
                  <c:v>69.00033569335938</c:v>
                </c:pt>
                <c:pt idx="277">
                  <c:v>69.25035858154297</c:v>
                </c:pt>
                <c:pt idx="278">
                  <c:v>69.5</c:v>
                </c:pt>
                <c:pt idx="279">
                  <c:v>69.75003051757812</c:v>
                </c:pt>
                <c:pt idx="280">
                  <c:v>70.00005340576172</c:v>
                </c:pt>
                <c:pt idx="281">
                  <c:v>70.25008392333984</c:v>
                </c:pt>
                <c:pt idx="282">
                  <c:v>70.50011444091797</c:v>
                </c:pt>
                <c:pt idx="283">
                  <c:v>70.75013732910156</c:v>
                </c:pt>
                <c:pt idx="284">
                  <c:v>71.00016784667969</c:v>
                </c:pt>
                <c:pt idx="285">
                  <c:v>71.25019073486328</c:v>
                </c:pt>
                <c:pt idx="286">
                  <c:v>71.50022125244141</c:v>
                </c:pt>
                <c:pt idx="287">
                  <c:v>71.75025177001953</c:v>
                </c:pt>
                <c:pt idx="288">
                  <c:v>72.00027465820312</c:v>
                </c:pt>
              </c:numCache>
            </c:numRef>
          </c:xVal>
          <c:yVal>
            <c:numRef>
              <c:f>SIM1!$F$11:$F$299</c:f>
              <c:numCache>
                <c:ptCount val="289"/>
                <c:pt idx="0">
                  <c:v>6.976023197174072</c:v>
                </c:pt>
                <c:pt idx="1">
                  <c:v>7.181337833404541</c:v>
                </c:pt>
                <c:pt idx="2">
                  <c:v>5.209248065948486</c:v>
                </c:pt>
                <c:pt idx="3">
                  <c:v>5.983951091766357</c:v>
                </c:pt>
                <c:pt idx="4">
                  <c:v>5.278471946716309</c:v>
                </c:pt>
                <c:pt idx="5">
                  <c:v>5.146395206451416</c:v>
                </c:pt>
                <c:pt idx="6">
                  <c:v>5.006810188293457</c:v>
                </c:pt>
                <c:pt idx="7">
                  <c:v>4.737603187561035</c:v>
                </c:pt>
                <c:pt idx="8">
                  <c:v>5.198352813720703</c:v>
                </c:pt>
                <c:pt idx="9">
                  <c:v>4.683227062225342</c:v>
                </c:pt>
                <c:pt idx="10">
                  <c:v>5.070384979248047</c:v>
                </c:pt>
                <c:pt idx="11">
                  <c:v>4.888185024261475</c:v>
                </c:pt>
                <c:pt idx="12">
                  <c:v>4.81830883026123</c:v>
                </c:pt>
                <c:pt idx="13">
                  <c:v>5.030058860778809</c:v>
                </c:pt>
                <c:pt idx="14">
                  <c:v>4.945787906646729</c:v>
                </c:pt>
                <c:pt idx="15">
                  <c:v>4.995786190032959</c:v>
                </c:pt>
                <c:pt idx="16">
                  <c:v>4.987526893615723</c:v>
                </c:pt>
                <c:pt idx="17">
                  <c:v>4.898069858551025</c:v>
                </c:pt>
                <c:pt idx="18">
                  <c:v>4.945738792419434</c:v>
                </c:pt>
                <c:pt idx="19">
                  <c:v>4.908864974975586</c:v>
                </c:pt>
                <c:pt idx="20">
                  <c:v>4.896020889282227</c:v>
                </c:pt>
                <c:pt idx="21">
                  <c:v>4.924986839294434</c:v>
                </c:pt>
                <c:pt idx="22">
                  <c:v>4.885807037353516</c:v>
                </c:pt>
                <c:pt idx="23">
                  <c:v>4.89839506149292</c:v>
                </c:pt>
                <c:pt idx="24">
                  <c:v>4.898931980133057</c:v>
                </c:pt>
                <c:pt idx="25">
                  <c:v>4.875664234161377</c:v>
                </c:pt>
                <c:pt idx="26">
                  <c:v>4.891172885894775</c:v>
                </c:pt>
                <c:pt idx="27">
                  <c:v>4.877693176269531</c:v>
                </c:pt>
                <c:pt idx="28">
                  <c:v>4.870511054992676</c:v>
                </c:pt>
                <c:pt idx="29">
                  <c:v>4.877882957458496</c:v>
                </c:pt>
                <c:pt idx="30">
                  <c:v>4.863367080688477</c:v>
                </c:pt>
                <c:pt idx="31">
                  <c:v>4.865077018737793</c:v>
                </c:pt>
                <c:pt idx="32">
                  <c:v>4.863815784454346</c:v>
                </c:pt>
                <c:pt idx="33">
                  <c:v>4.854410171508789</c:v>
                </c:pt>
                <c:pt idx="34">
                  <c:v>4.857735157012939</c:v>
                </c:pt>
                <c:pt idx="35">
                  <c:v>4.852073192596436</c:v>
                </c:pt>
                <c:pt idx="36">
                  <c:v>4.84815502166748</c:v>
                </c:pt>
                <c:pt idx="37">
                  <c:v>4.849407196044922</c:v>
                </c:pt>
                <c:pt idx="38">
                  <c:v>4.843451976776123</c:v>
                </c:pt>
                <c:pt idx="39">
                  <c:v>4.842812061309814</c:v>
                </c:pt>
                <c:pt idx="40">
                  <c:v>4.841559886932373</c:v>
                </c:pt>
                <c:pt idx="41">
                  <c:v>4.837384223937988</c:v>
                </c:pt>
                <c:pt idx="42">
                  <c:v>4.837617874145508</c:v>
                </c:pt>
                <c:pt idx="43">
                  <c:v>4.835042953491211</c:v>
                </c:pt>
                <c:pt idx="44">
                  <c:v>4.832880973815918</c:v>
                </c:pt>
                <c:pt idx="45">
                  <c:v>4.832699775695801</c:v>
                </c:pt>
                <c:pt idx="46">
                  <c:v>4.830099105834961</c:v>
                </c:pt>
                <c:pt idx="47">
                  <c:v>4.829246044158936</c:v>
                </c:pt>
                <c:pt idx="48">
                  <c:v>4.828390121459961</c:v>
                </c:pt>
                <c:pt idx="49">
                  <c:v>4.826466083526611</c:v>
                </c:pt>
                <c:pt idx="50">
                  <c:v>4.826104164123535</c:v>
                </c:pt>
                <c:pt idx="51">
                  <c:v>4.82488489151001</c:v>
                </c:pt>
                <c:pt idx="52">
                  <c:v>4.82374382019043</c:v>
                </c:pt>
                <c:pt idx="53">
                  <c:v>4.823378086090088</c:v>
                </c:pt>
                <c:pt idx="54">
                  <c:v>4.822197914123535</c:v>
                </c:pt>
                <c:pt idx="55">
                  <c:v>4.821597099304199</c:v>
                </c:pt>
                <c:pt idx="56">
                  <c:v>4.821078777313232</c:v>
                </c:pt>
                <c:pt idx="57">
                  <c:v>4.820174217224121</c:v>
                </c:pt>
                <c:pt idx="58">
                  <c:v>4.819831848144531</c:v>
                </c:pt>
                <c:pt idx="59">
                  <c:v>4.819240093231201</c:v>
                </c:pt>
                <c:pt idx="60">
                  <c:v>4.818655014038086</c:v>
                </c:pt>
                <c:pt idx="61">
                  <c:v>4.818376064300537</c:v>
                </c:pt>
                <c:pt idx="62">
                  <c:v>4.817831993103027</c:v>
                </c:pt>
                <c:pt idx="63">
                  <c:v>4.817483901977539</c:v>
                </c:pt>
                <c:pt idx="64">
                  <c:v>4.817199230194092</c:v>
                </c:pt>
                <c:pt idx="65">
                  <c:v>4.816777229309082</c:v>
                </c:pt>
                <c:pt idx="66">
                  <c:v>4.816558837890625</c:v>
                </c:pt>
                <c:pt idx="67">
                  <c:v>4.816274166107178</c:v>
                </c:pt>
                <c:pt idx="68">
                  <c:v>4.815987110137939</c:v>
                </c:pt>
                <c:pt idx="69">
                  <c:v>4.815821170806885</c:v>
                </c:pt>
                <c:pt idx="70">
                  <c:v>4.815569877624512</c:v>
                </c:pt>
                <c:pt idx="71">
                  <c:v>4.815386772155762</c:v>
                </c:pt>
                <c:pt idx="72">
                  <c:v>4.815237998962402</c:v>
                </c:pt>
                <c:pt idx="73">
                  <c:v>4.815042972564697</c:v>
                </c:pt>
                <c:pt idx="74">
                  <c:v>4.814920902252197</c:v>
                </c:pt>
                <c:pt idx="75">
                  <c:v>4.814786911010742</c:v>
                </c:pt>
                <c:pt idx="76">
                  <c:v>4.814649105072021</c:v>
                </c:pt>
                <c:pt idx="77">
                  <c:v>4.814558982849121</c:v>
                </c:pt>
                <c:pt idx="78">
                  <c:v>4.814444065093994</c:v>
                </c:pt>
                <c:pt idx="79">
                  <c:v>4.814352035522461</c:v>
                </c:pt>
                <c:pt idx="80">
                  <c:v>4.814278125762939</c:v>
                </c:pt>
                <c:pt idx="81">
                  <c:v>4.814188003540039</c:v>
                </c:pt>
                <c:pt idx="82">
                  <c:v>4.814126014709473</c:v>
                </c:pt>
                <c:pt idx="83">
                  <c:v>4.814061164855957</c:v>
                </c:pt>
                <c:pt idx="84">
                  <c:v>4.813998222351074</c:v>
                </c:pt>
                <c:pt idx="85">
                  <c:v>4.813951015472412</c:v>
                </c:pt>
                <c:pt idx="86">
                  <c:v>4.813899040222168</c:v>
                </c:pt>
                <c:pt idx="87">
                  <c:v>4.81385612487793</c:v>
                </c:pt>
                <c:pt idx="88">
                  <c:v>4.813817977905273</c:v>
                </c:pt>
                <c:pt idx="89">
                  <c:v>4.813776969909668</c:v>
                </c:pt>
                <c:pt idx="90">
                  <c:v>4.813745975494385</c:v>
                </c:pt>
                <c:pt idx="91">
                  <c:v>4.813716888427734</c:v>
                </c:pt>
                <c:pt idx="92">
                  <c:v>4.813685894012451</c:v>
                </c:pt>
                <c:pt idx="93">
                  <c:v>4.81366491317749</c:v>
                </c:pt>
                <c:pt idx="94">
                  <c:v>4.81364107131958</c:v>
                </c:pt>
                <c:pt idx="95">
                  <c:v>4.813620090484619</c:v>
                </c:pt>
                <c:pt idx="96">
                  <c:v>4.813601016998291</c:v>
                </c:pt>
                <c:pt idx="97">
                  <c:v>4.813583850860596</c:v>
                </c:pt>
                <c:pt idx="98">
                  <c:v>4.813569068908691</c:v>
                </c:pt>
                <c:pt idx="99">
                  <c:v>4.813554763793945</c:v>
                </c:pt>
                <c:pt idx="100">
                  <c:v>4.813539981842041</c:v>
                </c:pt>
                <c:pt idx="101">
                  <c:v>4.813529968261719</c:v>
                </c:pt>
                <c:pt idx="102">
                  <c:v>4.813517093658447</c:v>
                </c:pt>
                <c:pt idx="103">
                  <c:v>4.813508033752441</c:v>
                </c:pt>
                <c:pt idx="104">
                  <c:v>4.813498973846436</c:v>
                </c:pt>
                <c:pt idx="105">
                  <c:v>4.81348991394043</c:v>
                </c:pt>
                <c:pt idx="106">
                  <c:v>4.813483238220215</c:v>
                </c:pt>
                <c:pt idx="107">
                  <c:v>4.813477039337158</c:v>
                </c:pt>
                <c:pt idx="108">
                  <c:v>4.813468933105469</c:v>
                </c:pt>
                <c:pt idx="109">
                  <c:v>4.813465118408203</c:v>
                </c:pt>
                <c:pt idx="110">
                  <c:v>4.81345796585083</c:v>
                </c:pt>
                <c:pt idx="111">
                  <c:v>4.813455104827881</c:v>
                </c:pt>
                <c:pt idx="112">
                  <c:v>4.813448905944824</c:v>
                </c:pt>
                <c:pt idx="113">
                  <c:v>4.813446044921875</c:v>
                </c:pt>
                <c:pt idx="114">
                  <c:v>4.813442230224609</c:v>
                </c:pt>
                <c:pt idx="115">
                  <c:v>4.813437938690186</c:v>
                </c:pt>
                <c:pt idx="116">
                  <c:v>4.81343412399292</c:v>
                </c:pt>
                <c:pt idx="117">
                  <c:v>4.813432216644287</c:v>
                </c:pt>
                <c:pt idx="118">
                  <c:v>4.81342887878418</c:v>
                </c:pt>
                <c:pt idx="119">
                  <c:v>4.813426971435547</c:v>
                </c:pt>
                <c:pt idx="120">
                  <c:v>4.813425064086914</c:v>
                </c:pt>
                <c:pt idx="121">
                  <c:v>4.813423156738281</c:v>
                </c:pt>
                <c:pt idx="122">
                  <c:v>4.813418865203857</c:v>
                </c:pt>
                <c:pt idx="123">
                  <c:v>4.813418865203857</c:v>
                </c:pt>
                <c:pt idx="124">
                  <c:v>4.813416004180908</c:v>
                </c:pt>
                <c:pt idx="125">
                  <c:v>4.813414096832275</c:v>
                </c:pt>
                <c:pt idx="126">
                  <c:v>4.813414096832275</c:v>
                </c:pt>
                <c:pt idx="127">
                  <c:v>4.813413143157959</c:v>
                </c:pt>
                <c:pt idx="128">
                  <c:v>4.813411235809326</c:v>
                </c:pt>
                <c:pt idx="129">
                  <c:v>4.813409805297852</c:v>
                </c:pt>
                <c:pt idx="130">
                  <c:v>4.813407897949219</c:v>
                </c:pt>
                <c:pt idx="131">
                  <c:v>4.813405990600586</c:v>
                </c:pt>
                <c:pt idx="132">
                  <c:v>4.81340503692627</c:v>
                </c:pt>
                <c:pt idx="133">
                  <c:v>4.813404083251953</c:v>
                </c:pt>
                <c:pt idx="134">
                  <c:v>4.813404083251953</c:v>
                </c:pt>
                <c:pt idx="135">
                  <c:v>4.813403129577637</c:v>
                </c:pt>
                <c:pt idx="136">
                  <c:v>4.81340217590332</c:v>
                </c:pt>
                <c:pt idx="137">
                  <c:v>4.813399791717529</c:v>
                </c:pt>
                <c:pt idx="138">
                  <c:v>4.813401222229004</c:v>
                </c:pt>
                <c:pt idx="139">
                  <c:v>4.813399791717529</c:v>
                </c:pt>
                <c:pt idx="140">
                  <c:v>4.813398838043213</c:v>
                </c:pt>
                <c:pt idx="141">
                  <c:v>4.813397884368896</c:v>
                </c:pt>
                <c:pt idx="142">
                  <c:v>4.813395977020264</c:v>
                </c:pt>
                <c:pt idx="143">
                  <c:v>4.813395023345947</c:v>
                </c:pt>
                <c:pt idx="144">
                  <c:v>4.813395977020264</c:v>
                </c:pt>
                <c:pt idx="145">
                  <c:v>4.813395023345947</c:v>
                </c:pt>
                <c:pt idx="146">
                  <c:v>4.813393115997314</c:v>
                </c:pt>
                <c:pt idx="147">
                  <c:v>4.813393115997314</c:v>
                </c:pt>
                <c:pt idx="148">
                  <c:v>4.813392162322998</c:v>
                </c:pt>
                <c:pt idx="149">
                  <c:v>4.813393115997314</c:v>
                </c:pt>
                <c:pt idx="150">
                  <c:v>4.813392162322998</c:v>
                </c:pt>
                <c:pt idx="151">
                  <c:v>4.813392162322998</c:v>
                </c:pt>
                <c:pt idx="152">
                  <c:v>4.813391208648682</c:v>
                </c:pt>
                <c:pt idx="153">
                  <c:v>4.813388824462891</c:v>
                </c:pt>
                <c:pt idx="154">
                  <c:v>4.813388824462891</c:v>
                </c:pt>
                <c:pt idx="155">
                  <c:v>4.813388824462891</c:v>
                </c:pt>
                <c:pt idx="156">
                  <c:v>4.813388824462891</c:v>
                </c:pt>
                <c:pt idx="157">
                  <c:v>4.813387870788574</c:v>
                </c:pt>
                <c:pt idx="158">
                  <c:v>4.813386917114258</c:v>
                </c:pt>
                <c:pt idx="159">
                  <c:v>4.813386917114258</c:v>
                </c:pt>
                <c:pt idx="160">
                  <c:v>4.813386917114258</c:v>
                </c:pt>
                <c:pt idx="161">
                  <c:v>4.813386917114258</c:v>
                </c:pt>
                <c:pt idx="162">
                  <c:v>4.813385009765625</c:v>
                </c:pt>
                <c:pt idx="163">
                  <c:v>4.813385963439941</c:v>
                </c:pt>
                <c:pt idx="164">
                  <c:v>4.813384056091309</c:v>
                </c:pt>
                <c:pt idx="165">
                  <c:v>4.813385009765625</c:v>
                </c:pt>
                <c:pt idx="166">
                  <c:v>4.813383102416992</c:v>
                </c:pt>
                <c:pt idx="167">
                  <c:v>4.813383102416992</c:v>
                </c:pt>
                <c:pt idx="168">
                  <c:v>4.813384056091309</c:v>
                </c:pt>
                <c:pt idx="169">
                  <c:v>4.813382148742676</c:v>
                </c:pt>
                <c:pt idx="170">
                  <c:v>4.813383102416992</c:v>
                </c:pt>
                <c:pt idx="171">
                  <c:v>4.813382148742676</c:v>
                </c:pt>
                <c:pt idx="172">
                  <c:v>4.813382148742676</c:v>
                </c:pt>
                <c:pt idx="173">
                  <c:v>4.813381195068359</c:v>
                </c:pt>
                <c:pt idx="174">
                  <c:v>4.813379764556885</c:v>
                </c:pt>
                <c:pt idx="175">
                  <c:v>4.813379764556885</c:v>
                </c:pt>
                <c:pt idx="176">
                  <c:v>4.813381195068359</c:v>
                </c:pt>
                <c:pt idx="177">
                  <c:v>4.813379764556885</c:v>
                </c:pt>
                <c:pt idx="178">
                  <c:v>4.813379764556885</c:v>
                </c:pt>
                <c:pt idx="179">
                  <c:v>4.813379764556885</c:v>
                </c:pt>
                <c:pt idx="180">
                  <c:v>4.813378810882568</c:v>
                </c:pt>
                <c:pt idx="181">
                  <c:v>4.813378810882568</c:v>
                </c:pt>
                <c:pt idx="182">
                  <c:v>4.813377857208252</c:v>
                </c:pt>
                <c:pt idx="183">
                  <c:v>4.813376903533936</c:v>
                </c:pt>
                <c:pt idx="184">
                  <c:v>4.813376903533936</c:v>
                </c:pt>
                <c:pt idx="185">
                  <c:v>4.813377857208252</c:v>
                </c:pt>
                <c:pt idx="186">
                  <c:v>4.813376903533936</c:v>
                </c:pt>
                <c:pt idx="187">
                  <c:v>4.813375949859619</c:v>
                </c:pt>
                <c:pt idx="188">
                  <c:v>4.813374996185303</c:v>
                </c:pt>
                <c:pt idx="189">
                  <c:v>4.813375949859619</c:v>
                </c:pt>
                <c:pt idx="190">
                  <c:v>4.813374996185303</c:v>
                </c:pt>
                <c:pt idx="191">
                  <c:v>4.813374996185303</c:v>
                </c:pt>
                <c:pt idx="192">
                  <c:v>4.813374996185303</c:v>
                </c:pt>
                <c:pt idx="193">
                  <c:v>4.813374042510986</c:v>
                </c:pt>
                <c:pt idx="194">
                  <c:v>4.813374042510986</c:v>
                </c:pt>
                <c:pt idx="195">
                  <c:v>4.813374996185303</c:v>
                </c:pt>
                <c:pt idx="196">
                  <c:v>4.81337308883667</c:v>
                </c:pt>
                <c:pt idx="197">
                  <c:v>4.81337308883667</c:v>
                </c:pt>
                <c:pt idx="198">
                  <c:v>4.813374042510986</c:v>
                </c:pt>
                <c:pt idx="199">
                  <c:v>4.81337308883667</c:v>
                </c:pt>
                <c:pt idx="200">
                  <c:v>4.81337308883667</c:v>
                </c:pt>
                <c:pt idx="201">
                  <c:v>4.81337308883667</c:v>
                </c:pt>
                <c:pt idx="202">
                  <c:v>4.81337308883667</c:v>
                </c:pt>
                <c:pt idx="203">
                  <c:v>4.813371181488037</c:v>
                </c:pt>
                <c:pt idx="204">
                  <c:v>4.813372135162354</c:v>
                </c:pt>
                <c:pt idx="205">
                  <c:v>4.813371181488037</c:v>
                </c:pt>
                <c:pt idx="206">
                  <c:v>4.813372135162354</c:v>
                </c:pt>
                <c:pt idx="207">
                  <c:v>4.813372135162354</c:v>
                </c:pt>
                <c:pt idx="208">
                  <c:v>4.813371181488037</c:v>
                </c:pt>
                <c:pt idx="209">
                  <c:v>4.813370227813721</c:v>
                </c:pt>
                <c:pt idx="210">
                  <c:v>4.813371181488037</c:v>
                </c:pt>
                <c:pt idx="211">
                  <c:v>4.813368797302246</c:v>
                </c:pt>
                <c:pt idx="212">
                  <c:v>4.813370227813721</c:v>
                </c:pt>
                <c:pt idx="213">
                  <c:v>4.813370227813721</c:v>
                </c:pt>
                <c:pt idx="214">
                  <c:v>4.813370227813721</c:v>
                </c:pt>
                <c:pt idx="215">
                  <c:v>4.813368797302246</c:v>
                </c:pt>
                <c:pt idx="216">
                  <c:v>4.81336784362793</c:v>
                </c:pt>
                <c:pt idx="217">
                  <c:v>4.81336784362793</c:v>
                </c:pt>
                <c:pt idx="218">
                  <c:v>4.813366889953613</c:v>
                </c:pt>
                <c:pt idx="219">
                  <c:v>4.813366889953613</c:v>
                </c:pt>
                <c:pt idx="220">
                  <c:v>4.813366889953613</c:v>
                </c:pt>
                <c:pt idx="221">
                  <c:v>4.813366889953613</c:v>
                </c:pt>
                <c:pt idx="222">
                  <c:v>4.81336784362793</c:v>
                </c:pt>
                <c:pt idx="223">
                  <c:v>4.81336784362793</c:v>
                </c:pt>
                <c:pt idx="224">
                  <c:v>4.81336784362793</c:v>
                </c:pt>
                <c:pt idx="225">
                  <c:v>4.813366889953613</c:v>
                </c:pt>
                <c:pt idx="226">
                  <c:v>4.813365936279297</c:v>
                </c:pt>
                <c:pt idx="227">
                  <c:v>4.813365936279297</c:v>
                </c:pt>
                <c:pt idx="228">
                  <c:v>4.813365936279297</c:v>
                </c:pt>
                <c:pt idx="229">
                  <c:v>4.813365936279297</c:v>
                </c:pt>
                <c:pt idx="230">
                  <c:v>4.813366889953613</c:v>
                </c:pt>
                <c:pt idx="231">
                  <c:v>4.813365936279297</c:v>
                </c:pt>
                <c:pt idx="232">
                  <c:v>4.813365936279297</c:v>
                </c:pt>
                <c:pt idx="233">
                  <c:v>4.813365936279297</c:v>
                </c:pt>
                <c:pt idx="234">
                  <c:v>4.81336498260498</c:v>
                </c:pt>
                <c:pt idx="235">
                  <c:v>4.81336498260498</c:v>
                </c:pt>
                <c:pt idx="236">
                  <c:v>4.813365936279297</c:v>
                </c:pt>
                <c:pt idx="237">
                  <c:v>4.813364028930664</c:v>
                </c:pt>
                <c:pt idx="238">
                  <c:v>4.81336498260498</c:v>
                </c:pt>
                <c:pt idx="239">
                  <c:v>4.813364028930664</c:v>
                </c:pt>
                <c:pt idx="240">
                  <c:v>4.81336498260498</c:v>
                </c:pt>
                <c:pt idx="241">
                  <c:v>4.81336498260498</c:v>
                </c:pt>
                <c:pt idx="242">
                  <c:v>4.813363075256348</c:v>
                </c:pt>
                <c:pt idx="243">
                  <c:v>4.813364028930664</c:v>
                </c:pt>
                <c:pt idx="244">
                  <c:v>4.813364028930664</c:v>
                </c:pt>
                <c:pt idx="245">
                  <c:v>4.813364028930664</c:v>
                </c:pt>
                <c:pt idx="246">
                  <c:v>4.813364028930664</c:v>
                </c:pt>
                <c:pt idx="247">
                  <c:v>4.813364028930664</c:v>
                </c:pt>
                <c:pt idx="248">
                  <c:v>4.813362121582031</c:v>
                </c:pt>
                <c:pt idx="249">
                  <c:v>4.813363075256348</c:v>
                </c:pt>
                <c:pt idx="250">
                  <c:v>4.813363075256348</c:v>
                </c:pt>
                <c:pt idx="251">
                  <c:v>4.813362121582031</c:v>
                </c:pt>
                <c:pt idx="252">
                  <c:v>4.813361167907715</c:v>
                </c:pt>
                <c:pt idx="253">
                  <c:v>4.813362121582031</c:v>
                </c:pt>
                <c:pt idx="254">
                  <c:v>4.813362121582031</c:v>
                </c:pt>
                <c:pt idx="255">
                  <c:v>4.813362121582031</c:v>
                </c:pt>
                <c:pt idx="256">
                  <c:v>4.813363075256348</c:v>
                </c:pt>
                <c:pt idx="257">
                  <c:v>4.813361167907715</c:v>
                </c:pt>
                <c:pt idx="258">
                  <c:v>4.813362121582031</c:v>
                </c:pt>
                <c:pt idx="259">
                  <c:v>4.813361167907715</c:v>
                </c:pt>
                <c:pt idx="260">
                  <c:v>4.813360214233398</c:v>
                </c:pt>
                <c:pt idx="261">
                  <c:v>4.813361167907715</c:v>
                </c:pt>
                <c:pt idx="262">
                  <c:v>4.813361167907715</c:v>
                </c:pt>
                <c:pt idx="263">
                  <c:v>4.813361167907715</c:v>
                </c:pt>
                <c:pt idx="264">
                  <c:v>4.813361167907715</c:v>
                </c:pt>
                <c:pt idx="265">
                  <c:v>4.813360214233398</c:v>
                </c:pt>
                <c:pt idx="266">
                  <c:v>4.813361167907715</c:v>
                </c:pt>
                <c:pt idx="267">
                  <c:v>4.813358783721924</c:v>
                </c:pt>
                <c:pt idx="268">
                  <c:v>4.813358783721924</c:v>
                </c:pt>
                <c:pt idx="269">
                  <c:v>4.813358783721924</c:v>
                </c:pt>
                <c:pt idx="270">
                  <c:v>4.813360214233398</c:v>
                </c:pt>
                <c:pt idx="271">
                  <c:v>4.813360214233398</c:v>
                </c:pt>
                <c:pt idx="272">
                  <c:v>4.813360214233398</c:v>
                </c:pt>
                <c:pt idx="273">
                  <c:v>4.813358783721924</c:v>
                </c:pt>
                <c:pt idx="274">
                  <c:v>4.813358783721924</c:v>
                </c:pt>
                <c:pt idx="275">
                  <c:v>4.813357830047607</c:v>
                </c:pt>
                <c:pt idx="276">
                  <c:v>4.813357830047607</c:v>
                </c:pt>
                <c:pt idx="277">
                  <c:v>4.813357830047607</c:v>
                </c:pt>
                <c:pt idx="278">
                  <c:v>4.813358783721924</c:v>
                </c:pt>
                <c:pt idx="279">
                  <c:v>4.813357830047607</c:v>
                </c:pt>
                <c:pt idx="280">
                  <c:v>4.813358783721924</c:v>
                </c:pt>
                <c:pt idx="281">
                  <c:v>4.813356876373291</c:v>
                </c:pt>
                <c:pt idx="282">
                  <c:v>4.813357830047607</c:v>
                </c:pt>
                <c:pt idx="283">
                  <c:v>4.813357830047607</c:v>
                </c:pt>
                <c:pt idx="284">
                  <c:v>4.813357830047607</c:v>
                </c:pt>
                <c:pt idx="285">
                  <c:v>4.813357830047607</c:v>
                </c:pt>
                <c:pt idx="286">
                  <c:v>4.813357830047607</c:v>
                </c:pt>
                <c:pt idx="287">
                  <c:v>4.813357830047607</c:v>
                </c:pt>
                <c:pt idx="288">
                  <c:v>4.813357830047607</c:v>
                </c:pt>
              </c:numCache>
            </c:numRef>
          </c:yVal>
        </c:ser>
        <c:ser>
          <c:idx val="2"/>
          <c:order val="2"/>
          <c:tx>
            <c:strRef>
              <c:f>Legends!B4</c:f>
              <c:strCache>
                <c:ptCount val="1"/>
                <c:pt idx="0">
                  <c:v>VAR3</c:v>
                </c:pt>
              </c:strCache>
            </c:strRef>
          </c:tx>
          <c:marker>
            <c:symbol val="none"/>
          </c:marker>
          <c:xVal>
            <c:numRef>
              <c:f>SIM1!$C$11:$C$299</c:f>
              <c:numCache>
                <c:ptCount val="289"/>
                <c:pt idx="0">
                  <c:v>0</c:v>
                </c:pt>
                <c:pt idx="1">
                  <c:v>0.2504511773586273</c:v>
                </c:pt>
                <c:pt idx="2">
                  <c:v>0.5003725290298462</c:v>
                </c:pt>
                <c:pt idx="3">
                  <c:v>0.7502644658088684</c:v>
                </c:pt>
                <c:pt idx="4">
                  <c:v>1.000229716300964</c:v>
                </c:pt>
                <c:pt idx="5">
                  <c:v>1.250013113021851</c:v>
                </c:pt>
                <c:pt idx="6">
                  <c:v>1.500121116638184</c:v>
                </c:pt>
                <c:pt idx="7">
                  <c:v>1.750328660011292</c:v>
                </c:pt>
                <c:pt idx="8">
                  <c:v>2.000328540802002</c:v>
                </c:pt>
                <c:pt idx="9">
                  <c:v>2.2502760887146</c:v>
                </c:pt>
                <c:pt idx="10">
                  <c:v>2.500304222106934</c:v>
                </c:pt>
                <c:pt idx="11">
                  <c:v>2.750331878662109</c:v>
                </c:pt>
                <c:pt idx="12">
                  <c:v>3.000361204147339</c:v>
                </c:pt>
                <c:pt idx="13">
                  <c:v>3.250388860702515</c:v>
                </c:pt>
                <c:pt idx="14">
                  <c:v>3.500027894973755</c:v>
                </c:pt>
                <c:pt idx="15">
                  <c:v>3.750055551528931</c:v>
                </c:pt>
                <c:pt idx="16">
                  <c:v>4.000083446502686</c:v>
                </c:pt>
                <c:pt idx="17">
                  <c:v>4.250111103057861</c:v>
                </c:pt>
                <c:pt idx="18">
                  <c:v>4.500138759613037</c:v>
                </c:pt>
                <c:pt idx="19">
                  <c:v>4.750166893005371</c:v>
                </c:pt>
                <c:pt idx="20">
                  <c:v>5.000194549560547</c:v>
                </c:pt>
                <c:pt idx="21">
                  <c:v>5.250222206115723</c:v>
                </c:pt>
                <c:pt idx="22">
                  <c:v>5.500249862670898</c:v>
                </c:pt>
                <c:pt idx="23">
                  <c:v>5.750277996063232</c:v>
                </c:pt>
                <c:pt idx="24">
                  <c:v>6.000305652618408</c:v>
                </c:pt>
                <c:pt idx="25">
                  <c:v>6.250333309173584</c:v>
                </c:pt>
                <c:pt idx="26">
                  <c:v>6.50036096572876</c:v>
                </c:pt>
                <c:pt idx="27">
                  <c:v>6.75</c:v>
                </c:pt>
                <c:pt idx="28">
                  <c:v>7.000027656555176</c:v>
                </c:pt>
                <c:pt idx="29">
                  <c:v>7.25005578994751</c:v>
                </c:pt>
                <c:pt idx="30">
                  <c:v>7.500086307525635</c:v>
                </c:pt>
                <c:pt idx="31">
                  <c:v>7.750113964080811</c:v>
                </c:pt>
                <c:pt idx="32">
                  <c:v>8.000142097473145</c:v>
                </c:pt>
                <c:pt idx="33">
                  <c:v>8.25016975402832</c:v>
                </c:pt>
                <c:pt idx="34">
                  <c:v>8.500197410583496</c:v>
                </c:pt>
                <c:pt idx="35">
                  <c:v>8.750225067138672</c:v>
                </c:pt>
                <c:pt idx="36">
                  <c:v>9.000252723693848</c:v>
                </c:pt>
                <c:pt idx="37">
                  <c:v>9.250280380249023</c:v>
                </c:pt>
                <c:pt idx="38">
                  <c:v>9.500308036804199</c:v>
                </c:pt>
                <c:pt idx="39">
                  <c:v>9.750335693359375</c:v>
                </c:pt>
                <c:pt idx="40">
                  <c:v>10.00036430358887</c:v>
                </c:pt>
                <c:pt idx="41">
                  <c:v>10.25000286102295</c:v>
                </c:pt>
                <c:pt idx="42">
                  <c:v>10.50003051757812</c:v>
                </c:pt>
                <c:pt idx="43">
                  <c:v>10.7500581741333</c:v>
                </c:pt>
                <c:pt idx="44">
                  <c:v>11.00008583068848</c:v>
                </c:pt>
                <c:pt idx="45">
                  <c:v>11.25011348724365</c:v>
                </c:pt>
                <c:pt idx="46">
                  <c:v>11.50014209747314</c:v>
                </c:pt>
                <c:pt idx="47">
                  <c:v>11.75016975402832</c:v>
                </c:pt>
                <c:pt idx="48">
                  <c:v>12.00020027160645</c:v>
                </c:pt>
                <c:pt idx="49">
                  <c:v>12.25022792816162</c:v>
                </c:pt>
                <c:pt idx="50">
                  <c:v>12.5002555847168</c:v>
                </c:pt>
                <c:pt idx="51">
                  <c:v>12.75028324127197</c:v>
                </c:pt>
                <c:pt idx="52">
                  <c:v>13.00031089782715</c:v>
                </c:pt>
                <c:pt idx="53">
                  <c:v>13.25033855438232</c:v>
                </c:pt>
                <c:pt idx="54">
                  <c:v>13.5003662109375</c:v>
                </c:pt>
                <c:pt idx="55">
                  <c:v>13.7500057220459</c:v>
                </c:pt>
                <c:pt idx="56">
                  <c:v>14.00003337860107</c:v>
                </c:pt>
                <c:pt idx="57">
                  <c:v>14.25006103515625</c:v>
                </c:pt>
                <c:pt idx="58">
                  <c:v>14.50008869171143</c:v>
                </c:pt>
                <c:pt idx="59">
                  <c:v>14.7501163482666</c:v>
                </c:pt>
                <c:pt idx="60">
                  <c:v>15.00014400482178</c:v>
                </c:pt>
                <c:pt idx="61">
                  <c:v>15.25017261505127</c:v>
                </c:pt>
                <c:pt idx="62">
                  <c:v>15.50020027160645</c:v>
                </c:pt>
                <c:pt idx="63">
                  <c:v>15.75022792816162</c:v>
                </c:pt>
                <c:pt idx="64">
                  <c:v>16.0002555847168</c:v>
                </c:pt>
                <c:pt idx="65">
                  <c:v>16.25028419494629</c:v>
                </c:pt>
                <c:pt idx="66">
                  <c:v>16.50031089782715</c:v>
                </c:pt>
                <c:pt idx="67">
                  <c:v>16.75034141540527</c:v>
                </c:pt>
                <c:pt idx="68">
                  <c:v>17.00037002563477</c:v>
                </c:pt>
                <c:pt idx="69">
                  <c:v>17.25000762939453</c:v>
                </c:pt>
                <c:pt idx="70">
                  <c:v>17.50003623962402</c:v>
                </c:pt>
                <c:pt idx="71">
                  <c:v>17.75006294250488</c:v>
                </c:pt>
                <c:pt idx="72">
                  <c:v>18.00009155273438</c:v>
                </c:pt>
                <c:pt idx="73">
                  <c:v>18.25012016296387</c:v>
                </c:pt>
                <c:pt idx="74">
                  <c:v>18.50014686584473</c:v>
                </c:pt>
                <c:pt idx="75">
                  <c:v>18.75017547607422</c:v>
                </c:pt>
                <c:pt idx="76">
                  <c:v>19.00020217895508</c:v>
                </c:pt>
                <c:pt idx="77">
                  <c:v>19.25023078918457</c:v>
                </c:pt>
                <c:pt idx="78">
                  <c:v>19.50025749206543</c:v>
                </c:pt>
                <c:pt idx="79">
                  <c:v>19.75028610229492</c:v>
                </c:pt>
                <c:pt idx="80">
                  <c:v>20.00031471252441</c:v>
                </c:pt>
                <c:pt idx="81">
                  <c:v>20.25034141540527</c:v>
                </c:pt>
                <c:pt idx="82">
                  <c:v>20.50037002563477</c:v>
                </c:pt>
                <c:pt idx="83">
                  <c:v>20.75000762939453</c:v>
                </c:pt>
                <c:pt idx="84">
                  <c:v>21.00003623962402</c:v>
                </c:pt>
                <c:pt idx="85">
                  <c:v>21.25006675720215</c:v>
                </c:pt>
                <c:pt idx="86">
                  <c:v>21.50009536743164</c:v>
                </c:pt>
                <c:pt idx="87">
                  <c:v>21.7501220703125</c:v>
                </c:pt>
                <c:pt idx="88">
                  <c:v>22.00015068054199</c:v>
                </c:pt>
                <c:pt idx="89">
                  <c:v>22.25017738342285</c:v>
                </c:pt>
                <c:pt idx="90">
                  <c:v>22.50020599365234</c:v>
                </c:pt>
                <c:pt idx="91">
                  <c:v>22.7502326965332</c:v>
                </c:pt>
                <c:pt idx="92">
                  <c:v>23.0002613067627</c:v>
                </c:pt>
                <c:pt idx="93">
                  <c:v>23.25028800964355</c:v>
                </c:pt>
                <c:pt idx="94">
                  <c:v>23.50031661987305</c:v>
                </c:pt>
                <c:pt idx="95">
                  <c:v>23.75034523010254</c:v>
                </c:pt>
                <c:pt idx="96">
                  <c:v>24.0003719329834</c:v>
                </c:pt>
                <c:pt idx="97">
                  <c:v>24.2500114440918</c:v>
                </c:pt>
                <c:pt idx="98">
                  <c:v>24.50003814697266</c:v>
                </c:pt>
                <c:pt idx="99">
                  <c:v>24.75006675720215</c:v>
                </c:pt>
                <c:pt idx="100">
                  <c:v>25.00009536743164</c:v>
                </c:pt>
                <c:pt idx="101">
                  <c:v>25.2501220703125</c:v>
                </c:pt>
                <c:pt idx="102">
                  <c:v>25.50015068054199</c:v>
                </c:pt>
                <c:pt idx="103">
                  <c:v>25.75017738342285</c:v>
                </c:pt>
                <c:pt idx="104">
                  <c:v>26.00020790100098</c:v>
                </c:pt>
                <c:pt idx="105">
                  <c:v>26.25023651123047</c:v>
                </c:pt>
                <c:pt idx="106">
                  <c:v>26.50026321411133</c:v>
                </c:pt>
                <c:pt idx="107">
                  <c:v>26.75029182434082</c:v>
                </c:pt>
                <c:pt idx="108">
                  <c:v>27.00031852722168</c:v>
                </c:pt>
                <c:pt idx="109">
                  <c:v>27.25034713745117</c:v>
                </c:pt>
                <c:pt idx="110">
                  <c:v>27.50037574768066</c:v>
                </c:pt>
                <c:pt idx="111">
                  <c:v>27.75001335144043</c:v>
                </c:pt>
                <c:pt idx="112">
                  <c:v>28.00002861022949</c:v>
                </c:pt>
                <c:pt idx="113">
                  <c:v>28.25008392333984</c:v>
                </c:pt>
                <c:pt idx="114">
                  <c:v>28.5001106262207</c:v>
                </c:pt>
                <c:pt idx="115">
                  <c:v>28.7501392364502</c:v>
                </c:pt>
                <c:pt idx="116">
                  <c:v>29.00016593933105</c:v>
                </c:pt>
                <c:pt idx="117">
                  <c:v>29.25019454956055</c:v>
                </c:pt>
                <c:pt idx="118">
                  <c:v>29.50022315979004</c:v>
                </c:pt>
                <c:pt idx="119">
                  <c:v>29.7502498626709</c:v>
                </c:pt>
                <c:pt idx="120">
                  <c:v>30.00027847290039</c:v>
                </c:pt>
                <c:pt idx="121">
                  <c:v>30.25030517578125</c:v>
                </c:pt>
                <c:pt idx="122">
                  <c:v>30.50033378601074</c:v>
                </c:pt>
                <c:pt idx="123">
                  <c:v>30.7503604888916</c:v>
                </c:pt>
                <c:pt idx="124">
                  <c:v>31.00038909912109</c:v>
                </c:pt>
                <c:pt idx="125">
                  <c:v>31.25002861022949</c:v>
                </c:pt>
                <c:pt idx="126">
                  <c:v>31.50005531311035</c:v>
                </c:pt>
                <c:pt idx="127">
                  <c:v>31.75008392333984</c:v>
                </c:pt>
                <c:pt idx="128">
                  <c:v>32.0001106262207</c:v>
                </c:pt>
                <c:pt idx="129">
                  <c:v>32.25013732910156</c:v>
                </c:pt>
                <c:pt idx="130">
                  <c:v>32.50016784667969</c:v>
                </c:pt>
                <c:pt idx="131">
                  <c:v>32.75019454956055</c:v>
                </c:pt>
                <c:pt idx="132">
                  <c:v>33.00022125244141</c:v>
                </c:pt>
                <c:pt idx="133">
                  <c:v>33.25025177001953</c:v>
                </c:pt>
                <c:pt idx="134">
                  <c:v>33.50027847290039</c:v>
                </c:pt>
                <c:pt idx="135">
                  <c:v>33.75030517578125</c:v>
                </c:pt>
                <c:pt idx="136">
                  <c:v>34.00033187866211</c:v>
                </c:pt>
                <c:pt idx="137">
                  <c:v>34.25036239624023</c:v>
                </c:pt>
                <c:pt idx="138">
                  <c:v>34.50038909912109</c:v>
                </c:pt>
                <c:pt idx="139">
                  <c:v>34.75002670288086</c:v>
                </c:pt>
                <c:pt idx="140">
                  <c:v>35.00005722045898</c:v>
                </c:pt>
                <c:pt idx="141">
                  <c:v>35.25008392333984</c:v>
                </c:pt>
                <c:pt idx="142">
                  <c:v>35.5001106262207</c:v>
                </c:pt>
                <c:pt idx="143">
                  <c:v>35.75013732910156</c:v>
                </c:pt>
                <c:pt idx="144">
                  <c:v>36.00016784667969</c:v>
                </c:pt>
                <c:pt idx="145">
                  <c:v>36.25019454956055</c:v>
                </c:pt>
                <c:pt idx="146">
                  <c:v>36.50022125244141</c:v>
                </c:pt>
                <c:pt idx="147">
                  <c:v>36.75025177001953</c:v>
                </c:pt>
                <c:pt idx="148">
                  <c:v>37.00027847290039</c:v>
                </c:pt>
                <c:pt idx="149">
                  <c:v>37.25030517578125</c:v>
                </c:pt>
                <c:pt idx="150">
                  <c:v>37.50033187866211</c:v>
                </c:pt>
                <c:pt idx="151">
                  <c:v>37.75036239624023</c:v>
                </c:pt>
                <c:pt idx="152">
                  <c:v>38.00038909912109</c:v>
                </c:pt>
                <c:pt idx="153">
                  <c:v>38.25002670288086</c:v>
                </c:pt>
                <c:pt idx="154">
                  <c:v>38.50005722045898</c:v>
                </c:pt>
                <c:pt idx="155">
                  <c:v>38.75008392333984</c:v>
                </c:pt>
                <c:pt idx="156">
                  <c:v>39.0001106262207</c:v>
                </c:pt>
                <c:pt idx="157">
                  <c:v>39.25013732910156</c:v>
                </c:pt>
                <c:pt idx="158">
                  <c:v>39.50016784667969</c:v>
                </c:pt>
                <c:pt idx="159">
                  <c:v>39.75019454956055</c:v>
                </c:pt>
                <c:pt idx="160">
                  <c:v>40.00022125244141</c:v>
                </c:pt>
                <c:pt idx="161">
                  <c:v>40.25025177001953</c:v>
                </c:pt>
                <c:pt idx="162">
                  <c:v>40.50027847290039</c:v>
                </c:pt>
                <c:pt idx="163">
                  <c:v>40.75030517578125</c:v>
                </c:pt>
                <c:pt idx="164">
                  <c:v>41.00033187866211</c:v>
                </c:pt>
                <c:pt idx="165">
                  <c:v>41.25036239624023</c:v>
                </c:pt>
                <c:pt idx="166">
                  <c:v>41.50038909912109</c:v>
                </c:pt>
                <c:pt idx="167">
                  <c:v>41.75002670288086</c:v>
                </c:pt>
                <c:pt idx="168">
                  <c:v>42.00005722045898</c:v>
                </c:pt>
                <c:pt idx="169">
                  <c:v>42.25008392333984</c:v>
                </c:pt>
                <c:pt idx="170">
                  <c:v>42.5001106262207</c:v>
                </c:pt>
                <c:pt idx="171">
                  <c:v>42.75013732910156</c:v>
                </c:pt>
                <c:pt idx="172">
                  <c:v>43.00016784667969</c:v>
                </c:pt>
                <c:pt idx="173">
                  <c:v>43.25019454956055</c:v>
                </c:pt>
                <c:pt idx="174">
                  <c:v>43.50022125244141</c:v>
                </c:pt>
                <c:pt idx="175">
                  <c:v>43.75025177001953</c:v>
                </c:pt>
                <c:pt idx="176">
                  <c:v>44.00027847290039</c:v>
                </c:pt>
                <c:pt idx="177">
                  <c:v>44.25030517578125</c:v>
                </c:pt>
                <c:pt idx="178">
                  <c:v>44.50033187866211</c:v>
                </c:pt>
                <c:pt idx="179">
                  <c:v>44.75036239624023</c:v>
                </c:pt>
                <c:pt idx="180">
                  <c:v>45.00038909912109</c:v>
                </c:pt>
                <c:pt idx="181">
                  <c:v>45.25002670288086</c:v>
                </c:pt>
                <c:pt idx="182">
                  <c:v>45.50005722045898</c:v>
                </c:pt>
                <c:pt idx="183">
                  <c:v>45.75008392333984</c:v>
                </c:pt>
                <c:pt idx="184">
                  <c:v>46.0001106262207</c:v>
                </c:pt>
                <c:pt idx="185">
                  <c:v>46.25013732910156</c:v>
                </c:pt>
                <c:pt idx="186">
                  <c:v>46.50016784667969</c:v>
                </c:pt>
                <c:pt idx="187">
                  <c:v>46.75019454956055</c:v>
                </c:pt>
                <c:pt idx="188">
                  <c:v>47.00022125244141</c:v>
                </c:pt>
                <c:pt idx="189">
                  <c:v>47.25025177001953</c:v>
                </c:pt>
                <c:pt idx="190">
                  <c:v>47.50027847290039</c:v>
                </c:pt>
                <c:pt idx="191">
                  <c:v>47.75030517578125</c:v>
                </c:pt>
                <c:pt idx="192">
                  <c:v>48.00033187866211</c:v>
                </c:pt>
                <c:pt idx="193">
                  <c:v>48.25036239624023</c:v>
                </c:pt>
                <c:pt idx="194">
                  <c:v>48.50038909912109</c:v>
                </c:pt>
                <c:pt idx="195">
                  <c:v>48.75002670288086</c:v>
                </c:pt>
                <c:pt idx="196">
                  <c:v>49.00005722045898</c:v>
                </c:pt>
                <c:pt idx="197">
                  <c:v>49.25008392333984</c:v>
                </c:pt>
                <c:pt idx="198">
                  <c:v>49.5001106262207</c:v>
                </c:pt>
                <c:pt idx="199">
                  <c:v>49.75013732910156</c:v>
                </c:pt>
                <c:pt idx="200">
                  <c:v>50.00016784667969</c:v>
                </c:pt>
                <c:pt idx="201">
                  <c:v>50.25019454956055</c:v>
                </c:pt>
                <c:pt idx="202">
                  <c:v>50.50022125244141</c:v>
                </c:pt>
                <c:pt idx="203">
                  <c:v>50.75025177001953</c:v>
                </c:pt>
                <c:pt idx="204">
                  <c:v>51.00027847290039</c:v>
                </c:pt>
                <c:pt idx="205">
                  <c:v>51.25030517578125</c:v>
                </c:pt>
                <c:pt idx="206">
                  <c:v>51.50033187866211</c:v>
                </c:pt>
                <c:pt idx="207">
                  <c:v>51.75036239624023</c:v>
                </c:pt>
                <c:pt idx="208">
                  <c:v>52</c:v>
                </c:pt>
                <c:pt idx="209">
                  <c:v>52.25002670288086</c:v>
                </c:pt>
                <c:pt idx="210">
                  <c:v>52.50005722045898</c:v>
                </c:pt>
                <c:pt idx="211">
                  <c:v>52.75008392333984</c:v>
                </c:pt>
                <c:pt idx="212">
                  <c:v>53.0001106262207</c:v>
                </c:pt>
                <c:pt idx="213">
                  <c:v>53.25013732910156</c:v>
                </c:pt>
                <c:pt idx="214">
                  <c:v>53.50016784667969</c:v>
                </c:pt>
                <c:pt idx="215">
                  <c:v>53.75019454956055</c:v>
                </c:pt>
                <c:pt idx="216">
                  <c:v>54.00022125244141</c:v>
                </c:pt>
                <c:pt idx="217">
                  <c:v>54.25025177001953</c:v>
                </c:pt>
                <c:pt idx="218">
                  <c:v>54.50027847290039</c:v>
                </c:pt>
                <c:pt idx="219">
                  <c:v>54.75030517578125</c:v>
                </c:pt>
                <c:pt idx="220">
                  <c:v>55.00033187866211</c:v>
                </c:pt>
                <c:pt idx="221">
                  <c:v>55.25036239624023</c:v>
                </c:pt>
                <c:pt idx="222">
                  <c:v>55.5</c:v>
                </c:pt>
                <c:pt idx="223">
                  <c:v>55.75002670288086</c:v>
                </c:pt>
                <c:pt idx="224">
                  <c:v>56.00005722045898</c:v>
                </c:pt>
                <c:pt idx="225">
                  <c:v>56.25008392333984</c:v>
                </c:pt>
                <c:pt idx="226">
                  <c:v>56.5001106262207</c:v>
                </c:pt>
                <c:pt idx="227">
                  <c:v>56.75013732910156</c:v>
                </c:pt>
                <c:pt idx="228">
                  <c:v>57.00016784667969</c:v>
                </c:pt>
                <c:pt idx="229">
                  <c:v>57.25019454956055</c:v>
                </c:pt>
                <c:pt idx="230">
                  <c:v>57.50022125244141</c:v>
                </c:pt>
                <c:pt idx="231">
                  <c:v>57.75025177001953</c:v>
                </c:pt>
                <c:pt idx="232">
                  <c:v>58.00027847290039</c:v>
                </c:pt>
                <c:pt idx="233">
                  <c:v>58.25030517578125</c:v>
                </c:pt>
                <c:pt idx="234">
                  <c:v>58.50033187866211</c:v>
                </c:pt>
                <c:pt idx="235">
                  <c:v>58.75036239624023</c:v>
                </c:pt>
                <c:pt idx="236">
                  <c:v>59</c:v>
                </c:pt>
                <c:pt idx="237">
                  <c:v>59.25002670288086</c:v>
                </c:pt>
                <c:pt idx="238">
                  <c:v>59.50005722045898</c:v>
                </c:pt>
                <c:pt idx="239">
                  <c:v>59.75008392333984</c:v>
                </c:pt>
                <c:pt idx="240">
                  <c:v>60.0001106262207</c:v>
                </c:pt>
                <c:pt idx="241">
                  <c:v>60.25013732910156</c:v>
                </c:pt>
                <c:pt idx="242">
                  <c:v>60.50016784667969</c:v>
                </c:pt>
                <c:pt idx="243">
                  <c:v>60.75019454956055</c:v>
                </c:pt>
                <c:pt idx="244">
                  <c:v>61.00022125244141</c:v>
                </c:pt>
                <c:pt idx="245">
                  <c:v>61.25025177001953</c:v>
                </c:pt>
                <c:pt idx="246">
                  <c:v>61.50027847290039</c:v>
                </c:pt>
                <c:pt idx="247">
                  <c:v>61.75030517578125</c:v>
                </c:pt>
                <c:pt idx="248">
                  <c:v>62.00033187866211</c:v>
                </c:pt>
                <c:pt idx="249">
                  <c:v>62.25036239624023</c:v>
                </c:pt>
                <c:pt idx="250">
                  <c:v>62.5</c:v>
                </c:pt>
                <c:pt idx="251">
                  <c:v>62.75002670288086</c:v>
                </c:pt>
                <c:pt idx="252">
                  <c:v>63.00005722045898</c:v>
                </c:pt>
                <c:pt idx="253">
                  <c:v>63.25008392333984</c:v>
                </c:pt>
                <c:pt idx="254">
                  <c:v>63.5001106262207</c:v>
                </c:pt>
                <c:pt idx="255">
                  <c:v>63.75013732910156</c:v>
                </c:pt>
                <c:pt idx="256">
                  <c:v>64.00016784667969</c:v>
                </c:pt>
                <c:pt idx="257">
                  <c:v>64.25019073486328</c:v>
                </c:pt>
                <c:pt idx="258">
                  <c:v>64.50022125244141</c:v>
                </c:pt>
                <c:pt idx="259">
                  <c:v>64.75025177001953</c:v>
                </c:pt>
                <c:pt idx="260">
                  <c:v>65.00027465820312</c:v>
                </c:pt>
                <c:pt idx="261">
                  <c:v>65.25030517578125</c:v>
                </c:pt>
                <c:pt idx="262">
                  <c:v>65.50033569335938</c:v>
                </c:pt>
                <c:pt idx="263">
                  <c:v>65.75035858154297</c:v>
                </c:pt>
                <c:pt idx="264">
                  <c:v>66</c:v>
                </c:pt>
                <c:pt idx="265">
                  <c:v>66.25003051757812</c:v>
                </c:pt>
                <c:pt idx="266">
                  <c:v>66.50005340576172</c:v>
                </c:pt>
                <c:pt idx="267">
                  <c:v>66.75008392333984</c:v>
                </c:pt>
                <c:pt idx="268">
                  <c:v>67.00011444091797</c:v>
                </c:pt>
                <c:pt idx="269">
                  <c:v>67.25013732910156</c:v>
                </c:pt>
                <c:pt idx="270">
                  <c:v>67.50016784667969</c:v>
                </c:pt>
                <c:pt idx="271">
                  <c:v>67.75019073486328</c:v>
                </c:pt>
                <c:pt idx="272">
                  <c:v>68.00022125244141</c:v>
                </c:pt>
                <c:pt idx="273">
                  <c:v>68.25025177001953</c:v>
                </c:pt>
                <c:pt idx="274">
                  <c:v>68.50027465820312</c:v>
                </c:pt>
                <c:pt idx="275">
                  <c:v>68.75030517578125</c:v>
                </c:pt>
                <c:pt idx="276">
                  <c:v>69.00033569335938</c:v>
                </c:pt>
                <c:pt idx="277">
                  <c:v>69.25035858154297</c:v>
                </c:pt>
                <c:pt idx="278">
                  <c:v>69.5</c:v>
                </c:pt>
                <c:pt idx="279">
                  <c:v>69.75003051757812</c:v>
                </c:pt>
                <c:pt idx="280">
                  <c:v>70.00005340576172</c:v>
                </c:pt>
                <c:pt idx="281">
                  <c:v>70.25008392333984</c:v>
                </c:pt>
                <c:pt idx="282">
                  <c:v>70.50011444091797</c:v>
                </c:pt>
                <c:pt idx="283">
                  <c:v>70.75013732910156</c:v>
                </c:pt>
                <c:pt idx="284">
                  <c:v>71.00016784667969</c:v>
                </c:pt>
                <c:pt idx="285">
                  <c:v>71.25019073486328</c:v>
                </c:pt>
                <c:pt idx="286">
                  <c:v>71.50022125244141</c:v>
                </c:pt>
                <c:pt idx="287">
                  <c:v>71.75025177001953</c:v>
                </c:pt>
                <c:pt idx="288">
                  <c:v>72.00027465820312</c:v>
                </c:pt>
              </c:numCache>
            </c:numRef>
          </c:xVal>
          <c:yVal>
            <c:numRef>
              <c:f>SIM1!$G$11:$G$299</c:f>
              <c:numCache>
                <c:ptCount val="289"/>
                <c:pt idx="0">
                  <c:v>9.87746524810791</c:v>
                </c:pt>
                <c:pt idx="1">
                  <c:v>13.02390003204346</c:v>
                </c:pt>
                <c:pt idx="2">
                  <c:v>11.39206981658936</c:v>
                </c:pt>
                <c:pt idx="3">
                  <c:v>11.16973972320557</c:v>
                </c:pt>
                <c:pt idx="4">
                  <c:v>11.01521968841553</c:v>
                </c:pt>
                <c:pt idx="5">
                  <c:v>9.851216316223145</c:v>
                </c:pt>
                <c:pt idx="6">
                  <c:v>10.74590015411377</c:v>
                </c:pt>
                <c:pt idx="7">
                  <c:v>10.18994998931885</c:v>
                </c:pt>
                <c:pt idx="8">
                  <c:v>10.32841014862061</c:v>
                </c:pt>
                <c:pt idx="9">
                  <c:v>10.36596012115479</c:v>
                </c:pt>
                <c:pt idx="10">
                  <c:v>9.994375228881836</c:v>
                </c:pt>
                <c:pt idx="11">
                  <c:v>10.27120971679688</c:v>
                </c:pt>
                <c:pt idx="12">
                  <c:v>10.04555988311768</c:v>
                </c:pt>
                <c:pt idx="13">
                  <c:v>10.16969013214111</c:v>
                </c:pt>
                <c:pt idx="14">
                  <c:v>10.12565040588379</c:v>
                </c:pt>
                <c:pt idx="15">
                  <c:v>10.00938034057617</c:v>
                </c:pt>
                <c:pt idx="16">
                  <c:v>10.13465976715088</c:v>
                </c:pt>
                <c:pt idx="17">
                  <c:v>10.03995990753174</c:v>
                </c:pt>
                <c:pt idx="18">
                  <c:v>10.01618957519531</c:v>
                </c:pt>
                <c:pt idx="19">
                  <c:v>10.06272029876709</c:v>
                </c:pt>
                <c:pt idx="20">
                  <c:v>9.980698585510254</c:v>
                </c:pt>
                <c:pt idx="21">
                  <c:v>10.0071496963501</c:v>
                </c:pt>
                <c:pt idx="22">
                  <c:v>9.995956420898438</c:v>
                </c:pt>
                <c:pt idx="23">
                  <c:v>9.949575424194336</c:v>
                </c:pt>
                <c:pt idx="24">
                  <c:v>9.97559642791748</c:v>
                </c:pt>
                <c:pt idx="25">
                  <c:v>9.941168785095215</c:v>
                </c:pt>
                <c:pt idx="26">
                  <c:v>9.92794132232666</c:v>
                </c:pt>
                <c:pt idx="27">
                  <c:v>9.935090065002441</c:v>
                </c:pt>
                <c:pt idx="28">
                  <c:v>9.902462959289551</c:v>
                </c:pt>
                <c:pt idx="29">
                  <c:v>9.904850959777832</c:v>
                </c:pt>
                <c:pt idx="30">
                  <c:v>9.895777702331543</c:v>
                </c:pt>
                <c:pt idx="31">
                  <c:v>9.875426292419434</c:v>
                </c:pt>
                <c:pt idx="32">
                  <c:v>9.879034996032715</c:v>
                </c:pt>
                <c:pt idx="33">
                  <c:v>9.863341331481934</c:v>
                </c:pt>
                <c:pt idx="34">
                  <c:v>9.854434013366699</c:v>
                </c:pt>
                <c:pt idx="35">
                  <c:v>9.853114128112793</c:v>
                </c:pt>
                <c:pt idx="36">
                  <c:v>9.838619232177734</c:v>
                </c:pt>
                <c:pt idx="37">
                  <c:v>9.835844993591309</c:v>
                </c:pt>
                <c:pt idx="38">
                  <c:v>9.829995155334473</c:v>
                </c:pt>
                <c:pt idx="39">
                  <c:v>9.820183753967285</c:v>
                </c:pt>
                <c:pt idx="40">
                  <c:v>9.818751335144043</c:v>
                </c:pt>
                <c:pt idx="41">
                  <c:v>9.811165809631348</c:v>
                </c:pt>
                <c:pt idx="42">
                  <c:v>9.805723190307617</c:v>
                </c:pt>
                <c:pt idx="43">
                  <c:v>9.803339004516602</c:v>
                </c:pt>
                <c:pt idx="44">
                  <c:v>9.796543121337891</c:v>
                </c:pt>
                <c:pt idx="45">
                  <c:v>9.793746948242188</c:v>
                </c:pt>
                <c:pt idx="46">
                  <c:v>9.790305137634277</c:v>
                </c:pt>
                <c:pt idx="47">
                  <c:v>9.785420417785645</c:v>
                </c:pt>
                <c:pt idx="48">
                  <c:v>9.783583641052246</c:v>
                </c:pt>
                <c:pt idx="49">
                  <c:v>9.779855728149414</c:v>
                </c:pt>
                <c:pt idx="50">
                  <c:v>9.776802062988281</c:v>
                </c:pt>
                <c:pt idx="51">
                  <c:v>9.775027275085449</c:v>
                </c:pt>
                <c:pt idx="52">
                  <c:v>9.771781921386719</c:v>
                </c:pt>
                <c:pt idx="53">
                  <c:v>9.769930839538574</c:v>
                </c:pt>
                <c:pt idx="54">
                  <c:v>9.768026351928711</c:v>
                </c:pt>
                <c:pt idx="55">
                  <c:v>9.765597343444824</c:v>
                </c:pt>
                <c:pt idx="56">
                  <c:v>9.764300346374512</c:v>
                </c:pt>
                <c:pt idx="57">
                  <c:v>9.762449264526367</c:v>
                </c:pt>
                <c:pt idx="58">
                  <c:v>9.760814666748047</c:v>
                </c:pt>
                <c:pt idx="59">
                  <c:v>9.759722709655762</c:v>
                </c:pt>
                <c:pt idx="60">
                  <c:v>9.758155822753906</c:v>
                </c:pt>
                <c:pt idx="61">
                  <c:v>9.757084846496582</c:v>
                </c:pt>
                <c:pt idx="62">
                  <c:v>9.756077766418457</c:v>
                </c:pt>
                <c:pt idx="63">
                  <c:v>9.754895210266113</c:v>
                </c:pt>
                <c:pt idx="64">
                  <c:v>9.754141807556152</c:v>
                </c:pt>
                <c:pt idx="65">
                  <c:v>9.753239631652832</c:v>
                </c:pt>
                <c:pt idx="66">
                  <c:v>9.752413749694824</c:v>
                </c:pt>
                <c:pt idx="67">
                  <c:v>9.751816749572754</c:v>
                </c:pt>
                <c:pt idx="68">
                  <c:v>9.751072883605957</c:v>
                </c:pt>
                <c:pt idx="69">
                  <c:v>9.750510215759277</c:v>
                </c:pt>
                <c:pt idx="70">
                  <c:v>9.750000953674316</c:v>
                </c:pt>
                <c:pt idx="71">
                  <c:v>9.74943733215332</c:v>
                </c:pt>
                <c:pt idx="72">
                  <c:v>9.749035835266113</c:v>
                </c:pt>
                <c:pt idx="73">
                  <c:v>9.748603820800781</c:v>
                </c:pt>
                <c:pt idx="74">
                  <c:v>9.748201370239258</c:v>
                </c:pt>
                <c:pt idx="75">
                  <c:v>9.747894287109375</c:v>
                </c:pt>
                <c:pt idx="76">
                  <c:v>9.74754524230957</c:v>
                </c:pt>
                <c:pt idx="77">
                  <c:v>9.747262954711914</c:v>
                </c:pt>
                <c:pt idx="78">
                  <c:v>9.747013092041016</c:v>
                </c:pt>
                <c:pt idx="79">
                  <c:v>9.746748924255371</c:v>
                </c:pt>
                <c:pt idx="80">
                  <c:v>9.746546745300293</c:v>
                </c:pt>
                <c:pt idx="81">
                  <c:v>9.746342658996582</c:v>
                </c:pt>
                <c:pt idx="82">
                  <c:v>9.746150970458984</c:v>
                </c:pt>
                <c:pt idx="83">
                  <c:v>9.746000289916992</c:v>
                </c:pt>
                <c:pt idx="84">
                  <c:v>9.745837211608887</c:v>
                </c:pt>
                <c:pt idx="85">
                  <c:v>9.745700836181641</c:v>
                </c:pt>
                <c:pt idx="86">
                  <c:v>9.745580673217773</c:v>
                </c:pt>
                <c:pt idx="87">
                  <c:v>9.745457649230957</c:v>
                </c:pt>
                <c:pt idx="88">
                  <c:v>9.745360374450684</c:v>
                </c:pt>
                <c:pt idx="89">
                  <c:v>9.745265007019043</c:v>
                </c:pt>
                <c:pt idx="90">
                  <c:v>9.745175361633301</c:v>
                </c:pt>
                <c:pt idx="91">
                  <c:v>9.745101928710938</c:v>
                </c:pt>
                <c:pt idx="92">
                  <c:v>9.745026588439941</c:v>
                </c:pt>
                <c:pt idx="93">
                  <c:v>9.744961738586426</c:v>
                </c:pt>
                <c:pt idx="94">
                  <c:v>9.744905471801758</c:v>
                </c:pt>
                <c:pt idx="95">
                  <c:v>9.744848251342773</c:v>
                </c:pt>
                <c:pt idx="96">
                  <c:v>9.744802474975586</c:v>
                </c:pt>
                <c:pt idx="97">
                  <c:v>9.744756698608398</c:v>
                </c:pt>
                <c:pt idx="98">
                  <c:v>9.744714736938477</c:v>
                </c:pt>
                <c:pt idx="99">
                  <c:v>9.74467945098877</c:v>
                </c:pt>
                <c:pt idx="100">
                  <c:v>9.744645118713379</c:v>
                </c:pt>
                <c:pt idx="101">
                  <c:v>9.744613647460938</c:v>
                </c:pt>
                <c:pt idx="102">
                  <c:v>9.744586944580078</c:v>
                </c:pt>
                <c:pt idx="103">
                  <c:v>9.744560241699219</c:v>
                </c:pt>
                <c:pt idx="104">
                  <c:v>9.744538307189941</c:v>
                </c:pt>
                <c:pt idx="105">
                  <c:v>9.744516372680664</c:v>
                </c:pt>
                <c:pt idx="106">
                  <c:v>9.74449634552002</c:v>
                </c:pt>
                <c:pt idx="107">
                  <c:v>9.744479179382324</c:v>
                </c:pt>
                <c:pt idx="108">
                  <c:v>9.744462966918945</c:v>
                </c:pt>
                <c:pt idx="109">
                  <c:v>9.744446754455566</c:v>
                </c:pt>
                <c:pt idx="110">
                  <c:v>9.744434356689453</c:v>
                </c:pt>
                <c:pt idx="111">
                  <c:v>9.744421005249023</c:v>
                </c:pt>
                <c:pt idx="112">
                  <c:v>9.744409561157227</c:v>
                </c:pt>
                <c:pt idx="113">
                  <c:v>9.744399070739746</c:v>
                </c:pt>
                <c:pt idx="114">
                  <c:v>9.744388580322266</c:v>
                </c:pt>
                <c:pt idx="115">
                  <c:v>9.744380950927734</c:v>
                </c:pt>
                <c:pt idx="116">
                  <c:v>9.744372367858887</c:v>
                </c:pt>
                <c:pt idx="117">
                  <c:v>9.744364738464355</c:v>
                </c:pt>
                <c:pt idx="118">
                  <c:v>9.744358062744141</c:v>
                </c:pt>
                <c:pt idx="119">
                  <c:v>9.744351387023926</c:v>
                </c:pt>
                <c:pt idx="120">
                  <c:v>9.744344711303711</c:v>
                </c:pt>
                <c:pt idx="121">
                  <c:v>9.744338989257812</c:v>
                </c:pt>
                <c:pt idx="122">
                  <c:v>9.74433422088623</c:v>
                </c:pt>
                <c:pt idx="123">
                  <c:v>9.744329452514648</c:v>
                </c:pt>
                <c:pt idx="124">
                  <c:v>9.74432373046875</c:v>
                </c:pt>
                <c:pt idx="125">
                  <c:v>9.744319915771484</c:v>
                </c:pt>
                <c:pt idx="126">
                  <c:v>9.744316101074219</c:v>
                </c:pt>
                <c:pt idx="127">
                  <c:v>9.744312286376953</c:v>
                </c:pt>
                <c:pt idx="128">
                  <c:v>9.744308471679688</c:v>
                </c:pt>
                <c:pt idx="129">
                  <c:v>9.744304656982422</c:v>
                </c:pt>
                <c:pt idx="130">
                  <c:v>9.744301795959473</c:v>
                </c:pt>
                <c:pt idx="131">
                  <c:v>9.744298934936523</c:v>
                </c:pt>
                <c:pt idx="132">
                  <c:v>9.744296073913574</c:v>
                </c:pt>
                <c:pt idx="133">
                  <c:v>9.744293212890625</c:v>
                </c:pt>
                <c:pt idx="134">
                  <c:v>9.744290351867676</c:v>
                </c:pt>
                <c:pt idx="135">
                  <c:v>9.744288444519043</c:v>
                </c:pt>
                <c:pt idx="136">
                  <c:v>9.744284629821777</c:v>
                </c:pt>
                <c:pt idx="137">
                  <c:v>9.744282722473145</c:v>
                </c:pt>
                <c:pt idx="138">
                  <c:v>9.744280815124512</c:v>
                </c:pt>
                <c:pt idx="139">
                  <c:v>9.744278907775879</c:v>
                </c:pt>
                <c:pt idx="140">
                  <c:v>9.744277000427246</c:v>
                </c:pt>
                <c:pt idx="141">
                  <c:v>9.744275093078613</c:v>
                </c:pt>
                <c:pt idx="142">
                  <c:v>9.74427318572998</c:v>
                </c:pt>
                <c:pt idx="143">
                  <c:v>9.744271278381348</c:v>
                </c:pt>
                <c:pt idx="144">
                  <c:v>9.744269371032715</c:v>
                </c:pt>
                <c:pt idx="145">
                  <c:v>9.744268417358398</c:v>
                </c:pt>
                <c:pt idx="146">
                  <c:v>9.744265556335449</c:v>
                </c:pt>
                <c:pt idx="147">
                  <c:v>9.744263648986816</c:v>
                </c:pt>
                <c:pt idx="148">
                  <c:v>9.7442626953125</c:v>
                </c:pt>
                <c:pt idx="149">
                  <c:v>9.744260787963867</c:v>
                </c:pt>
                <c:pt idx="150">
                  <c:v>9.744259834289551</c:v>
                </c:pt>
                <c:pt idx="151">
                  <c:v>9.744257926940918</c:v>
                </c:pt>
                <c:pt idx="152">
                  <c:v>9.744256973266602</c:v>
                </c:pt>
                <c:pt idx="153">
                  <c:v>9.744256019592285</c:v>
                </c:pt>
                <c:pt idx="154">
                  <c:v>9.744254112243652</c:v>
                </c:pt>
                <c:pt idx="155">
                  <c:v>9.744253158569336</c:v>
                </c:pt>
                <c:pt idx="156">
                  <c:v>9.744251251220703</c:v>
                </c:pt>
                <c:pt idx="157">
                  <c:v>9.744250297546387</c:v>
                </c:pt>
                <c:pt idx="158">
                  <c:v>9.74424934387207</c:v>
                </c:pt>
                <c:pt idx="159">
                  <c:v>9.744248390197754</c:v>
                </c:pt>
                <c:pt idx="160">
                  <c:v>9.744245529174805</c:v>
                </c:pt>
                <c:pt idx="161">
                  <c:v>9.744244575500488</c:v>
                </c:pt>
                <c:pt idx="162">
                  <c:v>9.744243621826172</c:v>
                </c:pt>
                <c:pt idx="163">
                  <c:v>9.744242668151855</c:v>
                </c:pt>
                <c:pt idx="164">
                  <c:v>9.744241714477539</c:v>
                </c:pt>
                <c:pt idx="165">
                  <c:v>9.744240760803223</c:v>
                </c:pt>
                <c:pt idx="166">
                  <c:v>9.744239807128906</c:v>
                </c:pt>
                <c:pt idx="167">
                  <c:v>9.74423885345459</c:v>
                </c:pt>
                <c:pt idx="168">
                  <c:v>9.744237899780273</c:v>
                </c:pt>
                <c:pt idx="169">
                  <c:v>9.744236946105957</c:v>
                </c:pt>
                <c:pt idx="170">
                  <c:v>9.744235992431641</c:v>
                </c:pt>
                <c:pt idx="171">
                  <c:v>9.744235038757324</c:v>
                </c:pt>
                <c:pt idx="172">
                  <c:v>9.744234085083008</c:v>
                </c:pt>
                <c:pt idx="173">
                  <c:v>9.744233131408691</c:v>
                </c:pt>
                <c:pt idx="174">
                  <c:v>9.744232177734375</c:v>
                </c:pt>
                <c:pt idx="175">
                  <c:v>9.744231224060059</c:v>
                </c:pt>
                <c:pt idx="176">
                  <c:v>9.744230270385742</c:v>
                </c:pt>
                <c:pt idx="177">
                  <c:v>9.744229316711426</c:v>
                </c:pt>
                <c:pt idx="178">
                  <c:v>9.744228363037109</c:v>
                </c:pt>
                <c:pt idx="179">
                  <c:v>9.744228363037109</c:v>
                </c:pt>
                <c:pt idx="180">
                  <c:v>9.744227409362793</c:v>
                </c:pt>
                <c:pt idx="181">
                  <c:v>9.744226455688477</c:v>
                </c:pt>
                <c:pt idx="182">
                  <c:v>9.744224548339844</c:v>
                </c:pt>
                <c:pt idx="183">
                  <c:v>9.744223594665527</c:v>
                </c:pt>
                <c:pt idx="184">
                  <c:v>9.744222640991211</c:v>
                </c:pt>
                <c:pt idx="185">
                  <c:v>9.744221687316895</c:v>
                </c:pt>
                <c:pt idx="186">
                  <c:v>9.744221687316895</c:v>
                </c:pt>
                <c:pt idx="187">
                  <c:v>9.744220733642578</c:v>
                </c:pt>
                <c:pt idx="188">
                  <c:v>9.744219779968262</c:v>
                </c:pt>
                <c:pt idx="189">
                  <c:v>9.744219779968262</c:v>
                </c:pt>
                <c:pt idx="190">
                  <c:v>9.744218826293945</c:v>
                </c:pt>
                <c:pt idx="191">
                  <c:v>9.744217872619629</c:v>
                </c:pt>
                <c:pt idx="192">
                  <c:v>9.744216918945312</c:v>
                </c:pt>
                <c:pt idx="193">
                  <c:v>9.744216918945312</c:v>
                </c:pt>
                <c:pt idx="194">
                  <c:v>9.744215965270996</c:v>
                </c:pt>
                <c:pt idx="195">
                  <c:v>9.74421501159668</c:v>
                </c:pt>
                <c:pt idx="196">
                  <c:v>9.744214057922363</c:v>
                </c:pt>
                <c:pt idx="197">
                  <c:v>9.744214057922363</c:v>
                </c:pt>
                <c:pt idx="198">
                  <c:v>9.744213104248047</c:v>
                </c:pt>
                <c:pt idx="199">
                  <c:v>9.744213104248047</c:v>
                </c:pt>
                <c:pt idx="200">
                  <c:v>9.74421215057373</c:v>
                </c:pt>
                <c:pt idx="201">
                  <c:v>9.744211196899414</c:v>
                </c:pt>
                <c:pt idx="202">
                  <c:v>9.744210243225098</c:v>
                </c:pt>
                <c:pt idx="203">
                  <c:v>9.744210243225098</c:v>
                </c:pt>
                <c:pt idx="204">
                  <c:v>9.744209289550781</c:v>
                </c:pt>
                <c:pt idx="205">
                  <c:v>9.744209289550781</c:v>
                </c:pt>
                <c:pt idx="206">
                  <c:v>9.744208335876465</c:v>
                </c:pt>
                <c:pt idx="207">
                  <c:v>9.744207382202148</c:v>
                </c:pt>
                <c:pt idx="208">
                  <c:v>9.744207382202148</c:v>
                </c:pt>
                <c:pt idx="209">
                  <c:v>9.744206428527832</c:v>
                </c:pt>
                <c:pt idx="210">
                  <c:v>9.744206428527832</c:v>
                </c:pt>
                <c:pt idx="211">
                  <c:v>9.744205474853516</c:v>
                </c:pt>
                <c:pt idx="212">
                  <c:v>9.744203567504883</c:v>
                </c:pt>
                <c:pt idx="213">
                  <c:v>9.744203567504883</c:v>
                </c:pt>
                <c:pt idx="214">
                  <c:v>9.744202613830566</c:v>
                </c:pt>
                <c:pt idx="215">
                  <c:v>9.744202613830566</c:v>
                </c:pt>
                <c:pt idx="216">
                  <c:v>9.74420166015625</c:v>
                </c:pt>
                <c:pt idx="217">
                  <c:v>9.74420166015625</c:v>
                </c:pt>
                <c:pt idx="218">
                  <c:v>9.744200706481934</c:v>
                </c:pt>
                <c:pt idx="219">
                  <c:v>9.744200706481934</c:v>
                </c:pt>
                <c:pt idx="220">
                  <c:v>9.744199752807617</c:v>
                </c:pt>
                <c:pt idx="221">
                  <c:v>9.744199752807617</c:v>
                </c:pt>
                <c:pt idx="222">
                  <c:v>9.744198799133301</c:v>
                </c:pt>
                <c:pt idx="223">
                  <c:v>9.744198799133301</c:v>
                </c:pt>
                <c:pt idx="224">
                  <c:v>9.744197845458984</c:v>
                </c:pt>
                <c:pt idx="225">
                  <c:v>9.744196891784668</c:v>
                </c:pt>
                <c:pt idx="226">
                  <c:v>9.744196891784668</c:v>
                </c:pt>
                <c:pt idx="227">
                  <c:v>9.744196891784668</c:v>
                </c:pt>
                <c:pt idx="228">
                  <c:v>9.744195938110352</c:v>
                </c:pt>
                <c:pt idx="229">
                  <c:v>9.744194984436035</c:v>
                </c:pt>
                <c:pt idx="230">
                  <c:v>9.744194984436035</c:v>
                </c:pt>
                <c:pt idx="231">
                  <c:v>9.744194984436035</c:v>
                </c:pt>
                <c:pt idx="232">
                  <c:v>9.744194030761719</c:v>
                </c:pt>
                <c:pt idx="233">
                  <c:v>9.744194030761719</c:v>
                </c:pt>
                <c:pt idx="234">
                  <c:v>9.744193077087402</c:v>
                </c:pt>
                <c:pt idx="235">
                  <c:v>9.744193077087402</c:v>
                </c:pt>
                <c:pt idx="236">
                  <c:v>9.744192123413086</c:v>
                </c:pt>
                <c:pt idx="237">
                  <c:v>9.744192123413086</c:v>
                </c:pt>
                <c:pt idx="238">
                  <c:v>9.74419116973877</c:v>
                </c:pt>
                <c:pt idx="239">
                  <c:v>9.74419116973877</c:v>
                </c:pt>
                <c:pt idx="240">
                  <c:v>9.74419116973877</c:v>
                </c:pt>
                <c:pt idx="241">
                  <c:v>9.744190216064453</c:v>
                </c:pt>
                <c:pt idx="242">
                  <c:v>9.744190216064453</c:v>
                </c:pt>
                <c:pt idx="243">
                  <c:v>9.744189262390137</c:v>
                </c:pt>
                <c:pt idx="244">
                  <c:v>9.744189262390137</c:v>
                </c:pt>
                <c:pt idx="245">
                  <c:v>9.74418830871582</c:v>
                </c:pt>
                <c:pt idx="246">
                  <c:v>9.74418830871582</c:v>
                </c:pt>
                <c:pt idx="247">
                  <c:v>9.74418830871582</c:v>
                </c:pt>
                <c:pt idx="248">
                  <c:v>9.74418830871582</c:v>
                </c:pt>
                <c:pt idx="249">
                  <c:v>9.744187355041504</c:v>
                </c:pt>
                <c:pt idx="250">
                  <c:v>9.744186401367188</c:v>
                </c:pt>
                <c:pt idx="251">
                  <c:v>9.744186401367188</c:v>
                </c:pt>
                <c:pt idx="252">
                  <c:v>9.744186401367188</c:v>
                </c:pt>
                <c:pt idx="253">
                  <c:v>9.744185447692871</c:v>
                </c:pt>
                <c:pt idx="254">
                  <c:v>9.744185447692871</c:v>
                </c:pt>
                <c:pt idx="255">
                  <c:v>9.744183540344238</c:v>
                </c:pt>
                <c:pt idx="256">
                  <c:v>9.744183540344238</c:v>
                </c:pt>
                <c:pt idx="257">
                  <c:v>9.744183540344238</c:v>
                </c:pt>
                <c:pt idx="258">
                  <c:v>9.744182586669922</c:v>
                </c:pt>
                <c:pt idx="259">
                  <c:v>9.744182586669922</c:v>
                </c:pt>
                <c:pt idx="260">
                  <c:v>9.744182586669922</c:v>
                </c:pt>
                <c:pt idx="261">
                  <c:v>9.744182586669922</c:v>
                </c:pt>
                <c:pt idx="262">
                  <c:v>9.744181632995605</c:v>
                </c:pt>
                <c:pt idx="263">
                  <c:v>9.744181632995605</c:v>
                </c:pt>
                <c:pt idx="264">
                  <c:v>9.744180679321289</c:v>
                </c:pt>
                <c:pt idx="265">
                  <c:v>9.744180679321289</c:v>
                </c:pt>
                <c:pt idx="266">
                  <c:v>9.744180679321289</c:v>
                </c:pt>
                <c:pt idx="267">
                  <c:v>9.744179725646973</c:v>
                </c:pt>
                <c:pt idx="268">
                  <c:v>9.744179725646973</c:v>
                </c:pt>
                <c:pt idx="269">
                  <c:v>9.744179725646973</c:v>
                </c:pt>
                <c:pt idx="270">
                  <c:v>9.744178771972656</c:v>
                </c:pt>
                <c:pt idx="271">
                  <c:v>9.744178771972656</c:v>
                </c:pt>
                <c:pt idx="272">
                  <c:v>9.74417781829834</c:v>
                </c:pt>
                <c:pt idx="273">
                  <c:v>9.74417781829834</c:v>
                </c:pt>
                <c:pt idx="274">
                  <c:v>9.74417781829834</c:v>
                </c:pt>
                <c:pt idx="275">
                  <c:v>9.74417781829834</c:v>
                </c:pt>
                <c:pt idx="276">
                  <c:v>9.744176864624023</c:v>
                </c:pt>
                <c:pt idx="277">
                  <c:v>9.744176864624023</c:v>
                </c:pt>
                <c:pt idx="278">
                  <c:v>9.744176864624023</c:v>
                </c:pt>
                <c:pt idx="279">
                  <c:v>9.744175910949707</c:v>
                </c:pt>
                <c:pt idx="280">
                  <c:v>9.744175910949707</c:v>
                </c:pt>
                <c:pt idx="281">
                  <c:v>9.744175910949707</c:v>
                </c:pt>
                <c:pt idx="282">
                  <c:v>9.744174957275391</c:v>
                </c:pt>
                <c:pt idx="283">
                  <c:v>9.744174957275391</c:v>
                </c:pt>
                <c:pt idx="284">
                  <c:v>9.744174957275391</c:v>
                </c:pt>
                <c:pt idx="285">
                  <c:v>9.744174003601074</c:v>
                </c:pt>
                <c:pt idx="286">
                  <c:v>9.744174003601074</c:v>
                </c:pt>
                <c:pt idx="287">
                  <c:v>9.744174003601074</c:v>
                </c:pt>
                <c:pt idx="288">
                  <c:v>9.744174003601074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axId val="75091328"/>
        <c:axId val="75089408"/>
      </c:scatterChart>
      <c:valAx>
        <c:axId val="750913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t>Time [h]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val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r>
                  <a:t/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Report-2031_Oil_4500bopd_Liquid_4773blpd_5MMSCFD_GL_TD_Only_OP2.genkey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Legends!B2</c:f>
              <c:strCache>
                <c:ptCount val="1"/>
                <c:pt idx="0">
                  <c:v>VAR1</c:v>
                </c:pt>
              </c:strCache>
            </c:strRef>
          </c:tx>
          <c:marker>
            <c:symbol val="none"/>
          </c:marker>
          <c:xVal>
            <c:numRef>
              <c:f>SIM2!$A$11:$A$299</c:f>
              <c:numCache>
                <c:ptCount val="289"/>
                <c:pt idx="0">
                  <c:v>0</c:v>
                </c:pt>
                <c:pt idx="1">
                  <c:v>0.2502377033233643</c:v>
                </c:pt>
                <c:pt idx="2">
                  <c:v>0.5001344680786133</c:v>
                </c:pt>
                <c:pt idx="3">
                  <c:v>0.7502166628837585</c:v>
                </c:pt>
                <c:pt idx="4">
                  <c:v>1.000296950340271</c:v>
                </c:pt>
                <c:pt idx="5">
                  <c:v>1.250070571899414</c:v>
                </c:pt>
                <c:pt idx="6">
                  <c:v>1.500028848648071</c:v>
                </c:pt>
                <c:pt idx="7">
                  <c:v>1.750007748603821</c:v>
                </c:pt>
                <c:pt idx="8">
                  <c:v>2.00033164024353</c:v>
                </c:pt>
                <c:pt idx="9">
                  <c:v>2.250254154205322</c:v>
                </c:pt>
                <c:pt idx="10">
                  <c:v>2.500176668167114</c:v>
                </c:pt>
                <c:pt idx="11">
                  <c:v>2.750099182128906</c:v>
                </c:pt>
                <c:pt idx="12">
                  <c:v>3.000022172927856</c:v>
                </c:pt>
                <c:pt idx="13">
                  <c:v>3.250344514846802</c:v>
                </c:pt>
                <c:pt idx="14">
                  <c:v>3.500269412994385</c:v>
                </c:pt>
                <c:pt idx="15">
                  <c:v>3.750191688537598</c:v>
                </c:pt>
                <c:pt idx="16">
                  <c:v>4.000113964080811</c:v>
                </c:pt>
                <c:pt idx="17">
                  <c:v>4.250036239624023</c:v>
                </c:pt>
                <c:pt idx="18">
                  <c:v>4.500358104705811</c:v>
                </c:pt>
                <c:pt idx="19">
                  <c:v>4.750305652618408</c:v>
                </c:pt>
                <c:pt idx="20">
                  <c:v>5.00006103515625</c:v>
                </c:pt>
                <c:pt idx="21">
                  <c:v>5.250485897064209</c:v>
                </c:pt>
                <c:pt idx="22">
                  <c:v>5.500458240509033</c:v>
                </c:pt>
                <c:pt idx="23">
                  <c:v>5.750716686248779</c:v>
                </c:pt>
                <c:pt idx="24">
                  <c:v>6.000564098358154</c:v>
                </c:pt>
                <c:pt idx="25">
                  <c:v>6.250602722167969</c:v>
                </c:pt>
                <c:pt idx="26">
                  <c:v>6.500152587890625</c:v>
                </c:pt>
                <c:pt idx="27">
                  <c:v>6.750202655792236</c:v>
                </c:pt>
                <c:pt idx="28">
                  <c:v>7.000389099121094</c:v>
                </c:pt>
                <c:pt idx="29">
                  <c:v>7.25005578994751</c:v>
                </c:pt>
                <c:pt idx="30">
                  <c:v>7.500391483306885</c:v>
                </c:pt>
                <c:pt idx="31">
                  <c:v>7.750247001647949</c:v>
                </c:pt>
                <c:pt idx="32">
                  <c:v>8.000252723693848</c:v>
                </c:pt>
                <c:pt idx="33">
                  <c:v>8.250082969665527</c:v>
                </c:pt>
                <c:pt idx="34">
                  <c:v>8.500566482543945</c:v>
                </c:pt>
                <c:pt idx="35">
                  <c:v>8.750080108642578</c:v>
                </c:pt>
                <c:pt idx="36">
                  <c:v>9.000374794006348</c:v>
                </c:pt>
                <c:pt idx="37">
                  <c:v>9.250136375427246</c:v>
                </c:pt>
                <c:pt idx="38">
                  <c:v>9.500344276428223</c:v>
                </c:pt>
                <c:pt idx="39">
                  <c:v>9.750325202941895</c:v>
                </c:pt>
                <c:pt idx="40">
                  <c:v>10.000319480896</c:v>
                </c:pt>
                <c:pt idx="41">
                  <c:v>10.25020027160645</c:v>
                </c:pt>
                <c:pt idx="42">
                  <c:v>10.50003337860107</c:v>
                </c:pt>
                <c:pt idx="43">
                  <c:v>10.75012493133545</c:v>
                </c:pt>
                <c:pt idx="44">
                  <c:v>11.00051116943359</c:v>
                </c:pt>
                <c:pt idx="45">
                  <c:v>11.25047492980957</c:v>
                </c:pt>
                <c:pt idx="46">
                  <c:v>11.50014400482178</c:v>
                </c:pt>
                <c:pt idx="47">
                  <c:v>11.75027465820312</c:v>
                </c:pt>
                <c:pt idx="48">
                  <c:v>12.00003051757812</c:v>
                </c:pt>
                <c:pt idx="49">
                  <c:v>12.25064182281494</c:v>
                </c:pt>
                <c:pt idx="50">
                  <c:v>12.50050258636475</c:v>
                </c:pt>
                <c:pt idx="51">
                  <c:v>12.750319480896</c:v>
                </c:pt>
                <c:pt idx="52">
                  <c:v>13.00034713745117</c:v>
                </c:pt>
                <c:pt idx="53">
                  <c:v>13.25012493133545</c:v>
                </c:pt>
                <c:pt idx="54">
                  <c:v>13.50023365020752</c:v>
                </c:pt>
                <c:pt idx="55">
                  <c:v>13.75005531311035</c:v>
                </c:pt>
                <c:pt idx="56">
                  <c:v>14.0003833770752</c:v>
                </c:pt>
                <c:pt idx="57">
                  <c:v>14.25030040740967</c:v>
                </c:pt>
                <c:pt idx="58">
                  <c:v>14.50048923492432</c:v>
                </c:pt>
                <c:pt idx="59">
                  <c:v>14.75058078765869</c:v>
                </c:pt>
                <c:pt idx="60">
                  <c:v>15.00020599365234</c:v>
                </c:pt>
                <c:pt idx="61">
                  <c:v>15.25001907348633</c:v>
                </c:pt>
                <c:pt idx="62">
                  <c:v>15.50043869018555</c:v>
                </c:pt>
                <c:pt idx="63">
                  <c:v>15.75009441375732</c:v>
                </c:pt>
                <c:pt idx="64">
                  <c:v>16.00001907348633</c:v>
                </c:pt>
                <c:pt idx="65">
                  <c:v>16.25009727478027</c:v>
                </c:pt>
                <c:pt idx="66">
                  <c:v>16.5001335144043</c:v>
                </c:pt>
                <c:pt idx="67">
                  <c:v>16.75020790100098</c:v>
                </c:pt>
                <c:pt idx="68">
                  <c:v>17.00028800964355</c:v>
                </c:pt>
                <c:pt idx="69">
                  <c:v>17.25015258789062</c:v>
                </c:pt>
                <c:pt idx="70">
                  <c:v>17.5003662109375</c:v>
                </c:pt>
                <c:pt idx="71">
                  <c:v>17.75002479553223</c:v>
                </c:pt>
                <c:pt idx="72">
                  <c:v>18.00046730041504</c:v>
                </c:pt>
                <c:pt idx="73">
                  <c:v>18.25059127807617</c:v>
                </c:pt>
                <c:pt idx="74">
                  <c:v>18.50006294250488</c:v>
                </c:pt>
                <c:pt idx="75">
                  <c:v>18.75009727478027</c:v>
                </c:pt>
                <c:pt idx="76">
                  <c:v>19.00009727478027</c:v>
                </c:pt>
                <c:pt idx="77">
                  <c:v>19.25011444091797</c:v>
                </c:pt>
                <c:pt idx="78">
                  <c:v>19.5001277923584</c:v>
                </c:pt>
                <c:pt idx="79">
                  <c:v>19.75029945373535</c:v>
                </c:pt>
                <c:pt idx="80">
                  <c:v>20.00004959106445</c:v>
                </c:pt>
                <c:pt idx="81">
                  <c:v>20.25016593933105</c:v>
                </c:pt>
                <c:pt idx="82">
                  <c:v>20.50030326843262</c:v>
                </c:pt>
                <c:pt idx="83">
                  <c:v>20.75010871887207</c:v>
                </c:pt>
                <c:pt idx="84">
                  <c:v>21.0001277923584</c:v>
                </c:pt>
                <c:pt idx="85">
                  <c:v>21.25024223327637</c:v>
                </c:pt>
                <c:pt idx="86">
                  <c:v>21.50033378601074</c:v>
                </c:pt>
                <c:pt idx="87">
                  <c:v>21.75038909912109</c:v>
                </c:pt>
                <c:pt idx="88">
                  <c:v>22.0002384185791</c:v>
                </c:pt>
                <c:pt idx="89">
                  <c:v>22.25003242492676</c:v>
                </c:pt>
                <c:pt idx="90">
                  <c:v>22.50029373168945</c:v>
                </c:pt>
                <c:pt idx="91">
                  <c:v>22.75035095214844</c:v>
                </c:pt>
                <c:pt idx="92">
                  <c:v>23.00012016296387</c:v>
                </c:pt>
                <c:pt idx="93">
                  <c:v>23.25015258789062</c:v>
                </c:pt>
                <c:pt idx="94">
                  <c:v>23.50027847290039</c:v>
                </c:pt>
                <c:pt idx="95">
                  <c:v>23.75039482116699</c:v>
                </c:pt>
                <c:pt idx="96">
                  <c:v>24.00031852722168</c:v>
                </c:pt>
                <c:pt idx="97">
                  <c:v>24.25011444091797</c:v>
                </c:pt>
                <c:pt idx="98">
                  <c:v>24.50047302246094</c:v>
                </c:pt>
                <c:pt idx="99">
                  <c:v>24.75012016296387</c:v>
                </c:pt>
                <c:pt idx="100">
                  <c:v>25.00012016296387</c:v>
                </c:pt>
                <c:pt idx="101">
                  <c:v>25.25008392333984</c:v>
                </c:pt>
                <c:pt idx="102">
                  <c:v>25.5003833770752</c:v>
                </c:pt>
                <c:pt idx="103">
                  <c:v>25.75029945373535</c:v>
                </c:pt>
                <c:pt idx="104">
                  <c:v>26.00038528442383</c:v>
                </c:pt>
                <c:pt idx="105">
                  <c:v>26.25018692016602</c:v>
                </c:pt>
                <c:pt idx="106">
                  <c:v>26.50039672851562</c:v>
                </c:pt>
                <c:pt idx="107">
                  <c:v>26.75045585632324</c:v>
                </c:pt>
                <c:pt idx="108">
                  <c:v>27.00051307678223</c:v>
                </c:pt>
                <c:pt idx="109">
                  <c:v>27.2500057220459</c:v>
                </c:pt>
                <c:pt idx="110">
                  <c:v>27.50052261352539</c:v>
                </c:pt>
                <c:pt idx="111">
                  <c:v>27.75006294250488</c:v>
                </c:pt>
                <c:pt idx="112">
                  <c:v>28.00033378601074</c:v>
                </c:pt>
                <c:pt idx="113">
                  <c:v>28.2501392364502</c:v>
                </c:pt>
                <c:pt idx="114">
                  <c:v>28.50002861022949</c:v>
                </c:pt>
                <c:pt idx="115">
                  <c:v>28.7503604888916</c:v>
                </c:pt>
                <c:pt idx="116">
                  <c:v>29.00033378601074</c:v>
                </c:pt>
                <c:pt idx="117">
                  <c:v>29.25027847290039</c:v>
                </c:pt>
                <c:pt idx="118">
                  <c:v>29.50022315979004</c:v>
                </c:pt>
                <c:pt idx="119">
                  <c:v>29.75030517578125</c:v>
                </c:pt>
                <c:pt idx="120">
                  <c:v>30.00038909912109</c:v>
                </c:pt>
                <c:pt idx="121">
                  <c:v>30.25047302246094</c:v>
                </c:pt>
                <c:pt idx="122">
                  <c:v>30.5</c:v>
                </c:pt>
                <c:pt idx="123">
                  <c:v>30.75041580200195</c:v>
                </c:pt>
                <c:pt idx="124">
                  <c:v>31.00030517578125</c:v>
                </c:pt>
                <c:pt idx="125">
                  <c:v>31.2506103515625</c:v>
                </c:pt>
                <c:pt idx="126">
                  <c:v>31.50069427490234</c:v>
                </c:pt>
                <c:pt idx="127">
                  <c:v>31.75019454956055</c:v>
                </c:pt>
                <c:pt idx="128">
                  <c:v>32.00047302246094</c:v>
                </c:pt>
                <c:pt idx="129">
                  <c:v>32.25038909912109</c:v>
                </c:pt>
                <c:pt idx="130">
                  <c:v>32.5</c:v>
                </c:pt>
                <c:pt idx="131">
                  <c:v>32.75025177001953</c:v>
                </c:pt>
                <c:pt idx="132">
                  <c:v>33.00027847290039</c:v>
                </c:pt>
                <c:pt idx="133">
                  <c:v>33.25002670288086</c:v>
                </c:pt>
                <c:pt idx="134">
                  <c:v>33.50002670288086</c:v>
                </c:pt>
                <c:pt idx="135">
                  <c:v>33.75005722045898</c:v>
                </c:pt>
                <c:pt idx="136">
                  <c:v>34.00019454956055</c:v>
                </c:pt>
                <c:pt idx="137">
                  <c:v>34.25055694580078</c:v>
                </c:pt>
                <c:pt idx="138">
                  <c:v>34.50016784667969</c:v>
                </c:pt>
                <c:pt idx="139">
                  <c:v>34.7501106262207</c:v>
                </c:pt>
                <c:pt idx="140">
                  <c:v>35.00033187866211</c:v>
                </c:pt>
                <c:pt idx="141">
                  <c:v>35.25022125244141</c:v>
                </c:pt>
                <c:pt idx="142">
                  <c:v>35.5001106262207</c:v>
                </c:pt>
                <c:pt idx="143">
                  <c:v>35.7501106262207</c:v>
                </c:pt>
                <c:pt idx="144">
                  <c:v>36.00008392333984</c:v>
                </c:pt>
                <c:pt idx="145">
                  <c:v>36.25002670288086</c:v>
                </c:pt>
                <c:pt idx="146">
                  <c:v>36.50044631958008</c:v>
                </c:pt>
                <c:pt idx="147">
                  <c:v>36.75058364868164</c:v>
                </c:pt>
                <c:pt idx="148">
                  <c:v>37.00022125244141</c:v>
                </c:pt>
                <c:pt idx="149">
                  <c:v>37.2504997253418</c:v>
                </c:pt>
                <c:pt idx="150">
                  <c:v>37.50063705444336</c:v>
                </c:pt>
                <c:pt idx="151">
                  <c:v>37.75002670288086</c:v>
                </c:pt>
                <c:pt idx="152">
                  <c:v>38.00036239624023</c:v>
                </c:pt>
                <c:pt idx="153">
                  <c:v>38.25041580200195</c:v>
                </c:pt>
                <c:pt idx="154">
                  <c:v>38.50044631958008</c:v>
                </c:pt>
                <c:pt idx="155">
                  <c:v>38.75025177001953</c:v>
                </c:pt>
                <c:pt idx="156">
                  <c:v>39.00019454956055</c:v>
                </c:pt>
                <c:pt idx="157">
                  <c:v>39.25036239624023</c:v>
                </c:pt>
                <c:pt idx="158">
                  <c:v>39.50008392333984</c:v>
                </c:pt>
                <c:pt idx="159">
                  <c:v>39.75038909912109</c:v>
                </c:pt>
                <c:pt idx="160">
                  <c:v>40.00005722045898</c:v>
                </c:pt>
                <c:pt idx="161">
                  <c:v>40.25030517578125</c:v>
                </c:pt>
                <c:pt idx="162">
                  <c:v>40.50022125244141</c:v>
                </c:pt>
                <c:pt idx="163">
                  <c:v>40.75002670288086</c:v>
                </c:pt>
                <c:pt idx="164">
                  <c:v>41.00025177001953</c:v>
                </c:pt>
                <c:pt idx="165">
                  <c:v>41.25019454956055</c:v>
                </c:pt>
                <c:pt idx="166">
                  <c:v>41.50063705444336</c:v>
                </c:pt>
                <c:pt idx="167">
                  <c:v>41.75019454956055</c:v>
                </c:pt>
                <c:pt idx="168">
                  <c:v>42.00008392333984</c:v>
                </c:pt>
                <c:pt idx="169">
                  <c:v>42.25</c:v>
                </c:pt>
                <c:pt idx="170">
                  <c:v>42.50033187866211</c:v>
                </c:pt>
                <c:pt idx="171">
                  <c:v>42.75013732910156</c:v>
                </c:pt>
                <c:pt idx="172">
                  <c:v>43.00047302246094</c:v>
                </c:pt>
                <c:pt idx="173">
                  <c:v>43.25047302246094</c:v>
                </c:pt>
                <c:pt idx="174">
                  <c:v>43.50002670288086</c:v>
                </c:pt>
                <c:pt idx="175">
                  <c:v>43.75038909912109</c:v>
                </c:pt>
                <c:pt idx="176">
                  <c:v>44.00036239624023</c:v>
                </c:pt>
                <c:pt idx="177">
                  <c:v>44.25022125244141</c:v>
                </c:pt>
                <c:pt idx="178">
                  <c:v>44.50033187866211</c:v>
                </c:pt>
                <c:pt idx="179">
                  <c:v>44.75016784667969</c:v>
                </c:pt>
                <c:pt idx="180">
                  <c:v>45.0004997253418</c:v>
                </c:pt>
                <c:pt idx="181">
                  <c:v>45.25036239624023</c:v>
                </c:pt>
                <c:pt idx="182">
                  <c:v>45.50022125244141</c:v>
                </c:pt>
                <c:pt idx="183">
                  <c:v>45.75005722045898</c:v>
                </c:pt>
                <c:pt idx="184">
                  <c:v>46.00013732910156</c:v>
                </c:pt>
                <c:pt idx="185">
                  <c:v>46.25041580200195</c:v>
                </c:pt>
                <c:pt idx="186">
                  <c:v>46.50027847290039</c:v>
                </c:pt>
                <c:pt idx="187">
                  <c:v>46.75016784667969</c:v>
                </c:pt>
                <c:pt idx="188">
                  <c:v>47.00047302246094</c:v>
                </c:pt>
                <c:pt idx="189">
                  <c:v>47.25044631958008</c:v>
                </c:pt>
                <c:pt idx="190">
                  <c:v>47.50066757202148</c:v>
                </c:pt>
                <c:pt idx="191">
                  <c:v>47.75</c:v>
                </c:pt>
                <c:pt idx="192">
                  <c:v>48.00027847290039</c:v>
                </c:pt>
                <c:pt idx="193">
                  <c:v>48.2501106262207</c:v>
                </c:pt>
                <c:pt idx="194">
                  <c:v>48.50036239624023</c:v>
                </c:pt>
                <c:pt idx="195">
                  <c:v>48.75005722045898</c:v>
                </c:pt>
                <c:pt idx="196">
                  <c:v>49.00016784667969</c:v>
                </c:pt>
                <c:pt idx="197">
                  <c:v>49.25027847290039</c:v>
                </c:pt>
                <c:pt idx="198">
                  <c:v>49.50016784667969</c:v>
                </c:pt>
                <c:pt idx="199">
                  <c:v>49.75047302246094</c:v>
                </c:pt>
                <c:pt idx="200">
                  <c:v>50.00019454956055</c:v>
                </c:pt>
                <c:pt idx="201">
                  <c:v>50.25019454956055</c:v>
                </c:pt>
                <c:pt idx="202">
                  <c:v>50.50022125244141</c:v>
                </c:pt>
                <c:pt idx="203">
                  <c:v>50.75052642822266</c:v>
                </c:pt>
                <c:pt idx="204">
                  <c:v>51.00022125244141</c:v>
                </c:pt>
                <c:pt idx="205">
                  <c:v>51.2501106262207</c:v>
                </c:pt>
                <c:pt idx="206">
                  <c:v>51.50008392333984</c:v>
                </c:pt>
                <c:pt idx="207">
                  <c:v>51.75041580200195</c:v>
                </c:pt>
                <c:pt idx="208">
                  <c:v>52.00019454956055</c:v>
                </c:pt>
                <c:pt idx="209">
                  <c:v>52.25038909912109</c:v>
                </c:pt>
                <c:pt idx="210">
                  <c:v>52.50027847290039</c:v>
                </c:pt>
                <c:pt idx="211">
                  <c:v>52.75027847290039</c:v>
                </c:pt>
                <c:pt idx="212">
                  <c:v>53.00027847290039</c:v>
                </c:pt>
                <c:pt idx="213">
                  <c:v>53.25052642822266</c:v>
                </c:pt>
                <c:pt idx="214">
                  <c:v>53.50036239624023</c:v>
                </c:pt>
                <c:pt idx="215">
                  <c:v>53.75038909912109</c:v>
                </c:pt>
                <c:pt idx="216">
                  <c:v>54.00016784667969</c:v>
                </c:pt>
                <c:pt idx="217">
                  <c:v>54.25025177001953</c:v>
                </c:pt>
                <c:pt idx="218">
                  <c:v>54.50016784667969</c:v>
                </c:pt>
                <c:pt idx="219">
                  <c:v>54.75058364868164</c:v>
                </c:pt>
                <c:pt idx="220">
                  <c:v>55.00030517578125</c:v>
                </c:pt>
                <c:pt idx="221">
                  <c:v>55.25036239624023</c:v>
                </c:pt>
                <c:pt idx="222">
                  <c:v>55.50008392333984</c:v>
                </c:pt>
                <c:pt idx="223">
                  <c:v>55.75008392333984</c:v>
                </c:pt>
                <c:pt idx="224">
                  <c:v>56.00044631958008</c:v>
                </c:pt>
                <c:pt idx="225">
                  <c:v>56.25030517578125</c:v>
                </c:pt>
                <c:pt idx="226">
                  <c:v>56.50030517578125</c:v>
                </c:pt>
                <c:pt idx="227">
                  <c:v>56.75027847290039</c:v>
                </c:pt>
                <c:pt idx="228">
                  <c:v>57.00047302246094</c:v>
                </c:pt>
                <c:pt idx="229">
                  <c:v>57.25083160400391</c:v>
                </c:pt>
                <c:pt idx="230">
                  <c:v>57.50002670288086</c:v>
                </c:pt>
                <c:pt idx="231">
                  <c:v>57.75005722045898</c:v>
                </c:pt>
                <c:pt idx="232">
                  <c:v>58.0001106262207</c:v>
                </c:pt>
                <c:pt idx="233">
                  <c:v>58.25041580200195</c:v>
                </c:pt>
                <c:pt idx="234">
                  <c:v>58.50030517578125</c:v>
                </c:pt>
                <c:pt idx="235">
                  <c:v>58.75036239624023</c:v>
                </c:pt>
                <c:pt idx="236">
                  <c:v>59</c:v>
                </c:pt>
                <c:pt idx="237">
                  <c:v>59.25041580200195</c:v>
                </c:pt>
                <c:pt idx="238">
                  <c:v>59.50027847290039</c:v>
                </c:pt>
                <c:pt idx="239">
                  <c:v>59.75041580200195</c:v>
                </c:pt>
                <c:pt idx="240">
                  <c:v>60.00033187866211</c:v>
                </c:pt>
                <c:pt idx="241">
                  <c:v>60.2506103515625</c:v>
                </c:pt>
                <c:pt idx="242">
                  <c:v>60.50041580200195</c:v>
                </c:pt>
                <c:pt idx="243">
                  <c:v>60.7504997253418</c:v>
                </c:pt>
                <c:pt idx="244">
                  <c:v>61.00027847290039</c:v>
                </c:pt>
                <c:pt idx="245">
                  <c:v>61.25</c:v>
                </c:pt>
                <c:pt idx="246">
                  <c:v>61.50038909912109</c:v>
                </c:pt>
                <c:pt idx="247">
                  <c:v>61.75</c:v>
                </c:pt>
                <c:pt idx="248">
                  <c:v>62.00019454956055</c:v>
                </c:pt>
                <c:pt idx="249">
                  <c:v>62.25025177001953</c:v>
                </c:pt>
                <c:pt idx="250">
                  <c:v>62.5004997253418</c:v>
                </c:pt>
                <c:pt idx="251">
                  <c:v>62.75002670288086</c:v>
                </c:pt>
                <c:pt idx="252">
                  <c:v>63.00044631958008</c:v>
                </c:pt>
                <c:pt idx="253">
                  <c:v>63.25002670288086</c:v>
                </c:pt>
                <c:pt idx="254">
                  <c:v>63.5006103515625</c:v>
                </c:pt>
                <c:pt idx="255">
                  <c:v>63.75044631958008</c:v>
                </c:pt>
                <c:pt idx="256">
                  <c:v>64.00083160400391</c:v>
                </c:pt>
                <c:pt idx="257">
                  <c:v>64.25019073486328</c:v>
                </c:pt>
                <c:pt idx="258">
                  <c:v>64.50041961669922</c:v>
                </c:pt>
                <c:pt idx="259">
                  <c:v>64.75005340576172</c:v>
                </c:pt>
                <c:pt idx="260">
                  <c:v>65.00033569335938</c:v>
                </c:pt>
                <c:pt idx="261">
                  <c:v>65.25011444091797</c:v>
                </c:pt>
                <c:pt idx="262">
                  <c:v>65.50033569335938</c:v>
                </c:pt>
                <c:pt idx="263">
                  <c:v>65.75033569335938</c:v>
                </c:pt>
                <c:pt idx="264">
                  <c:v>66.00008392333984</c:v>
                </c:pt>
                <c:pt idx="265">
                  <c:v>66.25041961669922</c:v>
                </c:pt>
                <c:pt idx="266">
                  <c:v>66.50003051757812</c:v>
                </c:pt>
                <c:pt idx="267">
                  <c:v>66.75038909912109</c:v>
                </c:pt>
                <c:pt idx="268">
                  <c:v>67.00077819824219</c:v>
                </c:pt>
                <c:pt idx="269">
                  <c:v>67.25044250488281</c:v>
                </c:pt>
                <c:pt idx="270">
                  <c:v>67.50013732910156</c:v>
                </c:pt>
                <c:pt idx="271">
                  <c:v>67.75030517578125</c:v>
                </c:pt>
                <c:pt idx="272">
                  <c:v>68.00022125244141</c:v>
                </c:pt>
                <c:pt idx="273">
                  <c:v>68.25003051757812</c:v>
                </c:pt>
                <c:pt idx="274">
                  <c:v>68.5</c:v>
                </c:pt>
                <c:pt idx="275">
                  <c:v>68.75033569335938</c:v>
                </c:pt>
                <c:pt idx="276">
                  <c:v>69.00008392333984</c:v>
                </c:pt>
                <c:pt idx="277">
                  <c:v>69.25022125244141</c:v>
                </c:pt>
                <c:pt idx="278">
                  <c:v>69.50008392333984</c:v>
                </c:pt>
                <c:pt idx="279">
                  <c:v>69.75050354003906</c:v>
                </c:pt>
                <c:pt idx="280">
                  <c:v>70.00052642822266</c:v>
                </c:pt>
                <c:pt idx="281">
                  <c:v>70.2506103515625</c:v>
                </c:pt>
                <c:pt idx="282">
                  <c:v>70.5006103515625</c:v>
                </c:pt>
                <c:pt idx="283">
                  <c:v>70.75035858154297</c:v>
                </c:pt>
                <c:pt idx="284">
                  <c:v>71.00038909912109</c:v>
                </c:pt>
                <c:pt idx="285">
                  <c:v>71.25008392333984</c:v>
                </c:pt>
                <c:pt idx="286">
                  <c:v>71.50003051757812</c:v>
                </c:pt>
                <c:pt idx="287">
                  <c:v>71.75022125244141</c:v>
                </c:pt>
                <c:pt idx="288">
                  <c:v>72.00033569335938</c:v>
                </c:pt>
              </c:numCache>
            </c:numRef>
          </c:xVal>
          <c:yVal>
            <c:numRef>
              <c:f>SIM2!$E$11:$E$299</c:f>
              <c:numCache>
                <c:ptCount val="289"/>
                <c:pt idx="0">
                  <c:v>0.01899014040827751</c:v>
                </c:pt>
                <c:pt idx="1">
                  <c:v>0.01325710956007242</c:v>
                </c:pt>
                <c:pt idx="2">
                  <c:v>0.009549681097269058</c:v>
                </c:pt>
                <c:pt idx="3">
                  <c:v>0.01315690018236637</c:v>
                </c:pt>
                <c:pt idx="4">
                  <c:v>0.009365567937493324</c:v>
                </c:pt>
                <c:pt idx="5">
                  <c:v>0.008319569751620293</c:v>
                </c:pt>
                <c:pt idx="6">
                  <c:v>0.009252616204321384</c:v>
                </c:pt>
                <c:pt idx="7">
                  <c:v>0.008697706274688244</c:v>
                </c:pt>
                <c:pt idx="8">
                  <c:v>0.01156174018979073</c:v>
                </c:pt>
                <c:pt idx="9">
                  <c:v>0.008207106031477451</c:v>
                </c:pt>
                <c:pt idx="10">
                  <c:v>0.008492790162563324</c:v>
                </c:pt>
                <c:pt idx="11">
                  <c:v>0.01046258956193924</c:v>
                </c:pt>
                <c:pt idx="12">
                  <c:v>0.008392437361180782</c:v>
                </c:pt>
                <c:pt idx="13">
                  <c:v>0.01151208020746708</c:v>
                </c:pt>
                <c:pt idx="14">
                  <c:v>0.008474365808069706</c:v>
                </c:pt>
                <c:pt idx="15">
                  <c:v>0.007510873954743147</c:v>
                </c:pt>
                <c:pt idx="16">
                  <c:v>0.01170090958476067</c:v>
                </c:pt>
                <c:pt idx="17">
                  <c:v>0.008261324837803841</c:v>
                </c:pt>
                <c:pt idx="18">
                  <c:v>0.009489740245044231</c:v>
                </c:pt>
                <c:pt idx="19">
                  <c:v>0.007197902072221041</c:v>
                </c:pt>
                <c:pt idx="20">
                  <c:v>0.00537472777068615</c:v>
                </c:pt>
                <c:pt idx="21">
                  <c:v>-0.002428255975246429</c:v>
                </c:pt>
                <c:pt idx="22">
                  <c:v>0.002065117936581373</c:v>
                </c:pt>
                <c:pt idx="23">
                  <c:v>0.002236966043710709</c:v>
                </c:pt>
                <c:pt idx="24">
                  <c:v>0.003278614021837711</c:v>
                </c:pt>
                <c:pt idx="25">
                  <c:v>0.02540455013513565</c:v>
                </c:pt>
                <c:pt idx="26">
                  <c:v>0.01043733954429626</c:v>
                </c:pt>
                <c:pt idx="27">
                  <c:v>0.01910514943301678</c:v>
                </c:pt>
                <c:pt idx="28">
                  <c:v>0.007040968164801598</c:v>
                </c:pt>
                <c:pt idx="29">
                  <c:v>0.004246283788233995</c:v>
                </c:pt>
                <c:pt idx="30">
                  <c:v>0.01335537992417812</c:v>
                </c:pt>
                <c:pt idx="31">
                  <c:v>0.007323024794459343</c:v>
                </c:pt>
                <c:pt idx="32">
                  <c:v>-0.0002879094099625945</c:v>
                </c:pt>
                <c:pt idx="33">
                  <c:v>-0.004830320831388235</c:v>
                </c:pt>
                <c:pt idx="34">
                  <c:v>-0.001587159000337124</c:v>
                </c:pt>
                <c:pt idx="35">
                  <c:v>0.1132778972387314</c:v>
                </c:pt>
                <c:pt idx="36">
                  <c:v>0.02444162033498287</c:v>
                </c:pt>
                <c:pt idx="37">
                  <c:v>0.01187967974692583</c:v>
                </c:pt>
                <c:pt idx="38">
                  <c:v>0.009411768056452274</c:v>
                </c:pt>
                <c:pt idx="39">
                  <c:v>0.008730955421924591</c:v>
                </c:pt>
                <c:pt idx="40">
                  <c:v>0.005703756120055914</c:v>
                </c:pt>
                <c:pt idx="41">
                  <c:v>0.001471871044486761</c:v>
                </c:pt>
                <c:pt idx="42">
                  <c:v>-0.001879138988442719</c:v>
                </c:pt>
                <c:pt idx="43">
                  <c:v>0.007769528776407242</c:v>
                </c:pt>
                <c:pt idx="44">
                  <c:v>0.002318559912964702</c:v>
                </c:pt>
                <c:pt idx="45">
                  <c:v>-0.001891687978059053</c:v>
                </c:pt>
                <c:pt idx="46">
                  <c:v>0.0004108118009753525</c:v>
                </c:pt>
                <c:pt idx="47">
                  <c:v>-0.0006353915086947381</c:v>
                </c:pt>
                <c:pt idx="48">
                  <c:v>0.009010882116854191</c:v>
                </c:pt>
                <c:pt idx="49">
                  <c:v>0.003537937067449093</c:v>
                </c:pt>
                <c:pt idx="50">
                  <c:v>0.01705810986459255</c:v>
                </c:pt>
                <c:pt idx="51">
                  <c:v>0.006880003958940506</c:v>
                </c:pt>
                <c:pt idx="52">
                  <c:v>0.009999629110097885</c:v>
                </c:pt>
                <c:pt idx="53">
                  <c:v>0.006241896189749241</c:v>
                </c:pt>
                <c:pt idx="54">
                  <c:v>0.002702238038182259</c:v>
                </c:pt>
                <c:pt idx="55">
                  <c:v>0.004694677889347076</c:v>
                </c:pt>
                <c:pt idx="56">
                  <c:v>0.00228123995475471</c:v>
                </c:pt>
                <c:pt idx="57">
                  <c:v>0.0003553254064172506</c:v>
                </c:pt>
                <c:pt idx="58">
                  <c:v>-0.0009296683128923178</c:v>
                </c:pt>
                <c:pt idx="59">
                  <c:v>0.0008332526194863021</c:v>
                </c:pt>
                <c:pt idx="60">
                  <c:v>-0.0004271359066478908</c:v>
                </c:pt>
                <c:pt idx="61">
                  <c:v>0.002704313024878502</c:v>
                </c:pt>
                <c:pt idx="62">
                  <c:v>0.0401204414665699</c:v>
                </c:pt>
                <c:pt idx="63">
                  <c:v>0.009638170711696148</c:v>
                </c:pt>
                <c:pt idx="64">
                  <c:v>0.01425531040877104</c:v>
                </c:pt>
                <c:pt idx="65">
                  <c:v>0.007095518056303263</c:v>
                </c:pt>
                <c:pt idx="66">
                  <c:v>0.004122194834053516</c:v>
                </c:pt>
                <c:pt idx="67">
                  <c:v>-0.002480061026290059</c:v>
                </c:pt>
                <c:pt idx="68">
                  <c:v>-0.003361905924975872</c:v>
                </c:pt>
                <c:pt idx="69">
                  <c:v>0.07478176802396774</c:v>
                </c:pt>
                <c:pt idx="70">
                  <c:v>0.008576785214245319</c:v>
                </c:pt>
                <c:pt idx="71">
                  <c:v>-0.0002847157884389162</c:v>
                </c:pt>
                <c:pt idx="72">
                  <c:v>-0.00106563197914511</c:v>
                </c:pt>
                <c:pt idx="73">
                  <c:v>-7.884560181992128E-5</c:v>
                </c:pt>
                <c:pt idx="74">
                  <c:v>0.1652635037899017</c:v>
                </c:pt>
                <c:pt idx="75">
                  <c:v>0.04286989942193031</c:v>
                </c:pt>
                <c:pt idx="76">
                  <c:v>0.01307772006839514</c:v>
                </c:pt>
                <c:pt idx="77">
                  <c:v>0.009605539962649345</c:v>
                </c:pt>
                <c:pt idx="78">
                  <c:v>0.008478402160108089</c:v>
                </c:pt>
                <c:pt idx="79">
                  <c:v>0.005913520231842995</c:v>
                </c:pt>
                <c:pt idx="80">
                  <c:v>0.001764341024681926</c:v>
                </c:pt>
                <c:pt idx="81">
                  <c:v>0.0007191495969891548</c:v>
                </c:pt>
                <c:pt idx="82">
                  <c:v>0.06410851329565048</c:v>
                </c:pt>
                <c:pt idx="83">
                  <c:v>0.003216454060748219</c:v>
                </c:pt>
                <c:pt idx="84">
                  <c:v>-0.001727450056932867</c:v>
                </c:pt>
                <c:pt idx="85">
                  <c:v>-0.0005156918196007609</c:v>
                </c:pt>
                <c:pt idx="86">
                  <c:v>-0.0009114446002058685</c:v>
                </c:pt>
                <c:pt idx="87">
                  <c:v>0.009568990208208561</c:v>
                </c:pt>
                <c:pt idx="88">
                  <c:v>0.003564103040844202</c:v>
                </c:pt>
                <c:pt idx="89">
                  <c:v>0.01710470952093601</c:v>
                </c:pt>
                <c:pt idx="90">
                  <c:v>0.007123642135411501</c:v>
                </c:pt>
                <c:pt idx="91">
                  <c:v>0.009899777360260487</c:v>
                </c:pt>
                <c:pt idx="92">
                  <c:v>0.006232419051229954</c:v>
                </c:pt>
                <c:pt idx="93">
                  <c:v>0.002692108973860741</c:v>
                </c:pt>
                <c:pt idx="94">
                  <c:v>0.008030996657907963</c:v>
                </c:pt>
                <c:pt idx="95">
                  <c:v>0.001920094946399331</c:v>
                </c:pt>
                <c:pt idx="96">
                  <c:v>0.0008740060729905963</c:v>
                </c:pt>
                <c:pt idx="97">
                  <c:v>-0.003057186026126146</c:v>
                </c:pt>
                <c:pt idx="98">
                  <c:v>-0.0006178462062962353</c:v>
                </c:pt>
                <c:pt idx="99">
                  <c:v>-0.0001887887046905234</c:v>
                </c:pt>
                <c:pt idx="100">
                  <c:v>0.003967870958149433</c:v>
                </c:pt>
                <c:pt idx="101">
                  <c:v>0.0261568296700716</c:v>
                </c:pt>
                <c:pt idx="102">
                  <c:v>0.008475697599351406</c:v>
                </c:pt>
                <c:pt idx="103">
                  <c:v>0.0153956301510334</c:v>
                </c:pt>
                <c:pt idx="104">
                  <c:v>0.006675408221781254</c:v>
                </c:pt>
                <c:pt idx="105">
                  <c:v>0.00345059297978878</c:v>
                </c:pt>
                <c:pt idx="106">
                  <c:v>-0.004072416108101606</c:v>
                </c:pt>
                <c:pt idx="107">
                  <c:v>-4.487780097406358E-5</c:v>
                </c:pt>
                <c:pt idx="108">
                  <c:v>0.1084365993738174</c:v>
                </c:pt>
                <c:pt idx="109">
                  <c:v>0.01107234973460436</c:v>
                </c:pt>
                <c:pt idx="110">
                  <c:v>-0.002383786952123046</c:v>
                </c:pt>
                <c:pt idx="111">
                  <c:v>-0.00154419697355479</c:v>
                </c:pt>
                <c:pt idx="112">
                  <c:v>0.0003272971080150455</c:v>
                </c:pt>
                <c:pt idx="113">
                  <c:v>0.2202243953943253</c:v>
                </c:pt>
                <c:pt idx="114">
                  <c:v>0.05438290908932686</c:v>
                </c:pt>
                <c:pt idx="115">
                  <c:v>0.01211696956306696</c:v>
                </c:pt>
                <c:pt idx="116">
                  <c:v>0.01071231998503208</c:v>
                </c:pt>
                <c:pt idx="117">
                  <c:v>0.008265570737421513</c:v>
                </c:pt>
                <c:pt idx="118">
                  <c:v>0.005674703046679497</c:v>
                </c:pt>
                <c:pt idx="119">
                  <c:v>0.001342543982900679</c:v>
                </c:pt>
                <c:pt idx="120">
                  <c:v>-0.0008968838956207037</c:v>
                </c:pt>
                <c:pt idx="121">
                  <c:v>0.005855408962816</c:v>
                </c:pt>
                <c:pt idx="122">
                  <c:v>0.00231350096873939</c:v>
                </c:pt>
                <c:pt idx="123">
                  <c:v>-0.0007063206285238266</c:v>
                </c:pt>
                <c:pt idx="124">
                  <c:v>-0.0002473435888532549</c:v>
                </c:pt>
                <c:pt idx="125">
                  <c:v>-0.0003686753916554153</c:v>
                </c:pt>
                <c:pt idx="126">
                  <c:v>0.005944414064288139</c:v>
                </c:pt>
                <c:pt idx="127">
                  <c:v>0.003457966959103942</c:v>
                </c:pt>
                <c:pt idx="128">
                  <c:v>0.01728487946093082</c:v>
                </c:pt>
                <c:pt idx="129">
                  <c:v>0.006893739104270935</c:v>
                </c:pt>
                <c:pt idx="130">
                  <c:v>0.01000307034701109</c:v>
                </c:pt>
                <c:pt idx="131">
                  <c:v>0.00623127818107605</c:v>
                </c:pt>
                <c:pt idx="132">
                  <c:v>0.002736165886744857</c:v>
                </c:pt>
                <c:pt idx="133">
                  <c:v>0.007867114618420601</c:v>
                </c:pt>
                <c:pt idx="134">
                  <c:v>0.001963972114026546</c:v>
                </c:pt>
                <c:pt idx="135">
                  <c:v>-0.003690799931064248</c:v>
                </c:pt>
                <c:pt idx="136">
                  <c:v>0.001060324022546411</c:v>
                </c:pt>
                <c:pt idx="137">
                  <c:v>-0.001041613053530455</c:v>
                </c:pt>
                <c:pt idx="138">
                  <c:v>-0.0001863981015048921</c:v>
                </c:pt>
                <c:pt idx="139">
                  <c:v>0.003261908888816833</c:v>
                </c:pt>
                <c:pt idx="140">
                  <c:v>0.02833040058612823</c:v>
                </c:pt>
                <c:pt idx="141">
                  <c:v>0.008928191848099232</c:v>
                </c:pt>
                <c:pt idx="142">
                  <c:v>0.01518108975142241</c:v>
                </c:pt>
                <c:pt idx="143">
                  <c:v>0.006808135192841291</c:v>
                </c:pt>
                <c:pt idx="144">
                  <c:v>0.003677851986140013</c:v>
                </c:pt>
                <c:pt idx="145">
                  <c:v>7.936399924801663E-6</c:v>
                </c:pt>
                <c:pt idx="146">
                  <c:v>-0.0004809393140021712</c:v>
                </c:pt>
                <c:pt idx="147">
                  <c:v>0.100442998111248</c:v>
                </c:pt>
                <c:pt idx="148">
                  <c:v>0.0101530896499753</c:v>
                </c:pt>
                <c:pt idx="149">
                  <c:v>-0.002651171991601586</c:v>
                </c:pt>
                <c:pt idx="150">
                  <c:v>-0.001143348054029047</c:v>
                </c:pt>
                <c:pt idx="151">
                  <c:v>-0.001334239030256867</c:v>
                </c:pt>
                <c:pt idx="152">
                  <c:v>0.2286936044692993</c:v>
                </c:pt>
                <c:pt idx="153">
                  <c:v>0.05286369100213051</c:v>
                </c:pt>
                <c:pt idx="154">
                  <c:v>0.01230450998991728</c:v>
                </c:pt>
                <c:pt idx="155">
                  <c:v>0.01046761032193899</c:v>
                </c:pt>
                <c:pt idx="156">
                  <c:v>0.008313735015690327</c:v>
                </c:pt>
                <c:pt idx="157">
                  <c:v>0.005734032019972801</c:v>
                </c:pt>
                <c:pt idx="158">
                  <c:v>0.001457403996028006</c:v>
                </c:pt>
                <c:pt idx="159">
                  <c:v>4.943969906889834E-5</c:v>
                </c:pt>
                <c:pt idx="160">
                  <c:v>0.0006749884923920035</c:v>
                </c:pt>
                <c:pt idx="161">
                  <c:v>0.001582129974849522</c:v>
                </c:pt>
                <c:pt idx="162">
                  <c:v>-0.001290541957132518</c:v>
                </c:pt>
                <c:pt idx="163">
                  <c:v>-0.001002324977889657</c:v>
                </c:pt>
                <c:pt idx="164">
                  <c:v>-0.0006504877819679677</c:v>
                </c:pt>
                <c:pt idx="165">
                  <c:v>0.008078563027083874</c:v>
                </c:pt>
                <c:pt idx="166">
                  <c:v>0.003719104919582605</c:v>
                </c:pt>
                <c:pt idx="167">
                  <c:v>0.01721240021288395</c:v>
                </c:pt>
                <c:pt idx="168">
                  <c:v>0.006701371166855097</c:v>
                </c:pt>
                <c:pt idx="169">
                  <c:v>0.01014231983572245</c:v>
                </c:pt>
                <c:pt idx="170">
                  <c:v>0.006250509992241859</c:v>
                </c:pt>
                <c:pt idx="171">
                  <c:v>0.002531572943553329</c:v>
                </c:pt>
                <c:pt idx="172">
                  <c:v>0.000225694093387574</c:v>
                </c:pt>
                <c:pt idx="173">
                  <c:v>-2.984390084748156E-5</c:v>
                </c:pt>
                <c:pt idx="174">
                  <c:v>0.001471905037760735</c:v>
                </c:pt>
                <c:pt idx="175">
                  <c:v>-0.0008435382042080164</c:v>
                </c:pt>
                <c:pt idx="176">
                  <c:v>-0.0009316371288150549</c:v>
                </c:pt>
                <c:pt idx="177">
                  <c:v>-7.461410132236779E-5</c:v>
                </c:pt>
                <c:pt idx="178">
                  <c:v>0.001782514038495719</c:v>
                </c:pt>
                <c:pt idx="179">
                  <c:v>0.00682175112888217</c:v>
                </c:pt>
                <c:pt idx="180">
                  <c:v>0.02636032924056053</c:v>
                </c:pt>
                <c:pt idx="181">
                  <c:v>0.007297459058463573</c:v>
                </c:pt>
                <c:pt idx="182">
                  <c:v>0.01387418992817402</c:v>
                </c:pt>
                <c:pt idx="183">
                  <c:v>0.006463086232542992</c:v>
                </c:pt>
                <c:pt idx="184">
                  <c:v>0.003441951936110854</c:v>
                </c:pt>
                <c:pt idx="185">
                  <c:v>0.003323316108435392</c:v>
                </c:pt>
                <c:pt idx="186">
                  <c:v>0.002865585964173079</c:v>
                </c:pt>
                <c:pt idx="187">
                  <c:v>-0.003014100948348641</c:v>
                </c:pt>
                <c:pt idx="188">
                  <c:v>0.0003650661965366453</c:v>
                </c:pt>
                <c:pt idx="189">
                  <c:v>-0.001287971041165292</c:v>
                </c:pt>
                <c:pt idx="190">
                  <c:v>-0.0006569619290530682</c:v>
                </c:pt>
                <c:pt idx="191">
                  <c:v>0.003547620959579945</c:v>
                </c:pt>
                <c:pt idx="192">
                  <c:v>0.06353305280208588</c:v>
                </c:pt>
                <c:pt idx="193">
                  <c:v>0.0112127996981144</c:v>
                </c:pt>
                <c:pt idx="194">
                  <c:v>0.01202481985092163</c:v>
                </c:pt>
                <c:pt idx="195">
                  <c:v>0.007713860832154751</c:v>
                </c:pt>
                <c:pt idx="196">
                  <c:v>0.004963473882526159</c:v>
                </c:pt>
                <c:pt idx="197">
                  <c:v>-0.001245763967745006</c:v>
                </c:pt>
                <c:pt idx="198">
                  <c:v>-0.001680786954239011</c:v>
                </c:pt>
                <c:pt idx="199">
                  <c:v>4.325689951656386E-5</c:v>
                </c:pt>
                <c:pt idx="200">
                  <c:v>0.001592539018020034</c:v>
                </c:pt>
                <c:pt idx="201">
                  <c:v>-0.0008976606768555939</c:v>
                </c:pt>
                <c:pt idx="202">
                  <c:v>-0.0005262987106107175</c:v>
                </c:pt>
                <c:pt idx="203">
                  <c:v>-0.0006016133120283484</c:v>
                </c:pt>
                <c:pt idx="204">
                  <c:v>0.01089122984558344</c:v>
                </c:pt>
                <c:pt idx="205">
                  <c:v>0.01502352021634579</c:v>
                </c:pt>
                <c:pt idx="206">
                  <c:v>0.01543970033526421</c:v>
                </c:pt>
                <c:pt idx="207">
                  <c:v>0.007463867776095867</c:v>
                </c:pt>
                <c:pt idx="208">
                  <c:v>0.00935037899762392</c:v>
                </c:pt>
                <c:pt idx="209">
                  <c:v>0.006184414960443974</c:v>
                </c:pt>
                <c:pt idx="210">
                  <c:v>0.002229738049209118</c:v>
                </c:pt>
                <c:pt idx="211">
                  <c:v>-0.0003149936092086136</c:v>
                </c:pt>
                <c:pt idx="212">
                  <c:v>-0.0001510904985480011</c:v>
                </c:pt>
                <c:pt idx="213">
                  <c:v>0.001434537000022829</c:v>
                </c:pt>
                <c:pt idx="214">
                  <c:v>0.0006504423799924552</c:v>
                </c:pt>
                <c:pt idx="215">
                  <c:v>-0.001396195031702518</c:v>
                </c:pt>
                <c:pt idx="216">
                  <c:v>-0.0004012832941953093</c:v>
                </c:pt>
                <c:pt idx="217">
                  <c:v>-0.003062570933252573</c:v>
                </c:pt>
                <c:pt idx="218">
                  <c:v>0.007104568183422089</c:v>
                </c:pt>
                <c:pt idx="219">
                  <c:v>0.0241665206849575</c:v>
                </c:pt>
                <c:pt idx="220">
                  <c:v>0.006781695876270533</c:v>
                </c:pt>
                <c:pt idx="221">
                  <c:v>0.01297647971659899</c:v>
                </c:pt>
                <c:pt idx="222">
                  <c:v>0.006355855148285627</c:v>
                </c:pt>
                <c:pt idx="223">
                  <c:v>0.0033269920386374</c:v>
                </c:pt>
                <c:pt idx="224">
                  <c:v>0.004457623232156038</c:v>
                </c:pt>
                <c:pt idx="225">
                  <c:v>0.002757237991318107</c:v>
                </c:pt>
                <c:pt idx="226">
                  <c:v>-0.0007721161819063127</c:v>
                </c:pt>
                <c:pt idx="227">
                  <c:v>1.884579978650436E-5</c:v>
                </c:pt>
                <c:pt idx="228">
                  <c:v>-0.004423188045620918</c:v>
                </c:pt>
                <c:pt idx="229">
                  <c:v>-0.0006617527105845511</c:v>
                </c:pt>
                <c:pt idx="230">
                  <c:v>0.002536216052249074</c:v>
                </c:pt>
                <c:pt idx="231">
                  <c:v>0.05963559821248055</c:v>
                </c:pt>
                <c:pt idx="232">
                  <c:v>0.01040249969810247</c:v>
                </c:pt>
                <c:pt idx="233">
                  <c:v>0.0134428795427084</c:v>
                </c:pt>
                <c:pt idx="234">
                  <c:v>0.00733196409419179</c:v>
                </c:pt>
                <c:pt idx="235">
                  <c:v>0.004416907206177711</c:v>
                </c:pt>
                <c:pt idx="236">
                  <c:v>-0.002338510937988758</c:v>
                </c:pt>
                <c:pt idx="237">
                  <c:v>-0.001150093972682953</c:v>
                </c:pt>
                <c:pt idx="238">
                  <c:v>0.003690196899697185</c:v>
                </c:pt>
                <c:pt idx="239">
                  <c:v>0.002496486064046621</c:v>
                </c:pt>
                <c:pt idx="240">
                  <c:v>0.000181909097591415</c:v>
                </c:pt>
                <c:pt idx="241">
                  <c:v>-0.000196221997612156</c:v>
                </c:pt>
                <c:pt idx="242">
                  <c:v>-9.89737018244341E-5</c:v>
                </c:pt>
                <c:pt idx="243">
                  <c:v>0.04827439039945602</c:v>
                </c:pt>
                <c:pt idx="244">
                  <c:v>0.03121479041874409</c:v>
                </c:pt>
                <c:pt idx="245">
                  <c:v>0.01429121010005474</c:v>
                </c:pt>
                <c:pt idx="246">
                  <c:v>0.008356969803571701</c:v>
                </c:pt>
                <c:pt idx="247">
                  <c:v>0.008859287947416306</c:v>
                </c:pt>
                <c:pt idx="248">
                  <c:v>0.006094108801335096</c:v>
                </c:pt>
                <c:pt idx="249">
                  <c:v>0.00202850392088294</c:v>
                </c:pt>
                <c:pt idx="250">
                  <c:v>-0.001878733979538083</c:v>
                </c:pt>
                <c:pt idx="251">
                  <c:v>0.000125046499306336</c:v>
                </c:pt>
                <c:pt idx="252">
                  <c:v>0.001503665000200272</c:v>
                </c:pt>
                <c:pt idx="253">
                  <c:v>-0.001169478986412287</c:v>
                </c:pt>
                <c:pt idx="254">
                  <c:v>-0.001008774968795478</c:v>
                </c:pt>
                <c:pt idx="255">
                  <c:v>-0.001004619989544153</c:v>
                </c:pt>
                <c:pt idx="256">
                  <c:v>-0.001613365020602942</c:v>
                </c:pt>
                <c:pt idx="257">
                  <c:v>0.006926923990249634</c:v>
                </c:pt>
                <c:pt idx="258">
                  <c:v>0.02197184972465038</c:v>
                </c:pt>
                <c:pt idx="259">
                  <c:v>0.006430640816688538</c:v>
                </c:pt>
                <c:pt idx="260">
                  <c:v>0.01229969970881939</c:v>
                </c:pt>
                <c:pt idx="261">
                  <c:v>0.006330367177724838</c:v>
                </c:pt>
                <c:pt idx="262">
                  <c:v>0.003156719962134957</c:v>
                </c:pt>
                <c:pt idx="263">
                  <c:v>0.0008816570043563843</c:v>
                </c:pt>
                <c:pt idx="264">
                  <c:v>0.004650107119232416</c:v>
                </c:pt>
                <c:pt idx="265">
                  <c:v>0.000695298018399626</c:v>
                </c:pt>
                <c:pt idx="266">
                  <c:v>-0.001513591036200523</c:v>
                </c:pt>
                <c:pt idx="267">
                  <c:v>-0.00116810598410666</c:v>
                </c:pt>
                <c:pt idx="268">
                  <c:v>-0.0007443936192430556</c:v>
                </c:pt>
                <c:pt idx="269">
                  <c:v>0.2057622969150543</c:v>
                </c:pt>
                <c:pt idx="270">
                  <c:v>0.04334181174635887</c:v>
                </c:pt>
                <c:pt idx="271">
                  <c:v>0.01272801961749792</c:v>
                </c:pt>
                <c:pt idx="272">
                  <c:v>0.009764665737748146</c:v>
                </c:pt>
                <c:pt idx="273">
                  <c:v>0.008288418874144554</c:v>
                </c:pt>
                <c:pt idx="274">
                  <c:v>0.005821398925036192</c:v>
                </c:pt>
                <c:pt idx="275">
                  <c:v>0.0009196111932396889</c:v>
                </c:pt>
                <c:pt idx="276">
                  <c:v>-8.910270116757601E-5</c:v>
                </c:pt>
                <c:pt idx="277">
                  <c:v>-0.0001647395984036848</c:v>
                </c:pt>
                <c:pt idx="278">
                  <c:v>0.001507985987700522</c:v>
                </c:pt>
                <c:pt idx="279">
                  <c:v>-0.002710269996896386</c:v>
                </c:pt>
                <c:pt idx="280">
                  <c:v>-0.000763875781558454</c:v>
                </c:pt>
                <c:pt idx="281">
                  <c:v>-0.000989904860034585</c:v>
                </c:pt>
                <c:pt idx="282">
                  <c:v>-0.0001466949033783749</c:v>
                </c:pt>
                <c:pt idx="283">
                  <c:v>0.005023024044930935</c:v>
                </c:pt>
                <c:pt idx="284">
                  <c:v>0.01920223049819469</c:v>
                </c:pt>
                <c:pt idx="285">
                  <c:v>0.00620569009333849</c:v>
                </c:pt>
                <c:pt idx="286">
                  <c:v>0.01099127996712923</c:v>
                </c:pt>
                <c:pt idx="287">
                  <c:v>0.006286309100687504</c:v>
                </c:pt>
                <c:pt idx="288">
                  <c:v>0.002844450064003468</c:v>
                </c:pt>
              </c:numCache>
            </c:numRef>
          </c:yVal>
        </c:ser>
        <c:ser>
          <c:idx val="1"/>
          <c:order val="1"/>
          <c:tx>
            <c:strRef>
              <c:f>Legends!B3</c:f>
              <c:strCache>
                <c:ptCount val="1"/>
                <c:pt idx="0">
                  <c:v>VAR2</c:v>
                </c:pt>
              </c:strCache>
            </c:strRef>
          </c:tx>
          <c:marker>
            <c:symbol val="none"/>
          </c:marker>
          <c:xVal>
            <c:numRef>
              <c:f>SIM2!$B$11:$B$299</c:f>
              <c:numCache>
                <c:ptCount val="289"/>
                <c:pt idx="0">
                  <c:v>0</c:v>
                </c:pt>
                <c:pt idx="1">
                  <c:v>0.2502377033233643</c:v>
                </c:pt>
                <c:pt idx="2">
                  <c:v>0.5001344680786133</c:v>
                </c:pt>
                <c:pt idx="3">
                  <c:v>0.7502166628837585</c:v>
                </c:pt>
                <c:pt idx="4">
                  <c:v>1.000296950340271</c:v>
                </c:pt>
                <c:pt idx="5">
                  <c:v>1.250070571899414</c:v>
                </c:pt>
                <c:pt idx="6">
                  <c:v>1.500028848648071</c:v>
                </c:pt>
                <c:pt idx="7">
                  <c:v>1.750007748603821</c:v>
                </c:pt>
                <c:pt idx="8">
                  <c:v>2.00033164024353</c:v>
                </c:pt>
                <c:pt idx="9">
                  <c:v>2.250254154205322</c:v>
                </c:pt>
                <c:pt idx="10">
                  <c:v>2.500176668167114</c:v>
                </c:pt>
                <c:pt idx="11">
                  <c:v>2.750099182128906</c:v>
                </c:pt>
                <c:pt idx="12">
                  <c:v>3.000022172927856</c:v>
                </c:pt>
                <c:pt idx="13">
                  <c:v>3.250344514846802</c:v>
                </c:pt>
                <c:pt idx="14">
                  <c:v>3.500269412994385</c:v>
                </c:pt>
                <c:pt idx="15">
                  <c:v>3.750191688537598</c:v>
                </c:pt>
                <c:pt idx="16">
                  <c:v>4.000113964080811</c:v>
                </c:pt>
                <c:pt idx="17">
                  <c:v>4.250036239624023</c:v>
                </c:pt>
                <c:pt idx="18">
                  <c:v>4.500358104705811</c:v>
                </c:pt>
                <c:pt idx="19">
                  <c:v>4.750305652618408</c:v>
                </c:pt>
                <c:pt idx="20">
                  <c:v>5.00006103515625</c:v>
                </c:pt>
                <c:pt idx="21">
                  <c:v>5.250485897064209</c:v>
                </c:pt>
                <c:pt idx="22">
                  <c:v>5.500458240509033</c:v>
                </c:pt>
                <c:pt idx="23">
                  <c:v>5.750716686248779</c:v>
                </c:pt>
                <c:pt idx="24">
                  <c:v>6.000564098358154</c:v>
                </c:pt>
                <c:pt idx="25">
                  <c:v>6.250602722167969</c:v>
                </c:pt>
                <c:pt idx="26">
                  <c:v>6.500152587890625</c:v>
                </c:pt>
                <c:pt idx="27">
                  <c:v>6.750202655792236</c:v>
                </c:pt>
                <c:pt idx="28">
                  <c:v>7.000389099121094</c:v>
                </c:pt>
                <c:pt idx="29">
                  <c:v>7.25005578994751</c:v>
                </c:pt>
                <c:pt idx="30">
                  <c:v>7.500391483306885</c:v>
                </c:pt>
                <c:pt idx="31">
                  <c:v>7.750247001647949</c:v>
                </c:pt>
                <c:pt idx="32">
                  <c:v>8.000252723693848</c:v>
                </c:pt>
                <c:pt idx="33">
                  <c:v>8.250082969665527</c:v>
                </c:pt>
                <c:pt idx="34">
                  <c:v>8.500566482543945</c:v>
                </c:pt>
                <c:pt idx="35">
                  <c:v>8.750080108642578</c:v>
                </c:pt>
                <c:pt idx="36">
                  <c:v>9.000374794006348</c:v>
                </c:pt>
                <c:pt idx="37">
                  <c:v>9.250136375427246</c:v>
                </c:pt>
                <c:pt idx="38">
                  <c:v>9.500344276428223</c:v>
                </c:pt>
                <c:pt idx="39">
                  <c:v>9.750325202941895</c:v>
                </c:pt>
                <c:pt idx="40">
                  <c:v>10.000319480896</c:v>
                </c:pt>
                <c:pt idx="41">
                  <c:v>10.25020027160645</c:v>
                </c:pt>
                <c:pt idx="42">
                  <c:v>10.50003337860107</c:v>
                </c:pt>
                <c:pt idx="43">
                  <c:v>10.75012493133545</c:v>
                </c:pt>
                <c:pt idx="44">
                  <c:v>11.00051116943359</c:v>
                </c:pt>
                <c:pt idx="45">
                  <c:v>11.25047492980957</c:v>
                </c:pt>
                <c:pt idx="46">
                  <c:v>11.50014400482178</c:v>
                </c:pt>
                <c:pt idx="47">
                  <c:v>11.75027465820312</c:v>
                </c:pt>
                <c:pt idx="48">
                  <c:v>12.00003051757812</c:v>
                </c:pt>
                <c:pt idx="49">
                  <c:v>12.25064182281494</c:v>
                </c:pt>
                <c:pt idx="50">
                  <c:v>12.50050258636475</c:v>
                </c:pt>
                <c:pt idx="51">
                  <c:v>12.750319480896</c:v>
                </c:pt>
                <c:pt idx="52">
                  <c:v>13.00034713745117</c:v>
                </c:pt>
                <c:pt idx="53">
                  <c:v>13.25012493133545</c:v>
                </c:pt>
                <c:pt idx="54">
                  <c:v>13.50023365020752</c:v>
                </c:pt>
                <c:pt idx="55">
                  <c:v>13.75005531311035</c:v>
                </c:pt>
                <c:pt idx="56">
                  <c:v>14.0003833770752</c:v>
                </c:pt>
                <c:pt idx="57">
                  <c:v>14.25030040740967</c:v>
                </c:pt>
                <c:pt idx="58">
                  <c:v>14.50048923492432</c:v>
                </c:pt>
                <c:pt idx="59">
                  <c:v>14.75058078765869</c:v>
                </c:pt>
                <c:pt idx="60">
                  <c:v>15.00020599365234</c:v>
                </c:pt>
                <c:pt idx="61">
                  <c:v>15.25001907348633</c:v>
                </c:pt>
                <c:pt idx="62">
                  <c:v>15.50043869018555</c:v>
                </c:pt>
                <c:pt idx="63">
                  <c:v>15.75009441375732</c:v>
                </c:pt>
                <c:pt idx="64">
                  <c:v>16.00001907348633</c:v>
                </c:pt>
                <c:pt idx="65">
                  <c:v>16.25009727478027</c:v>
                </c:pt>
                <c:pt idx="66">
                  <c:v>16.5001335144043</c:v>
                </c:pt>
                <c:pt idx="67">
                  <c:v>16.75020790100098</c:v>
                </c:pt>
                <c:pt idx="68">
                  <c:v>17.00028800964355</c:v>
                </c:pt>
                <c:pt idx="69">
                  <c:v>17.25015258789062</c:v>
                </c:pt>
                <c:pt idx="70">
                  <c:v>17.5003662109375</c:v>
                </c:pt>
                <c:pt idx="71">
                  <c:v>17.75002479553223</c:v>
                </c:pt>
                <c:pt idx="72">
                  <c:v>18.00046730041504</c:v>
                </c:pt>
                <c:pt idx="73">
                  <c:v>18.25059127807617</c:v>
                </c:pt>
                <c:pt idx="74">
                  <c:v>18.50006294250488</c:v>
                </c:pt>
                <c:pt idx="75">
                  <c:v>18.75009727478027</c:v>
                </c:pt>
                <c:pt idx="76">
                  <c:v>19.00009727478027</c:v>
                </c:pt>
                <c:pt idx="77">
                  <c:v>19.25011444091797</c:v>
                </c:pt>
                <c:pt idx="78">
                  <c:v>19.5001277923584</c:v>
                </c:pt>
                <c:pt idx="79">
                  <c:v>19.75029945373535</c:v>
                </c:pt>
                <c:pt idx="80">
                  <c:v>20.00004959106445</c:v>
                </c:pt>
                <c:pt idx="81">
                  <c:v>20.25016593933105</c:v>
                </c:pt>
                <c:pt idx="82">
                  <c:v>20.50030326843262</c:v>
                </c:pt>
                <c:pt idx="83">
                  <c:v>20.75010871887207</c:v>
                </c:pt>
                <c:pt idx="84">
                  <c:v>21.0001277923584</c:v>
                </c:pt>
                <c:pt idx="85">
                  <c:v>21.25024223327637</c:v>
                </c:pt>
                <c:pt idx="86">
                  <c:v>21.50033378601074</c:v>
                </c:pt>
                <c:pt idx="87">
                  <c:v>21.75038909912109</c:v>
                </c:pt>
                <c:pt idx="88">
                  <c:v>22.0002384185791</c:v>
                </c:pt>
                <c:pt idx="89">
                  <c:v>22.25003242492676</c:v>
                </c:pt>
                <c:pt idx="90">
                  <c:v>22.50029373168945</c:v>
                </c:pt>
                <c:pt idx="91">
                  <c:v>22.75035095214844</c:v>
                </c:pt>
                <c:pt idx="92">
                  <c:v>23.00012016296387</c:v>
                </c:pt>
                <c:pt idx="93">
                  <c:v>23.25015258789062</c:v>
                </c:pt>
                <c:pt idx="94">
                  <c:v>23.50027847290039</c:v>
                </c:pt>
                <c:pt idx="95">
                  <c:v>23.75039482116699</c:v>
                </c:pt>
                <c:pt idx="96">
                  <c:v>24.00031852722168</c:v>
                </c:pt>
                <c:pt idx="97">
                  <c:v>24.25011444091797</c:v>
                </c:pt>
                <c:pt idx="98">
                  <c:v>24.50047302246094</c:v>
                </c:pt>
                <c:pt idx="99">
                  <c:v>24.75012016296387</c:v>
                </c:pt>
                <c:pt idx="100">
                  <c:v>25.00012016296387</c:v>
                </c:pt>
                <c:pt idx="101">
                  <c:v>25.25008392333984</c:v>
                </c:pt>
                <c:pt idx="102">
                  <c:v>25.5003833770752</c:v>
                </c:pt>
                <c:pt idx="103">
                  <c:v>25.75029945373535</c:v>
                </c:pt>
                <c:pt idx="104">
                  <c:v>26.00038528442383</c:v>
                </c:pt>
                <c:pt idx="105">
                  <c:v>26.25018692016602</c:v>
                </c:pt>
                <c:pt idx="106">
                  <c:v>26.50039672851562</c:v>
                </c:pt>
                <c:pt idx="107">
                  <c:v>26.75045585632324</c:v>
                </c:pt>
                <c:pt idx="108">
                  <c:v>27.00051307678223</c:v>
                </c:pt>
                <c:pt idx="109">
                  <c:v>27.2500057220459</c:v>
                </c:pt>
                <c:pt idx="110">
                  <c:v>27.50052261352539</c:v>
                </c:pt>
                <c:pt idx="111">
                  <c:v>27.75006294250488</c:v>
                </c:pt>
                <c:pt idx="112">
                  <c:v>28.00033378601074</c:v>
                </c:pt>
                <c:pt idx="113">
                  <c:v>28.2501392364502</c:v>
                </c:pt>
                <c:pt idx="114">
                  <c:v>28.50002861022949</c:v>
                </c:pt>
                <c:pt idx="115">
                  <c:v>28.7503604888916</c:v>
                </c:pt>
                <c:pt idx="116">
                  <c:v>29.00033378601074</c:v>
                </c:pt>
                <c:pt idx="117">
                  <c:v>29.25027847290039</c:v>
                </c:pt>
                <c:pt idx="118">
                  <c:v>29.50022315979004</c:v>
                </c:pt>
                <c:pt idx="119">
                  <c:v>29.75030517578125</c:v>
                </c:pt>
                <c:pt idx="120">
                  <c:v>30.00038909912109</c:v>
                </c:pt>
                <c:pt idx="121">
                  <c:v>30.25047302246094</c:v>
                </c:pt>
                <c:pt idx="122">
                  <c:v>30.5</c:v>
                </c:pt>
                <c:pt idx="123">
                  <c:v>30.75041580200195</c:v>
                </c:pt>
                <c:pt idx="124">
                  <c:v>31.00030517578125</c:v>
                </c:pt>
                <c:pt idx="125">
                  <c:v>31.2506103515625</c:v>
                </c:pt>
                <c:pt idx="126">
                  <c:v>31.50069427490234</c:v>
                </c:pt>
                <c:pt idx="127">
                  <c:v>31.75019454956055</c:v>
                </c:pt>
                <c:pt idx="128">
                  <c:v>32.00047302246094</c:v>
                </c:pt>
                <c:pt idx="129">
                  <c:v>32.25038909912109</c:v>
                </c:pt>
                <c:pt idx="130">
                  <c:v>32.5</c:v>
                </c:pt>
                <c:pt idx="131">
                  <c:v>32.75025177001953</c:v>
                </c:pt>
                <c:pt idx="132">
                  <c:v>33.00027847290039</c:v>
                </c:pt>
                <c:pt idx="133">
                  <c:v>33.25002670288086</c:v>
                </c:pt>
                <c:pt idx="134">
                  <c:v>33.50002670288086</c:v>
                </c:pt>
                <c:pt idx="135">
                  <c:v>33.75005722045898</c:v>
                </c:pt>
                <c:pt idx="136">
                  <c:v>34.00019454956055</c:v>
                </c:pt>
                <c:pt idx="137">
                  <c:v>34.25055694580078</c:v>
                </c:pt>
                <c:pt idx="138">
                  <c:v>34.50016784667969</c:v>
                </c:pt>
                <c:pt idx="139">
                  <c:v>34.7501106262207</c:v>
                </c:pt>
                <c:pt idx="140">
                  <c:v>35.00033187866211</c:v>
                </c:pt>
                <c:pt idx="141">
                  <c:v>35.25022125244141</c:v>
                </c:pt>
                <c:pt idx="142">
                  <c:v>35.5001106262207</c:v>
                </c:pt>
                <c:pt idx="143">
                  <c:v>35.7501106262207</c:v>
                </c:pt>
                <c:pt idx="144">
                  <c:v>36.00008392333984</c:v>
                </c:pt>
                <c:pt idx="145">
                  <c:v>36.25002670288086</c:v>
                </c:pt>
                <c:pt idx="146">
                  <c:v>36.50044631958008</c:v>
                </c:pt>
                <c:pt idx="147">
                  <c:v>36.75058364868164</c:v>
                </c:pt>
                <c:pt idx="148">
                  <c:v>37.00022125244141</c:v>
                </c:pt>
                <c:pt idx="149">
                  <c:v>37.2504997253418</c:v>
                </c:pt>
                <c:pt idx="150">
                  <c:v>37.50063705444336</c:v>
                </c:pt>
                <c:pt idx="151">
                  <c:v>37.75002670288086</c:v>
                </c:pt>
                <c:pt idx="152">
                  <c:v>38.00036239624023</c:v>
                </c:pt>
                <c:pt idx="153">
                  <c:v>38.25041580200195</c:v>
                </c:pt>
                <c:pt idx="154">
                  <c:v>38.50044631958008</c:v>
                </c:pt>
                <c:pt idx="155">
                  <c:v>38.75025177001953</c:v>
                </c:pt>
                <c:pt idx="156">
                  <c:v>39.00019454956055</c:v>
                </c:pt>
                <c:pt idx="157">
                  <c:v>39.25036239624023</c:v>
                </c:pt>
                <c:pt idx="158">
                  <c:v>39.50008392333984</c:v>
                </c:pt>
                <c:pt idx="159">
                  <c:v>39.75038909912109</c:v>
                </c:pt>
                <c:pt idx="160">
                  <c:v>40.00005722045898</c:v>
                </c:pt>
                <c:pt idx="161">
                  <c:v>40.25030517578125</c:v>
                </c:pt>
                <c:pt idx="162">
                  <c:v>40.50022125244141</c:v>
                </c:pt>
                <c:pt idx="163">
                  <c:v>40.75002670288086</c:v>
                </c:pt>
                <c:pt idx="164">
                  <c:v>41.00025177001953</c:v>
                </c:pt>
                <c:pt idx="165">
                  <c:v>41.25019454956055</c:v>
                </c:pt>
                <c:pt idx="166">
                  <c:v>41.50063705444336</c:v>
                </c:pt>
                <c:pt idx="167">
                  <c:v>41.75019454956055</c:v>
                </c:pt>
                <c:pt idx="168">
                  <c:v>42.00008392333984</c:v>
                </c:pt>
                <c:pt idx="169">
                  <c:v>42.25</c:v>
                </c:pt>
                <c:pt idx="170">
                  <c:v>42.50033187866211</c:v>
                </c:pt>
                <c:pt idx="171">
                  <c:v>42.75013732910156</c:v>
                </c:pt>
                <c:pt idx="172">
                  <c:v>43.00047302246094</c:v>
                </c:pt>
                <c:pt idx="173">
                  <c:v>43.25047302246094</c:v>
                </c:pt>
                <c:pt idx="174">
                  <c:v>43.50002670288086</c:v>
                </c:pt>
                <c:pt idx="175">
                  <c:v>43.75038909912109</c:v>
                </c:pt>
                <c:pt idx="176">
                  <c:v>44.00036239624023</c:v>
                </c:pt>
                <c:pt idx="177">
                  <c:v>44.25022125244141</c:v>
                </c:pt>
                <c:pt idx="178">
                  <c:v>44.50033187866211</c:v>
                </c:pt>
                <c:pt idx="179">
                  <c:v>44.75016784667969</c:v>
                </c:pt>
                <c:pt idx="180">
                  <c:v>45.0004997253418</c:v>
                </c:pt>
                <c:pt idx="181">
                  <c:v>45.25036239624023</c:v>
                </c:pt>
                <c:pt idx="182">
                  <c:v>45.50022125244141</c:v>
                </c:pt>
                <c:pt idx="183">
                  <c:v>45.75005722045898</c:v>
                </c:pt>
                <c:pt idx="184">
                  <c:v>46.00013732910156</c:v>
                </c:pt>
                <c:pt idx="185">
                  <c:v>46.25041580200195</c:v>
                </c:pt>
                <c:pt idx="186">
                  <c:v>46.50027847290039</c:v>
                </c:pt>
                <c:pt idx="187">
                  <c:v>46.75016784667969</c:v>
                </c:pt>
                <c:pt idx="188">
                  <c:v>47.00047302246094</c:v>
                </c:pt>
                <c:pt idx="189">
                  <c:v>47.25044631958008</c:v>
                </c:pt>
                <c:pt idx="190">
                  <c:v>47.50066757202148</c:v>
                </c:pt>
                <c:pt idx="191">
                  <c:v>47.75</c:v>
                </c:pt>
                <c:pt idx="192">
                  <c:v>48.00027847290039</c:v>
                </c:pt>
                <c:pt idx="193">
                  <c:v>48.2501106262207</c:v>
                </c:pt>
                <c:pt idx="194">
                  <c:v>48.50036239624023</c:v>
                </c:pt>
                <c:pt idx="195">
                  <c:v>48.75005722045898</c:v>
                </c:pt>
                <c:pt idx="196">
                  <c:v>49.00016784667969</c:v>
                </c:pt>
                <c:pt idx="197">
                  <c:v>49.25027847290039</c:v>
                </c:pt>
                <c:pt idx="198">
                  <c:v>49.50016784667969</c:v>
                </c:pt>
                <c:pt idx="199">
                  <c:v>49.75047302246094</c:v>
                </c:pt>
                <c:pt idx="200">
                  <c:v>50.00019454956055</c:v>
                </c:pt>
                <c:pt idx="201">
                  <c:v>50.25019454956055</c:v>
                </c:pt>
                <c:pt idx="202">
                  <c:v>50.50022125244141</c:v>
                </c:pt>
                <c:pt idx="203">
                  <c:v>50.75052642822266</c:v>
                </c:pt>
                <c:pt idx="204">
                  <c:v>51.00022125244141</c:v>
                </c:pt>
                <c:pt idx="205">
                  <c:v>51.2501106262207</c:v>
                </c:pt>
                <c:pt idx="206">
                  <c:v>51.50008392333984</c:v>
                </c:pt>
                <c:pt idx="207">
                  <c:v>51.75041580200195</c:v>
                </c:pt>
                <c:pt idx="208">
                  <c:v>52.00019454956055</c:v>
                </c:pt>
                <c:pt idx="209">
                  <c:v>52.25038909912109</c:v>
                </c:pt>
                <c:pt idx="210">
                  <c:v>52.50027847290039</c:v>
                </c:pt>
                <c:pt idx="211">
                  <c:v>52.75027847290039</c:v>
                </c:pt>
                <c:pt idx="212">
                  <c:v>53.00027847290039</c:v>
                </c:pt>
                <c:pt idx="213">
                  <c:v>53.25052642822266</c:v>
                </c:pt>
                <c:pt idx="214">
                  <c:v>53.50036239624023</c:v>
                </c:pt>
                <c:pt idx="215">
                  <c:v>53.75038909912109</c:v>
                </c:pt>
                <c:pt idx="216">
                  <c:v>54.00016784667969</c:v>
                </c:pt>
                <c:pt idx="217">
                  <c:v>54.25025177001953</c:v>
                </c:pt>
                <c:pt idx="218">
                  <c:v>54.50016784667969</c:v>
                </c:pt>
                <c:pt idx="219">
                  <c:v>54.75058364868164</c:v>
                </c:pt>
                <c:pt idx="220">
                  <c:v>55.00030517578125</c:v>
                </c:pt>
                <c:pt idx="221">
                  <c:v>55.25036239624023</c:v>
                </c:pt>
                <c:pt idx="222">
                  <c:v>55.50008392333984</c:v>
                </c:pt>
                <c:pt idx="223">
                  <c:v>55.75008392333984</c:v>
                </c:pt>
                <c:pt idx="224">
                  <c:v>56.00044631958008</c:v>
                </c:pt>
                <c:pt idx="225">
                  <c:v>56.25030517578125</c:v>
                </c:pt>
                <c:pt idx="226">
                  <c:v>56.50030517578125</c:v>
                </c:pt>
                <c:pt idx="227">
                  <c:v>56.75027847290039</c:v>
                </c:pt>
                <c:pt idx="228">
                  <c:v>57.00047302246094</c:v>
                </c:pt>
                <c:pt idx="229">
                  <c:v>57.25083160400391</c:v>
                </c:pt>
                <c:pt idx="230">
                  <c:v>57.50002670288086</c:v>
                </c:pt>
                <c:pt idx="231">
                  <c:v>57.75005722045898</c:v>
                </c:pt>
                <c:pt idx="232">
                  <c:v>58.0001106262207</c:v>
                </c:pt>
                <c:pt idx="233">
                  <c:v>58.25041580200195</c:v>
                </c:pt>
                <c:pt idx="234">
                  <c:v>58.50030517578125</c:v>
                </c:pt>
                <c:pt idx="235">
                  <c:v>58.75036239624023</c:v>
                </c:pt>
                <c:pt idx="236">
                  <c:v>59</c:v>
                </c:pt>
                <c:pt idx="237">
                  <c:v>59.25041580200195</c:v>
                </c:pt>
                <c:pt idx="238">
                  <c:v>59.50027847290039</c:v>
                </c:pt>
                <c:pt idx="239">
                  <c:v>59.75041580200195</c:v>
                </c:pt>
                <c:pt idx="240">
                  <c:v>60.00033187866211</c:v>
                </c:pt>
                <c:pt idx="241">
                  <c:v>60.2506103515625</c:v>
                </c:pt>
                <c:pt idx="242">
                  <c:v>60.50041580200195</c:v>
                </c:pt>
                <c:pt idx="243">
                  <c:v>60.7504997253418</c:v>
                </c:pt>
                <c:pt idx="244">
                  <c:v>61.00027847290039</c:v>
                </c:pt>
                <c:pt idx="245">
                  <c:v>61.25</c:v>
                </c:pt>
                <c:pt idx="246">
                  <c:v>61.50038909912109</c:v>
                </c:pt>
                <c:pt idx="247">
                  <c:v>61.75</c:v>
                </c:pt>
                <c:pt idx="248">
                  <c:v>62.00019454956055</c:v>
                </c:pt>
                <c:pt idx="249">
                  <c:v>62.25025177001953</c:v>
                </c:pt>
                <c:pt idx="250">
                  <c:v>62.5004997253418</c:v>
                </c:pt>
                <c:pt idx="251">
                  <c:v>62.75002670288086</c:v>
                </c:pt>
                <c:pt idx="252">
                  <c:v>63.00044631958008</c:v>
                </c:pt>
                <c:pt idx="253">
                  <c:v>63.25002670288086</c:v>
                </c:pt>
                <c:pt idx="254">
                  <c:v>63.5006103515625</c:v>
                </c:pt>
                <c:pt idx="255">
                  <c:v>63.75044631958008</c:v>
                </c:pt>
                <c:pt idx="256">
                  <c:v>64.00083160400391</c:v>
                </c:pt>
                <c:pt idx="257">
                  <c:v>64.25019073486328</c:v>
                </c:pt>
                <c:pt idx="258">
                  <c:v>64.50041961669922</c:v>
                </c:pt>
                <c:pt idx="259">
                  <c:v>64.75005340576172</c:v>
                </c:pt>
                <c:pt idx="260">
                  <c:v>65.00033569335938</c:v>
                </c:pt>
                <c:pt idx="261">
                  <c:v>65.25011444091797</c:v>
                </c:pt>
                <c:pt idx="262">
                  <c:v>65.50033569335938</c:v>
                </c:pt>
                <c:pt idx="263">
                  <c:v>65.75033569335938</c:v>
                </c:pt>
                <c:pt idx="264">
                  <c:v>66.00008392333984</c:v>
                </c:pt>
                <c:pt idx="265">
                  <c:v>66.25041961669922</c:v>
                </c:pt>
                <c:pt idx="266">
                  <c:v>66.50003051757812</c:v>
                </c:pt>
                <c:pt idx="267">
                  <c:v>66.75038909912109</c:v>
                </c:pt>
                <c:pt idx="268">
                  <c:v>67.00077819824219</c:v>
                </c:pt>
                <c:pt idx="269">
                  <c:v>67.25044250488281</c:v>
                </c:pt>
                <c:pt idx="270">
                  <c:v>67.50013732910156</c:v>
                </c:pt>
                <c:pt idx="271">
                  <c:v>67.75030517578125</c:v>
                </c:pt>
                <c:pt idx="272">
                  <c:v>68.00022125244141</c:v>
                </c:pt>
                <c:pt idx="273">
                  <c:v>68.25003051757812</c:v>
                </c:pt>
                <c:pt idx="274">
                  <c:v>68.5</c:v>
                </c:pt>
                <c:pt idx="275">
                  <c:v>68.75033569335938</c:v>
                </c:pt>
                <c:pt idx="276">
                  <c:v>69.00008392333984</c:v>
                </c:pt>
                <c:pt idx="277">
                  <c:v>69.25022125244141</c:v>
                </c:pt>
                <c:pt idx="278">
                  <c:v>69.50008392333984</c:v>
                </c:pt>
                <c:pt idx="279">
                  <c:v>69.75050354003906</c:v>
                </c:pt>
                <c:pt idx="280">
                  <c:v>70.00052642822266</c:v>
                </c:pt>
                <c:pt idx="281">
                  <c:v>70.2506103515625</c:v>
                </c:pt>
                <c:pt idx="282">
                  <c:v>70.5006103515625</c:v>
                </c:pt>
                <c:pt idx="283">
                  <c:v>70.75035858154297</c:v>
                </c:pt>
                <c:pt idx="284">
                  <c:v>71.00038909912109</c:v>
                </c:pt>
                <c:pt idx="285">
                  <c:v>71.25008392333984</c:v>
                </c:pt>
                <c:pt idx="286">
                  <c:v>71.50003051757812</c:v>
                </c:pt>
                <c:pt idx="287">
                  <c:v>71.75022125244141</c:v>
                </c:pt>
                <c:pt idx="288">
                  <c:v>72.00033569335938</c:v>
                </c:pt>
              </c:numCache>
            </c:numRef>
          </c:xVal>
          <c:yVal>
            <c:numRef>
              <c:f>SIM2!$F$11:$F$299</c:f>
              <c:numCache>
                <c:ptCount val="289"/>
                <c:pt idx="0">
                  <c:v>6.976023197174072</c:v>
                </c:pt>
                <c:pt idx="1">
                  <c:v>6.133063793182373</c:v>
                </c:pt>
                <c:pt idx="2">
                  <c:v>4.365466117858887</c:v>
                </c:pt>
                <c:pt idx="3">
                  <c:v>5.038919925689697</c:v>
                </c:pt>
                <c:pt idx="4">
                  <c:v>4.040027141571045</c:v>
                </c:pt>
                <c:pt idx="5">
                  <c:v>3.141571044921875</c:v>
                </c:pt>
                <c:pt idx="6">
                  <c:v>4.243772983551025</c:v>
                </c:pt>
                <c:pt idx="7">
                  <c:v>3.681416034698486</c:v>
                </c:pt>
                <c:pt idx="8">
                  <c:v>3.947942018508911</c:v>
                </c:pt>
                <c:pt idx="9">
                  <c:v>3.780515909194946</c:v>
                </c:pt>
                <c:pt idx="10">
                  <c:v>3.242907047271729</c:v>
                </c:pt>
                <c:pt idx="11">
                  <c:v>4.545087814331055</c:v>
                </c:pt>
                <c:pt idx="12">
                  <c:v>3.621102094650269</c:v>
                </c:pt>
                <c:pt idx="13">
                  <c:v>3.504371881484985</c:v>
                </c:pt>
                <c:pt idx="14">
                  <c:v>3.883497953414917</c:v>
                </c:pt>
                <c:pt idx="15">
                  <c:v>2.901604890823364</c:v>
                </c:pt>
                <c:pt idx="16">
                  <c:v>5.222056865692139</c:v>
                </c:pt>
                <c:pt idx="17">
                  <c:v>3.666079998016357</c:v>
                </c:pt>
                <c:pt idx="18">
                  <c:v>2.195451021194458</c:v>
                </c:pt>
                <c:pt idx="19">
                  <c:v>3.686717987060547</c:v>
                </c:pt>
                <c:pt idx="20">
                  <c:v>1.766379952430725</c:v>
                </c:pt>
                <c:pt idx="21">
                  <c:v>-2.114963054656982</c:v>
                </c:pt>
                <c:pt idx="22">
                  <c:v>-0.3621223866939545</c:v>
                </c:pt>
                <c:pt idx="23">
                  <c:v>-2.568073034286499</c:v>
                </c:pt>
                <c:pt idx="24">
                  <c:v>-0.08032719045877457</c:v>
                </c:pt>
                <c:pt idx="25">
                  <c:v>2.690529108047485</c:v>
                </c:pt>
                <c:pt idx="26">
                  <c:v>5.537818908691406</c:v>
                </c:pt>
                <c:pt idx="27">
                  <c:v>7.105545043945312</c:v>
                </c:pt>
                <c:pt idx="28">
                  <c:v>3.701052904129028</c:v>
                </c:pt>
                <c:pt idx="29">
                  <c:v>1.365893006324768</c:v>
                </c:pt>
                <c:pt idx="30">
                  <c:v>6.806849002838135</c:v>
                </c:pt>
                <c:pt idx="31">
                  <c:v>3.298886060714722</c:v>
                </c:pt>
                <c:pt idx="32">
                  <c:v>-0.484813392162323</c:v>
                </c:pt>
                <c:pt idx="33">
                  <c:v>-0.574285626411438</c:v>
                </c:pt>
                <c:pt idx="34">
                  <c:v>-1.07711398601532</c:v>
                </c:pt>
                <c:pt idx="35">
                  <c:v>22.42683029174805</c:v>
                </c:pt>
                <c:pt idx="36">
                  <c:v>3.616769075393677</c:v>
                </c:pt>
                <c:pt idx="37">
                  <c:v>7.361727237701416</c:v>
                </c:pt>
                <c:pt idx="38">
                  <c:v>3.453697919845581</c:v>
                </c:pt>
                <c:pt idx="39">
                  <c:v>4.214012145996094</c:v>
                </c:pt>
                <c:pt idx="40">
                  <c:v>2.911990880966187</c:v>
                </c:pt>
                <c:pt idx="41">
                  <c:v>0.2865928113460541</c:v>
                </c:pt>
                <c:pt idx="42">
                  <c:v>-1.931872010231018</c:v>
                </c:pt>
                <c:pt idx="43">
                  <c:v>-0.7052717804908752</c:v>
                </c:pt>
                <c:pt idx="44">
                  <c:v>-0.05182993039488792</c:v>
                </c:pt>
                <c:pt idx="45">
                  <c:v>-0.6381052732467651</c:v>
                </c:pt>
                <c:pt idx="46">
                  <c:v>-0.3322088122367859</c:v>
                </c:pt>
                <c:pt idx="47">
                  <c:v>-0.1931892931461334</c:v>
                </c:pt>
                <c:pt idx="48">
                  <c:v>0.2801696956157684</c:v>
                </c:pt>
                <c:pt idx="49">
                  <c:v>0.01267541013658047</c:v>
                </c:pt>
                <c:pt idx="50">
                  <c:v>9.49567699432373</c:v>
                </c:pt>
                <c:pt idx="51">
                  <c:v>3.590584993362427</c:v>
                </c:pt>
                <c:pt idx="52">
                  <c:v>4.479647159576416</c:v>
                </c:pt>
                <c:pt idx="53">
                  <c:v>3.053674936294556</c:v>
                </c:pt>
                <c:pt idx="54">
                  <c:v>0.6281920075416565</c:v>
                </c:pt>
                <c:pt idx="55">
                  <c:v>0.6330963969230652</c:v>
                </c:pt>
                <c:pt idx="56">
                  <c:v>1.776064991950989</c:v>
                </c:pt>
                <c:pt idx="57">
                  <c:v>-1.149710059165955</c:v>
                </c:pt>
                <c:pt idx="58">
                  <c:v>-1.280588984489441</c:v>
                </c:pt>
                <c:pt idx="59">
                  <c:v>-0.7592846751213074</c:v>
                </c:pt>
                <c:pt idx="60">
                  <c:v>-0.7840473055839539</c:v>
                </c:pt>
                <c:pt idx="61">
                  <c:v>0.1444261074066162</c:v>
                </c:pt>
                <c:pt idx="62">
                  <c:v>15.48042964935303</c:v>
                </c:pt>
                <c:pt idx="63">
                  <c:v>5.815686225891113</c:v>
                </c:pt>
                <c:pt idx="64">
                  <c:v>4.260873794555664</c:v>
                </c:pt>
                <c:pt idx="65">
                  <c:v>3.484525918960571</c:v>
                </c:pt>
                <c:pt idx="66">
                  <c:v>1.546372056007385</c:v>
                </c:pt>
                <c:pt idx="67">
                  <c:v>-0.533696174621582</c:v>
                </c:pt>
                <c:pt idx="68">
                  <c:v>-0.5073261260986328</c:v>
                </c:pt>
                <c:pt idx="69">
                  <c:v>3.28612208366394</c:v>
                </c:pt>
                <c:pt idx="70">
                  <c:v>2.259155035018921</c:v>
                </c:pt>
                <c:pt idx="71">
                  <c:v>-0.7710253000259399</c:v>
                </c:pt>
                <c:pt idx="72">
                  <c:v>-1.028013944625854</c:v>
                </c:pt>
                <c:pt idx="73">
                  <c:v>-0.5608513951301575</c:v>
                </c:pt>
                <c:pt idx="74">
                  <c:v>8.488191604614258</c:v>
                </c:pt>
                <c:pt idx="75">
                  <c:v>6.657303810119629</c:v>
                </c:pt>
                <c:pt idx="76">
                  <c:v>7.708340167999268</c:v>
                </c:pt>
                <c:pt idx="77">
                  <c:v>3.372817993164062</c:v>
                </c:pt>
                <c:pt idx="78">
                  <c:v>3.90983510017395</c:v>
                </c:pt>
                <c:pt idx="79">
                  <c:v>2.881253004074097</c:v>
                </c:pt>
                <c:pt idx="80">
                  <c:v>0.3437508046627045</c:v>
                </c:pt>
                <c:pt idx="81">
                  <c:v>-0.3246814012527466</c:v>
                </c:pt>
                <c:pt idx="82">
                  <c:v>3.620023965835571</c:v>
                </c:pt>
                <c:pt idx="83">
                  <c:v>-0.307259202003479</c:v>
                </c:pt>
                <c:pt idx="84">
                  <c:v>-1.83051598072052</c:v>
                </c:pt>
                <c:pt idx="85">
                  <c:v>-0.8570612072944641</c:v>
                </c:pt>
                <c:pt idx="86">
                  <c:v>-0.2926777005195618</c:v>
                </c:pt>
                <c:pt idx="87">
                  <c:v>0.2993245124816895</c:v>
                </c:pt>
                <c:pt idx="88">
                  <c:v>-0.002328034956008196</c:v>
                </c:pt>
                <c:pt idx="89">
                  <c:v>9.518789291381836</c:v>
                </c:pt>
                <c:pt idx="90">
                  <c:v>3.634254932403564</c:v>
                </c:pt>
                <c:pt idx="91">
                  <c:v>4.443008899688721</c:v>
                </c:pt>
                <c:pt idx="92">
                  <c:v>3.043174982070923</c:v>
                </c:pt>
                <c:pt idx="93">
                  <c:v>0.6217378973960876</c:v>
                </c:pt>
                <c:pt idx="94">
                  <c:v>1.093171000480652</c:v>
                </c:pt>
                <c:pt idx="95">
                  <c:v>1.358736038208008</c:v>
                </c:pt>
                <c:pt idx="96">
                  <c:v>-0.8366295099258423</c:v>
                </c:pt>
                <c:pt idx="97">
                  <c:v>-0.4639303982257843</c:v>
                </c:pt>
                <c:pt idx="98">
                  <c:v>-1.079748034477234</c:v>
                </c:pt>
                <c:pt idx="99">
                  <c:v>-0.7502360939979553</c:v>
                </c:pt>
                <c:pt idx="100">
                  <c:v>0.1697108000516891</c:v>
                </c:pt>
                <c:pt idx="101">
                  <c:v>12.19690036773682</c:v>
                </c:pt>
                <c:pt idx="102">
                  <c:v>5.23698616027832</c:v>
                </c:pt>
                <c:pt idx="103">
                  <c:v>4.921582221984863</c:v>
                </c:pt>
                <c:pt idx="104">
                  <c:v>3.3225998878479</c:v>
                </c:pt>
                <c:pt idx="105">
                  <c:v>1.098338961601257</c:v>
                </c:pt>
                <c:pt idx="106">
                  <c:v>-1.990157008171082</c:v>
                </c:pt>
                <c:pt idx="107">
                  <c:v>-1.261898994445801</c:v>
                </c:pt>
                <c:pt idx="108">
                  <c:v>11.41347026824951</c:v>
                </c:pt>
                <c:pt idx="109">
                  <c:v>2.138200044631958</c:v>
                </c:pt>
                <c:pt idx="110">
                  <c:v>-0.2499444931745529</c:v>
                </c:pt>
                <c:pt idx="111">
                  <c:v>-0.3308633863925934</c:v>
                </c:pt>
                <c:pt idx="112">
                  <c:v>-0.7127491235733032</c:v>
                </c:pt>
                <c:pt idx="113">
                  <c:v>20.95293045043945</c:v>
                </c:pt>
                <c:pt idx="114">
                  <c:v>7.581021785736084</c:v>
                </c:pt>
                <c:pt idx="115">
                  <c:v>7.277379989624023</c:v>
                </c:pt>
                <c:pt idx="116">
                  <c:v>3.467176914215088</c:v>
                </c:pt>
                <c:pt idx="117">
                  <c:v>3.835999011993408</c:v>
                </c:pt>
                <c:pt idx="118">
                  <c:v>2.751089096069336</c:v>
                </c:pt>
                <c:pt idx="119">
                  <c:v>0.2497317939996719</c:v>
                </c:pt>
                <c:pt idx="120">
                  <c:v>-0.6546025276184082</c:v>
                </c:pt>
                <c:pt idx="121">
                  <c:v>-1.068622946739197</c:v>
                </c:pt>
                <c:pt idx="122">
                  <c:v>-0.0993436872959137</c:v>
                </c:pt>
                <c:pt idx="123">
                  <c:v>-1.884456992149353</c:v>
                </c:pt>
                <c:pt idx="124">
                  <c:v>-1.264386057853699</c:v>
                </c:pt>
                <c:pt idx="125">
                  <c:v>-0.8236556053161621</c:v>
                </c:pt>
                <c:pt idx="126">
                  <c:v>0.1856482028961182</c:v>
                </c:pt>
                <c:pt idx="127">
                  <c:v>0.05134125053882599</c:v>
                </c:pt>
                <c:pt idx="128">
                  <c:v>9.607748985290527</c:v>
                </c:pt>
                <c:pt idx="129">
                  <c:v>3.603080034255981</c:v>
                </c:pt>
                <c:pt idx="130">
                  <c:v>4.470913887023926</c:v>
                </c:pt>
                <c:pt idx="131">
                  <c:v>3.045651912689209</c:v>
                </c:pt>
                <c:pt idx="132">
                  <c:v>0.6385974287986755</c:v>
                </c:pt>
                <c:pt idx="133">
                  <c:v>1.07820999622345</c:v>
                </c:pt>
                <c:pt idx="134">
                  <c:v>1.391515016555786</c:v>
                </c:pt>
                <c:pt idx="135">
                  <c:v>-0.3324711918830872</c:v>
                </c:pt>
                <c:pt idx="136">
                  <c:v>-1.149795055389404</c:v>
                </c:pt>
                <c:pt idx="137">
                  <c:v>-1.279459953308105</c:v>
                </c:pt>
                <c:pt idx="138">
                  <c:v>-0.2897520065307617</c:v>
                </c:pt>
                <c:pt idx="139">
                  <c:v>0.1418938040733337</c:v>
                </c:pt>
                <c:pt idx="140">
                  <c:v>13.07248020172119</c:v>
                </c:pt>
                <c:pt idx="141">
                  <c:v>5.478999137878418</c:v>
                </c:pt>
                <c:pt idx="142">
                  <c:v>4.758823871612549</c:v>
                </c:pt>
                <c:pt idx="143">
                  <c:v>3.376883983612061</c:v>
                </c:pt>
                <c:pt idx="144">
                  <c:v>1.234660029411316</c:v>
                </c:pt>
                <c:pt idx="145">
                  <c:v>0.001406111987307668</c:v>
                </c:pt>
                <c:pt idx="146">
                  <c:v>-1.31872296333313</c:v>
                </c:pt>
                <c:pt idx="147">
                  <c:v>12.38829040527344</c:v>
                </c:pt>
                <c:pt idx="148">
                  <c:v>1.936640024185181</c:v>
                </c:pt>
                <c:pt idx="149">
                  <c:v>-0.5732120871543884</c:v>
                </c:pt>
                <c:pt idx="150">
                  <c:v>-0.6421788930892944</c:v>
                </c:pt>
                <c:pt idx="151">
                  <c:v>-1.108392953872681</c:v>
                </c:pt>
                <c:pt idx="152">
                  <c:v>17.08910942077637</c:v>
                </c:pt>
                <c:pt idx="153">
                  <c:v>7.44865608215332</c:v>
                </c:pt>
                <c:pt idx="154">
                  <c:v>7.362617015838623</c:v>
                </c:pt>
                <c:pt idx="155">
                  <c:v>3.438045024871826</c:v>
                </c:pt>
                <c:pt idx="156">
                  <c:v>3.850696086883545</c:v>
                </c:pt>
                <c:pt idx="157">
                  <c:v>2.782923936843872</c:v>
                </c:pt>
                <c:pt idx="158">
                  <c:v>0.2734712958335876</c:v>
                </c:pt>
                <c:pt idx="159">
                  <c:v>-0.8269069194793701</c:v>
                </c:pt>
                <c:pt idx="160">
                  <c:v>-2.347187995910645</c:v>
                </c:pt>
                <c:pt idx="161">
                  <c:v>0.0007151925237849355</c:v>
                </c:pt>
                <c:pt idx="162">
                  <c:v>-1.04833197593689</c:v>
                </c:pt>
                <c:pt idx="163">
                  <c:v>-1.357974052429199</c:v>
                </c:pt>
                <c:pt idx="164">
                  <c:v>-0.1030255034565926</c:v>
                </c:pt>
                <c:pt idx="165">
                  <c:v>0.2507362961769104</c:v>
                </c:pt>
                <c:pt idx="166">
                  <c:v>0.06498163193464279</c:v>
                </c:pt>
                <c:pt idx="167">
                  <c:v>9.538220405578613</c:v>
                </c:pt>
                <c:pt idx="168">
                  <c:v>3.556015014648438</c:v>
                </c:pt>
                <c:pt idx="169">
                  <c:v>4.527612209320068</c:v>
                </c:pt>
                <c:pt idx="170">
                  <c:v>3.053704023361206</c:v>
                </c:pt>
                <c:pt idx="171">
                  <c:v>0.5905086994171143</c:v>
                </c:pt>
                <c:pt idx="172">
                  <c:v>0.03460875153541565</c:v>
                </c:pt>
                <c:pt idx="173">
                  <c:v>-0.9759504199028015</c:v>
                </c:pt>
                <c:pt idx="174">
                  <c:v>0.0472269207239151</c:v>
                </c:pt>
                <c:pt idx="175">
                  <c:v>-0.7863088250160217</c:v>
                </c:pt>
                <c:pt idx="176">
                  <c:v>-1.185065984725952</c:v>
                </c:pt>
                <c:pt idx="177">
                  <c:v>-0.3409523069858551</c:v>
                </c:pt>
                <c:pt idx="178">
                  <c:v>-1.89923095703125</c:v>
                </c:pt>
                <c:pt idx="179">
                  <c:v>0.2795198857784271</c:v>
                </c:pt>
                <c:pt idx="180">
                  <c:v>12.36131954193115</c:v>
                </c:pt>
                <c:pt idx="181">
                  <c:v>4.758296012878418</c:v>
                </c:pt>
                <c:pt idx="182">
                  <c:v>5.20487117767334</c:v>
                </c:pt>
                <c:pt idx="183">
                  <c:v>3.195964097976685</c:v>
                </c:pt>
                <c:pt idx="184">
                  <c:v>1.038131952285767</c:v>
                </c:pt>
                <c:pt idx="185">
                  <c:v>0.4967884123325348</c:v>
                </c:pt>
                <c:pt idx="186">
                  <c:v>2.324273109436035</c:v>
                </c:pt>
                <c:pt idx="187">
                  <c:v>-0.7511922717094421</c:v>
                </c:pt>
                <c:pt idx="188">
                  <c:v>-1.163799047470093</c:v>
                </c:pt>
                <c:pt idx="189">
                  <c:v>-1.427644968032837</c:v>
                </c:pt>
                <c:pt idx="190">
                  <c:v>-0.4422002136707306</c:v>
                </c:pt>
                <c:pt idx="191">
                  <c:v>0.2823792994022369</c:v>
                </c:pt>
                <c:pt idx="192">
                  <c:v>9.600619316101074</c:v>
                </c:pt>
                <c:pt idx="193">
                  <c:v>6.445943832397461</c:v>
                </c:pt>
                <c:pt idx="194">
                  <c:v>3.517884969711304</c:v>
                </c:pt>
                <c:pt idx="195">
                  <c:v>3.690119028091431</c:v>
                </c:pt>
                <c:pt idx="196">
                  <c:v>2.233333110809326</c:v>
                </c:pt>
                <c:pt idx="197">
                  <c:v>-0.2448678016662598</c:v>
                </c:pt>
                <c:pt idx="198">
                  <c:v>-0.7533227205276489</c:v>
                </c:pt>
                <c:pt idx="199">
                  <c:v>-1.44014298915863</c:v>
                </c:pt>
                <c:pt idx="200">
                  <c:v>0.01917397975921631</c:v>
                </c:pt>
                <c:pt idx="201">
                  <c:v>-0.1099226996302605</c:v>
                </c:pt>
                <c:pt idx="202">
                  <c:v>-0.8064659237861633</c:v>
                </c:pt>
                <c:pt idx="203">
                  <c:v>-0.4003821015357971</c:v>
                </c:pt>
                <c:pt idx="204">
                  <c:v>0.3501656949520111</c:v>
                </c:pt>
                <c:pt idx="205">
                  <c:v>4.61096715927124</c:v>
                </c:pt>
                <c:pt idx="206">
                  <c:v>8.785582542419434</c:v>
                </c:pt>
                <c:pt idx="207">
                  <c:v>3.475842952728271</c:v>
                </c:pt>
                <c:pt idx="208">
                  <c:v>4.250104904174805</c:v>
                </c:pt>
                <c:pt idx="209">
                  <c:v>3.013300895690918</c:v>
                </c:pt>
                <c:pt idx="210">
                  <c:v>0.4909087121486664</c:v>
                </c:pt>
                <c:pt idx="211">
                  <c:v>-1.290742039680481</c:v>
                </c:pt>
                <c:pt idx="212">
                  <c:v>-2.09953498840332</c:v>
                </c:pt>
                <c:pt idx="213">
                  <c:v>0.02102434076368809</c:v>
                </c:pt>
                <c:pt idx="214">
                  <c:v>-1.15739905834198</c:v>
                </c:pt>
                <c:pt idx="215">
                  <c:v>-1.65706205368042</c:v>
                </c:pt>
                <c:pt idx="216">
                  <c:v>-0.9163442850112915</c:v>
                </c:pt>
                <c:pt idx="217">
                  <c:v>-4.6925950050354</c:v>
                </c:pt>
                <c:pt idx="218">
                  <c:v>0.3227308988571167</c:v>
                </c:pt>
                <c:pt idx="219">
                  <c:v>11.79736042022705</c:v>
                </c:pt>
                <c:pt idx="220">
                  <c:v>4.405086040496826</c:v>
                </c:pt>
                <c:pt idx="221">
                  <c:v>5.153687000274658</c:v>
                </c:pt>
                <c:pt idx="222">
                  <c:v>3.135441064834595</c:v>
                </c:pt>
                <c:pt idx="223">
                  <c:v>0.9379022121429443</c:v>
                </c:pt>
                <c:pt idx="224">
                  <c:v>0.654410719871521</c:v>
                </c:pt>
                <c:pt idx="225">
                  <c:v>2.09102201461792</c:v>
                </c:pt>
                <c:pt idx="226">
                  <c:v>-0.3434627950191498</c:v>
                </c:pt>
                <c:pt idx="227">
                  <c:v>-1.067270994186401</c:v>
                </c:pt>
                <c:pt idx="228">
                  <c:v>-0.272304892539978</c:v>
                </c:pt>
                <c:pt idx="229">
                  <c:v>-0.2172618061304092</c:v>
                </c:pt>
                <c:pt idx="230">
                  <c:v>0.1644622981548309</c:v>
                </c:pt>
                <c:pt idx="231">
                  <c:v>14.15415000915527</c:v>
                </c:pt>
                <c:pt idx="232">
                  <c:v>6.091187000274658</c:v>
                </c:pt>
                <c:pt idx="233">
                  <c:v>3.909430980682373</c:v>
                </c:pt>
                <c:pt idx="234">
                  <c:v>3.570843935012817</c:v>
                </c:pt>
                <c:pt idx="235">
                  <c:v>1.783514976501465</c:v>
                </c:pt>
                <c:pt idx="236">
                  <c:v>-0.5020133852958679</c:v>
                </c:pt>
                <c:pt idx="237">
                  <c:v>-0.9156064987182617</c:v>
                </c:pt>
                <c:pt idx="238">
                  <c:v>-2.465105056762695</c:v>
                </c:pt>
                <c:pt idx="239">
                  <c:v>-0.07087021321058273</c:v>
                </c:pt>
                <c:pt idx="240">
                  <c:v>-0.7272171974182129</c:v>
                </c:pt>
                <c:pt idx="241">
                  <c:v>-0.8943905234336853</c:v>
                </c:pt>
                <c:pt idx="242">
                  <c:v>-0.2198961973190308</c:v>
                </c:pt>
                <c:pt idx="243">
                  <c:v>1.623540997505188</c:v>
                </c:pt>
                <c:pt idx="244">
                  <c:v>6.028986930847168</c:v>
                </c:pt>
                <c:pt idx="245">
                  <c:v>8.272680282592773</c:v>
                </c:pt>
                <c:pt idx="246">
                  <c:v>3.374552965164185</c:v>
                </c:pt>
                <c:pt idx="247">
                  <c:v>4.055098056793213</c:v>
                </c:pt>
                <c:pt idx="248">
                  <c:v>2.968224048614502</c:v>
                </c:pt>
                <c:pt idx="249">
                  <c:v>0.4201126992702484</c:v>
                </c:pt>
                <c:pt idx="250">
                  <c:v>-1.602241992950439</c:v>
                </c:pt>
                <c:pt idx="251">
                  <c:v>-0.263139396905899</c:v>
                </c:pt>
                <c:pt idx="252">
                  <c:v>0.03274447843432426</c:v>
                </c:pt>
                <c:pt idx="253">
                  <c:v>-0.5894783139228821</c:v>
                </c:pt>
                <c:pt idx="254">
                  <c:v>-1.104590058326721</c:v>
                </c:pt>
                <c:pt idx="255">
                  <c:v>-0.2141796052455902</c:v>
                </c:pt>
                <c:pt idx="256">
                  <c:v>-2.639106035232544</c:v>
                </c:pt>
                <c:pt idx="257">
                  <c:v>0.3426300883293152</c:v>
                </c:pt>
                <c:pt idx="258">
                  <c:v>11.17553997039795</c:v>
                </c:pt>
                <c:pt idx="259">
                  <c:v>4.090611934661865</c:v>
                </c:pt>
                <c:pt idx="260">
                  <c:v>5.102237224578857</c:v>
                </c:pt>
                <c:pt idx="261">
                  <c:v>3.118789911270142</c:v>
                </c:pt>
                <c:pt idx="262">
                  <c:v>0.8391067981719971</c:v>
                </c:pt>
                <c:pt idx="263">
                  <c:v>0.1248248964548111</c:v>
                </c:pt>
                <c:pt idx="264">
                  <c:v>4.145503997802734</c:v>
                </c:pt>
                <c:pt idx="265">
                  <c:v>0.1380961984395981</c:v>
                </c:pt>
                <c:pt idx="266">
                  <c:v>-1.435575008392334</c:v>
                </c:pt>
                <c:pt idx="267">
                  <c:v>-1.119218945503235</c:v>
                </c:pt>
                <c:pt idx="268">
                  <c:v>-0.6885913014411926</c:v>
                </c:pt>
                <c:pt idx="269">
                  <c:v>17.91333961486816</c:v>
                </c:pt>
                <c:pt idx="270">
                  <c:v>6.201857089996338</c:v>
                </c:pt>
                <c:pt idx="271">
                  <c:v>7.37197208404541</c:v>
                </c:pt>
                <c:pt idx="272">
                  <c:v>3.269283056259155</c:v>
                </c:pt>
                <c:pt idx="273">
                  <c:v>3.854433059692383</c:v>
                </c:pt>
                <c:pt idx="274">
                  <c:v>2.835771083831787</c:v>
                </c:pt>
                <c:pt idx="275">
                  <c:v>0.1736927032470703</c:v>
                </c:pt>
                <c:pt idx="276">
                  <c:v>-1.341088056564331</c:v>
                </c:pt>
                <c:pt idx="277">
                  <c:v>-0.9955341219902039</c:v>
                </c:pt>
                <c:pt idx="278">
                  <c:v>0.03203187882900238</c:v>
                </c:pt>
                <c:pt idx="279">
                  <c:v>-1.904595017433167</c:v>
                </c:pt>
                <c:pt idx="280">
                  <c:v>-0.2229093015193939</c:v>
                </c:pt>
                <c:pt idx="281">
                  <c:v>-0.3299016952514648</c:v>
                </c:pt>
                <c:pt idx="282">
                  <c:v>-0.4490058124065399</c:v>
                </c:pt>
                <c:pt idx="283">
                  <c:v>0.2365529984235764</c:v>
                </c:pt>
                <c:pt idx="284">
                  <c:v>10.29298973083496</c:v>
                </c:pt>
                <c:pt idx="285">
                  <c:v>3.684981107711792</c:v>
                </c:pt>
                <c:pt idx="286">
                  <c:v>4.778924942016602</c:v>
                </c:pt>
                <c:pt idx="287">
                  <c:v>3.079123020172119</c:v>
                </c:pt>
                <c:pt idx="288">
                  <c:v>0.7049733996391296</c:v>
                </c:pt>
              </c:numCache>
            </c:numRef>
          </c:yVal>
        </c:ser>
        <c:ser>
          <c:idx val="2"/>
          <c:order val="2"/>
          <c:tx>
            <c:strRef>
              <c:f>Legends!B4</c:f>
              <c:strCache>
                <c:ptCount val="1"/>
                <c:pt idx="0">
                  <c:v>VAR3</c:v>
                </c:pt>
              </c:strCache>
            </c:strRef>
          </c:tx>
          <c:marker>
            <c:symbol val="none"/>
          </c:marker>
          <c:xVal>
            <c:numRef>
              <c:f>SIM2!$C$11:$C$299</c:f>
              <c:numCache>
                <c:ptCount val="289"/>
                <c:pt idx="0">
                  <c:v>0</c:v>
                </c:pt>
                <c:pt idx="1">
                  <c:v>0.2502377033233643</c:v>
                </c:pt>
                <c:pt idx="2">
                  <c:v>0.5001344680786133</c:v>
                </c:pt>
                <c:pt idx="3">
                  <c:v>0.7502166628837585</c:v>
                </c:pt>
                <c:pt idx="4">
                  <c:v>1.000296950340271</c:v>
                </c:pt>
                <c:pt idx="5">
                  <c:v>1.250070571899414</c:v>
                </c:pt>
                <c:pt idx="6">
                  <c:v>1.500028848648071</c:v>
                </c:pt>
                <c:pt idx="7">
                  <c:v>1.750007748603821</c:v>
                </c:pt>
                <c:pt idx="8">
                  <c:v>2.00033164024353</c:v>
                </c:pt>
                <c:pt idx="9">
                  <c:v>2.250254154205322</c:v>
                </c:pt>
                <c:pt idx="10">
                  <c:v>2.500176668167114</c:v>
                </c:pt>
                <c:pt idx="11">
                  <c:v>2.750099182128906</c:v>
                </c:pt>
                <c:pt idx="12">
                  <c:v>3.000022172927856</c:v>
                </c:pt>
                <c:pt idx="13">
                  <c:v>3.250344514846802</c:v>
                </c:pt>
                <c:pt idx="14">
                  <c:v>3.500269412994385</c:v>
                </c:pt>
                <c:pt idx="15">
                  <c:v>3.750191688537598</c:v>
                </c:pt>
                <c:pt idx="16">
                  <c:v>4.000113964080811</c:v>
                </c:pt>
                <c:pt idx="17">
                  <c:v>4.250036239624023</c:v>
                </c:pt>
                <c:pt idx="18">
                  <c:v>4.500358104705811</c:v>
                </c:pt>
                <c:pt idx="19">
                  <c:v>4.750305652618408</c:v>
                </c:pt>
                <c:pt idx="20">
                  <c:v>5.00006103515625</c:v>
                </c:pt>
                <c:pt idx="21">
                  <c:v>5.250485897064209</c:v>
                </c:pt>
                <c:pt idx="22">
                  <c:v>5.500458240509033</c:v>
                </c:pt>
                <c:pt idx="23">
                  <c:v>5.750716686248779</c:v>
                </c:pt>
                <c:pt idx="24">
                  <c:v>6.000564098358154</c:v>
                </c:pt>
                <c:pt idx="25">
                  <c:v>6.250602722167969</c:v>
                </c:pt>
                <c:pt idx="26">
                  <c:v>6.500152587890625</c:v>
                </c:pt>
                <c:pt idx="27">
                  <c:v>6.750202655792236</c:v>
                </c:pt>
                <c:pt idx="28">
                  <c:v>7.000389099121094</c:v>
                </c:pt>
                <c:pt idx="29">
                  <c:v>7.25005578994751</c:v>
                </c:pt>
                <c:pt idx="30">
                  <c:v>7.500391483306885</c:v>
                </c:pt>
                <c:pt idx="31">
                  <c:v>7.750247001647949</c:v>
                </c:pt>
                <c:pt idx="32">
                  <c:v>8.000252723693848</c:v>
                </c:pt>
                <c:pt idx="33">
                  <c:v>8.250082969665527</c:v>
                </c:pt>
                <c:pt idx="34">
                  <c:v>8.500566482543945</c:v>
                </c:pt>
                <c:pt idx="35">
                  <c:v>8.750080108642578</c:v>
                </c:pt>
                <c:pt idx="36">
                  <c:v>9.000374794006348</c:v>
                </c:pt>
                <c:pt idx="37">
                  <c:v>9.250136375427246</c:v>
                </c:pt>
                <c:pt idx="38">
                  <c:v>9.500344276428223</c:v>
                </c:pt>
                <c:pt idx="39">
                  <c:v>9.750325202941895</c:v>
                </c:pt>
                <c:pt idx="40">
                  <c:v>10.000319480896</c:v>
                </c:pt>
                <c:pt idx="41">
                  <c:v>10.25020027160645</c:v>
                </c:pt>
                <c:pt idx="42">
                  <c:v>10.50003337860107</c:v>
                </c:pt>
                <c:pt idx="43">
                  <c:v>10.75012493133545</c:v>
                </c:pt>
                <c:pt idx="44">
                  <c:v>11.00051116943359</c:v>
                </c:pt>
                <c:pt idx="45">
                  <c:v>11.25047492980957</c:v>
                </c:pt>
                <c:pt idx="46">
                  <c:v>11.50014400482178</c:v>
                </c:pt>
                <c:pt idx="47">
                  <c:v>11.75027465820312</c:v>
                </c:pt>
                <c:pt idx="48">
                  <c:v>12.00003051757812</c:v>
                </c:pt>
                <c:pt idx="49">
                  <c:v>12.25064182281494</c:v>
                </c:pt>
                <c:pt idx="50">
                  <c:v>12.50050258636475</c:v>
                </c:pt>
                <c:pt idx="51">
                  <c:v>12.750319480896</c:v>
                </c:pt>
                <c:pt idx="52">
                  <c:v>13.00034713745117</c:v>
                </c:pt>
                <c:pt idx="53">
                  <c:v>13.25012493133545</c:v>
                </c:pt>
                <c:pt idx="54">
                  <c:v>13.50023365020752</c:v>
                </c:pt>
                <c:pt idx="55">
                  <c:v>13.75005531311035</c:v>
                </c:pt>
                <c:pt idx="56">
                  <c:v>14.0003833770752</c:v>
                </c:pt>
                <c:pt idx="57">
                  <c:v>14.25030040740967</c:v>
                </c:pt>
                <c:pt idx="58">
                  <c:v>14.50048923492432</c:v>
                </c:pt>
                <c:pt idx="59">
                  <c:v>14.75058078765869</c:v>
                </c:pt>
                <c:pt idx="60">
                  <c:v>15.00020599365234</c:v>
                </c:pt>
                <c:pt idx="61">
                  <c:v>15.25001907348633</c:v>
                </c:pt>
                <c:pt idx="62">
                  <c:v>15.50043869018555</c:v>
                </c:pt>
                <c:pt idx="63">
                  <c:v>15.75009441375732</c:v>
                </c:pt>
                <c:pt idx="64">
                  <c:v>16.00001907348633</c:v>
                </c:pt>
                <c:pt idx="65">
                  <c:v>16.25009727478027</c:v>
                </c:pt>
                <c:pt idx="66">
                  <c:v>16.5001335144043</c:v>
                </c:pt>
                <c:pt idx="67">
                  <c:v>16.75020790100098</c:v>
                </c:pt>
                <c:pt idx="68">
                  <c:v>17.00028800964355</c:v>
                </c:pt>
                <c:pt idx="69">
                  <c:v>17.25015258789062</c:v>
                </c:pt>
                <c:pt idx="70">
                  <c:v>17.5003662109375</c:v>
                </c:pt>
                <c:pt idx="71">
                  <c:v>17.75002479553223</c:v>
                </c:pt>
                <c:pt idx="72">
                  <c:v>18.00046730041504</c:v>
                </c:pt>
                <c:pt idx="73">
                  <c:v>18.25059127807617</c:v>
                </c:pt>
                <c:pt idx="74">
                  <c:v>18.50006294250488</c:v>
                </c:pt>
                <c:pt idx="75">
                  <c:v>18.75009727478027</c:v>
                </c:pt>
                <c:pt idx="76">
                  <c:v>19.00009727478027</c:v>
                </c:pt>
                <c:pt idx="77">
                  <c:v>19.25011444091797</c:v>
                </c:pt>
                <c:pt idx="78">
                  <c:v>19.5001277923584</c:v>
                </c:pt>
                <c:pt idx="79">
                  <c:v>19.75029945373535</c:v>
                </c:pt>
                <c:pt idx="80">
                  <c:v>20.00004959106445</c:v>
                </c:pt>
                <c:pt idx="81">
                  <c:v>20.25016593933105</c:v>
                </c:pt>
                <c:pt idx="82">
                  <c:v>20.50030326843262</c:v>
                </c:pt>
                <c:pt idx="83">
                  <c:v>20.75010871887207</c:v>
                </c:pt>
                <c:pt idx="84">
                  <c:v>21.0001277923584</c:v>
                </c:pt>
                <c:pt idx="85">
                  <c:v>21.25024223327637</c:v>
                </c:pt>
                <c:pt idx="86">
                  <c:v>21.50033378601074</c:v>
                </c:pt>
                <c:pt idx="87">
                  <c:v>21.75038909912109</c:v>
                </c:pt>
                <c:pt idx="88">
                  <c:v>22.0002384185791</c:v>
                </c:pt>
                <c:pt idx="89">
                  <c:v>22.25003242492676</c:v>
                </c:pt>
                <c:pt idx="90">
                  <c:v>22.50029373168945</c:v>
                </c:pt>
                <c:pt idx="91">
                  <c:v>22.75035095214844</c:v>
                </c:pt>
                <c:pt idx="92">
                  <c:v>23.00012016296387</c:v>
                </c:pt>
                <c:pt idx="93">
                  <c:v>23.25015258789062</c:v>
                </c:pt>
                <c:pt idx="94">
                  <c:v>23.50027847290039</c:v>
                </c:pt>
                <c:pt idx="95">
                  <c:v>23.75039482116699</c:v>
                </c:pt>
                <c:pt idx="96">
                  <c:v>24.00031852722168</c:v>
                </c:pt>
                <c:pt idx="97">
                  <c:v>24.25011444091797</c:v>
                </c:pt>
                <c:pt idx="98">
                  <c:v>24.50047302246094</c:v>
                </c:pt>
                <c:pt idx="99">
                  <c:v>24.75012016296387</c:v>
                </c:pt>
                <c:pt idx="100">
                  <c:v>25.00012016296387</c:v>
                </c:pt>
                <c:pt idx="101">
                  <c:v>25.25008392333984</c:v>
                </c:pt>
                <c:pt idx="102">
                  <c:v>25.5003833770752</c:v>
                </c:pt>
                <c:pt idx="103">
                  <c:v>25.75029945373535</c:v>
                </c:pt>
                <c:pt idx="104">
                  <c:v>26.00038528442383</c:v>
                </c:pt>
                <c:pt idx="105">
                  <c:v>26.25018692016602</c:v>
                </c:pt>
                <c:pt idx="106">
                  <c:v>26.50039672851562</c:v>
                </c:pt>
                <c:pt idx="107">
                  <c:v>26.75045585632324</c:v>
                </c:pt>
                <c:pt idx="108">
                  <c:v>27.00051307678223</c:v>
                </c:pt>
                <c:pt idx="109">
                  <c:v>27.2500057220459</c:v>
                </c:pt>
                <c:pt idx="110">
                  <c:v>27.50052261352539</c:v>
                </c:pt>
                <c:pt idx="111">
                  <c:v>27.75006294250488</c:v>
                </c:pt>
                <c:pt idx="112">
                  <c:v>28.00033378601074</c:v>
                </c:pt>
                <c:pt idx="113">
                  <c:v>28.2501392364502</c:v>
                </c:pt>
                <c:pt idx="114">
                  <c:v>28.50002861022949</c:v>
                </c:pt>
                <c:pt idx="115">
                  <c:v>28.7503604888916</c:v>
                </c:pt>
                <c:pt idx="116">
                  <c:v>29.00033378601074</c:v>
                </c:pt>
                <c:pt idx="117">
                  <c:v>29.25027847290039</c:v>
                </c:pt>
                <c:pt idx="118">
                  <c:v>29.50022315979004</c:v>
                </c:pt>
                <c:pt idx="119">
                  <c:v>29.75030517578125</c:v>
                </c:pt>
                <c:pt idx="120">
                  <c:v>30.00038909912109</c:v>
                </c:pt>
                <c:pt idx="121">
                  <c:v>30.25047302246094</c:v>
                </c:pt>
                <c:pt idx="122">
                  <c:v>30.5</c:v>
                </c:pt>
                <c:pt idx="123">
                  <c:v>30.75041580200195</c:v>
                </c:pt>
                <c:pt idx="124">
                  <c:v>31.00030517578125</c:v>
                </c:pt>
                <c:pt idx="125">
                  <c:v>31.2506103515625</c:v>
                </c:pt>
                <c:pt idx="126">
                  <c:v>31.50069427490234</c:v>
                </c:pt>
                <c:pt idx="127">
                  <c:v>31.75019454956055</c:v>
                </c:pt>
                <c:pt idx="128">
                  <c:v>32.00047302246094</c:v>
                </c:pt>
                <c:pt idx="129">
                  <c:v>32.25038909912109</c:v>
                </c:pt>
                <c:pt idx="130">
                  <c:v>32.5</c:v>
                </c:pt>
                <c:pt idx="131">
                  <c:v>32.75025177001953</c:v>
                </c:pt>
                <c:pt idx="132">
                  <c:v>33.00027847290039</c:v>
                </c:pt>
                <c:pt idx="133">
                  <c:v>33.25002670288086</c:v>
                </c:pt>
                <c:pt idx="134">
                  <c:v>33.50002670288086</c:v>
                </c:pt>
                <c:pt idx="135">
                  <c:v>33.75005722045898</c:v>
                </c:pt>
                <c:pt idx="136">
                  <c:v>34.00019454956055</c:v>
                </c:pt>
                <c:pt idx="137">
                  <c:v>34.25055694580078</c:v>
                </c:pt>
                <c:pt idx="138">
                  <c:v>34.50016784667969</c:v>
                </c:pt>
                <c:pt idx="139">
                  <c:v>34.7501106262207</c:v>
                </c:pt>
                <c:pt idx="140">
                  <c:v>35.00033187866211</c:v>
                </c:pt>
                <c:pt idx="141">
                  <c:v>35.25022125244141</c:v>
                </c:pt>
                <c:pt idx="142">
                  <c:v>35.5001106262207</c:v>
                </c:pt>
                <c:pt idx="143">
                  <c:v>35.7501106262207</c:v>
                </c:pt>
                <c:pt idx="144">
                  <c:v>36.00008392333984</c:v>
                </c:pt>
                <c:pt idx="145">
                  <c:v>36.25002670288086</c:v>
                </c:pt>
                <c:pt idx="146">
                  <c:v>36.50044631958008</c:v>
                </c:pt>
                <c:pt idx="147">
                  <c:v>36.75058364868164</c:v>
                </c:pt>
                <c:pt idx="148">
                  <c:v>37.00022125244141</c:v>
                </c:pt>
                <c:pt idx="149">
                  <c:v>37.2504997253418</c:v>
                </c:pt>
                <c:pt idx="150">
                  <c:v>37.50063705444336</c:v>
                </c:pt>
                <c:pt idx="151">
                  <c:v>37.75002670288086</c:v>
                </c:pt>
                <c:pt idx="152">
                  <c:v>38.00036239624023</c:v>
                </c:pt>
                <c:pt idx="153">
                  <c:v>38.25041580200195</c:v>
                </c:pt>
                <c:pt idx="154">
                  <c:v>38.50044631958008</c:v>
                </c:pt>
                <c:pt idx="155">
                  <c:v>38.75025177001953</c:v>
                </c:pt>
                <c:pt idx="156">
                  <c:v>39.00019454956055</c:v>
                </c:pt>
                <c:pt idx="157">
                  <c:v>39.25036239624023</c:v>
                </c:pt>
                <c:pt idx="158">
                  <c:v>39.50008392333984</c:v>
                </c:pt>
                <c:pt idx="159">
                  <c:v>39.75038909912109</c:v>
                </c:pt>
                <c:pt idx="160">
                  <c:v>40.00005722045898</c:v>
                </c:pt>
                <c:pt idx="161">
                  <c:v>40.25030517578125</c:v>
                </c:pt>
                <c:pt idx="162">
                  <c:v>40.50022125244141</c:v>
                </c:pt>
                <c:pt idx="163">
                  <c:v>40.75002670288086</c:v>
                </c:pt>
                <c:pt idx="164">
                  <c:v>41.00025177001953</c:v>
                </c:pt>
                <c:pt idx="165">
                  <c:v>41.25019454956055</c:v>
                </c:pt>
                <c:pt idx="166">
                  <c:v>41.50063705444336</c:v>
                </c:pt>
                <c:pt idx="167">
                  <c:v>41.75019454956055</c:v>
                </c:pt>
                <c:pt idx="168">
                  <c:v>42.00008392333984</c:v>
                </c:pt>
                <c:pt idx="169">
                  <c:v>42.25</c:v>
                </c:pt>
                <c:pt idx="170">
                  <c:v>42.50033187866211</c:v>
                </c:pt>
                <c:pt idx="171">
                  <c:v>42.75013732910156</c:v>
                </c:pt>
                <c:pt idx="172">
                  <c:v>43.00047302246094</c:v>
                </c:pt>
                <c:pt idx="173">
                  <c:v>43.25047302246094</c:v>
                </c:pt>
                <c:pt idx="174">
                  <c:v>43.50002670288086</c:v>
                </c:pt>
                <c:pt idx="175">
                  <c:v>43.75038909912109</c:v>
                </c:pt>
                <c:pt idx="176">
                  <c:v>44.00036239624023</c:v>
                </c:pt>
                <c:pt idx="177">
                  <c:v>44.25022125244141</c:v>
                </c:pt>
                <c:pt idx="178">
                  <c:v>44.50033187866211</c:v>
                </c:pt>
                <c:pt idx="179">
                  <c:v>44.75016784667969</c:v>
                </c:pt>
                <c:pt idx="180">
                  <c:v>45.0004997253418</c:v>
                </c:pt>
                <c:pt idx="181">
                  <c:v>45.25036239624023</c:v>
                </c:pt>
                <c:pt idx="182">
                  <c:v>45.50022125244141</c:v>
                </c:pt>
                <c:pt idx="183">
                  <c:v>45.75005722045898</c:v>
                </c:pt>
                <c:pt idx="184">
                  <c:v>46.00013732910156</c:v>
                </c:pt>
                <c:pt idx="185">
                  <c:v>46.25041580200195</c:v>
                </c:pt>
                <c:pt idx="186">
                  <c:v>46.50027847290039</c:v>
                </c:pt>
                <c:pt idx="187">
                  <c:v>46.75016784667969</c:v>
                </c:pt>
                <c:pt idx="188">
                  <c:v>47.00047302246094</c:v>
                </c:pt>
                <c:pt idx="189">
                  <c:v>47.25044631958008</c:v>
                </c:pt>
                <c:pt idx="190">
                  <c:v>47.50066757202148</c:v>
                </c:pt>
                <c:pt idx="191">
                  <c:v>47.75</c:v>
                </c:pt>
                <c:pt idx="192">
                  <c:v>48.00027847290039</c:v>
                </c:pt>
                <c:pt idx="193">
                  <c:v>48.2501106262207</c:v>
                </c:pt>
                <c:pt idx="194">
                  <c:v>48.50036239624023</c:v>
                </c:pt>
                <c:pt idx="195">
                  <c:v>48.75005722045898</c:v>
                </c:pt>
                <c:pt idx="196">
                  <c:v>49.00016784667969</c:v>
                </c:pt>
                <c:pt idx="197">
                  <c:v>49.25027847290039</c:v>
                </c:pt>
                <c:pt idx="198">
                  <c:v>49.50016784667969</c:v>
                </c:pt>
                <c:pt idx="199">
                  <c:v>49.75047302246094</c:v>
                </c:pt>
                <c:pt idx="200">
                  <c:v>50.00019454956055</c:v>
                </c:pt>
                <c:pt idx="201">
                  <c:v>50.25019454956055</c:v>
                </c:pt>
                <c:pt idx="202">
                  <c:v>50.50022125244141</c:v>
                </c:pt>
                <c:pt idx="203">
                  <c:v>50.75052642822266</c:v>
                </c:pt>
                <c:pt idx="204">
                  <c:v>51.00022125244141</c:v>
                </c:pt>
                <c:pt idx="205">
                  <c:v>51.2501106262207</c:v>
                </c:pt>
                <c:pt idx="206">
                  <c:v>51.50008392333984</c:v>
                </c:pt>
                <c:pt idx="207">
                  <c:v>51.75041580200195</c:v>
                </c:pt>
                <c:pt idx="208">
                  <c:v>52.00019454956055</c:v>
                </c:pt>
                <c:pt idx="209">
                  <c:v>52.25038909912109</c:v>
                </c:pt>
                <c:pt idx="210">
                  <c:v>52.50027847290039</c:v>
                </c:pt>
                <c:pt idx="211">
                  <c:v>52.75027847290039</c:v>
                </c:pt>
                <c:pt idx="212">
                  <c:v>53.00027847290039</c:v>
                </c:pt>
                <c:pt idx="213">
                  <c:v>53.25052642822266</c:v>
                </c:pt>
                <c:pt idx="214">
                  <c:v>53.50036239624023</c:v>
                </c:pt>
                <c:pt idx="215">
                  <c:v>53.75038909912109</c:v>
                </c:pt>
                <c:pt idx="216">
                  <c:v>54.00016784667969</c:v>
                </c:pt>
                <c:pt idx="217">
                  <c:v>54.25025177001953</c:v>
                </c:pt>
                <c:pt idx="218">
                  <c:v>54.50016784667969</c:v>
                </c:pt>
                <c:pt idx="219">
                  <c:v>54.75058364868164</c:v>
                </c:pt>
                <c:pt idx="220">
                  <c:v>55.00030517578125</c:v>
                </c:pt>
                <c:pt idx="221">
                  <c:v>55.25036239624023</c:v>
                </c:pt>
                <c:pt idx="222">
                  <c:v>55.50008392333984</c:v>
                </c:pt>
                <c:pt idx="223">
                  <c:v>55.75008392333984</c:v>
                </c:pt>
                <c:pt idx="224">
                  <c:v>56.00044631958008</c:v>
                </c:pt>
                <c:pt idx="225">
                  <c:v>56.25030517578125</c:v>
                </c:pt>
                <c:pt idx="226">
                  <c:v>56.50030517578125</c:v>
                </c:pt>
                <c:pt idx="227">
                  <c:v>56.75027847290039</c:v>
                </c:pt>
                <c:pt idx="228">
                  <c:v>57.00047302246094</c:v>
                </c:pt>
                <c:pt idx="229">
                  <c:v>57.25083160400391</c:v>
                </c:pt>
                <c:pt idx="230">
                  <c:v>57.50002670288086</c:v>
                </c:pt>
                <c:pt idx="231">
                  <c:v>57.75005722045898</c:v>
                </c:pt>
                <c:pt idx="232">
                  <c:v>58.0001106262207</c:v>
                </c:pt>
                <c:pt idx="233">
                  <c:v>58.25041580200195</c:v>
                </c:pt>
                <c:pt idx="234">
                  <c:v>58.50030517578125</c:v>
                </c:pt>
                <c:pt idx="235">
                  <c:v>58.75036239624023</c:v>
                </c:pt>
                <c:pt idx="236">
                  <c:v>59</c:v>
                </c:pt>
                <c:pt idx="237">
                  <c:v>59.25041580200195</c:v>
                </c:pt>
                <c:pt idx="238">
                  <c:v>59.50027847290039</c:v>
                </c:pt>
                <c:pt idx="239">
                  <c:v>59.75041580200195</c:v>
                </c:pt>
                <c:pt idx="240">
                  <c:v>60.00033187866211</c:v>
                </c:pt>
                <c:pt idx="241">
                  <c:v>60.2506103515625</c:v>
                </c:pt>
                <c:pt idx="242">
                  <c:v>60.50041580200195</c:v>
                </c:pt>
                <c:pt idx="243">
                  <c:v>60.7504997253418</c:v>
                </c:pt>
                <c:pt idx="244">
                  <c:v>61.00027847290039</c:v>
                </c:pt>
                <c:pt idx="245">
                  <c:v>61.25</c:v>
                </c:pt>
                <c:pt idx="246">
                  <c:v>61.50038909912109</c:v>
                </c:pt>
                <c:pt idx="247">
                  <c:v>61.75</c:v>
                </c:pt>
                <c:pt idx="248">
                  <c:v>62.00019454956055</c:v>
                </c:pt>
                <c:pt idx="249">
                  <c:v>62.25025177001953</c:v>
                </c:pt>
                <c:pt idx="250">
                  <c:v>62.5004997253418</c:v>
                </c:pt>
                <c:pt idx="251">
                  <c:v>62.75002670288086</c:v>
                </c:pt>
                <c:pt idx="252">
                  <c:v>63.00044631958008</c:v>
                </c:pt>
                <c:pt idx="253">
                  <c:v>63.25002670288086</c:v>
                </c:pt>
                <c:pt idx="254">
                  <c:v>63.5006103515625</c:v>
                </c:pt>
                <c:pt idx="255">
                  <c:v>63.75044631958008</c:v>
                </c:pt>
                <c:pt idx="256">
                  <c:v>64.00083160400391</c:v>
                </c:pt>
                <c:pt idx="257">
                  <c:v>64.25019073486328</c:v>
                </c:pt>
                <c:pt idx="258">
                  <c:v>64.50041961669922</c:v>
                </c:pt>
                <c:pt idx="259">
                  <c:v>64.75005340576172</c:v>
                </c:pt>
                <c:pt idx="260">
                  <c:v>65.00033569335938</c:v>
                </c:pt>
                <c:pt idx="261">
                  <c:v>65.25011444091797</c:v>
                </c:pt>
                <c:pt idx="262">
                  <c:v>65.50033569335938</c:v>
                </c:pt>
                <c:pt idx="263">
                  <c:v>65.75033569335938</c:v>
                </c:pt>
                <c:pt idx="264">
                  <c:v>66.00008392333984</c:v>
                </c:pt>
                <c:pt idx="265">
                  <c:v>66.25041961669922</c:v>
                </c:pt>
                <c:pt idx="266">
                  <c:v>66.50003051757812</c:v>
                </c:pt>
                <c:pt idx="267">
                  <c:v>66.75038909912109</c:v>
                </c:pt>
                <c:pt idx="268">
                  <c:v>67.00077819824219</c:v>
                </c:pt>
                <c:pt idx="269">
                  <c:v>67.25044250488281</c:v>
                </c:pt>
                <c:pt idx="270">
                  <c:v>67.50013732910156</c:v>
                </c:pt>
                <c:pt idx="271">
                  <c:v>67.75030517578125</c:v>
                </c:pt>
                <c:pt idx="272">
                  <c:v>68.00022125244141</c:v>
                </c:pt>
                <c:pt idx="273">
                  <c:v>68.25003051757812</c:v>
                </c:pt>
                <c:pt idx="274">
                  <c:v>68.5</c:v>
                </c:pt>
                <c:pt idx="275">
                  <c:v>68.75033569335938</c:v>
                </c:pt>
                <c:pt idx="276">
                  <c:v>69.00008392333984</c:v>
                </c:pt>
                <c:pt idx="277">
                  <c:v>69.25022125244141</c:v>
                </c:pt>
                <c:pt idx="278">
                  <c:v>69.50008392333984</c:v>
                </c:pt>
                <c:pt idx="279">
                  <c:v>69.75050354003906</c:v>
                </c:pt>
                <c:pt idx="280">
                  <c:v>70.00052642822266</c:v>
                </c:pt>
                <c:pt idx="281">
                  <c:v>70.2506103515625</c:v>
                </c:pt>
                <c:pt idx="282">
                  <c:v>70.5006103515625</c:v>
                </c:pt>
                <c:pt idx="283">
                  <c:v>70.75035858154297</c:v>
                </c:pt>
                <c:pt idx="284">
                  <c:v>71.00038909912109</c:v>
                </c:pt>
                <c:pt idx="285">
                  <c:v>71.25008392333984</c:v>
                </c:pt>
                <c:pt idx="286">
                  <c:v>71.50003051757812</c:v>
                </c:pt>
                <c:pt idx="287">
                  <c:v>71.75022125244141</c:v>
                </c:pt>
                <c:pt idx="288">
                  <c:v>72.00033569335938</c:v>
                </c:pt>
              </c:numCache>
            </c:numRef>
          </c:xVal>
          <c:yVal>
            <c:numRef>
              <c:f>SIM2!$G$11:$G$299</c:f>
              <c:numCache>
                <c:ptCount val="289"/>
                <c:pt idx="0">
                  <c:v>9.87746524810791</c:v>
                </c:pt>
                <c:pt idx="1">
                  <c:v>10.41926002502441</c:v>
                </c:pt>
                <c:pt idx="2">
                  <c:v>8.80455207824707</c:v>
                </c:pt>
                <c:pt idx="3">
                  <c:v>8.427870750427246</c:v>
                </c:pt>
                <c:pt idx="4">
                  <c:v>8.207898139953613</c:v>
                </c:pt>
                <c:pt idx="5">
                  <c:v>6.773316860198975</c:v>
                </c:pt>
                <c:pt idx="6">
                  <c:v>8.722887992858887</c:v>
                </c:pt>
                <c:pt idx="7">
                  <c:v>7.795071125030518</c:v>
                </c:pt>
                <c:pt idx="8">
                  <c:v>6.994433879852295</c:v>
                </c:pt>
                <c:pt idx="9">
                  <c:v>8.353146553039551</c:v>
                </c:pt>
                <c:pt idx="10">
                  <c:v>6.910186767578125</c:v>
                </c:pt>
                <c:pt idx="11">
                  <c:v>8.672121047973633</c:v>
                </c:pt>
                <c:pt idx="12">
                  <c:v>7.860945224761963</c:v>
                </c:pt>
                <c:pt idx="13">
                  <c:v>6.193033218383789</c:v>
                </c:pt>
                <c:pt idx="14">
                  <c:v>8.45409107208252</c:v>
                </c:pt>
                <c:pt idx="15">
                  <c:v>6.720756053924561</c:v>
                </c:pt>
                <c:pt idx="16">
                  <c:v>9.449234008789062</c:v>
                </c:pt>
                <c:pt idx="17">
                  <c:v>8.094941139221191</c:v>
                </c:pt>
                <c:pt idx="18">
                  <c:v>4.283183097839355</c:v>
                </c:pt>
                <c:pt idx="19">
                  <c:v>9.038081169128418</c:v>
                </c:pt>
                <c:pt idx="20">
                  <c:v>5.10724401473999</c:v>
                </c:pt>
                <c:pt idx="21">
                  <c:v>0.5123434066772461</c:v>
                </c:pt>
                <c:pt idx="22">
                  <c:v>2.059521913528442</c:v>
                </c:pt>
                <c:pt idx="23">
                  <c:v>1.244606018066406</c:v>
                </c:pt>
                <c:pt idx="24">
                  <c:v>7.30388879776001</c:v>
                </c:pt>
                <c:pt idx="25">
                  <c:v>3.070297002792358</c:v>
                </c:pt>
                <c:pt idx="26">
                  <c:v>10.95543003082275</c:v>
                </c:pt>
                <c:pt idx="27">
                  <c:v>10.11063957214355</c:v>
                </c:pt>
                <c:pt idx="28">
                  <c:v>9.260794639587402</c:v>
                </c:pt>
                <c:pt idx="29">
                  <c:v>4.740287780761719</c:v>
                </c:pt>
                <c:pt idx="30">
                  <c:v>11.71786975860596</c:v>
                </c:pt>
                <c:pt idx="31">
                  <c:v>7.909236907958984</c:v>
                </c:pt>
                <c:pt idx="32">
                  <c:v>0.8105617165565491</c:v>
                </c:pt>
                <c:pt idx="33">
                  <c:v>-2.962373971939087</c:v>
                </c:pt>
                <c:pt idx="34">
                  <c:v>-0.5833299160003662</c:v>
                </c:pt>
                <c:pt idx="35">
                  <c:v>23.96202087402344</c:v>
                </c:pt>
                <c:pt idx="36">
                  <c:v>4.312005996704102</c:v>
                </c:pt>
                <c:pt idx="37">
                  <c:v>14.14066982269287</c:v>
                </c:pt>
                <c:pt idx="38">
                  <c:v>6.976805210113525</c:v>
                </c:pt>
                <c:pt idx="39">
                  <c:v>9.144564628601074</c:v>
                </c:pt>
                <c:pt idx="40">
                  <c:v>8.382319450378418</c:v>
                </c:pt>
                <c:pt idx="41">
                  <c:v>2.355725049972534</c:v>
                </c:pt>
                <c:pt idx="42">
                  <c:v>0.6960685849189758</c:v>
                </c:pt>
                <c:pt idx="43">
                  <c:v>1.838644027709961</c:v>
                </c:pt>
                <c:pt idx="44">
                  <c:v>7.383876800537109</c:v>
                </c:pt>
                <c:pt idx="45">
                  <c:v>-0.6742815971374512</c:v>
                </c:pt>
                <c:pt idx="46">
                  <c:v>0.8219283223152161</c:v>
                </c:pt>
                <c:pt idx="47">
                  <c:v>-0.1877589970827103</c:v>
                </c:pt>
                <c:pt idx="48">
                  <c:v>0.5178825855255127</c:v>
                </c:pt>
                <c:pt idx="49">
                  <c:v>7.955897808074951</c:v>
                </c:pt>
                <c:pt idx="50">
                  <c:v>15.81995964050293</c:v>
                </c:pt>
                <c:pt idx="51">
                  <c:v>9.148945808410645</c:v>
                </c:pt>
                <c:pt idx="52">
                  <c:v>8.930270195007324</c:v>
                </c:pt>
                <c:pt idx="53">
                  <c:v>8.246096611022949</c:v>
                </c:pt>
                <c:pt idx="54">
                  <c:v>3.127161979675293</c:v>
                </c:pt>
                <c:pt idx="55">
                  <c:v>1.977808952331543</c:v>
                </c:pt>
                <c:pt idx="56">
                  <c:v>10.9381103515625</c:v>
                </c:pt>
                <c:pt idx="57">
                  <c:v>1.99179995059967</c:v>
                </c:pt>
                <c:pt idx="58">
                  <c:v>0.8470352292060852</c:v>
                </c:pt>
                <c:pt idx="59">
                  <c:v>2.540630102157593</c:v>
                </c:pt>
                <c:pt idx="60">
                  <c:v>0.3295069932937622</c:v>
                </c:pt>
                <c:pt idx="61">
                  <c:v>27.23904037475586</c:v>
                </c:pt>
                <c:pt idx="62">
                  <c:v>18.94208908081055</c:v>
                </c:pt>
                <c:pt idx="63">
                  <c:v>12.22441005706787</c:v>
                </c:pt>
                <c:pt idx="64">
                  <c:v>6.798157215118408</c:v>
                </c:pt>
                <c:pt idx="65">
                  <c:v>8.65031623840332</c:v>
                </c:pt>
                <c:pt idx="66">
                  <c:v>5.532604217529297</c:v>
                </c:pt>
                <c:pt idx="67">
                  <c:v>1.359563946723938</c:v>
                </c:pt>
                <c:pt idx="68">
                  <c:v>-1.93887197971344</c:v>
                </c:pt>
                <c:pt idx="69">
                  <c:v>3.448270082473755</c:v>
                </c:pt>
                <c:pt idx="70">
                  <c:v>4.751506805419922</c:v>
                </c:pt>
                <c:pt idx="71">
                  <c:v>1.358078956604004</c:v>
                </c:pt>
                <c:pt idx="72">
                  <c:v>-0.2542335093021393</c:v>
                </c:pt>
                <c:pt idx="73">
                  <c:v>0.4069018959999084</c:v>
                </c:pt>
                <c:pt idx="74">
                  <c:v>8.74162483215332</c:v>
                </c:pt>
                <c:pt idx="75">
                  <c:v>7.088486194610596</c:v>
                </c:pt>
                <c:pt idx="76">
                  <c:v>13.94209957122803</c:v>
                </c:pt>
                <c:pt idx="77">
                  <c:v>6.742417812347412</c:v>
                </c:pt>
                <c:pt idx="78">
                  <c:v>8.624566078186035</c:v>
                </c:pt>
                <c:pt idx="79">
                  <c:v>8.065496444702148</c:v>
                </c:pt>
                <c:pt idx="80">
                  <c:v>2.417278051376343</c:v>
                </c:pt>
                <c:pt idx="81">
                  <c:v>0.6043732762336731</c:v>
                </c:pt>
                <c:pt idx="82">
                  <c:v>3.790827035903931</c:v>
                </c:pt>
                <c:pt idx="83">
                  <c:v>5.605974197387695</c:v>
                </c:pt>
                <c:pt idx="84">
                  <c:v>2.487571954727173</c:v>
                </c:pt>
                <c:pt idx="85">
                  <c:v>0.2799755036830902</c:v>
                </c:pt>
                <c:pt idx="86">
                  <c:v>-0.3619283139705658</c:v>
                </c:pt>
                <c:pt idx="87">
                  <c:v>0.380557507276535</c:v>
                </c:pt>
                <c:pt idx="88">
                  <c:v>7.811957836151123</c:v>
                </c:pt>
                <c:pt idx="89">
                  <c:v>15.85731983184814</c:v>
                </c:pt>
                <c:pt idx="90">
                  <c:v>9.03498363494873</c:v>
                </c:pt>
                <c:pt idx="91">
                  <c:v>8.91380786895752</c:v>
                </c:pt>
                <c:pt idx="92">
                  <c:v>8.227372169494629</c:v>
                </c:pt>
                <c:pt idx="93">
                  <c:v>3.104639053344727</c:v>
                </c:pt>
                <c:pt idx="94">
                  <c:v>2.327883958816528</c:v>
                </c:pt>
                <c:pt idx="95">
                  <c:v>9.43757152557373</c:v>
                </c:pt>
                <c:pt idx="96">
                  <c:v>0.949629008769989</c:v>
                </c:pt>
                <c:pt idx="97">
                  <c:v>-2.512931108474731</c:v>
                </c:pt>
                <c:pt idx="98">
                  <c:v>0.9515712857246399</c:v>
                </c:pt>
                <c:pt idx="99">
                  <c:v>0.4794048070907593</c:v>
                </c:pt>
                <c:pt idx="100">
                  <c:v>18.65088081359863</c:v>
                </c:pt>
                <c:pt idx="101">
                  <c:v>17.21010971069336</c:v>
                </c:pt>
                <c:pt idx="102">
                  <c:v>11.90929985046387</c:v>
                </c:pt>
                <c:pt idx="103">
                  <c:v>7.606743812561035</c:v>
                </c:pt>
                <c:pt idx="104">
                  <c:v>8.59801197052002</c:v>
                </c:pt>
                <c:pt idx="105">
                  <c:v>4.495637893676758</c:v>
                </c:pt>
                <c:pt idx="106">
                  <c:v>1.095322012901306</c:v>
                </c:pt>
                <c:pt idx="107">
                  <c:v>2.077785015106201</c:v>
                </c:pt>
                <c:pt idx="108">
                  <c:v>11.8790397644043</c:v>
                </c:pt>
                <c:pt idx="109">
                  <c:v>3.7950599193573</c:v>
                </c:pt>
                <c:pt idx="110">
                  <c:v>-1.0746910572052</c:v>
                </c:pt>
                <c:pt idx="111">
                  <c:v>-0.9182785749435425</c:v>
                </c:pt>
                <c:pt idx="112">
                  <c:v>0.4533514082431793</c:v>
                </c:pt>
                <c:pt idx="113">
                  <c:v>21.66604995727539</c:v>
                </c:pt>
                <c:pt idx="114">
                  <c:v>8.01835823059082</c:v>
                </c:pt>
                <c:pt idx="115">
                  <c:v>13.5349702835083</c:v>
                </c:pt>
                <c:pt idx="116">
                  <c:v>6.473719120025635</c:v>
                </c:pt>
                <c:pt idx="117">
                  <c:v>8.6007080078125</c:v>
                </c:pt>
                <c:pt idx="118">
                  <c:v>7.918789863586426</c:v>
                </c:pt>
                <c:pt idx="119">
                  <c:v>2.222779035568237</c:v>
                </c:pt>
                <c:pt idx="120">
                  <c:v>-1.103921055793762</c:v>
                </c:pt>
                <c:pt idx="121">
                  <c:v>1.779850006103516</c:v>
                </c:pt>
                <c:pt idx="122">
                  <c:v>6.675453186035156</c:v>
                </c:pt>
                <c:pt idx="123">
                  <c:v>1.826624035835266</c:v>
                </c:pt>
                <c:pt idx="124">
                  <c:v>0.7777583003044128</c:v>
                </c:pt>
                <c:pt idx="125">
                  <c:v>0.3021728992462158</c:v>
                </c:pt>
                <c:pt idx="126">
                  <c:v>0.253744900226593</c:v>
                </c:pt>
                <c:pt idx="127">
                  <c:v>8.808355331420898</c:v>
                </c:pt>
                <c:pt idx="128">
                  <c:v>15.97603034973145</c:v>
                </c:pt>
                <c:pt idx="129">
                  <c:v>9.177010536193848</c:v>
                </c:pt>
                <c:pt idx="130">
                  <c:v>8.912381172180176</c:v>
                </c:pt>
                <c:pt idx="131">
                  <c:v>8.236239433288574</c:v>
                </c:pt>
                <c:pt idx="132">
                  <c:v>3.147496938705444</c:v>
                </c:pt>
                <c:pt idx="133">
                  <c:v>2.328649997711182</c:v>
                </c:pt>
                <c:pt idx="134">
                  <c:v>9.496709823608398</c:v>
                </c:pt>
                <c:pt idx="135">
                  <c:v>-2.376667976379395</c:v>
                </c:pt>
                <c:pt idx="136">
                  <c:v>3.94856595993042</c:v>
                </c:pt>
                <c:pt idx="137">
                  <c:v>0.2602480947971344</c:v>
                </c:pt>
                <c:pt idx="138">
                  <c:v>0.20640629529953</c:v>
                </c:pt>
                <c:pt idx="139">
                  <c:v>21.31669044494629</c:v>
                </c:pt>
                <c:pt idx="140">
                  <c:v>18.21973037719727</c:v>
                </c:pt>
                <c:pt idx="141">
                  <c:v>12.0685396194458</c:v>
                </c:pt>
                <c:pt idx="142">
                  <c:v>7.391096115112305</c:v>
                </c:pt>
                <c:pt idx="143">
                  <c:v>8.619895935058594</c:v>
                </c:pt>
                <c:pt idx="144">
                  <c:v>4.809197902679443</c:v>
                </c:pt>
                <c:pt idx="145">
                  <c:v>1.337393999099731</c:v>
                </c:pt>
                <c:pt idx="146">
                  <c:v>1.22596001625061</c:v>
                </c:pt>
                <c:pt idx="147">
                  <c:v>12.96218013763428</c:v>
                </c:pt>
                <c:pt idx="148">
                  <c:v>3.609347105026245</c:v>
                </c:pt>
                <c:pt idx="149">
                  <c:v>-1.511644005775452</c:v>
                </c:pt>
                <c:pt idx="150">
                  <c:v>-0.376103401184082</c:v>
                </c:pt>
                <c:pt idx="151">
                  <c:v>0.4768890142440796</c:v>
                </c:pt>
                <c:pt idx="152">
                  <c:v>17.59182929992676</c:v>
                </c:pt>
                <c:pt idx="153">
                  <c:v>7.883796215057373</c:v>
                </c:pt>
                <c:pt idx="154">
                  <c:v>13.61561965942383</c:v>
                </c:pt>
                <c:pt idx="155">
                  <c:v>6.510660171508789</c:v>
                </c:pt>
                <c:pt idx="156">
                  <c:v>8.601593017578125</c:v>
                </c:pt>
                <c:pt idx="157">
                  <c:v>7.954203128814697</c:v>
                </c:pt>
                <c:pt idx="158">
                  <c:v>2.267174959182739</c:v>
                </c:pt>
                <c:pt idx="159">
                  <c:v>1.098333954811096</c:v>
                </c:pt>
                <c:pt idx="160">
                  <c:v>1.386075973510742</c:v>
                </c:pt>
                <c:pt idx="161">
                  <c:v>8.519146919250488</c:v>
                </c:pt>
                <c:pt idx="162">
                  <c:v>-0.220519095659256</c:v>
                </c:pt>
                <c:pt idx="163">
                  <c:v>0.173305407166481</c:v>
                </c:pt>
                <c:pt idx="164">
                  <c:v>-0.2799912989139557</c:v>
                </c:pt>
                <c:pt idx="165">
                  <c:v>0.5659483075141907</c:v>
                </c:pt>
                <c:pt idx="166">
                  <c:v>8.933833122253418</c:v>
                </c:pt>
                <c:pt idx="167">
                  <c:v>15.82112979888916</c:v>
                </c:pt>
                <c:pt idx="168">
                  <c:v>9.242738723754883</c:v>
                </c:pt>
                <c:pt idx="169">
                  <c:v>8.95292854309082</c:v>
                </c:pt>
                <c:pt idx="170">
                  <c:v>8.241073608398438</c:v>
                </c:pt>
                <c:pt idx="171">
                  <c:v>3.095400094985962</c:v>
                </c:pt>
                <c:pt idx="172">
                  <c:v>1.605914950370789</c:v>
                </c:pt>
                <c:pt idx="173">
                  <c:v>0.553440272808075</c:v>
                </c:pt>
                <c:pt idx="174">
                  <c:v>11.20740032196045</c:v>
                </c:pt>
                <c:pt idx="175">
                  <c:v>-0.1169392988085747</c:v>
                </c:pt>
                <c:pt idx="176">
                  <c:v>1.034286022186279</c:v>
                </c:pt>
                <c:pt idx="177">
                  <c:v>0.302421510219574</c:v>
                </c:pt>
                <c:pt idx="178">
                  <c:v>0.878736674785614</c:v>
                </c:pt>
                <c:pt idx="179">
                  <c:v>19.84519958496094</c:v>
                </c:pt>
                <c:pt idx="180">
                  <c:v>17.48024940490723</c:v>
                </c:pt>
                <c:pt idx="181">
                  <c:v>11.98412990570068</c:v>
                </c:pt>
                <c:pt idx="182">
                  <c:v>8.57013988494873</c:v>
                </c:pt>
                <c:pt idx="183">
                  <c:v>8.446681976318359</c:v>
                </c:pt>
                <c:pt idx="184">
                  <c:v>4.252179145812988</c:v>
                </c:pt>
                <c:pt idx="185">
                  <c:v>2.054096937179565</c:v>
                </c:pt>
                <c:pt idx="186">
                  <c:v>12.04963970184326</c:v>
                </c:pt>
                <c:pt idx="187">
                  <c:v>1.301565051078796</c:v>
                </c:pt>
                <c:pt idx="188">
                  <c:v>1.825464963912964</c:v>
                </c:pt>
                <c:pt idx="189">
                  <c:v>-0.2885836064815521</c:v>
                </c:pt>
                <c:pt idx="190">
                  <c:v>-0.06936351209878922</c:v>
                </c:pt>
                <c:pt idx="191">
                  <c:v>41.73886871337891</c:v>
                </c:pt>
                <c:pt idx="192">
                  <c:v>10.16502952575684</c:v>
                </c:pt>
                <c:pt idx="193">
                  <c:v>12.37992000579834</c:v>
                </c:pt>
                <c:pt idx="194">
                  <c:v>6.118587017059326</c:v>
                </c:pt>
                <c:pt idx="195">
                  <c:v>8.661272048950195</c:v>
                </c:pt>
                <c:pt idx="196">
                  <c:v>7.027764797210693</c:v>
                </c:pt>
                <c:pt idx="197">
                  <c:v>1.626256942749023</c:v>
                </c:pt>
                <c:pt idx="198">
                  <c:v>-0.498811811208725</c:v>
                </c:pt>
                <c:pt idx="199">
                  <c:v>0.8022444248199463</c:v>
                </c:pt>
                <c:pt idx="200">
                  <c:v>9.098187446594238</c:v>
                </c:pt>
                <c:pt idx="201">
                  <c:v>-0.4447552859783173</c:v>
                </c:pt>
                <c:pt idx="202">
                  <c:v>0.6851266026496887</c:v>
                </c:pt>
                <c:pt idx="203">
                  <c:v>-0.09403596073389053</c:v>
                </c:pt>
                <c:pt idx="204">
                  <c:v>0.4436933100223541</c:v>
                </c:pt>
                <c:pt idx="205">
                  <c:v>7.316048145294189</c:v>
                </c:pt>
                <c:pt idx="206">
                  <c:v>15.09134006500244</c:v>
                </c:pt>
                <c:pt idx="207">
                  <c:v>8.296501159667969</c:v>
                </c:pt>
                <c:pt idx="208">
                  <c:v>8.824775695800781</c:v>
                </c:pt>
                <c:pt idx="209">
                  <c:v>8.185871124267578</c:v>
                </c:pt>
                <c:pt idx="210">
                  <c:v>2.846436977386475</c:v>
                </c:pt>
                <c:pt idx="211">
                  <c:v>1.19061803817749</c:v>
                </c:pt>
                <c:pt idx="212">
                  <c:v>0.8433114290237427</c:v>
                </c:pt>
                <c:pt idx="213">
                  <c:v>9.513184547424316</c:v>
                </c:pt>
                <c:pt idx="214">
                  <c:v>0.7723609805107117</c:v>
                </c:pt>
                <c:pt idx="215">
                  <c:v>0.8225427865982056</c:v>
                </c:pt>
                <c:pt idx="216">
                  <c:v>0.3443416953086853</c:v>
                </c:pt>
                <c:pt idx="217">
                  <c:v>2.995807886123657</c:v>
                </c:pt>
                <c:pt idx="218">
                  <c:v>17.06826019287109</c:v>
                </c:pt>
                <c:pt idx="219">
                  <c:v>17.22927093505859</c:v>
                </c:pt>
                <c:pt idx="220">
                  <c:v>11.62646961212158</c:v>
                </c:pt>
                <c:pt idx="221">
                  <c:v>8.821006774902344</c:v>
                </c:pt>
                <c:pt idx="222">
                  <c:v>8.378043174743652</c:v>
                </c:pt>
                <c:pt idx="223">
                  <c:v>3.942853927612305</c:v>
                </c:pt>
                <c:pt idx="224">
                  <c:v>2.136255979537964</c:v>
                </c:pt>
                <c:pt idx="225">
                  <c:v>11.05840015411377</c:v>
                </c:pt>
                <c:pt idx="226">
                  <c:v>-0.08689639717340469</c:v>
                </c:pt>
                <c:pt idx="227">
                  <c:v>1.868427991867065</c:v>
                </c:pt>
                <c:pt idx="228">
                  <c:v>-2.975481986999512</c:v>
                </c:pt>
                <c:pt idx="229">
                  <c:v>-0.1025506034493446</c:v>
                </c:pt>
                <c:pt idx="230">
                  <c:v>31.26083946228027</c:v>
                </c:pt>
                <c:pt idx="231">
                  <c:v>15.36135005950928</c:v>
                </c:pt>
                <c:pt idx="232">
                  <c:v>12.21648979187012</c:v>
                </c:pt>
                <c:pt idx="233">
                  <c:v>6.409931182861328</c:v>
                </c:pt>
                <c:pt idx="234">
                  <c:v>8.669472694396973</c:v>
                </c:pt>
                <c:pt idx="235">
                  <c:v>6.075493812561035</c:v>
                </c:pt>
                <c:pt idx="236">
                  <c:v>1.415102005004883</c:v>
                </c:pt>
                <c:pt idx="237">
                  <c:v>-0.1777458041906357</c:v>
                </c:pt>
                <c:pt idx="238">
                  <c:v>1.483948945999146</c:v>
                </c:pt>
                <c:pt idx="239">
                  <c:v>7.059772968292236</c:v>
                </c:pt>
                <c:pt idx="240">
                  <c:v>1.304708003997803</c:v>
                </c:pt>
                <c:pt idx="241">
                  <c:v>0.8477131724357605</c:v>
                </c:pt>
                <c:pt idx="242">
                  <c:v>0.3429327011108398</c:v>
                </c:pt>
                <c:pt idx="243">
                  <c:v>1.768915057182312</c:v>
                </c:pt>
                <c:pt idx="244">
                  <c:v>6.87212085723877</c:v>
                </c:pt>
                <c:pt idx="245">
                  <c:v>14.55694007873535</c:v>
                </c:pt>
                <c:pt idx="246">
                  <c:v>7.415554046630859</c:v>
                </c:pt>
                <c:pt idx="247">
                  <c:v>8.705714225769043</c:v>
                </c:pt>
                <c:pt idx="248">
                  <c:v>8.144322395324707</c:v>
                </c:pt>
                <c:pt idx="249">
                  <c:v>2.630429983139038</c:v>
                </c:pt>
                <c:pt idx="250">
                  <c:v>-0.1554224044084549</c:v>
                </c:pt>
                <c:pt idx="251">
                  <c:v>0.3706951141357422</c:v>
                </c:pt>
                <c:pt idx="252">
                  <c:v>9.9893798828125</c:v>
                </c:pt>
                <c:pt idx="253">
                  <c:v>-0.2523840963840485</c:v>
                </c:pt>
                <c:pt idx="254">
                  <c:v>-0.2776275873184204</c:v>
                </c:pt>
                <c:pt idx="255">
                  <c:v>-0.2976445853710175</c:v>
                </c:pt>
                <c:pt idx="256">
                  <c:v>2.369399070739746</c:v>
                </c:pt>
                <c:pt idx="257">
                  <c:v>15.09593963623047</c:v>
                </c:pt>
                <c:pt idx="258">
                  <c:v>16.92667961120605</c:v>
                </c:pt>
                <c:pt idx="259">
                  <c:v>11.15147018432617</c:v>
                </c:pt>
                <c:pt idx="260">
                  <c:v>9.014277458190918</c:v>
                </c:pt>
                <c:pt idx="261">
                  <c:v>8.355713844299316</c:v>
                </c:pt>
                <c:pt idx="262">
                  <c:v>3.678674936294556</c:v>
                </c:pt>
                <c:pt idx="263">
                  <c:v>1.611415982246399</c:v>
                </c:pt>
                <c:pt idx="264">
                  <c:v>18.44318962097168</c:v>
                </c:pt>
                <c:pt idx="265">
                  <c:v>2.216191053390503</c:v>
                </c:pt>
                <c:pt idx="266">
                  <c:v>-0.04424265027046204</c:v>
                </c:pt>
                <c:pt idx="267">
                  <c:v>-0.312252402305603</c:v>
                </c:pt>
                <c:pt idx="268">
                  <c:v>0.08160561323165894</c:v>
                </c:pt>
                <c:pt idx="269">
                  <c:v>18.49894905090332</c:v>
                </c:pt>
                <c:pt idx="270">
                  <c:v>6.580580234527588</c:v>
                </c:pt>
                <c:pt idx="271">
                  <c:v>13.28372955322266</c:v>
                </c:pt>
                <c:pt idx="272">
                  <c:v>6.449410915374756</c:v>
                </c:pt>
                <c:pt idx="273">
                  <c:v>8.62880802154541</c:v>
                </c:pt>
                <c:pt idx="274">
                  <c:v>8.02541446685791</c:v>
                </c:pt>
                <c:pt idx="275">
                  <c:v>2.166899919509888</c:v>
                </c:pt>
                <c:pt idx="276">
                  <c:v>1.985702991485596</c:v>
                </c:pt>
                <c:pt idx="277">
                  <c:v>0.4825195074081421</c:v>
                </c:pt>
                <c:pt idx="278">
                  <c:v>9.930739402770996</c:v>
                </c:pt>
                <c:pt idx="279">
                  <c:v>0.4101802110671997</c:v>
                </c:pt>
                <c:pt idx="280">
                  <c:v>-0.168119803071022</c:v>
                </c:pt>
                <c:pt idx="281">
                  <c:v>-0.3854599893093109</c:v>
                </c:pt>
                <c:pt idx="282">
                  <c:v>3.033950090408325</c:v>
                </c:pt>
                <c:pt idx="283">
                  <c:v>11.35599040985107</c:v>
                </c:pt>
                <c:pt idx="284">
                  <c:v>16.42929077148438</c:v>
                </c:pt>
                <c:pt idx="285">
                  <c:v>10.19721031188965</c:v>
                </c:pt>
                <c:pt idx="286">
                  <c:v>9.009823799133301</c:v>
                </c:pt>
                <c:pt idx="287">
                  <c:v>8.281826972961426</c:v>
                </c:pt>
                <c:pt idx="288">
                  <c:v>3.365780115127563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axId val="75091328"/>
        <c:axId val="75089408"/>
      </c:scatterChart>
      <c:valAx>
        <c:axId val="750913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t>Time [h]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val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r>
                  <a:t/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Report-2031_Oil_4500bopd_Liquid_4773blpd_No_GL_TD_Only_OP2.genkey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Legends!B2</c:f>
              <c:strCache>
                <c:ptCount val="1"/>
                <c:pt idx="0">
                  <c:v>VAR1</c:v>
                </c:pt>
              </c:strCache>
            </c:strRef>
          </c:tx>
          <c:marker>
            <c:symbol val="none"/>
          </c:marker>
          <c:xVal>
            <c:numRef>
              <c:f>SIM3!$A$11:$A$299</c:f>
              <c:numCache>
                <c:ptCount val="289"/>
                <c:pt idx="0">
                  <c:v>0</c:v>
                </c:pt>
                <c:pt idx="1">
                  <c:v>0.2500112354755402</c:v>
                </c:pt>
                <c:pt idx="2">
                  <c:v>0.5001211166381836</c:v>
                </c:pt>
                <c:pt idx="3">
                  <c:v>0.7500610947608948</c:v>
                </c:pt>
                <c:pt idx="4">
                  <c:v>1.000138640403748</c:v>
                </c:pt>
                <c:pt idx="5">
                  <c:v>1.25046443939209</c:v>
                </c:pt>
                <c:pt idx="6">
                  <c:v>1.500494718551636</c:v>
                </c:pt>
                <c:pt idx="7">
                  <c:v>1.750004172325134</c:v>
                </c:pt>
                <c:pt idx="8">
                  <c:v>2.000420570373535</c:v>
                </c:pt>
                <c:pt idx="9">
                  <c:v>2.250224113464355</c:v>
                </c:pt>
                <c:pt idx="10">
                  <c:v>2.500369071960449</c:v>
                </c:pt>
                <c:pt idx="11">
                  <c:v>2.750024080276489</c:v>
                </c:pt>
                <c:pt idx="12">
                  <c:v>3.000208377838135</c:v>
                </c:pt>
                <c:pt idx="13">
                  <c:v>3.250113964080811</c:v>
                </c:pt>
                <c:pt idx="14">
                  <c:v>3.500452756881714</c:v>
                </c:pt>
                <c:pt idx="15">
                  <c:v>3.750383377075195</c:v>
                </c:pt>
                <c:pt idx="16">
                  <c:v>4.000344276428223</c:v>
                </c:pt>
                <c:pt idx="17">
                  <c:v>4.250494480133057</c:v>
                </c:pt>
                <c:pt idx="18">
                  <c:v>4.500461101531982</c:v>
                </c:pt>
                <c:pt idx="19">
                  <c:v>4.750263690948486</c:v>
                </c:pt>
                <c:pt idx="20">
                  <c:v>5.00053071975708</c:v>
                </c:pt>
                <c:pt idx="21">
                  <c:v>5.250083446502686</c:v>
                </c:pt>
                <c:pt idx="22">
                  <c:v>5.500141620635986</c:v>
                </c:pt>
                <c:pt idx="23">
                  <c:v>5.750216484069824</c:v>
                </c:pt>
                <c:pt idx="24">
                  <c:v>6.000549793243408</c:v>
                </c:pt>
                <c:pt idx="25">
                  <c:v>6.250091552734375</c:v>
                </c:pt>
                <c:pt idx="26">
                  <c:v>6.500341892242432</c:v>
                </c:pt>
                <c:pt idx="27">
                  <c:v>6.75011682510376</c:v>
                </c:pt>
                <c:pt idx="28">
                  <c:v>7.000205516815186</c:v>
                </c:pt>
                <c:pt idx="29">
                  <c:v>7.250244617462158</c:v>
                </c:pt>
                <c:pt idx="30">
                  <c:v>7.500135898590088</c:v>
                </c:pt>
                <c:pt idx="31">
                  <c:v>7.750339031219482</c:v>
                </c:pt>
                <c:pt idx="32">
                  <c:v>8.000338554382324</c:v>
                </c:pt>
                <c:pt idx="33">
                  <c:v>8.250455856323242</c:v>
                </c:pt>
                <c:pt idx="34">
                  <c:v>8.500544548034668</c:v>
                </c:pt>
                <c:pt idx="35">
                  <c:v>8.75</c:v>
                </c:pt>
                <c:pt idx="36">
                  <c:v>9.000472068786621</c:v>
                </c:pt>
                <c:pt idx="37">
                  <c:v>9.25011157989502</c:v>
                </c:pt>
                <c:pt idx="38">
                  <c:v>9.500683784484863</c:v>
                </c:pt>
                <c:pt idx="39">
                  <c:v>9.750430107116699</c:v>
                </c:pt>
                <c:pt idx="40">
                  <c:v>10.00016403198242</c:v>
                </c:pt>
                <c:pt idx="41">
                  <c:v>10.2501277923584</c:v>
                </c:pt>
                <c:pt idx="42">
                  <c:v>10.50033569335938</c:v>
                </c:pt>
                <c:pt idx="43">
                  <c:v>10.75016117095947</c:v>
                </c:pt>
                <c:pt idx="44">
                  <c:v>11.00027179718018</c:v>
                </c:pt>
                <c:pt idx="45">
                  <c:v>11.25069999694824</c:v>
                </c:pt>
                <c:pt idx="46">
                  <c:v>11.50054168701172</c:v>
                </c:pt>
                <c:pt idx="47">
                  <c:v>11.75013065338135</c:v>
                </c:pt>
                <c:pt idx="48">
                  <c:v>12.0003023147583</c:v>
                </c:pt>
                <c:pt idx="49">
                  <c:v>12.25020313262939</c:v>
                </c:pt>
                <c:pt idx="50">
                  <c:v>12.50034141540527</c:v>
                </c:pt>
                <c:pt idx="51">
                  <c:v>12.75021648406982</c:v>
                </c:pt>
                <c:pt idx="52">
                  <c:v>13.00022792816162</c:v>
                </c:pt>
                <c:pt idx="53">
                  <c:v>13.25059413909912</c:v>
                </c:pt>
                <c:pt idx="54">
                  <c:v>13.50055027008057</c:v>
                </c:pt>
                <c:pt idx="55">
                  <c:v>13.7501220703125</c:v>
                </c:pt>
                <c:pt idx="56">
                  <c:v>14.00006675720215</c:v>
                </c:pt>
                <c:pt idx="57">
                  <c:v>14.25055599212646</c:v>
                </c:pt>
                <c:pt idx="58">
                  <c:v>14.50046348571777</c:v>
                </c:pt>
                <c:pt idx="59">
                  <c:v>14.75028038024902</c:v>
                </c:pt>
                <c:pt idx="60">
                  <c:v>15.00006103515625</c:v>
                </c:pt>
                <c:pt idx="61">
                  <c:v>15.25045299530029</c:v>
                </c:pt>
                <c:pt idx="62">
                  <c:v>15.50001621246338</c:v>
                </c:pt>
                <c:pt idx="63">
                  <c:v>15.75035858154297</c:v>
                </c:pt>
                <c:pt idx="64">
                  <c:v>16.0000057220459</c:v>
                </c:pt>
                <c:pt idx="65">
                  <c:v>16.25017166137695</c:v>
                </c:pt>
                <c:pt idx="66">
                  <c:v>16.50028038024902</c:v>
                </c:pt>
                <c:pt idx="67">
                  <c:v>16.75034141540527</c:v>
                </c:pt>
                <c:pt idx="68">
                  <c:v>17.00038146972656</c:v>
                </c:pt>
                <c:pt idx="69">
                  <c:v>17.25022315979004</c:v>
                </c:pt>
                <c:pt idx="70">
                  <c:v>17.50027847290039</c:v>
                </c:pt>
                <c:pt idx="71">
                  <c:v>17.75018310546875</c:v>
                </c:pt>
                <c:pt idx="72">
                  <c:v>18.00062561035156</c:v>
                </c:pt>
                <c:pt idx="73">
                  <c:v>18.25037574768066</c:v>
                </c:pt>
                <c:pt idx="74">
                  <c:v>18.50007438659668</c:v>
                </c:pt>
                <c:pt idx="75">
                  <c:v>18.75033950805664</c:v>
                </c:pt>
                <c:pt idx="76">
                  <c:v>19.00041389465332</c:v>
                </c:pt>
                <c:pt idx="77">
                  <c:v>19.25008964538574</c:v>
                </c:pt>
                <c:pt idx="78">
                  <c:v>19.50041198730469</c:v>
                </c:pt>
                <c:pt idx="79">
                  <c:v>19.75034141540527</c:v>
                </c:pt>
                <c:pt idx="80">
                  <c:v>20.00035858154297</c:v>
                </c:pt>
                <c:pt idx="81">
                  <c:v>20.25011444091797</c:v>
                </c:pt>
                <c:pt idx="82">
                  <c:v>20.50053977966309</c:v>
                </c:pt>
                <c:pt idx="83">
                  <c:v>20.75032806396484</c:v>
                </c:pt>
                <c:pt idx="84">
                  <c:v>21.00030517578125</c:v>
                </c:pt>
                <c:pt idx="85">
                  <c:v>21.25016975402832</c:v>
                </c:pt>
                <c:pt idx="86">
                  <c:v>21.50005531311035</c:v>
                </c:pt>
                <c:pt idx="87">
                  <c:v>21.75035285949707</c:v>
                </c:pt>
                <c:pt idx="88">
                  <c:v>22.00033950805664</c:v>
                </c:pt>
                <c:pt idx="89">
                  <c:v>22.25032806396484</c:v>
                </c:pt>
                <c:pt idx="90">
                  <c:v>22.50010871887207</c:v>
                </c:pt>
                <c:pt idx="91">
                  <c:v>22.75060272216797</c:v>
                </c:pt>
                <c:pt idx="92">
                  <c:v>23.00004959106445</c:v>
                </c:pt>
                <c:pt idx="93">
                  <c:v>23.25018119812012</c:v>
                </c:pt>
                <c:pt idx="94">
                  <c:v>23.50004196166992</c:v>
                </c:pt>
                <c:pt idx="95">
                  <c:v>23.7502613067627</c:v>
                </c:pt>
                <c:pt idx="96">
                  <c:v>24.00009155273438</c:v>
                </c:pt>
                <c:pt idx="97">
                  <c:v>24.2501163482666</c:v>
                </c:pt>
                <c:pt idx="98">
                  <c:v>24.50030899047852</c:v>
                </c:pt>
                <c:pt idx="99">
                  <c:v>24.75033569335938</c:v>
                </c:pt>
                <c:pt idx="100">
                  <c:v>25.00015830993652</c:v>
                </c:pt>
                <c:pt idx="101">
                  <c:v>25.25021743774414</c:v>
                </c:pt>
                <c:pt idx="102">
                  <c:v>25.5007381439209</c:v>
                </c:pt>
                <c:pt idx="103">
                  <c:v>25.75076866149902</c:v>
                </c:pt>
                <c:pt idx="104">
                  <c:v>26.00023651123047</c:v>
                </c:pt>
                <c:pt idx="105">
                  <c:v>26.25028038024902</c:v>
                </c:pt>
                <c:pt idx="106">
                  <c:v>26.50044250488281</c:v>
                </c:pt>
                <c:pt idx="107">
                  <c:v>26.75016975402832</c:v>
                </c:pt>
                <c:pt idx="108">
                  <c:v>27.00003242492676</c:v>
                </c:pt>
                <c:pt idx="109">
                  <c:v>27.25041389465332</c:v>
                </c:pt>
                <c:pt idx="110">
                  <c:v>27.50036430358887</c:v>
                </c:pt>
                <c:pt idx="111">
                  <c:v>27.75016593933105</c:v>
                </c:pt>
                <c:pt idx="112">
                  <c:v>28.00069427490234</c:v>
                </c:pt>
                <c:pt idx="113">
                  <c:v>28.2506103515625</c:v>
                </c:pt>
                <c:pt idx="114">
                  <c:v>28.50008392333984</c:v>
                </c:pt>
                <c:pt idx="115">
                  <c:v>28.75055503845215</c:v>
                </c:pt>
                <c:pt idx="116">
                  <c:v>29.0001392364502</c:v>
                </c:pt>
                <c:pt idx="117">
                  <c:v>29.25019454956055</c:v>
                </c:pt>
                <c:pt idx="118">
                  <c:v>29.50019454956055</c:v>
                </c:pt>
                <c:pt idx="119">
                  <c:v>29.75038909912109</c:v>
                </c:pt>
                <c:pt idx="120">
                  <c:v>30.00022315979004</c:v>
                </c:pt>
                <c:pt idx="121">
                  <c:v>30.25030517578125</c:v>
                </c:pt>
                <c:pt idx="122">
                  <c:v>30.50077819824219</c:v>
                </c:pt>
                <c:pt idx="123">
                  <c:v>30.75030517578125</c:v>
                </c:pt>
                <c:pt idx="124">
                  <c:v>31.0001106262207</c:v>
                </c:pt>
                <c:pt idx="125">
                  <c:v>31.25022315979004</c:v>
                </c:pt>
                <c:pt idx="126">
                  <c:v>31.5001392364502</c:v>
                </c:pt>
                <c:pt idx="127">
                  <c:v>31.75002861022949</c:v>
                </c:pt>
                <c:pt idx="128">
                  <c:v>32.00055694580078</c:v>
                </c:pt>
                <c:pt idx="129">
                  <c:v>32.25033187866211</c:v>
                </c:pt>
                <c:pt idx="130">
                  <c:v>32.50038909912109</c:v>
                </c:pt>
                <c:pt idx="131">
                  <c:v>32.75019454956055</c:v>
                </c:pt>
                <c:pt idx="132">
                  <c:v>33.0007209777832</c:v>
                </c:pt>
                <c:pt idx="133">
                  <c:v>33.25008392333984</c:v>
                </c:pt>
                <c:pt idx="134">
                  <c:v>33.50002670288086</c:v>
                </c:pt>
                <c:pt idx="135">
                  <c:v>33.75033187866211</c:v>
                </c:pt>
                <c:pt idx="136">
                  <c:v>34.00033187866211</c:v>
                </c:pt>
                <c:pt idx="137">
                  <c:v>34.25047302246094</c:v>
                </c:pt>
                <c:pt idx="138">
                  <c:v>34.50013732910156</c:v>
                </c:pt>
                <c:pt idx="139">
                  <c:v>34.7506103515625</c:v>
                </c:pt>
                <c:pt idx="140">
                  <c:v>35.00019454956055</c:v>
                </c:pt>
                <c:pt idx="141">
                  <c:v>35.25066757202148</c:v>
                </c:pt>
                <c:pt idx="142">
                  <c:v>35.50013732910156</c:v>
                </c:pt>
                <c:pt idx="143">
                  <c:v>35.75</c:v>
                </c:pt>
                <c:pt idx="144">
                  <c:v>36.0004997253418</c:v>
                </c:pt>
                <c:pt idx="145">
                  <c:v>36.25002670288086</c:v>
                </c:pt>
                <c:pt idx="146">
                  <c:v>36.50019454956055</c:v>
                </c:pt>
                <c:pt idx="147">
                  <c:v>36.75047302246094</c:v>
                </c:pt>
                <c:pt idx="148">
                  <c:v>37.00025177001953</c:v>
                </c:pt>
                <c:pt idx="149">
                  <c:v>37.2501106262207</c:v>
                </c:pt>
                <c:pt idx="150">
                  <c:v>37.50002670288086</c:v>
                </c:pt>
                <c:pt idx="151">
                  <c:v>37.75083160400391</c:v>
                </c:pt>
                <c:pt idx="152">
                  <c:v>38.00052642822266</c:v>
                </c:pt>
                <c:pt idx="153">
                  <c:v>38.25022125244141</c:v>
                </c:pt>
                <c:pt idx="154">
                  <c:v>38.50013732910156</c:v>
                </c:pt>
                <c:pt idx="155">
                  <c:v>38.75030517578125</c:v>
                </c:pt>
                <c:pt idx="156">
                  <c:v>39.00027847290039</c:v>
                </c:pt>
                <c:pt idx="157">
                  <c:v>39.25027847290039</c:v>
                </c:pt>
                <c:pt idx="158">
                  <c:v>39.50055694580078</c:v>
                </c:pt>
                <c:pt idx="159">
                  <c:v>39.75041580200195</c:v>
                </c:pt>
                <c:pt idx="160">
                  <c:v>40.0007209777832</c:v>
                </c:pt>
                <c:pt idx="161">
                  <c:v>40.25005722045898</c:v>
                </c:pt>
                <c:pt idx="162">
                  <c:v>40.50047302246094</c:v>
                </c:pt>
                <c:pt idx="163">
                  <c:v>40.7501106262207</c:v>
                </c:pt>
                <c:pt idx="164">
                  <c:v>41.00038909912109</c:v>
                </c:pt>
                <c:pt idx="165">
                  <c:v>41.25022125244141</c:v>
                </c:pt>
                <c:pt idx="166">
                  <c:v>41.50027847290039</c:v>
                </c:pt>
                <c:pt idx="167">
                  <c:v>41.7501106262207</c:v>
                </c:pt>
                <c:pt idx="168">
                  <c:v>42.00038909912109</c:v>
                </c:pt>
                <c:pt idx="169">
                  <c:v>42.2504997253418</c:v>
                </c:pt>
                <c:pt idx="170">
                  <c:v>42.50086212158203</c:v>
                </c:pt>
                <c:pt idx="171">
                  <c:v>42.75008392333984</c:v>
                </c:pt>
                <c:pt idx="172">
                  <c:v>43.00036239624023</c:v>
                </c:pt>
                <c:pt idx="173">
                  <c:v>43.25016784667969</c:v>
                </c:pt>
                <c:pt idx="174">
                  <c:v>43.50027847290039</c:v>
                </c:pt>
                <c:pt idx="175">
                  <c:v>43.75038909912109</c:v>
                </c:pt>
                <c:pt idx="176">
                  <c:v>44.00058364868164</c:v>
                </c:pt>
                <c:pt idx="177">
                  <c:v>44.25005722045898</c:v>
                </c:pt>
                <c:pt idx="178">
                  <c:v>44.50055694580078</c:v>
                </c:pt>
                <c:pt idx="179">
                  <c:v>44.75041580200195</c:v>
                </c:pt>
                <c:pt idx="180">
                  <c:v>45.00016784667969</c:v>
                </c:pt>
                <c:pt idx="181">
                  <c:v>45.25002670288086</c:v>
                </c:pt>
                <c:pt idx="182">
                  <c:v>45.50013732910156</c:v>
                </c:pt>
                <c:pt idx="183">
                  <c:v>45.75013732910156</c:v>
                </c:pt>
                <c:pt idx="184">
                  <c:v>46.00005722045898</c:v>
                </c:pt>
                <c:pt idx="185">
                  <c:v>46.25041580200195</c:v>
                </c:pt>
                <c:pt idx="186">
                  <c:v>46.5004997253418</c:v>
                </c:pt>
                <c:pt idx="187">
                  <c:v>46.7504997253418</c:v>
                </c:pt>
                <c:pt idx="188">
                  <c:v>47.0004997253418</c:v>
                </c:pt>
                <c:pt idx="189">
                  <c:v>47.25069427490234</c:v>
                </c:pt>
                <c:pt idx="190">
                  <c:v>47.5006103515625</c:v>
                </c:pt>
                <c:pt idx="191">
                  <c:v>47.7501106262207</c:v>
                </c:pt>
                <c:pt idx="192">
                  <c:v>48.0001106262207</c:v>
                </c:pt>
                <c:pt idx="193">
                  <c:v>48.25030517578125</c:v>
                </c:pt>
                <c:pt idx="194">
                  <c:v>48.50016784667969</c:v>
                </c:pt>
                <c:pt idx="195">
                  <c:v>48.75047302246094</c:v>
                </c:pt>
                <c:pt idx="196">
                  <c:v>49.00033187866211</c:v>
                </c:pt>
                <c:pt idx="197">
                  <c:v>49.25041580200195</c:v>
                </c:pt>
                <c:pt idx="198">
                  <c:v>49.50016784667969</c:v>
                </c:pt>
                <c:pt idx="199">
                  <c:v>49.75088882446289</c:v>
                </c:pt>
                <c:pt idx="200">
                  <c:v>50.00019454956055</c:v>
                </c:pt>
                <c:pt idx="201">
                  <c:v>50.25025177001953</c:v>
                </c:pt>
                <c:pt idx="202">
                  <c:v>50.50030517578125</c:v>
                </c:pt>
                <c:pt idx="203">
                  <c:v>50.75013732910156</c:v>
                </c:pt>
                <c:pt idx="204">
                  <c:v>51.00055694580078</c:v>
                </c:pt>
                <c:pt idx="205">
                  <c:v>51.25027847290039</c:v>
                </c:pt>
                <c:pt idx="206">
                  <c:v>51.50047302246094</c:v>
                </c:pt>
                <c:pt idx="207">
                  <c:v>51.75047302246094</c:v>
                </c:pt>
                <c:pt idx="208">
                  <c:v>52.00025177001953</c:v>
                </c:pt>
                <c:pt idx="209">
                  <c:v>52.25002670288086</c:v>
                </c:pt>
                <c:pt idx="210">
                  <c:v>52.50044631958008</c:v>
                </c:pt>
                <c:pt idx="211">
                  <c:v>52.75013732910156</c:v>
                </c:pt>
                <c:pt idx="212">
                  <c:v>53.00036239624023</c:v>
                </c:pt>
                <c:pt idx="213">
                  <c:v>53.25036239624023</c:v>
                </c:pt>
                <c:pt idx="214">
                  <c:v>53.5001106262207</c:v>
                </c:pt>
                <c:pt idx="215">
                  <c:v>53.75002670288086</c:v>
                </c:pt>
                <c:pt idx="216">
                  <c:v>54.00058364868164</c:v>
                </c:pt>
                <c:pt idx="217">
                  <c:v>54.25030517578125</c:v>
                </c:pt>
                <c:pt idx="218">
                  <c:v>54.50083160400391</c:v>
                </c:pt>
                <c:pt idx="219">
                  <c:v>54.75052642822266</c:v>
                </c:pt>
                <c:pt idx="220">
                  <c:v>55.00022125244141</c:v>
                </c:pt>
                <c:pt idx="221">
                  <c:v>55.25016784667969</c:v>
                </c:pt>
                <c:pt idx="222">
                  <c:v>55.50025177001953</c:v>
                </c:pt>
                <c:pt idx="223">
                  <c:v>55.75002670288086</c:v>
                </c:pt>
                <c:pt idx="224">
                  <c:v>56.0004997253418</c:v>
                </c:pt>
                <c:pt idx="225">
                  <c:v>56.25044631958008</c:v>
                </c:pt>
                <c:pt idx="226">
                  <c:v>56.5004997253418</c:v>
                </c:pt>
                <c:pt idx="227">
                  <c:v>56.75088882446289</c:v>
                </c:pt>
                <c:pt idx="228">
                  <c:v>57.00041580200195</c:v>
                </c:pt>
                <c:pt idx="229">
                  <c:v>57.25027847290039</c:v>
                </c:pt>
                <c:pt idx="230">
                  <c:v>57.50016784667969</c:v>
                </c:pt>
                <c:pt idx="231">
                  <c:v>57.7501106262207</c:v>
                </c:pt>
                <c:pt idx="232">
                  <c:v>58.00005722045898</c:v>
                </c:pt>
                <c:pt idx="233">
                  <c:v>58.25005722045898</c:v>
                </c:pt>
                <c:pt idx="234">
                  <c:v>58.50025177001953</c:v>
                </c:pt>
                <c:pt idx="235">
                  <c:v>58.75041580200195</c:v>
                </c:pt>
                <c:pt idx="236">
                  <c:v>59.00058364868164</c:v>
                </c:pt>
                <c:pt idx="237">
                  <c:v>59.25033187866211</c:v>
                </c:pt>
                <c:pt idx="238">
                  <c:v>59.50063705444336</c:v>
                </c:pt>
                <c:pt idx="239">
                  <c:v>59.7504997253418</c:v>
                </c:pt>
                <c:pt idx="240">
                  <c:v>60.00027847290039</c:v>
                </c:pt>
                <c:pt idx="241">
                  <c:v>60.25033187866211</c:v>
                </c:pt>
                <c:pt idx="242">
                  <c:v>60.50027847290039</c:v>
                </c:pt>
                <c:pt idx="243">
                  <c:v>60.75016784667969</c:v>
                </c:pt>
                <c:pt idx="244">
                  <c:v>61.00013732910156</c:v>
                </c:pt>
                <c:pt idx="245">
                  <c:v>61.25033187866211</c:v>
                </c:pt>
                <c:pt idx="246">
                  <c:v>61.50075149536133</c:v>
                </c:pt>
                <c:pt idx="247">
                  <c:v>61.75025177001953</c:v>
                </c:pt>
                <c:pt idx="248">
                  <c:v>62.00033187866211</c:v>
                </c:pt>
                <c:pt idx="249">
                  <c:v>62.25019454956055</c:v>
                </c:pt>
                <c:pt idx="250">
                  <c:v>62.50013732910156</c:v>
                </c:pt>
                <c:pt idx="251">
                  <c:v>62.75008392333984</c:v>
                </c:pt>
                <c:pt idx="252">
                  <c:v>63.00033187866211</c:v>
                </c:pt>
                <c:pt idx="253">
                  <c:v>63.25055694580078</c:v>
                </c:pt>
                <c:pt idx="254">
                  <c:v>63.5007209777832</c:v>
                </c:pt>
                <c:pt idx="255">
                  <c:v>63.75066757202148</c:v>
                </c:pt>
                <c:pt idx="256">
                  <c:v>64.00027465820312</c:v>
                </c:pt>
                <c:pt idx="257">
                  <c:v>64.25030517578125</c:v>
                </c:pt>
                <c:pt idx="258">
                  <c:v>64.50011444091797</c:v>
                </c:pt>
                <c:pt idx="259">
                  <c:v>64.75027465820312</c:v>
                </c:pt>
                <c:pt idx="260">
                  <c:v>65.00025177001953</c:v>
                </c:pt>
                <c:pt idx="261">
                  <c:v>65.25016784667969</c:v>
                </c:pt>
                <c:pt idx="262">
                  <c:v>65.5</c:v>
                </c:pt>
                <c:pt idx="263">
                  <c:v>65.75005340576172</c:v>
                </c:pt>
                <c:pt idx="264">
                  <c:v>66.00003051757812</c:v>
                </c:pt>
                <c:pt idx="265">
                  <c:v>66.25055694580078</c:v>
                </c:pt>
                <c:pt idx="266">
                  <c:v>66.50050354003906</c:v>
                </c:pt>
                <c:pt idx="267">
                  <c:v>66.75041961669922</c:v>
                </c:pt>
                <c:pt idx="268">
                  <c:v>67.00033569335938</c:v>
                </c:pt>
                <c:pt idx="269">
                  <c:v>67.25019073486328</c:v>
                </c:pt>
                <c:pt idx="270">
                  <c:v>67.50027465820312</c:v>
                </c:pt>
                <c:pt idx="271">
                  <c:v>67.75052642822266</c:v>
                </c:pt>
                <c:pt idx="272">
                  <c:v>68.00025177001953</c:v>
                </c:pt>
                <c:pt idx="273">
                  <c:v>68.25041961669922</c:v>
                </c:pt>
                <c:pt idx="274">
                  <c:v>68.50057983398438</c:v>
                </c:pt>
                <c:pt idx="275">
                  <c:v>68.75022125244141</c:v>
                </c:pt>
                <c:pt idx="276">
                  <c:v>69.00016784667969</c:v>
                </c:pt>
                <c:pt idx="277">
                  <c:v>69.25033569335938</c:v>
                </c:pt>
                <c:pt idx="278">
                  <c:v>69.50008392333984</c:v>
                </c:pt>
                <c:pt idx="279">
                  <c:v>69.75</c:v>
                </c:pt>
                <c:pt idx="280">
                  <c:v>70.00033569335938</c:v>
                </c:pt>
                <c:pt idx="281">
                  <c:v>70.25016784667969</c:v>
                </c:pt>
                <c:pt idx="282">
                  <c:v>70.50047302246094</c:v>
                </c:pt>
                <c:pt idx="283">
                  <c:v>70.75069427490234</c:v>
                </c:pt>
                <c:pt idx="284">
                  <c:v>71.00077819824219</c:v>
                </c:pt>
                <c:pt idx="285">
                  <c:v>71.25069427490234</c:v>
                </c:pt>
                <c:pt idx="286">
                  <c:v>71.5006103515625</c:v>
                </c:pt>
                <c:pt idx="287">
                  <c:v>71.75011444091797</c:v>
                </c:pt>
                <c:pt idx="288">
                  <c:v>72.00035858154297</c:v>
                </c:pt>
              </c:numCache>
            </c:numRef>
          </c:xVal>
          <c:yVal>
            <c:numRef>
              <c:f>SIM3!$E$11:$E$299</c:f>
              <c:numCache>
                <c:ptCount val="289"/>
                <c:pt idx="0">
                  <c:v>0.01899014040827751</c:v>
                </c:pt>
                <c:pt idx="1">
                  <c:v>0.01325295027345419</c:v>
                </c:pt>
                <c:pt idx="2">
                  <c:v>0.009234599769115448</c:v>
                </c:pt>
                <c:pt idx="3">
                  <c:v>0.005029994994401932</c:v>
                </c:pt>
                <c:pt idx="4">
                  <c:v>-0.001605786033906043</c:v>
                </c:pt>
                <c:pt idx="5">
                  <c:v>-0.0006059535080567002</c:v>
                </c:pt>
                <c:pt idx="6">
                  <c:v>-0.001401726040057838</c:v>
                </c:pt>
                <c:pt idx="7">
                  <c:v>-0.0001914673048304394</c:v>
                </c:pt>
                <c:pt idx="8">
                  <c:v>-0.0008314211736433208</c:v>
                </c:pt>
                <c:pt idx="9">
                  <c:v>0.0009498466970399022</c:v>
                </c:pt>
                <c:pt idx="10">
                  <c:v>0.03375799953937531</c:v>
                </c:pt>
                <c:pt idx="11">
                  <c:v>0.03092280030250549</c:v>
                </c:pt>
                <c:pt idx="12">
                  <c:v>0.007981591857969761</c:v>
                </c:pt>
                <c:pt idx="13">
                  <c:v>-0.002657023025676608</c:v>
                </c:pt>
                <c:pt idx="14">
                  <c:v>-0.003872086061164737</c:v>
                </c:pt>
                <c:pt idx="15">
                  <c:v>-0.0005111981881782413</c:v>
                </c:pt>
                <c:pt idx="16">
                  <c:v>0.0002108947956003249</c:v>
                </c:pt>
                <c:pt idx="17">
                  <c:v>-0.0009959570597857237</c:v>
                </c:pt>
                <c:pt idx="18">
                  <c:v>-0.0002507099998183548</c:v>
                </c:pt>
                <c:pt idx="19">
                  <c:v>0.002192992949858308</c:v>
                </c:pt>
                <c:pt idx="20">
                  <c:v>0.03571724891662598</c:v>
                </c:pt>
                <c:pt idx="21">
                  <c:v>0.009636894799768925</c:v>
                </c:pt>
                <c:pt idx="22">
                  <c:v>-0.0001963086979230866</c:v>
                </c:pt>
                <c:pt idx="23">
                  <c:v>-0.002130030887201428</c:v>
                </c:pt>
                <c:pt idx="24">
                  <c:v>-0.004873230122029781</c:v>
                </c:pt>
                <c:pt idx="25">
                  <c:v>-0.00118114601355046</c:v>
                </c:pt>
                <c:pt idx="26">
                  <c:v>-0.000840449589304626</c:v>
                </c:pt>
                <c:pt idx="27">
                  <c:v>-0.0008777469047345221</c:v>
                </c:pt>
                <c:pt idx="28">
                  <c:v>0.1952133029699326</c:v>
                </c:pt>
                <c:pt idx="29">
                  <c:v>0.04559443891048431</c:v>
                </c:pt>
                <c:pt idx="30">
                  <c:v>0.01482293009757996</c:v>
                </c:pt>
                <c:pt idx="31">
                  <c:v>0.002556109102442861</c:v>
                </c:pt>
                <c:pt idx="32">
                  <c:v>-0.001433436991646886</c:v>
                </c:pt>
                <c:pt idx="33">
                  <c:v>-0.005485817790031433</c:v>
                </c:pt>
                <c:pt idx="34">
                  <c:v>-0.001115818042308092</c:v>
                </c:pt>
                <c:pt idx="35">
                  <c:v>-0.001420867047272623</c:v>
                </c:pt>
                <c:pt idx="36">
                  <c:v>-0.001441714004613459</c:v>
                </c:pt>
                <c:pt idx="37">
                  <c:v>-0.0002476951922290027</c:v>
                </c:pt>
                <c:pt idx="38">
                  <c:v>0.02837006933987141</c:v>
                </c:pt>
                <c:pt idx="39">
                  <c:v>0.03050190955400467</c:v>
                </c:pt>
                <c:pt idx="40">
                  <c:v>0.008823305368423462</c:v>
                </c:pt>
                <c:pt idx="41">
                  <c:v>-0.005426417104899883</c:v>
                </c:pt>
                <c:pt idx="42">
                  <c:v>-0.001508450950495899</c:v>
                </c:pt>
                <c:pt idx="43">
                  <c:v>-0.003217926947399974</c:v>
                </c:pt>
                <c:pt idx="44">
                  <c:v>-0.001409983960911632</c:v>
                </c:pt>
                <c:pt idx="45">
                  <c:v>-0.0009542786283418536</c:v>
                </c:pt>
                <c:pt idx="46">
                  <c:v>-0.0001834499998949468</c:v>
                </c:pt>
                <c:pt idx="47">
                  <c:v>0.1697621941566467</c:v>
                </c:pt>
                <c:pt idx="48">
                  <c:v>0.04596247896552086</c:v>
                </c:pt>
                <c:pt idx="49">
                  <c:v>0.01417719013988972</c:v>
                </c:pt>
                <c:pt idx="50">
                  <c:v>0.001714598038233817</c:v>
                </c:pt>
                <c:pt idx="51">
                  <c:v>2.92053991870489E-5</c:v>
                </c:pt>
                <c:pt idx="52">
                  <c:v>-0.0006770677282474935</c:v>
                </c:pt>
                <c:pt idx="53">
                  <c:v>0.0005102480063214898</c:v>
                </c:pt>
                <c:pt idx="54">
                  <c:v>-0.001607652055099607</c:v>
                </c:pt>
                <c:pt idx="55">
                  <c:v>-0.0007996595231816173</c:v>
                </c:pt>
                <c:pt idx="56">
                  <c:v>0.04056784138083458</c:v>
                </c:pt>
                <c:pt idx="57">
                  <c:v>0.0353233702480793</c:v>
                </c:pt>
                <c:pt idx="58">
                  <c:v>0.01810006983578205</c:v>
                </c:pt>
                <c:pt idx="59">
                  <c:v>0.004483443219214678</c:v>
                </c:pt>
                <c:pt idx="60">
                  <c:v>-0.006040272768586874</c:v>
                </c:pt>
                <c:pt idx="61">
                  <c:v>-0.000916527584195137</c:v>
                </c:pt>
                <c:pt idx="62">
                  <c:v>-0.002050403039902449</c:v>
                </c:pt>
                <c:pt idx="63">
                  <c:v>-0.00118992303032428</c:v>
                </c:pt>
                <c:pt idx="64">
                  <c:v>-0.0006913617835380137</c:v>
                </c:pt>
                <c:pt idx="65">
                  <c:v>-0.0008166641928255558</c:v>
                </c:pt>
                <c:pt idx="66">
                  <c:v>0.003023687051609159</c:v>
                </c:pt>
                <c:pt idx="67">
                  <c:v>0.06466545164585114</c:v>
                </c:pt>
                <c:pt idx="68">
                  <c:v>0.01120907999575138</c:v>
                </c:pt>
                <c:pt idx="69">
                  <c:v>-0.002862852066755295</c:v>
                </c:pt>
                <c:pt idx="70">
                  <c:v>-0.005667218938469887</c:v>
                </c:pt>
                <c:pt idx="71">
                  <c:v>-0.001577712944708765</c:v>
                </c:pt>
                <c:pt idx="72">
                  <c:v>-0.001659407978877425</c:v>
                </c:pt>
                <c:pt idx="73">
                  <c:v>-0.001017833012156188</c:v>
                </c:pt>
                <c:pt idx="74">
                  <c:v>-0.0007439738838002086</c:v>
                </c:pt>
                <c:pt idx="75">
                  <c:v>0.01007908023893833</c:v>
                </c:pt>
                <c:pt idx="76">
                  <c:v>0.02978698909282684</c:v>
                </c:pt>
                <c:pt idx="77">
                  <c:v>0.0213183406740427</c:v>
                </c:pt>
                <c:pt idx="78">
                  <c:v>0.00566771999001503</c:v>
                </c:pt>
                <c:pt idx="79">
                  <c:v>-0.004905269015580416</c:v>
                </c:pt>
                <c:pt idx="80">
                  <c:v>-0.005687500815838575</c:v>
                </c:pt>
                <c:pt idx="81">
                  <c:v>-0.0008474215865135193</c:v>
                </c:pt>
                <c:pt idx="82">
                  <c:v>-0.001200792961753905</c:v>
                </c:pt>
                <c:pt idx="83">
                  <c:v>-0.001172379008494318</c:v>
                </c:pt>
                <c:pt idx="84">
                  <c:v>-0.001481003011576831</c:v>
                </c:pt>
                <c:pt idx="85">
                  <c:v>0.003448182949796319</c:v>
                </c:pt>
                <c:pt idx="86">
                  <c:v>0.06325572729110718</c:v>
                </c:pt>
                <c:pt idx="87">
                  <c:v>0.01145908981561661</c:v>
                </c:pt>
                <c:pt idx="88">
                  <c:v>-0.002617716090753675</c:v>
                </c:pt>
                <c:pt idx="89">
                  <c:v>0.001712171011604369</c:v>
                </c:pt>
                <c:pt idx="90">
                  <c:v>-0.001880872994661331</c:v>
                </c:pt>
                <c:pt idx="91">
                  <c:v>-0.0001765503984643146</c:v>
                </c:pt>
                <c:pt idx="92">
                  <c:v>-0.0003572744026314467</c:v>
                </c:pt>
                <c:pt idx="93">
                  <c:v>-0.0006206450052559376</c:v>
                </c:pt>
                <c:pt idx="94">
                  <c:v>0.003174686105921865</c:v>
                </c:pt>
                <c:pt idx="95">
                  <c:v>0.02886861935257912</c:v>
                </c:pt>
                <c:pt idx="96">
                  <c:v>0.0224011093378067</c:v>
                </c:pt>
                <c:pt idx="97">
                  <c:v>0.005971722770482302</c:v>
                </c:pt>
                <c:pt idx="98">
                  <c:v>-0.001167580019682646</c:v>
                </c:pt>
                <c:pt idx="99">
                  <c:v>-0.002325158100575209</c:v>
                </c:pt>
                <c:pt idx="100">
                  <c:v>-0.003792514093220234</c:v>
                </c:pt>
                <c:pt idx="101">
                  <c:v>-0.002984869061037898</c:v>
                </c:pt>
                <c:pt idx="102">
                  <c:v>-0.0006243670941330492</c:v>
                </c:pt>
                <c:pt idx="103">
                  <c:v>-0.0005491290939971805</c:v>
                </c:pt>
                <c:pt idx="104">
                  <c:v>0.006896665785461664</c:v>
                </c:pt>
                <c:pt idx="105">
                  <c:v>0.05640850961208344</c:v>
                </c:pt>
                <c:pt idx="106">
                  <c:v>0.01243714988231659</c:v>
                </c:pt>
                <c:pt idx="107">
                  <c:v>-1.87206005648477E-5</c:v>
                </c:pt>
                <c:pt idx="108">
                  <c:v>-0.003329495899379253</c:v>
                </c:pt>
                <c:pt idx="109">
                  <c:v>-0.001248287968337536</c:v>
                </c:pt>
                <c:pt idx="110">
                  <c:v>-0.001570440013892949</c:v>
                </c:pt>
                <c:pt idx="111">
                  <c:v>-0.0002459796087350696</c:v>
                </c:pt>
                <c:pt idx="112">
                  <c:v>-0.0005740271881222725</c:v>
                </c:pt>
                <c:pt idx="113">
                  <c:v>0.000941423699259758</c:v>
                </c:pt>
                <c:pt idx="114">
                  <c:v>0.02924072928726673</c:v>
                </c:pt>
                <c:pt idx="115">
                  <c:v>0.02587771974503994</c:v>
                </c:pt>
                <c:pt idx="116">
                  <c:v>0.007188507821410894</c:v>
                </c:pt>
                <c:pt idx="117">
                  <c:v>-0.003676421009004116</c:v>
                </c:pt>
                <c:pt idx="118">
                  <c:v>-0.003143955022096634</c:v>
                </c:pt>
                <c:pt idx="119">
                  <c:v>-0.003484946908429265</c:v>
                </c:pt>
                <c:pt idx="120">
                  <c:v>-0.0009886628249660134</c:v>
                </c:pt>
                <c:pt idx="121">
                  <c:v>-0.0004701257857959718</c:v>
                </c:pt>
                <c:pt idx="122">
                  <c:v>1.629449980100617E-5</c:v>
                </c:pt>
                <c:pt idx="123">
                  <c:v>0.001955301035195589</c:v>
                </c:pt>
                <c:pt idx="124">
                  <c:v>0.05719149112701416</c:v>
                </c:pt>
                <c:pt idx="125">
                  <c:v>0.0107126897200942</c:v>
                </c:pt>
                <c:pt idx="126">
                  <c:v>-0.0003678927896544337</c:v>
                </c:pt>
                <c:pt idx="127">
                  <c:v>-0.007013313006609678</c:v>
                </c:pt>
                <c:pt idx="128">
                  <c:v>-0.003932780120521784</c:v>
                </c:pt>
                <c:pt idx="129">
                  <c:v>-0.001599455950781703</c:v>
                </c:pt>
                <c:pt idx="130">
                  <c:v>-0.000235859100939706</c:v>
                </c:pt>
                <c:pt idx="131">
                  <c:v>-0.001068542012944818</c:v>
                </c:pt>
                <c:pt idx="132">
                  <c:v>-5.810799848404713E-5</c:v>
                </c:pt>
                <c:pt idx="133">
                  <c:v>0.02914281934499741</c:v>
                </c:pt>
                <c:pt idx="134">
                  <c:v>0.02277312986552715</c:v>
                </c:pt>
                <c:pt idx="135">
                  <c:v>0.006000707857310772</c:v>
                </c:pt>
                <c:pt idx="136">
                  <c:v>0.0007006785017438233</c:v>
                </c:pt>
                <c:pt idx="137">
                  <c:v>-0.0008839265210554004</c:v>
                </c:pt>
                <c:pt idx="138">
                  <c:v>-0.0007964305114001036</c:v>
                </c:pt>
                <c:pt idx="139">
                  <c:v>-0.001598458038643003</c:v>
                </c:pt>
                <c:pt idx="140">
                  <c:v>-0.0006941059837117791</c:v>
                </c:pt>
                <c:pt idx="141">
                  <c:v>-0.0006943895714357495</c:v>
                </c:pt>
                <c:pt idx="142">
                  <c:v>0.008212070912122726</c:v>
                </c:pt>
                <c:pt idx="143">
                  <c:v>0.05564133077859879</c:v>
                </c:pt>
                <c:pt idx="144">
                  <c:v>0.0124931400641799</c:v>
                </c:pt>
                <c:pt idx="145">
                  <c:v>-0.0001600477989995852</c:v>
                </c:pt>
                <c:pt idx="146">
                  <c:v>-0.0007586971041746438</c:v>
                </c:pt>
                <c:pt idx="147">
                  <c:v>-0.0007587817963212729</c:v>
                </c:pt>
                <c:pt idx="148">
                  <c:v>-0.001297242008149624</c:v>
                </c:pt>
                <c:pt idx="149">
                  <c:v>0.0007863517967052758</c:v>
                </c:pt>
                <c:pt idx="150">
                  <c:v>-0.0004638796963263303</c:v>
                </c:pt>
                <c:pt idx="151">
                  <c:v>-0.005718435160815716</c:v>
                </c:pt>
                <c:pt idx="152">
                  <c:v>0.02878854982554913</c:v>
                </c:pt>
                <c:pt idx="153">
                  <c:v>0.02375783957540989</c:v>
                </c:pt>
                <c:pt idx="154">
                  <c:v>0.006442628800868988</c:v>
                </c:pt>
                <c:pt idx="155">
                  <c:v>-0.001138760009780526</c:v>
                </c:pt>
                <c:pt idx="156">
                  <c:v>-0.001258068950846791</c:v>
                </c:pt>
                <c:pt idx="157">
                  <c:v>-0.001548302941955626</c:v>
                </c:pt>
                <c:pt idx="158">
                  <c:v>0.0001216611999552697</c:v>
                </c:pt>
                <c:pt idx="159">
                  <c:v>-0.001079041045159101</c:v>
                </c:pt>
                <c:pt idx="160">
                  <c:v>-0.0003620620118454099</c:v>
                </c:pt>
                <c:pt idx="161">
                  <c:v>0.007367320824414492</c:v>
                </c:pt>
                <c:pt idx="162">
                  <c:v>0.05266061052680016</c:v>
                </c:pt>
                <c:pt idx="163">
                  <c:v>0.01294864993542433</c:v>
                </c:pt>
                <c:pt idx="164">
                  <c:v>0.0002561112050898373</c:v>
                </c:pt>
                <c:pt idx="165">
                  <c:v>-0.001241764053702354</c:v>
                </c:pt>
                <c:pt idx="166">
                  <c:v>-0.0008724697981961071</c:v>
                </c:pt>
                <c:pt idx="167">
                  <c:v>-0.001694721984677017</c:v>
                </c:pt>
                <c:pt idx="168">
                  <c:v>-0.000957558280788362</c:v>
                </c:pt>
                <c:pt idx="169">
                  <c:v>-0.0007219790131784976</c:v>
                </c:pt>
                <c:pt idx="170">
                  <c:v>0.0008903549169190228</c:v>
                </c:pt>
                <c:pt idx="171">
                  <c:v>0.02948749996721745</c:v>
                </c:pt>
                <c:pt idx="172">
                  <c:v>0.02664739079773426</c:v>
                </c:pt>
                <c:pt idx="173">
                  <c:v>0.007501632906496525</c:v>
                </c:pt>
                <c:pt idx="174">
                  <c:v>-0.001192240044474602</c:v>
                </c:pt>
                <c:pt idx="175">
                  <c:v>-0.001478579011745751</c:v>
                </c:pt>
                <c:pt idx="176">
                  <c:v>-0.003936024848371744</c:v>
                </c:pt>
                <c:pt idx="177">
                  <c:v>-0.001280379947274923</c:v>
                </c:pt>
                <c:pt idx="178">
                  <c:v>-0.001063182018697262</c:v>
                </c:pt>
                <c:pt idx="179">
                  <c:v>-0.000411145098041743</c:v>
                </c:pt>
                <c:pt idx="180">
                  <c:v>0.1664053052663803</c:v>
                </c:pt>
                <c:pt idx="181">
                  <c:v>0.04673901945352554</c:v>
                </c:pt>
                <c:pt idx="182">
                  <c:v>0.01417182013392448</c:v>
                </c:pt>
                <c:pt idx="183">
                  <c:v>0.001608808990567923</c:v>
                </c:pt>
                <c:pt idx="184">
                  <c:v>0.001259315991774201</c:v>
                </c:pt>
                <c:pt idx="185">
                  <c:v>-0.001801450038328767</c:v>
                </c:pt>
                <c:pt idx="186">
                  <c:v>-0.001624463009648025</c:v>
                </c:pt>
                <c:pt idx="187">
                  <c:v>-0.0005755028105340898</c:v>
                </c:pt>
                <c:pt idx="188">
                  <c:v>-0.0006038856809027493</c:v>
                </c:pt>
                <c:pt idx="189">
                  <c:v>-0.0007514472818002105</c:v>
                </c:pt>
                <c:pt idx="190">
                  <c:v>0.02940383926033974</c:v>
                </c:pt>
                <c:pt idx="191">
                  <c:v>0.03134727850556374</c:v>
                </c:pt>
                <c:pt idx="192">
                  <c:v>0.008905122987926006</c:v>
                </c:pt>
                <c:pt idx="193">
                  <c:v>-0.000670628622174263</c:v>
                </c:pt>
                <c:pt idx="194">
                  <c:v>-0.000630845024716109</c:v>
                </c:pt>
                <c:pt idx="195">
                  <c:v>-0.0001694017992122099</c:v>
                </c:pt>
                <c:pt idx="196">
                  <c:v>-0.001096663996577263</c:v>
                </c:pt>
                <c:pt idx="197">
                  <c:v>9.36880041990662E-6</c:v>
                </c:pt>
                <c:pt idx="198">
                  <c:v>-0.0003139236941933632</c:v>
                </c:pt>
                <c:pt idx="199">
                  <c:v>0.1708002984523773</c:v>
                </c:pt>
                <c:pt idx="200">
                  <c:v>0.04247463122010231</c:v>
                </c:pt>
                <c:pt idx="201">
                  <c:v>0.01581284031271935</c:v>
                </c:pt>
                <c:pt idx="202">
                  <c:v>0.002812542021274567</c:v>
                </c:pt>
                <c:pt idx="203">
                  <c:v>0.00148199696559459</c:v>
                </c:pt>
                <c:pt idx="204">
                  <c:v>-0.0009410796919837594</c:v>
                </c:pt>
                <c:pt idx="205">
                  <c:v>-0.00155892304610461</c:v>
                </c:pt>
                <c:pt idx="206">
                  <c:v>-0.001075997017323971</c:v>
                </c:pt>
                <c:pt idx="207">
                  <c:v>-0.0004881173081230372</c:v>
                </c:pt>
                <c:pt idx="208">
                  <c:v>-0.001025815028697252</c:v>
                </c:pt>
                <c:pt idx="209">
                  <c:v>0.003303152043372393</c:v>
                </c:pt>
                <c:pt idx="210">
                  <c:v>0.05863044038414955</c:v>
                </c:pt>
                <c:pt idx="211">
                  <c:v>0.01059317961335182</c:v>
                </c:pt>
                <c:pt idx="212">
                  <c:v>-0.005483875051140785</c:v>
                </c:pt>
                <c:pt idx="213">
                  <c:v>-0.0009972926927730441</c:v>
                </c:pt>
                <c:pt idx="214">
                  <c:v>-0.0009594443836249411</c:v>
                </c:pt>
                <c:pt idx="215">
                  <c:v>-0.00220438907854259</c:v>
                </c:pt>
                <c:pt idx="216">
                  <c:v>-0.000519480905495584</c:v>
                </c:pt>
                <c:pt idx="217">
                  <c:v>-0.0009552498813718557</c:v>
                </c:pt>
                <c:pt idx="218">
                  <c:v>0.02296827919781208</c:v>
                </c:pt>
                <c:pt idx="219">
                  <c:v>0.03572561964392662</c:v>
                </c:pt>
                <c:pt idx="220">
                  <c:v>0.01842373982071877</c:v>
                </c:pt>
                <c:pt idx="221">
                  <c:v>0.004654199816286564</c:v>
                </c:pt>
                <c:pt idx="222">
                  <c:v>0.0007991723250597715</c:v>
                </c:pt>
                <c:pt idx="223">
                  <c:v>-0.001040157047100365</c:v>
                </c:pt>
                <c:pt idx="224">
                  <c:v>-0.004161394201219082</c:v>
                </c:pt>
                <c:pt idx="225">
                  <c:v>-0.0001290672953473404</c:v>
                </c:pt>
                <c:pt idx="226">
                  <c:v>0.0003665313124656677</c:v>
                </c:pt>
                <c:pt idx="227">
                  <c:v>-0.0005954462103545666</c:v>
                </c:pt>
                <c:pt idx="228">
                  <c:v>0.002675286959856749</c:v>
                </c:pt>
                <c:pt idx="229">
                  <c:v>0.05089275911450386</c:v>
                </c:pt>
                <c:pt idx="230">
                  <c:v>0.01026398967951536</c:v>
                </c:pt>
                <c:pt idx="231">
                  <c:v>-0.000234546503634192</c:v>
                </c:pt>
                <c:pt idx="232">
                  <c:v>-0.001726172980852425</c:v>
                </c:pt>
                <c:pt idx="233">
                  <c:v>-0.003970180172473192</c:v>
                </c:pt>
                <c:pt idx="234">
                  <c:v>-0.003555886913090944</c:v>
                </c:pt>
                <c:pt idx="235">
                  <c:v>-0.0001637028035474941</c:v>
                </c:pt>
                <c:pt idx="236">
                  <c:v>-0.0007584374980069697</c:v>
                </c:pt>
                <c:pt idx="237">
                  <c:v>0.01221228018403053</c:v>
                </c:pt>
                <c:pt idx="238">
                  <c:v>0.0338749885559082</c:v>
                </c:pt>
                <c:pt idx="239">
                  <c:v>0.01956151053309441</c:v>
                </c:pt>
                <c:pt idx="240">
                  <c:v>0.005150978919118643</c:v>
                </c:pt>
                <c:pt idx="241">
                  <c:v>-0.003690811106935143</c:v>
                </c:pt>
                <c:pt idx="242">
                  <c:v>-0.0002952312061097473</c:v>
                </c:pt>
                <c:pt idx="243">
                  <c:v>-0.0006476570852100849</c:v>
                </c:pt>
                <c:pt idx="244">
                  <c:v>-0.001369714038446546</c:v>
                </c:pt>
                <c:pt idx="245">
                  <c:v>-0.0007000952027738094</c:v>
                </c:pt>
                <c:pt idx="246">
                  <c:v>-0.0001294680987484753</c:v>
                </c:pt>
                <c:pt idx="247">
                  <c:v>0.003357593901455402</c:v>
                </c:pt>
                <c:pt idx="248">
                  <c:v>0.06423462182283401</c:v>
                </c:pt>
                <c:pt idx="249">
                  <c:v>0.01136591006070375</c:v>
                </c:pt>
                <c:pt idx="250">
                  <c:v>-0.00267032696865499</c:v>
                </c:pt>
                <c:pt idx="251">
                  <c:v>-0.004311520140618086</c:v>
                </c:pt>
                <c:pt idx="252">
                  <c:v>-0.002023582113906741</c:v>
                </c:pt>
                <c:pt idx="253">
                  <c:v>0.0002681959886103868</c:v>
                </c:pt>
                <c:pt idx="254">
                  <c:v>-0.001032629981637001</c:v>
                </c:pt>
                <c:pt idx="255">
                  <c:v>-0.0005316257011145353</c:v>
                </c:pt>
                <c:pt idx="256">
                  <c:v>-0.005850578192621469</c:v>
                </c:pt>
                <c:pt idx="257">
                  <c:v>0.02965972945094109</c:v>
                </c:pt>
                <c:pt idx="258">
                  <c:v>0.02256890013813972</c:v>
                </c:pt>
                <c:pt idx="259">
                  <c:v>0.005979502107948065</c:v>
                </c:pt>
                <c:pt idx="260">
                  <c:v>-0.004689917899668217</c:v>
                </c:pt>
                <c:pt idx="261">
                  <c:v>-0.001310235005803406</c:v>
                </c:pt>
                <c:pt idx="262">
                  <c:v>-0.001579975010827184</c:v>
                </c:pt>
                <c:pt idx="263">
                  <c:v>-0.001840529032051563</c:v>
                </c:pt>
                <c:pt idx="264">
                  <c:v>-0.0007619370007887483</c:v>
                </c:pt>
                <c:pt idx="265">
                  <c:v>0.0009531325194984674</c:v>
                </c:pt>
                <c:pt idx="266">
                  <c:v>0.02492785081267357</c:v>
                </c:pt>
                <c:pt idx="267">
                  <c:v>0.02758252061903477</c:v>
                </c:pt>
                <c:pt idx="268">
                  <c:v>0.008598128333687782</c:v>
                </c:pt>
                <c:pt idx="269">
                  <c:v>-0.0005081671988591552</c:v>
                </c:pt>
                <c:pt idx="270">
                  <c:v>0.001448050024919212</c:v>
                </c:pt>
                <c:pt idx="271">
                  <c:v>-0.002476928988471627</c:v>
                </c:pt>
                <c:pt idx="272">
                  <c:v>-0.00106193998362869</c:v>
                </c:pt>
                <c:pt idx="273">
                  <c:v>-0.0006929159862920642</c:v>
                </c:pt>
                <c:pt idx="274">
                  <c:v>-0.0002780637878458947</c:v>
                </c:pt>
                <c:pt idx="275">
                  <c:v>0.1858900040388107</c:v>
                </c:pt>
                <c:pt idx="276">
                  <c:v>0.04468924924731255</c:v>
                </c:pt>
                <c:pt idx="277">
                  <c:v>0.01467711012810469</c:v>
                </c:pt>
                <c:pt idx="278">
                  <c:v>0.001980766886845231</c:v>
                </c:pt>
                <c:pt idx="279">
                  <c:v>-0.0009406782919541001</c:v>
                </c:pt>
                <c:pt idx="280">
                  <c:v>0.000558181491214782</c:v>
                </c:pt>
                <c:pt idx="281">
                  <c:v>-0.0007399658788926899</c:v>
                </c:pt>
                <c:pt idx="282">
                  <c:v>-0.000491857819724828</c:v>
                </c:pt>
                <c:pt idx="283">
                  <c:v>-0.0003929632948711514</c:v>
                </c:pt>
                <c:pt idx="284">
                  <c:v>-0.001694786944426596</c:v>
                </c:pt>
                <c:pt idx="285">
                  <c:v>0.02104881964623928</c:v>
                </c:pt>
                <c:pt idx="286">
                  <c:v>0.03974273055791855</c:v>
                </c:pt>
                <c:pt idx="287">
                  <c:v>0.009657407179474831</c:v>
                </c:pt>
                <c:pt idx="288">
                  <c:v>-0.0002676679869182408</c:v>
                </c:pt>
              </c:numCache>
            </c:numRef>
          </c:yVal>
        </c:ser>
        <c:ser>
          <c:idx val="1"/>
          <c:order val="1"/>
          <c:tx>
            <c:strRef>
              <c:f>Legends!B3</c:f>
              <c:strCache>
                <c:ptCount val="1"/>
                <c:pt idx="0">
                  <c:v>VAR2</c:v>
                </c:pt>
              </c:strCache>
            </c:strRef>
          </c:tx>
          <c:marker>
            <c:symbol val="none"/>
          </c:marker>
          <c:xVal>
            <c:numRef>
              <c:f>SIM3!$B$11:$B$299</c:f>
              <c:numCache>
                <c:ptCount val="289"/>
                <c:pt idx="0">
                  <c:v>0</c:v>
                </c:pt>
                <c:pt idx="1">
                  <c:v>0.2500112354755402</c:v>
                </c:pt>
                <c:pt idx="2">
                  <c:v>0.5001211166381836</c:v>
                </c:pt>
                <c:pt idx="3">
                  <c:v>0.7500610947608948</c:v>
                </c:pt>
                <c:pt idx="4">
                  <c:v>1.000138640403748</c:v>
                </c:pt>
                <c:pt idx="5">
                  <c:v>1.25046443939209</c:v>
                </c:pt>
                <c:pt idx="6">
                  <c:v>1.500494718551636</c:v>
                </c:pt>
                <c:pt idx="7">
                  <c:v>1.750004172325134</c:v>
                </c:pt>
                <c:pt idx="8">
                  <c:v>2.000420570373535</c:v>
                </c:pt>
                <c:pt idx="9">
                  <c:v>2.250224113464355</c:v>
                </c:pt>
                <c:pt idx="10">
                  <c:v>2.500369071960449</c:v>
                </c:pt>
                <c:pt idx="11">
                  <c:v>2.750024080276489</c:v>
                </c:pt>
                <c:pt idx="12">
                  <c:v>3.000208377838135</c:v>
                </c:pt>
                <c:pt idx="13">
                  <c:v>3.250113964080811</c:v>
                </c:pt>
                <c:pt idx="14">
                  <c:v>3.500452756881714</c:v>
                </c:pt>
                <c:pt idx="15">
                  <c:v>3.750383377075195</c:v>
                </c:pt>
                <c:pt idx="16">
                  <c:v>4.000344276428223</c:v>
                </c:pt>
                <c:pt idx="17">
                  <c:v>4.250494480133057</c:v>
                </c:pt>
                <c:pt idx="18">
                  <c:v>4.500461101531982</c:v>
                </c:pt>
                <c:pt idx="19">
                  <c:v>4.750263690948486</c:v>
                </c:pt>
                <c:pt idx="20">
                  <c:v>5.00053071975708</c:v>
                </c:pt>
                <c:pt idx="21">
                  <c:v>5.250083446502686</c:v>
                </c:pt>
                <c:pt idx="22">
                  <c:v>5.500141620635986</c:v>
                </c:pt>
                <c:pt idx="23">
                  <c:v>5.750216484069824</c:v>
                </c:pt>
                <c:pt idx="24">
                  <c:v>6.000549793243408</c:v>
                </c:pt>
                <c:pt idx="25">
                  <c:v>6.250091552734375</c:v>
                </c:pt>
                <c:pt idx="26">
                  <c:v>6.500341892242432</c:v>
                </c:pt>
                <c:pt idx="27">
                  <c:v>6.75011682510376</c:v>
                </c:pt>
                <c:pt idx="28">
                  <c:v>7.000205516815186</c:v>
                </c:pt>
                <c:pt idx="29">
                  <c:v>7.250244617462158</c:v>
                </c:pt>
                <c:pt idx="30">
                  <c:v>7.500135898590088</c:v>
                </c:pt>
                <c:pt idx="31">
                  <c:v>7.750339031219482</c:v>
                </c:pt>
                <c:pt idx="32">
                  <c:v>8.000338554382324</c:v>
                </c:pt>
                <c:pt idx="33">
                  <c:v>8.250455856323242</c:v>
                </c:pt>
                <c:pt idx="34">
                  <c:v>8.500544548034668</c:v>
                </c:pt>
                <c:pt idx="35">
                  <c:v>8.75</c:v>
                </c:pt>
                <c:pt idx="36">
                  <c:v>9.000472068786621</c:v>
                </c:pt>
                <c:pt idx="37">
                  <c:v>9.25011157989502</c:v>
                </c:pt>
                <c:pt idx="38">
                  <c:v>9.500683784484863</c:v>
                </c:pt>
                <c:pt idx="39">
                  <c:v>9.750430107116699</c:v>
                </c:pt>
                <c:pt idx="40">
                  <c:v>10.00016403198242</c:v>
                </c:pt>
                <c:pt idx="41">
                  <c:v>10.2501277923584</c:v>
                </c:pt>
                <c:pt idx="42">
                  <c:v>10.50033569335938</c:v>
                </c:pt>
                <c:pt idx="43">
                  <c:v>10.75016117095947</c:v>
                </c:pt>
                <c:pt idx="44">
                  <c:v>11.00027179718018</c:v>
                </c:pt>
                <c:pt idx="45">
                  <c:v>11.25069999694824</c:v>
                </c:pt>
                <c:pt idx="46">
                  <c:v>11.50054168701172</c:v>
                </c:pt>
                <c:pt idx="47">
                  <c:v>11.75013065338135</c:v>
                </c:pt>
                <c:pt idx="48">
                  <c:v>12.0003023147583</c:v>
                </c:pt>
                <c:pt idx="49">
                  <c:v>12.25020313262939</c:v>
                </c:pt>
                <c:pt idx="50">
                  <c:v>12.50034141540527</c:v>
                </c:pt>
                <c:pt idx="51">
                  <c:v>12.75021648406982</c:v>
                </c:pt>
                <c:pt idx="52">
                  <c:v>13.00022792816162</c:v>
                </c:pt>
                <c:pt idx="53">
                  <c:v>13.25059413909912</c:v>
                </c:pt>
                <c:pt idx="54">
                  <c:v>13.50055027008057</c:v>
                </c:pt>
                <c:pt idx="55">
                  <c:v>13.7501220703125</c:v>
                </c:pt>
                <c:pt idx="56">
                  <c:v>14.00006675720215</c:v>
                </c:pt>
                <c:pt idx="57">
                  <c:v>14.25055599212646</c:v>
                </c:pt>
                <c:pt idx="58">
                  <c:v>14.50046348571777</c:v>
                </c:pt>
                <c:pt idx="59">
                  <c:v>14.75028038024902</c:v>
                </c:pt>
                <c:pt idx="60">
                  <c:v>15.00006103515625</c:v>
                </c:pt>
                <c:pt idx="61">
                  <c:v>15.25045299530029</c:v>
                </c:pt>
                <c:pt idx="62">
                  <c:v>15.50001621246338</c:v>
                </c:pt>
                <c:pt idx="63">
                  <c:v>15.75035858154297</c:v>
                </c:pt>
                <c:pt idx="64">
                  <c:v>16.0000057220459</c:v>
                </c:pt>
                <c:pt idx="65">
                  <c:v>16.25017166137695</c:v>
                </c:pt>
                <c:pt idx="66">
                  <c:v>16.50028038024902</c:v>
                </c:pt>
                <c:pt idx="67">
                  <c:v>16.75034141540527</c:v>
                </c:pt>
                <c:pt idx="68">
                  <c:v>17.00038146972656</c:v>
                </c:pt>
                <c:pt idx="69">
                  <c:v>17.25022315979004</c:v>
                </c:pt>
                <c:pt idx="70">
                  <c:v>17.50027847290039</c:v>
                </c:pt>
                <c:pt idx="71">
                  <c:v>17.75018310546875</c:v>
                </c:pt>
                <c:pt idx="72">
                  <c:v>18.00062561035156</c:v>
                </c:pt>
                <c:pt idx="73">
                  <c:v>18.25037574768066</c:v>
                </c:pt>
                <c:pt idx="74">
                  <c:v>18.50007438659668</c:v>
                </c:pt>
                <c:pt idx="75">
                  <c:v>18.75033950805664</c:v>
                </c:pt>
                <c:pt idx="76">
                  <c:v>19.00041389465332</c:v>
                </c:pt>
                <c:pt idx="77">
                  <c:v>19.25008964538574</c:v>
                </c:pt>
                <c:pt idx="78">
                  <c:v>19.50041198730469</c:v>
                </c:pt>
                <c:pt idx="79">
                  <c:v>19.75034141540527</c:v>
                </c:pt>
                <c:pt idx="80">
                  <c:v>20.00035858154297</c:v>
                </c:pt>
                <c:pt idx="81">
                  <c:v>20.25011444091797</c:v>
                </c:pt>
                <c:pt idx="82">
                  <c:v>20.50053977966309</c:v>
                </c:pt>
                <c:pt idx="83">
                  <c:v>20.75032806396484</c:v>
                </c:pt>
                <c:pt idx="84">
                  <c:v>21.00030517578125</c:v>
                </c:pt>
                <c:pt idx="85">
                  <c:v>21.25016975402832</c:v>
                </c:pt>
                <c:pt idx="86">
                  <c:v>21.50005531311035</c:v>
                </c:pt>
                <c:pt idx="87">
                  <c:v>21.75035285949707</c:v>
                </c:pt>
                <c:pt idx="88">
                  <c:v>22.00033950805664</c:v>
                </c:pt>
                <c:pt idx="89">
                  <c:v>22.25032806396484</c:v>
                </c:pt>
                <c:pt idx="90">
                  <c:v>22.50010871887207</c:v>
                </c:pt>
                <c:pt idx="91">
                  <c:v>22.75060272216797</c:v>
                </c:pt>
                <c:pt idx="92">
                  <c:v>23.00004959106445</c:v>
                </c:pt>
                <c:pt idx="93">
                  <c:v>23.25018119812012</c:v>
                </c:pt>
                <c:pt idx="94">
                  <c:v>23.50004196166992</c:v>
                </c:pt>
                <c:pt idx="95">
                  <c:v>23.7502613067627</c:v>
                </c:pt>
                <c:pt idx="96">
                  <c:v>24.00009155273438</c:v>
                </c:pt>
                <c:pt idx="97">
                  <c:v>24.2501163482666</c:v>
                </c:pt>
                <c:pt idx="98">
                  <c:v>24.50030899047852</c:v>
                </c:pt>
                <c:pt idx="99">
                  <c:v>24.75033569335938</c:v>
                </c:pt>
                <c:pt idx="100">
                  <c:v>25.00015830993652</c:v>
                </c:pt>
                <c:pt idx="101">
                  <c:v>25.25021743774414</c:v>
                </c:pt>
                <c:pt idx="102">
                  <c:v>25.5007381439209</c:v>
                </c:pt>
                <c:pt idx="103">
                  <c:v>25.75076866149902</c:v>
                </c:pt>
                <c:pt idx="104">
                  <c:v>26.00023651123047</c:v>
                </c:pt>
                <c:pt idx="105">
                  <c:v>26.25028038024902</c:v>
                </c:pt>
                <c:pt idx="106">
                  <c:v>26.50044250488281</c:v>
                </c:pt>
                <c:pt idx="107">
                  <c:v>26.75016975402832</c:v>
                </c:pt>
                <c:pt idx="108">
                  <c:v>27.00003242492676</c:v>
                </c:pt>
                <c:pt idx="109">
                  <c:v>27.25041389465332</c:v>
                </c:pt>
                <c:pt idx="110">
                  <c:v>27.50036430358887</c:v>
                </c:pt>
                <c:pt idx="111">
                  <c:v>27.75016593933105</c:v>
                </c:pt>
                <c:pt idx="112">
                  <c:v>28.00069427490234</c:v>
                </c:pt>
                <c:pt idx="113">
                  <c:v>28.2506103515625</c:v>
                </c:pt>
                <c:pt idx="114">
                  <c:v>28.50008392333984</c:v>
                </c:pt>
                <c:pt idx="115">
                  <c:v>28.75055503845215</c:v>
                </c:pt>
                <c:pt idx="116">
                  <c:v>29.0001392364502</c:v>
                </c:pt>
                <c:pt idx="117">
                  <c:v>29.25019454956055</c:v>
                </c:pt>
                <c:pt idx="118">
                  <c:v>29.50019454956055</c:v>
                </c:pt>
                <c:pt idx="119">
                  <c:v>29.75038909912109</c:v>
                </c:pt>
                <c:pt idx="120">
                  <c:v>30.00022315979004</c:v>
                </c:pt>
                <c:pt idx="121">
                  <c:v>30.25030517578125</c:v>
                </c:pt>
                <c:pt idx="122">
                  <c:v>30.50077819824219</c:v>
                </c:pt>
                <c:pt idx="123">
                  <c:v>30.75030517578125</c:v>
                </c:pt>
                <c:pt idx="124">
                  <c:v>31.0001106262207</c:v>
                </c:pt>
                <c:pt idx="125">
                  <c:v>31.25022315979004</c:v>
                </c:pt>
                <c:pt idx="126">
                  <c:v>31.5001392364502</c:v>
                </c:pt>
                <c:pt idx="127">
                  <c:v>31.75002861022949</c:v>
                </c:pt>
                <c:pt idx="128">
                  <c:v>32.00055694580078</c:v>
                </c:pt>
                <c:pt idx="129">
                  <c:v>32.25033187866211</c:v>
                </c:pt>
                <c:pt idx="130">
                  <c:v>32.50038909912109</c:v>
                </c:pt>
                <c:pt idx="131">
                  <c:v>32.75019454956055</c:v>
                </c:pt>
                <c:pt idx="132">
                  <c:v>33.0007209777832</c:v>
                </c:pt>
                <c:pt idx="133">
                  <c:v>33.25008392333984</c:v>
                </c:pt>
                <c:pt idx="134">
                  <c:v>33.50002670288086</c:v>
                </c:pt>
                <c:pt idx="135">
                  <c:v>33.75033187866211</c:v>
                </c:pt>
                <c:pt idx="136">
                  <c:v>34.00033187866211</c:v>
                </c:pt>
                <c:pt idx="137">
                  <c:v>34.25047302246094</c:v>
                </c:pt>
                <c:pt idx="138">
                  <c:v>34.50013732910156</c:v>
                </c:pt>
                <c:pt idx="139">
                  <c:v>34.7506103515625</c:v>
                </c:pt>
                <c:pt idx="140">
                  <c:v>35.00019454956055</c:v>
                </c:pt>
                <c:pt idx="141">
                  <c:v>35.25066757202148</c:v>
                </c:pt>
                <c:pt idx="142">
                  <c:v>35.50013732910156</c:v>
                </c:pt>
                <c:pt idx="143">
                  <c:v>35.75</c:v>
                </c:pt>
                <c:pt idx="144">
                  <c:v>36.0004997253418</c:v>
                </c:pt>
                <c:pt idx="145">
                  <c:v>36.25002670288086</c:v>
                </c:pt>
                <c:pt idx="146">
                  <c:v>36.50019454956055</c:v>
                </c:pt>
                <c:pt idx="147">
                  <c:v>36.75047302246094</c:v>
                </c:pt>
                <c:pt idx="148">
                  <c:v>37.00025177001953</c:v>
                </c:pt>
                <c:pt idx="149">
                  <c:v>37.2501106262207</c:v>
                </c:pt>
                <c:pt idx="150">
                  <c:v>37.50002670288086</c:v>
                </c:pt>
                <c:pt idx="151">
                  <c:v>37.75083160400391</c:v>
                </c:pt>
                <c:pt idx="152">
                  <c:v>38.00052642822266</c:v>
                </c:pt>
                <c:pt idx="153">
                  <c:v>38.25022125244141</c:v>
                </c:pt>
                <c:pt idx="154">
                  <c:v>38.50013732910156</c:v>
                </c:pt>
                <c:pt idx="155">
                  <c:v>38.75030517578125</c:v>
                </c:pt>
                <c:pt idx="156">
                  <c:v>39.00027847290039</c:v>
                </c:pt>
                <c:pt idx="157">
                  <c:v>39.25027847290039</c:v>
                </c:pt>
                <c:pt idx="158">
                  <c:v>39.50055694580078</c:v>
                </c:pt>
                <c:pt idx="159">
                  <c:v>39.75041580200195</c:v>
                </c:pt>
                <c:pt idx="160">
                  <c:v>40.0007209777832</c:v>
                </c:pt>
                <c:pt idx="161">
                  <c:v>40.25005722045898</c:v>
                </c:pt>
                <c:pt idx="162">
                  <c:v>40.50047302246094</c:v>
                </c:pt>
                <c:pt idx="163">
                  <c:v>40.7501106262207</c:v>
                </c:pt>
                <c:pt idx="164">
                  <c:v>41.00038909912109</c:v>
                </c:pt>
                <c:pt idx="165">
                  <c:v>41.25022125244141</c:v>
                </c:pt>
                <c:pt idx="166">
                  <c:v>41.50027847290039</c:v>
                </c:pt>
                <c:pt idx="167">
                  <c:v>41.7501106262207</c:v>
                </c:pt>
                <c:pt idx="168">
                  <c:v>42.00038909912109</c:v>
                </c:pt>
                <c:pt idx="169">
                  <c:v>42.2504997253418</c:v>
                </c:pt>
                <c:pt idx="170">
                  <c:v>42.50086212158203</c:v>
                </c:pt>
                <c:pt idx="171">
                  <c:v>42.75008392333984</c:v>
                </c:pt>
                <c:pt idx="172">
                  <c:v>43.00036239624023</c:v>
                </c:pt>
                <c:pt idx="173">
                  <c:v>43.25016784667969</c:v>
                </c:pt>
                <c:pt idx="174">
                  <c:v>43.50027847290039</c:v>
                </c:pt>
                <c:pt idx="175">
                  <c:v>43.75038909912109</c:v>
                </c:pt>
                <c:pt idx="176">
                  <c:v>44.00058364868164</c:v>
                </c:pt>
                <c:pt idx="177">
                  <c:v>44.25005722045898</c:v>
                </c:pt>
                <c:pt idx="178">
                  <c:v>44.50055694580078</c:v>
                </c:pt>
                <c:pt idx="179">
                  <c:v>44.75041580200195</c:v>
                </c:pt>
                <c:pt idx="180">
                  <c:v>45.00016784667969</c:v>
                </c:pt>
                <c:pt idx="181">
                  <c:v>45.25002670288086</c:v>
                </c:pt>
                <c:pt idx="182">
                  <c:v>45.50013732910156</c:v>
                </c:pt>
                <c:pt idx="183">
                  <c:v>45.75013732910156</c:v>
                </c:pt>
                <c:pt idx="184">
                  <c:v>46.00005722045898</c:v>
                </c:pt>
                <c:pt idx="185">
                  <c:v>46.25041580200195</c:v>
                </c:pt>
                <c:pt idx="186">
                  <c:v>46.5004997253418</c:v>
                </c:pt>
                <c:pt idx="187">
                  <c:v>46.7504997253418</c:v>
                </c:pt>
                <c:pt idx="188">
                  <c:v>47.0004997253418</c:v>
                </c:pt>
                <c:pt idx="189">
                  <c:v>47.25069427490234</c:v>
                </c:pt>
                <c:pt idx="190">
                  <c:v>47.5006103515625</c:v>
                </c:pt>
                <c:pt idx="191">
                  <c:v>47.7501106262207</c:v>
                </c:pt>
                <c:pt idx="192">
                  <c:v>48.0001106262207</c:v>
                </c:pt>
                <c:pt idx="193">
                  <c:v>48.25030517578125</c:v>
                </c:pt>
                <c:pt idx="194">
                  <c:v>48.50016784667969</c:v>
                </c:pt>
                <c:pt idx="195">
                  <c:v>48.75047302246094</c:v>
                </c:pt>
                <c:pt idx="196">
                  <c:v>49.00033187866211</c:v>
                </c:pt>
                <c:pt idx="197">
                  <c:v>49.25041580200195</c:v>
                </c:pt>
                <c:pt idx="198">
                  <c:v>49.50016784667969</c:v>
                </c:pt>
                <c:pt idx="199">
                  <c:v>49.75088882446289</c:v>
                </c:pt>
                <c:pt idx="200">
                  <c:v>50.00019454956055</c:v>
                </c:pt>
                <c:pt idx="201">
                  <c:v>50.25025177001953</c:v>
                </c:pt>
                <c:pt idx="202">
                  <c:v>50.50030517578125</c:v>
                </c:pt>
                <c:pt idx="203">
                  <c:v>50.75013732910156</c:v>
                </c:pt>
                <c:pt idx="204">
                  <c:v>51.00055694580078</c:v>
                </c:pt>
                <c:pt idx="205">
                  <c:v>51.25027847290039</c:v>
                </c:pt>
                <c:pt idx="206">
                  <c:v>51.50047302246094</c:v>
                </c:pt>
                <c:pt idx="207">
                  <c:v>51.75047302246094</c:v>
                </c:pt>
                <c:pt idx="208">
                  <c:v>52.00025177001953</c:v>
                </c:pt>
                <c:pt idx="209">
                  <c:v>52.25002670288086</c:v>
                </c:pt>
                <c:pt idx="210">
                  <c:v>52.50044631958008</c:v>
                </c:pt>
                <c:pt idx="211">
                  <c:v>52.75013732910156</c:v>
                </c:pt>
                <c:pt idx="212">
                  <c:v>53.00036239624023</c:v>
                </c:pt>
                <c:pt idx="213">
                  <c:v>53.25036239624023</c:v>
                </c:pt>
                <c:pt idx="214">
                  <c:v>53.5001106262207</c:v>
                </c:pt>
                <c:pt idx="215">
                  <c:v>53.75002670288086</c:v>
                </c:pt>
                <c:pt idx="216">
                  <c:v>54.00058364868164</c:v>
                </c:pt>
                <c:pt idx="217">
                  <c:v>54.25030517578125</c:v>
                </c:pt>
                <c:pt idx="218">
                  <c:v>54.50083160400391</c:v>
                </c:pt>
                <c:pt idx="219">
                  <c:v>54.75052642822266</c:v>
                </c:pt>
                <c:pt idx="220">
                  <c:v>55.00022125244141</c:v>
                </c:pt>
                <c:pt idx="221">
                  <c:v>55.25016784667969</c:v>
                </c:pt>
                <c:pt idx="222">
                  <c:v>55.50025177001953</c:v>
                </c:pt>
                <c:pt idx="223">
                  <c:v>55.75002670288086</c:v>
                </c:pt>
                <c:pt idx="224">
                  <c:v>56.0004997253418</c:v>
                </c:pt>
                <c:pt idx="225">
                  <c:v>56.25044631958008</c:v>
                </c:pt>
                <c:pt idx="226">
                  <c:v>56.5004997253418</c:v>
                </c:pt>
                <c:pt idx="227">
                  <c:v>56.75088882446289</c:v>
                </c:pt>
                <c:pt idx="228">
                  <c:v>57.00041580200195</c:v>
                </c:pt>
                <c:pt idx="229">
                  <c:v>57.25027847290039</c:v>
                </c:pt>
                <c:pt idx="230">
                  <c:v>57.50016784667969</c:v>
                </c:pt>
                <c:pt idx="231">
                  <c:v>57.7501106262207</c:v>
                </c:pt>
                <c:pt idx="232">
                  <c:v>58.00005722045898</c:v>
                </c:pt>
                <c:pt idx="233">
                  <c:v>58.25005722045898</c:v>
                </c:pt>
                <c:pt idx="234">
                  <c:v>58.50025177001953</c:v>
                </c:pt>
                <c:pt idx="235">
                  <c:v>58.75041580200195</c:v>
                </c:pt>
                <c:pt idx="236">
                  <c:v>59.00058364868164</c:v>
                </c:pt>
                <c:pt idx="237">
                  <c:v>59.25033187866211</c:v>
                </c:pt>
                <c:pt idx="238">
                  <c:v>59.50063705444336</c:v>
                </c:pt>
                <c:pt idx="239">
                  <c:v>59.7504997253418</c:v>
                </c:pt>
                <c:pt idx="240">
                  <c:v>60.00027847290039</c:v>
                </c:pt>
                <c:pt idx="241">
                  <c:v>60.25033187866211</c:v>
                </c:pt>
                <c:pt idx="242">
                  <c:v>60.50027847290039</c:v>
                </c:pt>
                <c:pt idx="243">
                  <c:v>60.75016784667969</c:v>
                </c:pt>
                <c:pt idx="244">
                  <c:v>61.00013732910156</c:v>
                </c:pt>
                <c:pt idx="245">
                  <c:v>61.25033187866211</c:v>
                </c:pt>
                <c:pt idx="246">
                  <c:v>61.50075149536133</c:v>
                </c:pt>
                <c:pt idx="247">
                  <c:v>61.75025177001953</c:v>
                </c:pt>
                <c:pt idx="248">
                  <c:v>62.00033187866211</c:v>
                </c:pt>
                <c:pt idx="249">
                  <c:v>62.25019454956055</c:v>
                </c:pt>
                <c:pt idx="250">
                  <c:v>62.50013732910156</c:v>
                </c:pt>
                <c:pt idx="251">
                  <c:v>62.75008392333984</c:v>
                </c:pt>
                <c:pt idx="252">
                  <c:v>63.00033187866211</c:v>
                </c:pt>
                <c:pt idx="253">
                  <c:v>63.25055694580078</c:v>
                </c:pt>
                <c:pt idx="254">
                  <c:v>63.5007209777832</c:v>
                </c:pt>
                <c:pt idx="255">
                  <c:v>63.75066757202148</c:v>
                </c:pt>
                <c:pt idx="256">
                  <c:v>64.00027465820312</c:v>
                </c:pt>
                <c:pt idx="257">
                  <c:v>64.25030517578125</c:v>
                </c:pt>
                <c:pt idx="258">
                  <c:v>64.50011444091797</c:v>
                </c:pt>
                <c:pt idx="259">
                  <c:v>64.75027465820312</c:v>
                </c:pt>
                <c:pt idx="260">
                  <c:v>65.00025177001953</c:v>
                </c:pt>
                <c:pt idx="261">
                  <c:v>65.25016784667969</c:v>
                </c:pt>
                <c:pt idx="262">
                  <c:v>65.5</c:v>
                </c:pt>
                <c:pt idx="263">
                  <c:v>65.75005340576172</c:v>
                </c:pt>
                <c:pt idx="264">
                  <c:v>66.00003051757812</c:v>
                </c:pt>
                <c:pt idx="265">
                  <c:v>66.25055694580078</c:v>
                </c:pt>
                <c:pt idx="266">
                  <c:v>66.50050354003906</c:v>
                </c:pt>
                <c:pt idx="267">
                  <c:v>66.75041961669922</c:v>
                </c:pt>
                <c:pt idx="268">
                  <c:v>67.00033569335938</c:v>
                </c:pt>
                <c:pt idx="269">
                  <c:v>67.25019073486328</c:v>
                </c:pt>
                <c:pt idx="270">
                  <c:v>67.50027465820312</c:v>
                </c:pt>
                <c:pt idx="271">
                  <c:v>67.75052642822266</c:v>
                </c:pt>
                <c:pt idx="272">
                  <c:v>68.00025177001953</c:v>
                </c:pt>
                <c:pt idx="273">
                  <c:v>68.25041961669922</c:v>
                </c:pt>
                <c:pt idx="274">
                  <c:v>68.50057983398438</c:v>
                </c:pt>
                <c:pt idx="275">
                  <c:v>68.75022125244141</c:v>
                </c:pt>
                <c:pt idx="276">
                  <c:v>69.00016784667969</c:v>
                </c:pt>
                <c:pt idx="277">
                  <c:v>69.25033569335938</c:v>
                </c:pt>
                <c:pt idx="278">
                  <c:v>69.50008392333984</c:v>
                </c:pt>
                <c:pt idx="279">
                  <c:v>69.75</c:v>
                </c:pt>
                <c:pt idx="280">
                  <c:v>70.00033569335938</c:v>
                </c:pt>
                <c:pt idx="281">
                  <c:v>70.25016784667969</c:v>
                </c:pt>
                <c:pt idx="282">
                  <c:v>70.50047302246094</c:v>
                </c:pt>
                <c:pt idx="283">
                  <c:v>70.75069427490234</c:v>
                </c:pt>
                <c:pt idx="284">
                  <c:v>71.00077819824219</c:v>
                </c:pt>
                <c:pt idx="285">
                  <c:v>71.25069427490234</c:v>
                </c:pt>
                <c:pt idx="286">
                  <c:v>71.5006103515625</c:v>
                </c:pt>
                <c:pt idx="287">
                  <c:v>71.75011444091797</c:v>
                </c:pt>
                <c:pt idx="288">
                  <c:v>72.00035858154297</c:v>
                </c:pt>
              </c:numCache>
            </c:numRef>
          </c:xVal>
          <c:yVal>
            <c:numRef>
              <c:f>SIM3!$F$11:$F$299</c:f>
              <c:numCache>
                <c:ptCount val="289"/>
                <c:pt idx="0">
                  <c:v>6.976023197174072</c:v>
                </c:pt>
                <c:pt idx="1">
                  <c:v>4.242303848266602</c:v>
                </c:pt>
                <c:pt idx="2">
                  <c:v>2.912945032119751</c:v>
                </c:pt>
                <c:pt idx="3">
                  <c:v>1.130789995193481</c:v>
                </c:pt>
                <c:pt idx="4">
                  <c:v>-1.595832943916321</c:v>
                </c:pt>
                <c:pt idx="5">
                  <c:v>-0.6819136142730713</c:v>
                </c:pt>
                <c:pt idx="6">
                  <c:v>-1.419749021530151</c:v>
                </c:pt>
                <c:pt idx="7">
                  <c:v>-0.7674710154533386</c:v>
                </c:pt>
                <c:pt idx="8">
                  <c:v>-0.9107096195220947</c:v>
                </c:pt>
                <c:pt idx="9">
                  <c:v>-0.8200296759605408</c:v>
                </c:pt>
                <c:pt idx="10">
                  <c:v>11.16559982299805</c:v>
                </c:pt>
                <c:pt idx="11">
                  <c:v>12.60305023193359</c:v>
                </c:pt>
                <c:pt idx="12">
                  <c:v>4.464561939239502</c:v>
                </c:pt>
                <c:pt idx="13">
                  <c:v>-0.6809154152870178</c:v>
                </c:pt>
                <c:pt idx="14">
                  <c:v>-1.171179056167603</c:v>
                </c:pt>
                <c:pt idx="15">
                  <c:v>-0.7079771161079407</c:v>
                </c:pt>
                <c:pt idx="16">
                  <c:v>-1.096295952796936</c:v>
                </c:pt>
                <c:pt idx="17">
                  <c:v>-0.9517791271209717</c:v>
                </c:pt>
                <c:pt idx="18">
                  <c:v>-1.097759008407593</c:v>
                </c:pt>
                <c:pt idx="19">
                  <c:v>0.05927617847919464</c:v>
                </c:pt>
                <c:pt idx="20">
                  <c:v>13.40221977233887</c:v>
                </c:pt>
                <c:pt idx="21">
                  <c:v>4.985125064849854</c:v>
                </c:pt>
                <c:pt idx="22">
                  <c:v>-1.031733989715576</c:v>
                </c:pt>
                <c:pt idx="23">
                  <c:v>-1.032536029815674</c:v>
                </c:pt>
                <c:pt idx="24">
                  <c:v>-0.2461369931697845</c:v>
                </c:pt>
                <c:pt idx="25">
                  <c:v>-1.076241970062256</c:v>
                </c:pt>
                <c:pt idx="26">
                  <c:v>-0.8284202814102173</c:v>
                </c:pt>
                <c:pt idx="27">
                  <c:v>-0.3064115941524506</c:v>
                </c:pt>
                <c:pt idx="28">
                  <c:v>13.67689037322998</c:v>
                </c:pt>
                <c:pt idx="29">
                  <c:v>6.837777137756348</c:v>
                </c:pt>
                <c:pt idx="30">
                  <c:v>7.346356868743896</c:v>
                </c:pt>
                <c:pt idx="31">
                  <c:v>0.7375826835632324</c:v>
                </c:pt>
                <c:pt idx="32">
                  <c:v>-1.645491003990173</c:v>
                </c:pt>
                <c:pt idx="33">
                  <c:v>-0.552581787109375</c:v>
                </c:pt>
                <c:pt idx="34">
                  <c:v>-1.173614025115967</c:v>
                </c:pt>
                <c:pt idx="35">
                  <c:v>-1.425438046455383</c:v>
                </c:pt>
                <c:pt idx="36">
                  <c:v>-0.2357669025659561</c:v>
                </c:pt>
                <c:pt idx="37">
                  <c:v>-0.6121916174888611</c:v>
                </c:pt>
                <c:pt idx="38">
                  <c:v>9.430706977844238</c:v>
                </c:pt>
                <c:pt idx="39">
                  <c:v>12.58953952789307</c:v>
                </c:pt>
                <c:pt idx="40">
                  <c:v>4.695287227630615</c:v>
                </c:pt>
                <c:pt idx="41">
                  <c:v>-1.82552695274353</c:v>
                </c:pt>
                <c:pt idx="42">
                  <c:v>-1.426532983779907</c:v>
                </c:pt>
                <c:pt idx="43">
                  <c:v>-1.39007294178009</c:v>
                </c:pt>
                <c:pt idx="44">
                  <c:v>-0.1526912003755569</c:v>
                </c:pt>
                <c:pt idx="45">
                  <c:v>-0.8187534213066101</c:v>
                </c:pt>
                <c:pt idx="46">
                  <c:v>-0.8090245723724365</c:v>
                </c:pt>
                <c:pt idx="47">
                  <c:v>23.51704025268555</c:v>
                </c:pt>
                <c:pt idx="48">
                  <c:v>6.524848937988281</c:v>
                </c:pt>
                <c:pt idx="49">
                  <c:v>6.988165855407715</c:v>
                </c:pt>
                <c:pt idx="50">
                  <c:v>0.4628688097000122</c:v>
                </c:pt>
                <c:pt idx="51">
                  <c:v>-0.9589515924453735</c:v>
                </c:pt>
                <c:pt idx="52">
                  <c:v>-1.444342017173767</c:v>
                </c:pt>
                <c:pt idx="53">
                  <c:v>-1.062476992607117</c:v>
                </c:pt>
                <c:pt idx="54">
                  <c:v>-0.7992194294929504</c:v>
                </c:pt>
                <c:pt idx="55">
                  <c:v>-0.2219285070896149</c:v>
                </c:pt>
                <c:pt idx="56">
                  <c:v>1.379286050796509</c:v>
                </c:pt>
                <c:pt idx="57">
                  <c:v>6.798878192901611</c:v>
                </c:pt>
                <c:pt idx="58">
                  <c:v>8.525787353515625</c:v>
                </c:pt>
                <c:pt idx="59">
                  <c:v>1.698940992355347</c:v>
                </c:pt>
                <c:pt idx="60">
                  <c:v>-0.2899576127529144</c:v>
                </c:pt>
                <c:pt idx="61">
                  <c:v>-1.521108031272888</c:v>
                </c:pt>
                <c:pt idx="62">
                  <c:v>-0.6993427276611328</c:v>
                </c:pt>
                <c:pt idx="63">
                  <c:v>-1.113250970840454</c:v>
                </c:pt>
                <c:pt idx="64">
                  <c:v>-1.112228989601135</c:v>
                </c:pt>
                <c:pt idx="65">
                  <c:v>-0.2576727867126465</c:v>
                </c:pt>
                <c:pt idx="66">
                  <c:v>0.1521696001291275</c:v>
                </c:pt>
                <c:pt idx="67">
                  <c:v>10.99627017974854</c:v>
                </c:pt>
                <c:pt idx="68">
                  <c:v>5.621076107025146</c:v>
                </c:pt>
                <c:pt idx="69">
                  <c:v>-0.786094605922699</c:v>
                </c:pt>
                <c:pt idx="70">
                  <c:v>-0.540069580078125</c:v>
                </c:pt>
                <c:pt idx="71">
                  <c:v>-1.589077949523926</c:v>
                </c:pt>
                <c:pt idx="72">
                  <c:v>-1.444530010223389</c:v>
                </c:pt>
                <c:pt idx="73">
                  <c:v>-0.1382323950529099</c:v>
                </c:pt>
                <c:pt idx="74">
                  <c:v>-0.5982772707939148</c:v>
                </c:pt>
                <c:pt idx="75">
                  <c:v>0.3179543018341064</c:v>
                </c:pt>
                <c:pt idx="76">
                  <c:v>7.558266162872314</c:v>
                </c:pt>
                <c:pt idx="77">
                  <c:v>9.834551811218262</c:v>
                </c:pt>
                <c:pt idx="78">
                  <c:v>2.515446901321411</c:v>
                </c:pt>
                <c:pt idx="79">
                  <c:v>-0.753879189491272</c:v>
                </c:pt>
                <c:pt idx="80">
                  <c:v>-0.5014141798019409</c:v>
                </c:pt>
                <c:pt idx="81">
                  <c:v>-1.128594994544983</c:v>
                </c:pt>
                <c:pt idx="82">
                  <c:v>-1.293583989143372</c:v>
                </c:pt>
                <c:pt idx="83">
                  <c:v>-1.021013021469116</c:v>
                </c:pt>
                <c:pt idx="84">
                  <c:v>-0.5829471945762634</c:v>
                </c:pt>
                <c:pt idx="85">
                  <c:v>0.1877776980400085</c:v>
                </c:pt>
                <c:pt idx="86">
                  <c:v>10.05395984649658</c:v>
                </c:pt>
                <c:pt idx="87">
                  <c:v>5.686669826507568</c:v>
                </c:pt>
                <c:pt idx="88">
                  <c:v>-0.7013269066810608</c:v>
                </c:pt>
                <c:pt idx="89">
                  <c:v>-0.7672542929649353</c:v>
                </c:pt>
                <c:pt idx="90">
                  <c:v>-1.716060996055603</c:v>
                </c:pt>
                <c:pt idx="91">
                  <c:v>-1.269173979759216</c:v>
                </c:pt>
                <c:pt idx="92">
                  <c:v>-0.4158096015453339</c:v>
                </c:pt>
                <c:pt idx="93">
                  <c:v>-0.5034540891647339</c:v>
                </c:pt>
                <c:pt idx="94">
                  <c:v>0.09811046719551086</c:v>
                </c:pt>
                <c:pt idx="95">
                  <c:v>7.979113101959229</c:v>
                </c:pt>
                <c:pt idx="96">
                  <c:v>10.12312984466553</c:v>
                </c:pt>
                <c:pt idx="97">
                  <c:v>2.804313898086548</c:v>
                </c:pt>
                <c:pt idx="98">
                  <c:v>-1.348260045051575</c:v>
                </c:pt>
                <c:pt idx="99">
                  <c:v>-1.674358010292053</c:v>
                </c:pt>
                <c:pt idx="100">
                  <c:v>-0.8231964111328125</c:v>
                </c:pt>
                <c:pt idx="101">
                  <c:v>-0.2544651031494141</c:v>
                </c:pt>
                <c:pt idx="102">
                  <c:v>-0.6597768068313599</c:v>
                </c:pt>
                <c:pt idx="103">
                  <c:v>-0.1947060972452164</c:v>
                </c:pt>
                <c:pt idx="104">
                  <c:v>2.687577962875366</c:v>
                </c:pt>
                <c:pt idx="105">
                  <c:v>7.761826992034912</c:v>
                </c:pt>
                <c:pt idx="106">
                  <c:v>6.173491954803467</c:v>
                </c:pt>
                <c:pt idx="107">
                  <c:v>-0.004646407905966043</c:v>
                </c:pt>
                <c:pt idx="108">
                  <c:v>-0.6225814819335938</c:v>
                </c:pt>
                <c:pt idx="109">
                  <c:v>-1.267084956169128</c:v>
                </c:pt>
                <c:pt idx="110">
                  <c:v>-1.434777975082397</c:v>
                </c:pt>
                <c:pt idx="111">
                  <c:v>-1.37518298625946</c:v>
                </c:pt>
                <c:pt idx="112">
                  <c:v>-0.6008580923080444</c:v>
                </c:pt>
                <c:pt idx="113">
                  <c:v>-4.106536865234375</c:v>
                </c:pt>
                <c:pt idx="114">
                  <c:v>9.622700691223145</c:v>
                </c:pt>
                <c:pt idx="115">
                  <c:v>11.04623985290527</c:v>
                </c:pt>
                <c:pt idx="116">
                  <c:v>3.765919923782349</c:v>
                </c:pt>
                <c:pt idx="117">
                  <c:v>-0.5592495203018188</c:v>
                </c:pt>
                <c:pt idx="118">
                  <c:v>-1.59313702583313</c:v>
                </c:pt>
                <c:pt idx="119">
                  <c:v>-0.2828378081321716</c:v>
                </c:pt>
                <c:pt idx="120">
                  <c:v>-1.442914962768555</c:v>
                </c:pt>
                <c:pt idx="121">
                  <c:v>-1.076388001441956</c:v>
                </c:pt>
                <c:pt idx="122">
                  <c:v>-0.8410698175430298</c:v>
                </c:pt>
                <c:pt idx="123">
                  <c:v>0.0761416032910347</c:v>
                </c:pt>
                <c:pt idx="124">
                  <c:v>12.52618026733398</c:v>
                </c:pt>
                <c:pt idx="125">
                  <c:v>5.288066864013672</c:v>
                </c:pt>
                <c:pt idx="126">
                  <c:v>-1.136423945426941</c:v>
                </c:pt>
                <c:pt idx="127">
                  <c:v>-0.1652005016803741</c:v>
                </c:pt>
                <c:pt idx="128">
                  <c:v>-0.5053871273994446</c:v>
                </c:pt>
                <c:pt idx="129">
                  <c:v>-1.495990991592407</c:v>
                </c:pt>
                <c:pt idx="130">
                  <c:v>-1.023689031600952</c:v>
                </c:pt>
                <c:pt idx="131">
                  <c:v>-0.8066114783287048</c:v>
                </c:pt>
                <c:pt idx="132">
                  <c:v>-0.06139710173010826</c:v>
                </c:pt>
                <c:pt idx="133">
                  <c:v>8.312959671020508</c:v>
                </c:pt>
                <c:pt idx="134">
                  <c:v>10.27215003967285</c:v>
                </c:pt>
                <c:pt idx="135">
                  <c:v>2.835649013519287</c:v>
                </c:pt>
                <c:pt idx="136">
                  <c:v>-1.422677040100098</c:v>
                </c:pt>
                <c:pt idx="137">
                  <c:v>-1.309196949005127</c:v>
                </c:pt>
                <c:pt idx="138">
                  <c:v>-1.65507698059082</c:v>
                </c:pt>
                <c:pt idx="139">
                  <c:v>-0.8782681226730347</c:v>
                </c:pt>
                <c:pt idx="140">
                  <c:v>-0.68751060962677</c:v>
                </c:pt>
                <c:pt idx="141">
                  <c:v>-0.1273591965436935</c:v>
                </c:pt>
                <c:pt idx="142">
                  <c:v>1.254348993301392</c:v>
                </c:pt>
                <c:pt idx="143">
                  <c:v>7.611433982849121</c:v>
                </c:pt>
                <c:pt idx="144">
                  <c:v>6.196812152862549</c:v>
                </c:pt>
                <c:pt idx="145">
                  <c:v>-0.04029314965009689</c:v>
                </c:pt>
                <c:pt idx="146">
                  <c:v>-1.677893996238708</c:v>
                </c:pt>
                <c:pt idx="147">
                  <c:v>-0.4680269062519073</c:v>
                </c:pt>
                <c:pt idx="148">
                  <c:v>-1.384199976921082</c:v>
                </c:pt>
                <c:pt idx="149">
                  <c:v>-0.6298993825912476</c:v>
                </c:pt>
                <c:pt idx="150">
                  <c:v>-0.8272212743759155</c:v>
                </c:pt>
                <c:pt idx="151">
                  <c:v>-3.239109992980957</c:v>
                </c:pt>
                <c:pt idx="152">
                  <c:v>8.687702178955078</c:v>
                </c:pt>
                <c:pt idx="153">
                  <c:v>10.43949031829834</c:v>
                </c:pt>
                <c:pt idx="154">
                  <c:v>3.226747989654541</c:v>
                </c:pt>
                <c:pt idx="155">
                  <c:v>-1.560137987136841</c:v>
                </c:pt>
                <c:pt idx="156">
                  <c:v>-1.431607007980347</c:v>
                </c:pt>
                <c:pt idx="157">
                  <c:v>-1.592213988304138</c:v>
                </c:pt>
                <c:pt idx="158">
                  <c:v>-0.5977463126182556</c:v>
                </c:pt>
                <c:pt idx="159">
                  <c:v>-0.3742744028568268</c:v>
                </c:pt>
                <c:pt idx="160">
                  <c:v>-0.4045214951038361</c:v>
                </c:pt>
                <c:pt idx="161">
                  <c:v>7.047525882720947</c:v>
                </c:pt>
                <c:pt idx="162">
                  <c:v>7.154197216033936</c:v>
                </c:pt>
                <c:pt idx="163">
                  <c:v>6.412751197814941</c:v>
                </c:pt>
                <c:pt idx="164">
                  <c:v>0.06186141073703766</c:v>
                </c:pt>
                <c:pt idx="165">
                  <c:v>-1.362028956413269</c:v>
                </c:pt>
                <c:pt idx="166">
                  <c:v>-1.038035988807678</c:v>
                </c:pt>
                <c:pt idx="167">
                  <c:v>-1.553251981735229</c:v>
                </c:pt>
                <c:pt idx="168">
                  <c:v>-0.9144347906112671</c:v>
                </c:pt>
                <c:pt idx="169">
                  <c:v>-0.2465022951364517</c:v>
                </c:pt>
                <c:pt idx="170">
                  <c:v>-1.642514944076538</c:v>
                </c:pt>
                <c:pt idx="171">
                  <c:v>9.73399829864502</c:v>
                </c:pt>
                <c:pt idx="172">
                  <c:v>11.2741003036499</c:v>
                </c:pt>
                <c:pt idx="173">
                  <c:v>3.966583967208862</c:v>
                </c:pt>
                <c:pt idx="174">
                  <c:v>-1.712679982185364</c:v>
                </c:pt>
                <c:pt idx="175">
                  <c:v>-1.40110194683075</c:v>
                </c:pt>
                <c:pt idx="176">
                  <c:v>-0.1826397925615311</c:v>
                </c:pt>
                <c:pt idx="177">
                  <c:v>-1.389961004257202</c:v>
                </c:pt>
                <c:pt idx="178">
                  <c:v>-0.2996033132076263</c:v>
                </c:pt>
                <c:pt idx="179">
                  <c:v>-0.6590834856033325</c:v>
                </c:pt>
                <c:pt idx="180">
                  <c:v>24.61331939697266</c:v>
                </c:pt>
                <c:pt idx="181">
                  <c:v>6.554393768310547</c:v>
                </c:pt>
                <c:pt idx="182">
                  <c:v>7.001327037811279</c:v>
                </c:pt>
                <c:pt idx="183">
                  <c:v>0.4271070957183838</c:v>
                </c:pt>
                <c:pt idx="184">
                  <c:v>-1.037333011627197</c:v>
                </c:pt>
                <c:pt idx="185">
                  <c:v>-0.7150024175643921</c:v>
                </c:pt>
                <c:pt idx="186">
                  <c:v>-1.106534957885742</c:v>
                </c:pt>
                <c:pt idx="187">
                  <c:v>-1.117655038833618</c:v>
                </c:pt>
                <c:pt idx="188">
                  <c:v>-0.5081402063369751</c:v>
                </c:pt>
                <c:pt idx="189">
                  <c:v>-1.420683026313782</c:v>
                </c:pt>
                <c:pt idx="190">
                  <c:v>9.28492259979248</c:v>
                </c:pt>
                <c:pt idx="191">
                  <c:v>12.75907039642334</c:v>
                </c:pt>
                <c:pt idx="192">
                  <c:v>4.705885887145996</c:v>
                </c:pt>
                <c:pt idx="193">
                  <c:v>-1.794098973274231</c:v>
                </c:pt>
                <c:pt idx="194">
                  <c:v>-1.317239999771118</c:v>
                </c:pt>
                <c:pt idx="195">
                  <c:v>-0.6538785099983215</c:v>
                </c:pt>
                <c:pt idx="196">
                  <c:v>-0.2852582931518555</c:v>
                </c:pt>
                <c:pt idx="197">
                  <c:v>-0.7909088134765625</c:v>
                </c:pt>
                <c:pt idx="198">
                  <c:v>-1.11715304851532</c:v>
                </c:pt>
                <c:pt idx="199">
                  <c:v>9.065084457397461</c:v>
                </c:pt>
                <c:pt idx="200">
                  <c:v>6.618594169616699</c:v>
                </c:pt>
                <c:pt idx="201">
                  <c:v>7.75547981262207</c:v>
                </c:pt>
                <c:pt idx="202">
                  <c:v>0.8487691283226013</c:v>
                </c:pt>
                <c:pt idx="203">
                  <c:v>-0.9830510020256042</c:v>
                </c:pt>
                <c:pt idx="204">
                  <c:v>-0.2957512140274048</c:v>
                </c:pt>
                <c:pt idx="205">
                  <c:v>-1.572281956672668</c:v>
                </c:pt>
                <c:pt idx="206">
                  <c:v>-1.20999002456665</c:v>
                </c:pt>
                <c:pt idx="207">
                  <c:v>-0.54392409324646</c:v>
                </c:pt>
                <c:pt idx="208">
                  <c:v>-0.3511559069156647</c:v>
                </c:pt>
                <c:pt idx="209">
                  <c:v>0.1618026942014694</c:v>
                </c:pt>
                <c:pt idx="210">
                  <c:v>13.45798969268799</c:v>
                </c:pt>
                <c:pt idx="211">
                  <c:v>5.429932117462158</c:v>
                </c:pt>
                <c:pt idx="212">
                  <c:v>-1.998438954353333</c:v>
                </c:pt>
                <c:pt idx="213">
                  <c:v>-1.420531988143921</c:v>
                </c:pt>
                <c:pt idx="214">
                  <c:v>-1.373821973800659</c:v>
                </c:pt>
                <c:pt idx="215">
                  <c:v>-0.7694342136383057</c:v>
                </c:pt>
                <c:pt idx="216">
                  <c:v>-0.7355176210403442</c:v>
                </c:pt>
                <c:pt idx="217">
                  <c:v>-1.119451999664307</c:v>
                </c:pt>
                <c:pt idx="218">
                  <c:v>0.7475036978721619</c:v>
                </c:pt>
                <c:pt idx="219">
                  <c:v>7.023973941802979</c:v>
                </c:pt>
                <c:pt idx="220">
                  <c:v>8.862682342529297</c:v>
                </c:pt>
                <c:pt idx="221">
                  <c:v>1.72892701625824</c:v>
                </c:pt>
                <c:pt idx="222">
                  <c:v>-0.4941596984863281</c:v>
                </c:pt>
                <c:pt idx="223">
                  <c:v>-1.259853005409241</c:v>
                </c:pt>
                <c:pt idx="224">
                  <c:v>-0.3687908947467804</c:v>
                </c:pt>
                <c:pt idx="225">
                  <c:v>-0.7167037129402161</c:v>
                </c:pt>
                <c:pt idx="226">
                  <c:v>-0.7200887203216553</c:v>
                </c:pt>
                <c:pt idx="227">
                  <c:v>-0.6639450192451477</c:v>
                </c:pt>
                <c:pt idx="228">
                  <c:v>0.06735623627901077</c:v>
                </c:pt>
                <c:pt idx="229">
                  <c:v>14.38185024261475</c:v>
                </c:pt>
                <c:pt idx="230">
                  <c:v>5.230877876281738</c:v>
                </c:pt>
                <c:pt idx="231">
                  <c:v>-0.6000856757164001</c:v>
                </c:pt>
                <c:pt idx="232">
                  <c:v>-1.648376941680908</c:v>
                </c:pt>
                <c:pt idx="233">
                  <c:v>-1.387413024902344</c:v>
                </c:pt>
                <c:pt idx="234">
                  <c:v>-0.4471918940544128</c:v>
                </c:pt>
                <c:pt idx="235">
                  <c:v>-1.149531960487366</c:v>
                </c:pt>
                <c:pt idx="236">
                  <c:v>-0.7298325896263123</c:v>
                </c:pt>
                <c:pt idx="237">
                  <c:v>0.3886891901493073</c:v>
                </c:pt>
                <c:pt idx="238">
                  <c:v>7.359546184539795</c:v>
                </c:pt>
                <c:pt idx="239">
                  <c:v>9.318095207214355</c:v>
                </c:pt>
                <c:pt idx="240">
                  <c:v>2.056369066238403</c:v>
                </c:pt>
                <c:pt idx="241">
                  <c:v>-1.65565299987793</c:v>
                </c:pt>
                <c:pt idx="242">
                  <c:v>-1.136278986930847</c:v>
                </c:pt>
                <c:pt idx="243">
                  <c:v>-1.217046976089478</c:v>
                </c:pt>
                <c:pt idx="244">
                  <c:v>-1.063941955566406</c:v>
                </c:pt>
                <c:pt idx="245">
                  <c:v>-0.5750734806060791</c:v>
                </c:pt>
                <c:pt idx="246">
                  <c:v>-0.6447569727897644</c:v>
                </c:pt>
                <c:pt idx="247">
                  <c:v>0.1802068948745728</c:v>
                </c:pt>
                <c:pt idx="248">
                  <c:v>10.53660011291504</c:v>
                </c:pt>
                <c:pt idx="249">
                  <c:v>5.681702136993408</c:v>
                </c:pt>
                <c:pt idx="250">
                  <c:v>-0.7135913968086243</c:v>
                </c:pt>
                <c:pt idx="251">
                  <c:v>-0.8294786810874939</c:v>
                </c:pt>
                <c:pt idx="252">
                  <c:v>-1.242509007453918</c:v>
                </c:pt>
                <c:pt idx="253">
                  <c:v>-0.7240946292877197</c:v>
                </c:pt>
                <c:pt idx="254">
                  <c:v>-0.3486095070838928</c:v>
                </c:pt>
                <c:pt idx="255">
                  <c:v>-0.8949306011199951</c:v>
                </c:pt>
                <c:pt idx="256">
                  <c:v>-1.935577034950256</c:v>
                </c:pt>
                <c:pt idx="257">
                  <c:v>8.229469299316406</c:v>
                </c:pt>
                <c:pt idx="258">
                  <c:v>10.16872978210449</c:v>
                </c:pt>
                <c:pt idx="259">
                  <c:v>2.827881097793579</c:v>
                </c:pt>
                <c:pt idx="260">
                  <c:v>-0.9195135235786438</c:v>
                </c:pt>
                <c:pt idx="261">
                  <c:v>-1.426707983016968</c:v>
                </c:pt>
                <c:pt idx="262">
                  <c:v>-1.590770959854126</c:v>
                </c:pt>
                <c:pt idx="263">
                  <c:v>-1.694815039634705</c:v>
                </c:pt>
                <c:pt idx="264">
                  <c:v>-0.6939061880111694</c:v>
                </c:pt>
                <c:pt idx="265">
                  <c:v>-1.170539021492004</c:v>
                </c:pt>
                <c:pt idx="266">
                  <c:v>7.773215770721436</c:v>
                </c:pt>
                <c:pt idx="267">
                  <c:v>11.63619995117188</c:v>
                </c:pt>
                <c:pt idx="268">
                  <c:v>4.437243938446045</c:v>
                </c:pt>
                <c:pt idx="269">
                  <c:v>-1.252895951271057</c:v>
                </c:pt>
                <c:pt idx="270">
                  <c:v>-0.989298403263092</c:v>
                </c:pt>
                <c:pt idx="271">
                  <c:v>-1.043799042701721</c:v>
                </c:pt>
                <c:pt idx="272">
                  <c:v>-1.457316994667053</c:v>
                </c:pt>
                <c:pt idx="273">
                  <c:v>-0.644598126411438</c:v>
                </c:pt>
                <c:pt idx="274">
                  <c:v>-0.753935694694519</c:v>
                </c:pt>
                <c:pt idx="275">
                  <c:v>17.95796012878418</c:v>
                </c:pt>
                <c:pt idx="276">
                  <c:v>6.467799186706543</c:v>
                </c:pt>
                <c:pt idx="277">
                  <c:v>7.221817970275879</c:v>
                </c:pt>
                <c:pt idx="278">
                  <c:v>0.5508872270584106</c:v>
                </c:pt>
                <c:pt idx="279">
                  <c:v>-1.457381010055542</c:v>
                </c:pt>
                <c:pt idx="280">
                  <c:v>-1.269549965858459</c:v>
                </c:pt>
                <c:pt idx="281">
                  <c:v>-0.6655827760696411</c:v>
                </c:pt>
                <c:pt idx="282">
                  <c:v>-1.443305015563965</c:v>
                </c:pt>
                <c:pt idx="283">
                  <c:v>-0.2772845029830933</c:v>
                </c:pt>
                <c:pt idx="284">
                  <c:v>-1.631808042526245</c:v>
                </c:pt>
                <c:pt idx="285">
                  <c:v>7.131631851196289</c:v>
                </c:pt>
                <c:pt idx="286">
                  <c:v>14.27326965332031</c:v>
                </c:pt>
                <c:pt idx="287">
                  <c:v>5.041431903839111</c:v>
                </c:pt>
                <c:pt idx="288">
                  <c:v>-0.4033803939819336</c:v>
                </c:pt>
              </c:numCache>
            </c:numRef>
          </c:yVal>
        </c:ser>
        <c:ser>
          <c:idx val="2"/>
          <c:order val="2"/>
          <c:tx>
            <c:strRef>
              <c:f>Legends!B4</c:f>
              <c:strCache>
                <c:ptCount val="1"/>
                <c:pt idx="0">
                  <c:v>VAR3</c:v>
                </c:pt>
              </c:strCache>
            </c:strRef>
          </c:tx>
          <c:marker>
            <c:symbol val="none"/>
          </c:marker>
          <c:xVal>
            <c:numRef>
              <c:f>SIM3!$C$11:$C$299</c:f>
              <c:numCache>
                <c:ptCount val="289"/>
                <c:pt idx="0">
                  <c:v>0</c:v>
                </c:pt>
                <c:pt idx="1">
                  <c:v>0.2500112354755402</c:v>
                </c:pt>
                <c:pt idx="2">
                  <c:v>0.5001211166381836</c:v>
                </c:pt>
                <c:pt idx="3">
                  <c:v>0.7500610947608948</c:v>
                </c:pt>
                <c:pt idx="4">
                  <c:v>1.000138640403748</c:v>
                </c:pt>
                <c:pt idx="5">
                  <c:v>1.25046443939209</c:v>
                </c:pt>
                <c:pt idx="6">
                  <c:v>1.500494718551636</c:v>
                </c:pt>
                <c:pt idx="7">
                  <c:v>1.750004172325134</c:v>
                </c:pt>
                <c:pt idx="8">
                  <c:v>2.000420570373535</c:v>
                </c:pt>
                <c:pt idx="9">
                  <c:v>2.250224113464355</c:v>
                </c:pt>
                <c:pt idx="10">
                  <c:v>2.500369071960449</c:v>
                </c:pt>
                <c:pt idx="11">
                  <c:v>2.750024080276489</c:v>
                </c:pt>
                <c:pt idx="12">
                  <c:v>3.000208377838135</c:v>
                </c:pt>
                <c:pt idx="13">
                  <c:v>3.250113964080811</c:v>
                </c:pt>
                <c:pt idx="14">
                  <c:v>3.500452756881714</c:v>
                </c:pt>
                <c:pt idx="15">
                  <c:v>3.750383377075195</c:v>
                </c:pt>
                <c:pt idx="16">
                  <c:v>4.000344276428223</c:v>
                </c:pt>
                <c:pt idx="17">
                  <c:v>4.250494480133057</c:v>
                </c:pt>
                <c:pt idx="18">
                  <c:v>4.500461101531982</c:v>
                </c:pt>
                <c:pt idx="19">
                  <c:v>4.750263690948486</c:v>
                </c:pt>
                <c:pt idx="20">
                  <c:v>5.00053071975708</c:v>
                </c:pt>
                <c:pt idx="21">
                  <c:v>5.250083446502686</c:v>
                </c:pt>
                <c:pt idx="22">
                  <c:v>5.500141620635986</c:v>
                </c:pt>
                <c:pt idx="23">
                  <c:v>5.750216484069824</c:v>
                </c:pt>
                <c:pt idx="24">
                  <c:v>6.000549793243408</c:v>
                </c:pt>
                <c:pt idx="25">
                  <c:v>6.250091552734375</c:v>
                </c:pt>
                <c:pt idx="26">
                  <c:v>6.500341892242432</c:v>
                </c:pt>
                <c:pt idx="27">
                  <c:v>6.75011682510376</c:v>
                </c:pt>
                <c:pt idx="28">
                  <c:v>7.000205516815186</c:v>
                </c:pt>
                <c:pt idx="29">
                  <c:v>7.250244617462158</c:v>
                </c:pt>
                <c:pt idx="30">
                  <c:v>7.500135898590088</c:v>
                </c:pt>
                <c:pt idx="31">
                  <c:v>7.750339031219482</c:v>
                </c:pt>
                <c:pt idx="32">
                  <c:v>8.000338554382324</c:v>
                </c:pt>
                <c:pt idx="33">
                  <c:v>8.250455856323242</c:v>
                </c:pt>
                <c:pt idx="34">
                  <c:v>8.500544548034668</c:v>
                </c:pt>
                <c:pt idx="35">
                  <c:v>8.75</c:v>
                </c:pt>
                <c:pt idx="36">
                  <c:v>9.000472068786621</c:v>
                </c:pt>
                <c:pt idx="37">
                  <c:v>9.25011157989502</c:v>
                </c:pt>
                <c:pt idx="38">
                  <c:v>9.500683784484863</c:v>
                </c:pt>
                <c:pt idx="39">
                  <c:v>9.750430107116699</c:v>
                </c:pt>
                <c:pt idx="40">
                  <c:v>10.00016403198242</c:v>
                </c:pt>
                <c:pt idx="41">
                  <c:v>10.2501277923584</c:v>
                </c:pt>
                <c:pt idx="42">
                  <c:v>10.50033569335938</c:v>
                </c:pt>
                <c:pt idx="43">
                  <c:v>10.75016117095947</c:v>
                </c:pt>
                <c:pt idx="44">
                  <c:v>11.00027179718018</c:v>
                </c:pt>
                <c:pt idx="45">
                  <c:v>11.25069999694824</c:v>
                </c:pt>
                <c:pt idx="46">
                  <c:v>11.50054168701172</c:v>
                </c:pt>
                <c:pt idx="47">
                  <c:v>11.75013065338135</c:v>
                </c:pt>
                <c:pt idx="48">
                  <c:v>12.0003023147583</c:v>
                </c:pt>
                <c:pt idx="49">
                  <c:v>12.25020313262939</c:v>
                </c:pt>
                <c:pt idx="50">
                  <c:v>12.50034141540527</c:v>
                </c:pt>
                <c:pt idx="51">
                  <c:v>12.75021648406982</c:v>
                </c:pt>
                <c:pt idx="52">
                  <c:v>13.00022792816162</c:v>
                </c:pt>
                <c:pt idx="53">
                  <c:v>13.25059413909912</c:v>
                </c:pt>
                <c:pt idx="54">
                  <c:v>13.50055027008057</c:v>
                </c:pt>
                <c:pt idx="55">
                  <c:v>13.7501220703125</c:v>
                </c:pt>
                <c:pt idx="56">
                  <c:v>14.00006675720215</c:v>
                </c:pt>
                <c:pt idx="57">
                  <c:v>14.25055599212646</c:v>
                </c:pt>
                <c:pt idx="58">
                  <c:v>14.50046348571777</c:v>
                </c:pt>
                <c:pt idx="59">
                  <c:v>14.75028038024902</c:v>
                </c:pt>
                <c:pt idx="60">
                  <c:v>15.00006103515625</c:v>
                </c:pt>
                <c:pt idx="61">
                  <c:v>15.25045299530029</c:v>
                </c:pt>
                <c:pt idx="62">
                  <c:v>15.50001621246338</c:v>
                </c:pt>
                <c:pt idx="63">
                  <c:v>15.75035858154297</c:v>
                </c:pt>
                <c:pt idx="64">
                  <c:v>16.0000057220459</c:v>
                </c:pt>
                <c:pt idx="65">
                  <c:v>16.25017166137695</c:v>
                </c:pt>
                <c:pt idx="66">
                  <c:v>16.50028038024902</c:v>
                </c:pt>
                <c:pt idx="67">
                  <c:v>16.75034141540527</c:v>
                </c:pt>
                <c:pt idx="68">
                  <c:v>17.00038146972656</c:v>
                </c:pt>
                <c:pt idx="69">
                  <c:v>17.25022315979004</c:v>
                </c:pt>
                <c:pt idx="70">
                  <c:v>17.50027847290039</c:v>
                </c:pt>
                <c:pt idx="71">
                  <c:v>17.75018310546875</c:v>
                </c:pt>
                <c:pt idx="72">
                  <c:v>18.00062561035156</c:v>
                </c:pt>
                <c:pt idx="73">
                  <c:v>18.25037574768066</c:v>
                </c:pt>
                <c:pt idx="74">
                  <c:v>18.50007438659668</c:v>
                </c:pt>
                <c:pt idx="75">
                  <c:v>18.75033950805664</c:v>
                </c:pt>
                <c:pt idx="76">
                  <c:v>19.00041389465332</c:v>
                </c:pt>
                <c:pt idx="77">
                  <c:v>19.25008964538574</c:v>
                </c:pt>
                <c:pt idx="78">
                  <c:v>19.50041198730469</c:v>
                </c:pt>
                <c:pt idx="79">
                  <c:v>19.75034141540527</c:v>
                </c:pt>
                <c:pt idx="80">
                  <c:v>20.00035858154297</c:v>
                </c:pt>
                <c:pt idx="81">
                  <c:v>20.25011444091797</c:v>
                </c:pt>
                <c:pt idx="82">
                  <c:v>20.50053977966309</c:v>
                </c:pt>
                <c:pt idx="83">
                  <c:v>20.75032806396484</c:v>
                </c:pt>
                <c:pt idx="84">
                  <c:v>21.00030517578125</c:v>
                </c:pt>
                <c:pt idx="85">
                  <c:v>21.25016975402832</c:v>
                </c:pt>
                <c:pt idx="86">
                  <c:v>21.50005531311035</c:v>
                </c:pt>
                <c:pt idx="87">
                  <c:v>21.75035285949707</c:v>
                </c:pt>
                <c:pt idx="88">
                  <c:v>22.00033950805664</c:v>
                </c:pt>
                <c:pt idx="89">
                  <c:v>22.25032806396484</c:v>
                </c:pt>
                <c:pt idx="90">
                  <c:v>22.50010871887207</c:v>
                </c:pt>
                <c:pt idx="91">
                  <c:v>22.75060272216797</c:v>
                </c:pt>
                <c:pt idx="92">
                  <c:v>23.00004959106445</c:v>
                </c:pt>
                <c:pt idx="93">
                  <c:v>23.25018119812012</c:v>
                </c:pt>
                <c:pt idx="94">
                  <c:v>23.50004196166992</c:v>
                </c:pt>
                <c:pt idx="95">
                  <c:v>23.7502613067627</c:v>
                </c:pt>
                <c:pt idx="96">
                  <c:v>24.00009155273438</c:v>
                </c:pt>
                <c:pt idx="97">
                  <c:v>24.2501163482666</c:v>
                </c:pt>
                <c:pt idx="98">
                  <c:v>24.50030899047852</c:v>
                </c:pt>
                <c:pt idx="99">
                  <c:v>24.75033569335938</c:v>
                </c:pt>
                <c:pt idx="100">
                  <c:v>25.00015830993652</c:v>
                </c:pt>
                <c:pt idx="101">
                  <c:v>25.25021743774414</c:v>
                </c:pt>
                <c:pt idx="102">
                  <c:v>25.5007381439209</c:v>
                </c:pt>
                <c:pt idx="103">
                  <c:v>25.75076866149902</c:v>
                </c:pt>
                <c:pt idx="104">
                  <c:v>26.00023651123047</c:v>
                </c:pt>
                <c:pt idx="105">
                  <c:v>26.25028038024902</c:v>
                </c:pt>
                <c:pt idx="106">
                  <c:v>26.50044250488281</c:v>
                </c:pt>
                <c:pt idx="107">
                  <c:v>26.75016975402832</c:v>
                </c:pt>
                <c:pt idx="108">
                  <c:v>27.00003242492676</c:v>
                </c:pt>
                <c:pt idx="109">
                  <c:v>27.25041389465332</c:v>
                </c:pt>
                <c:pt idx="110">
                  <c:v>27.50036430358887</c:v>
                </c:pt>
                <c:pt idx="111">
                  <c:v>27.75016593933105</c:v>
                </c:pt>
                <c:pt idx="112">
                  <c:v>28.00069427490234</c:v>
                </c:pt>
                <c:pt idx="113">
                  <c:v>28.2506103515625</c:v>
                </c:pt>
                <c:pt idx="114">
                  <c:v>28.50008392333984</c:v>
                </c:pt>
                <c:pt idx="115">
                  <c:v>28.75055503845215</c:v>
                </c:pt>
                <c:pt idx="116">
                  <c:v>29.0001392364502</c:v>
                </c:pt>
                <c:pt idx="117">
                  <c:v>29.25019454956055</c:v>
                </c:pt>
                <c:pt idx="118">
                  <c:v>29.50019454956055</c:v>
                </c:pt>
                <c:pt idx="119">
                  <c:v>29.75038909912109</c:v>
                </c:pt>
                <c:pt idx="120">
                  <c:v>30.00022315979004</c:v>
                </c:pt>
                <c:pt idx="121">
                  <c:v>30.25030517578125</c:v>
                </c:pt>
                <c:pt idx="122">
                  <c:v>30.50077819824219</c:v>
                </c:pt>
                <c:pt idx="123">
                  <c:v>30.75030517578125</c:v>
                </c:pt>
                <c:pt idx="124">
                  <c:v>31.0001106262207</c:v>
                </c:pt>
                <c:pt idx="125">
                  <c:v>31.25022315979004</c:v>
                </c:pt>
                <c:pt idx="126">
                  <c:v>31.5001392364502</c:v>
                </c:pt>
                <c:pt idx="127">
                  <c:v>31.75002861022949</c:v>
                </c:pt>
                <c:pt idx="128">
                  <c:v>32.00055694580078</c:v>
                </c:pt>
                <c:pt idx="129">
                  <c:v>32.25033187866211</c:v>
                </c:pt>
                <c:pt idx="130">
                  <c:v>32.50038909912109</c:v>
                </c:pt>
                <c:pt idx="131">
                  <c:v>32.75019454956055</c:v>
                </c:pt>
                <c:pt idx="132">
                  <c:v>33.0007209777832</c:v>
                </c:pt>
                <c:pt idx="133">
                  <c:v>33.25008392333984</c:v>
                </c:pt>
                <c:pt idx="134">
                  <c:v>33.50002670288086</c:v>
                </c:pt>
                <c:pt idx="135">
                  <c:v>33.75033187866211</c:v>
                </c:pt>
                <c:pt idx="136">
                  <c:v>34.00033187866211</c:v>
                </c:pt>
                <c:pt idx="137">
                  <c:v>34.25047302246094</c:v>
                </c:pt>
                <c:pt idx="138">
                  <c:v>34.50013732910156</c:v>
                </c:pt>
                <c:pt idx="139">
                  <c:v>34.7506103515625</c:v>
                </c:pt>
                <c:pt idx="140">
                  <c:v>35.00019454956055</c:v>
                </c:pt>
                <c:pt idx="141">
                  <c:v>35.25066757202148</c:v>
                </c:pt>
                <c:pt idx="142">
                  <c:v>35.50013732910156</c:v>
                </c:pt>
                <c:pt idx="143">
                  <c:v>35.75</c:v>
                </c:pt>
                <c:pt idx="144">
                  <c:v>36.0004997253418</c:v>
                </c:pt>
                <c:pt idx="145">
                  <c:v>36.25002670288086</c:v>
                </c:pt>
                <c:pt idx="146">
                  <c:v>36.50019454956055</c:v>
                </c:pt>
                <c:pt idx="147">
                  <c:v>36.75047302246094</c:v>
                </c:pt>
                <c:pt idx="148">
                  <c:v>37.00025177001953</c:v>
                </c:pt>
                <c:pt idx="149">
                  <c:v>37.2501106262207</c:v>
                </c:pt>
                <c:pt idx="150">
                  <c:v>37.50002670288086</c:v>
                </c:pt>
                <c:pt idx="151">
                  <c:v>37.75083160400391</c:v>
                </c:pt>
                <c:pt idx="152">
                  <c:v>38.00052642822266</c:v>
                </c:pt>
                <c:pt idx="153">
                  <c:v>38.25022125244141</c:v>
                </c:pt>
                <c:pt idx="154">
                  <c:v>38.50013732910156</c:v>
                </c:pt>
                <c:pt idx="155">
                  <c:v>38.75030517578125</c:v>
                </c:pt>
                <c:pt idx="156">
                  <c:v>39.00027847290039</c:v>
                </c:pt>
                <c:pt idx="157">
                  <c:v>39.25027847290039</c:v>
                </c:pt>
                <c:pt idx="158">
                  <c:v>39.50055694580078</c:v>
                </c:pt>
                <c:pt idx="159">
                  <c:v>39.75041580200195</c:v>
                </c:pt>
                <c:pt idx="160">
                  <c:v>40.0007209777832</c:v>
                </c:pt>
                <c:pt idx="161">
                  <c:v>40.25005722045898</c:v>
                </c:pt>
                <c:pt idx="162">
                  <c:v>40.50047302246094</c:v>
                </c:pt>
                <c:pt idx="163">
                  <c:v>40.7501106262207</c:v>
                </c:pt>
                <c:pt idx="164">
                  <c:v>41.00038909912109</c:v>
                </c:pt>
                <c:pt idx="165">
                  <c:v>41.25022125244141</c:v>
                </c:pt>
                <c:pt idx="166">
                  <c:v>41.50027847290039</c:v>
                </c:pt>
                <c:pt idx="167">
                  <c:v>41.7501106262207</c:v>
                </c:pt>
                <c:pt idx="168">
                  <c:v>42.00038909912109</c:v>
                </c:pt>
                <c:pt idx="169">
                  <c:v>42.2504997253418</c:v>
                </c:pt>
                <c:pt idx="170">
                  <c:v>42.50086212158203</c:v>
                </c:pt>
                <c:pt idx="171">
                  <c:v>42.75008392333984</c:v>
                </c:pt>
                <c:pt idx="172">
                  <c:v>43.00036239624023</c:v>
                </c:pt>
                <c:pt idx="173">
                  <c:v>43.25016784667969</c:v>
                </c:pt>
                <c:pt idx="174">
                  <c:v>43.50027847290039</c:v>
                </c:pt>
                <c:pt idx="175">
                  <c:v>43.75038909912109</c:v>
                </c:pt>
                <c:pt idx="176">
                  <c:v>44.00058364868164</c:v>
                </c:pt>
                <c:pt idx="177">
                  <c:v>44.25005722045898</c:v>
                </c:pt>
                <c:pt idx="178">
                  <c:v>44.50055694580078</c:v>
                </c:pt>
                <c:pt idx="179">
                  <c:v>44.75041580200195</c:v>
                </c:pt>
                <c:pt idx="180">
                  <c:v>45.00016784667969</c:v>
                </c:pt>
                <c:pt idx="181">
                  <c:v>45.25002670288086</c:v>
                </c:pt>
                <c:pt idx="182">
                  <c:v>45.50013732910156</c:v>
                </c:pt>
                <c:pt idx="183">
                  <c:v>45.75013732910156</c:v>
                </c:pt>
                <c:pt idx="184">
                  <c:v>46.00005722045898</c:v>
                </c:pt>
                <c:pt idx="185">
                  <c:v>46.25041580200195</c:v>
                </c:pt>
                <c:pt idx="186">
                  <c:v>46.5004997253418</c:v>
                </c:pt>
                <c:pt idx="187">
                  <c:v>46.7504997253418</c:v>
                </c:pt>
                <c:pt idx="188">
                  <c:v>47.0004997253418</c:v>
                </c:pt>
                <c:pt idx="189">
                  <c:v>47.25069427490234</c:v>
                </c:pt>
                <c:pt idx="190">
                  <c:v>47.5006103515625</c:v>
                </c:pt>
                <c:pt idx="191">
                  <c:v>47.7501106262207</c:v>
                </c:pt>
                <c:pt idx="192">
                  <c:v>48.0001106262207</c:v>
                </c:pt>
                <c:pt idx="193">
                  <c:v>48.25030517578125</c:v>
                </c:pt>
                <c:pt idx="194">
                  <c:v>48.50016784667969</c:v>
                </c:pt>
                <c:pt idx="195">
                  <c:v>48.75047302246094</c:v>
                </c:pt>
                <c:pt idx="196">
                  <c:v>49.00033187866211</c:v>
                </c:pt>
                <c:pt idx="197">
                  <c:v>49.25041580200195</c:v>
                </c:pt>
                <c:pt idx="198">
                  <c:v>49.50016784667969</c:v>
                </c:pt>
                <c:pt idx="199">
                  <c:v>49.75088882446289</c:v>
                </c:pt>
                <c:pt idx="200">
                  <c:v>50.00019454956055</c:v>
                </c:pt>
                <c:pt idx="201">
                  <c:v>50.25025177001953</c:v>
                </c:pt>
                <c:pt idx="202">
                  <c:v>50.50030517578125</c:v>
                </c:pt>
                <c:pt idx="203">
                  <c:v>50.75013732910156</c:v>
                </c:pt>
                <c:pt idx="204">
                  <c:v>51.00055694580078</c:v>
                </c:pt>
                <c:pt idx="205">
                  <c:v>51.25027847290039</c:v>
                </c:pt>
                <c:pt idx="206">
                  <c:v>51.50047302246094</c:v>
                </c:pt>
                <c:pt idx="207">
                  <c:v>51.75047302246094</c:v>
                </c:pt>
                <c:pt idx="208">
                  <c:v>52.00025177001953</c:v>
                </c:pt>
                <c:pt idx="209">
                  <c:v>52.25002670288086</c:v>
                </c:pt>
                <c:pt idx="210">
                  <c:v>52.50044631958008</c:v>
                </c:pt>
                <c:pt idx="211">
                  <c:v>52.75013732910156</c:v>
                </c:pt>
                <c:pt idx="212">
                  <c:v>53.00036239624023</c:v>
                </c:pt>
                <c:pt idx="213">
                  <c:v>53.25036239624023</c:v>
                </c:pt>
                <c:pt idx="214">
                  <c:v>53.5001106262207</c:v>
                </c:pt>
                <c:pt idx="215">
                  <c:v>53.75002670288086</c:v>
                </c:pt>
                <c:pt idx="216">
                  <c:v>54.00058364868164</c:v>
                </c:pt>
                <c:pt idx="217">
                  <c:v>54.25030517578125</c:v>
                </c:pt>
                <c:pt idx="218">
                  <c:v>54.50083160400391</c:v>
                </c:pt>
                <c:pt idx="219">
                  <c:v>54.75052642822266</c:v>
                </c:pt>
                <c:pt idx="220">
                  <c:v>55.00022125244141</c:v>
                </c:pt>
                <c:pt idx="221">
                  <c:v>55.25016784667969</c:v>
                </c:pt>
                <c:pt idx="222">
                  <c:v>55.50025177001953</c:v>
                </c:pt>
                <c:pt idx="223">
                  <c:v>55.75002670288086</c:v>
                </c:pt>
                <c:pt idx="224">
                  <c:v>56.0004997253418</c:v>
                </c:pt>
                <c:pt idx="225">
                  <c:v>56.25044631958008</c:v>
                </c:pt>
                <c:pt idx="226">
                  <c:v>56.5004997253418</c:v>
                </c:pt>
                <c:pt idx="227">
                  <c:v>56.75088882446289</c:v>
                </c:pt>
                <c:pt idx="228">
                  <c:v>57.00041580200195</c:v>
                </c:pt>
                <c:pt idx="229">
                  <c:v>57.25027847290039</c:v>
                </c:pt>
                <c:pt idx="230">
                  <c:v>57.50016784667969</c:v>
                </c:pt>
                <c:pt idx="231">
                  <c:v>57.7501106262207</c:v>
                </c:pt>
                <c:pt idx="232">
                  <c:v>58.00005722045898</c:v>
                </c:pt>
                <c:pt idx="233">
                  <c:v>58.25005722045898</c:v>
                </c:pt>
                <c:pt idx="234">
                  <c:v>58.50025177001953</c:v>
                </c:pt>
                <c:pt idx="235">
                  <c:v>58.75041580200195</c:v>
                </c:pt>
                <c:pt idx="236">
                  <c:v>59.00058364868164</c:v>
                </c:pt>
                <c:pt idx="237">
                  <c:v>59.25033187866211</c:v>
                </c:pt>
                <c:pt idx="238">
                  <c:v>59.50063705444336</c:v>
                </c:pt>
                <c:pt idx="239">
                  <c:v>59.7504997253418</c:v>
                </c:pt>
                <c:pt idx="240">
                  <c:v>60.00027847290039</c:v>
                </c:pt>
                <c:pt idx="241">
                  <c:v>60.25033187866211</c:v>
                </c:pt>
                <c:pt idx="242">
                  <c:v>60.50027847290039</c:v>
                </c:pt>
                <c:pt idx="243">
                  <c:v>60.75016784667969</c:v>
                </c:pt>
                <c:pt idx="244">
                  <c:v>61.00013732910156</c:v>
                </c:pt>
                <c:pt idx="245">
                  <c:v>61.25033187866211</c:v>
                </c:pt>
                <c:pt idx="246">
                  <c:v>61.50075149536133</c:v>
                </c:pt>
                <c:pt idx="247">
                  <c:v>61.75025177001953</c:v>
                </c:pt>
                <c:pt idx="248">
                  <c:v>62.00033187866211</c:v>
                </c:pt>
                <c:pt idx="249">
                  <c:v>62.25019454956055</c:v>
                </c:pt>
                <c:pt idx="250">
                  <c:v>62.50013732910156</c:v>
                </c:pt>
                <c:pt idx="251">
                  <c:v>62.75008392333984</c:v>
                </c:pt>
                <c:pt idx="252">
                  <c:v>63.00033187866211</c:v>
                </c:pt>
                <c:pt idx="253">
                  <c:v>63.25055694580078</c:v>
                </c:pt>
                <c:pt idx="254">
                  <c:v>63.5007209777832</c:v>
                </c:pt>
                <c:pt idx="255">
                  <c:v>63.75066757202148</c:v>
                </c:pt>
                <c:pt idx="256">
                  <c:v>64.00027465820312</c:v>
                </c:pt>
                <c:pt idx="257">
                  <c:v>64.25030517578125</c:v>
                </c:pt>
                <c:pt idx="258">
                  <c:v>64.50011444091797</c:v>
                </c:pt>
                <c:pt idx="259">
                  <c:v>64.75027465820312</c:v>
                </c:pt>
                <c:pt idx="260">
                  <c:v>65.00025177001953</c:v>
                </c:pt>
                <c:pt idx="261">
                  <c:v>65.25016784667969</c:v>
                </c:pt>
                <c:pt idx="262">
                  <c:v>65.5</c:v>
                </c:pt>
                <c:pt idx="263">
                  <c:v>65.75005340576172</c:v>
                </c:pt>
                <c:pt idx="264">
                  <c:v>66.00003051757812</c:v>
                </c:pt>
                <c:pt idx="265">
                  <c:v>66.25055694580078</c:v>
                </c:pt>
                <c:pt idx="266">
                  <c:v>66.50050354003906</c:v>
                </c:pt>
                <c:pt idx="267">
                  <c:v>66.75041961669922</c:v>
                </c:pt>
                <c:pt idx="268">
                  <c:v>67.00033569335938</c:v>
                </c:pt>
                <c:pt idx="269">
                  <c:v>67.25019073486328</c:v>
                </c:pt>
                <c:pt idx="270">
                  <c:v>67.50027465820312</c:v>
                </c:pt>
                <c:pt idx="271">
                  <c:v>67.75052642822266</c:v>
                </c:pt>
                <c:pt idx="272">
                  <c:v>68.00025177001953</c:v>
                </c:pt>
                <c:pt idx="273">
                  <c:v>68.25041961669922</c:v>
                </c:pt>
                <c:pt idx="274">
                  <c:v>68.50057983398438</c:v>
                </c:pt>
                <c:pt idx="275">
                  <c:v>68.75022125244141</c:v>
                </c:pt>
                <c:pt idx="276">
                  <c:v>69.00016784667969</c:v>
                </c:pt>
                <c:pt idx="277">
                  <c:v>69.25033569335938</c:v>
                </c:pt>
                <c:pt idx="278">
                  <c:v>69.50008392333984</c:v>
                </c:pt>
                <c:pt idx="279">
                  <c:v>69.75</c:v>
                </c:pt>
                <c:pt idx="280">
                  <c:v>70.00033569335938</c:v>
                </c:pt>
                <c:pt idx="281">
                  <c:v>70.25016784667969</c:v>
                </c:pt>
                <c:pt idx="282">
                  <c:v>70.50047302246094</c:v>
                </c:pt>
                <c:pt idx="283">
                  <c:v>70.75069427490234</c:v>
                </c:pt>
                <c:pt idx="284">
                  <c:v>71.00077819824219</c:v>
                </c:pt>
                <c:pt idx="285">
                  <c:v>71.25069427490234</c:v>
                </c:pt>
                <c:pt idx="286">
                  <c:v>71.5006103515625</c:v>
                </c:pt>
                <c:pt idx="287">
                  <c:v>71.75011444091797</c:v>
                </c:pt>
                <c:pt idx="288">
                  <c:v>72.00035858154297</c:v>
                </c:pt>
              </c:numCache>
            </c:numRef>
          </c:xVal>
          <c:yVal>
            <c:numRef>
              <c:f>SIM3!$G$11:$G$299</c:f>
              <c:numCache>
                <c:ptCount val="289"/>
                <c:pt idx="0">
                  <c:v>9.87746524810791</c:v>
                </c:pt>
                <c:pt idx="1">
                  <c:v>6.967663764953613</c:v>
                </c:pt>
                <c:pt idx="2">
                  <c:v>5.829698085784912</c:v>
                </c:pt>
                <c:pt idx="3">
                  <c:v>3.361793041229248</c:v>
                </c:pt>
                <c:pt idx="4">
                  <c:v>0.28751140832901</c:v>
                </c:pt>
                <c:pt idx="5">
                  <c:v>0.2123174965381622</c:v>
                </c:pt>
                <c:pt idx="6">
                  <c:v>0.1466632932424545</c:v>
                </c:pt>
                <c:pt idx="7">
                  <c:v>0.6117944717407227</c:v>
                </c:pt>
                <c:pt idx="8">
                  <c:v>-0.1550046056509018</c:v>
                </c:pt>
                <c:pt idx="9">
                  <c:v>0.3807440102100372</c:v>
                </c:pt>
                <c:pt idx="10">
                  <c:v>13.01156997680664</c:v>
                </c:pt>
                <c:pt idx="11">
                  <c:v>16.15007972717285</c:v>
                </c:pt>
                <c:pt idx="12">
                  <c:v>10.29673004150391</c:v>
                </c:pt>
                <c:pt idx="13">
                  <c:v>1.283489942550659</c:v>
                </c:pt>
                <c:pt idx="14">
                  <c:v>-3.11378002166748</c:v>
                </c:pt>
                <c:pt idx="15">
                  <c:v>0.5570847988128662</c:v>
                </c:pt>
                <c:pt idx="16">
                  <c:v>2.51476001739502</c:v>
                </c:pt>
                <c:pt idx="17">
                  <c:v>-0.2452594935894012</c:v>
                </c:pt>
                <c:pt idx="18">
                  <c:v>0.398908406496048</c:v>
                </c:pt>
                <c:pt idx="19">
                  <c:v>9.970287322998047</c:v>
                </c:pt>
                <c:pt idx="20">
                  <c:v>16.29467010498047</c:v>
                </c:pt>
                <c:pt idx="21">
                  <c:v>10.19309043884277</c:v>
                </c:pt>
                <c:pt idx="22">
                  <c:v>1.143684029579163</c:v>
                </c:pt>
                <c:pt idx="23">
                  <c:v>-0.8067687749862671</c:v>
                </c:pt>
                <c:pt idx="24">
                  <c:v>-3.361999034881592</c:v>
                </c:pt>
                <c:pt idx="25">
                  <c:v>-0.3041419088840485</c:v>
                </c:pt>
                <c:pt idx="26">
                  <c:v>0.301072895526886</c:v>
                </c:pt>
                <c:pt idx="27">
                  <c:v>-0.2956759035587311</c:v>
                </c:pt>
                <c:pt idx="28">
                  <c:v>14.08092021942139</c:v>
                </c:pt>
                <c:pt idx="29">
                  <c:v>7.262814044952393</c:v>
                </c:pt>
                <c:pt idx="30">
                  <c:v>11.98878955841064</c:v>
                </c:pt>
                <c:pt idx="31">
                  <c:v>3.844223022460938</c:v>
                </c:pt>
                <c:pt idx="32">
                  <c:v>0.9509580731391907</c:v>
                </c:pt>
                <c:pt idx="33">
                  <c:v>-4.08223819732666</c:v>
                </c:pt>
                <c:pt idx="34">
                  <c:v>-0.1289671957492828</c:v>
                </c:pt>
                <c:pt idx="35">
                  <c:v>0.5069530010223389</c:v>
                </c:pt>
                <c:pt idx="36">
                  <c:v>-0.7537171840667725</c:v>
                </c:pt>
                <c:pt idx="37">
                  <c:v>0.2485211938619614</c:v>
                </c:pt>
                <c:pt idx="38">
                  <c:v>11.56567001342773</c:v>
                </c:pt>
                <c:pt idx="39">
                  <c:v>16.2893009185791</c:v>
                </c:pt>
                <c:pt idx="40">
                  <c:v>10.17430019378662</c:v>
                </c:pt>
                <c:pt idx="41">
                  <c:v>-4.080149173736572</c:v>
                </c:pt>
                <c:pt idx="42">
                  <c:v>-0.07952968776226044</c:v>
                </c:pt>
                <c:pt idx="43">
                  <c:v>-1.546779036521912</c:v>
                </c:pt>
                <c:pt idx="44">
                  <c:v>-0.80257248878479</c:v>
                </c:pt>
                <c:pt idx="45">
                  <c:v>-0.03334593027830124</c:v>
                </c:pt>
                <c:pt idx="46">
                  <c:v>0.4441036880016327</c:v>
                </c:pt>
                <c:pt idx="47">
                  <c:v>24.63624954223633</c:v>
                </c:pt>
                <c:pt idx="48">
                  <c:v>6.915584087371826</c:v>
                </c:pt>
                <c:pt idx="49">
                  <c:v>11.64840984344482</c:v>
                </c:pt>
                <c:pt idx="50">
                  <c:v>3.349845886230469</c:v>
                </c:pt>
                <c:pt idx="51">
                  <c:v>1.950693011283875</c:v>
                </c:pt>
                <c:pt idx="52">
                  <c:v>1.775686979293823</c:v>
                </c:pt>
                <c:pt idx="53">
                  <c:v>2.647059917449951</c:v>
                </c:pt>
                <c:pt idx="54">
                  <c:v>-0.7031360864639282</c:v>
                </c:pt>
                <c:pt idx="55">
                  <c:v>-0.1710522025823593</c:v>
                </c:pt>
                <c:pt idx="56">
                  <c:v>1.51946496963501</c:v>
                </c:pt>
                <c:pt idx="57">
                  <c:v>7.411953926086426</c:v>
                </c:pt>
                <c:pt idx="58">
                  <c:v>12.69307041168213</c:v>
                </c:pt>
                <c:pt idx="59">
                  <c:v>5.675685882568359</c:v>
                </c:pt>
                <c:pt idx="60">
                  <c:v>-4.067665100097656</c:v>
                </c:pt>
                <c:pt idx="61">
                  <c:v>1.645830035209656</c:v>
                </c:pt>
                <c:pt idx="62">
                  <c:v>-1.245200991630554</c:v>
                </c:pt>
                <c:pt idx="63">
                  <c:v>-0.3740977048873901</c:v>
                </c:pt>
                <c:pt idx="64">
                  <c:v>1.060400009155273</c:v>
                </c:pt>
                <c:pt idx="65">
                  <c:v>-0.1548085957765579</c:v>
                </c:pt>
                <c:pt idx="66">
                  <c:v>24.39170074462891</c:v>
                </c:pt>
                <c:pt idx="67">
                  <c:v>11.69948959350586</c:v>
                </c:pt>
                <c:pt idx="68">
                  <c:v>10.57968044281006</c:v>
                </c:pt>
                <c:pt idx="69">
                  <c:v>1.640534996986389</c:v>
                </c:pt>
                <c:pt idx="70">
                  <c:v>-4.615928173065186</c:v>
                </c:pt>
                <c:pt idx="71">
                  <c:v>-0.04872098937630653</c:v>
                </c:pt>
                <c:pt idx="72">
                  <c:v>-0.492988109588623</c:v>
                </c:pt>
                <c:pt idx="73">
                  <c:v>-0.5548855066299438</c:v>
                </c:pt>
                <c:pt idx="74">
                  <c:v>0.1322733014822006</c:v>
                </c:pt>
                <c:pt idx="75">
                  <c:v>0.4260993003845215</c:v>
                </c:pt>
                <c:pt idx="76">
                  <c:v>8.881482124328613</c:v>
                </c:pt>
                <c:pt idx="77">
                  <c:v>13.85861968994141</c:v>
                </c:pt>
                <c:pt idx="78">
                  <c:v>7.155293941497803</c:v>
                </c:pt>
                <c:pt idx="79">
                  <c:v>-3.706149101257324</c:v>
                </c:pt>
                <c:pt idx="80">
                  <c:v>-4.512141227722168</c:v>
                </c:pt>
                <c:pt idx="81">
                  <c:v>0.8077563047409058</c:v>
                </c:pt>
                <c:pt idx="82">
                  <c:v>0.07401987910270691</c:v>
                </c:pt>
                <c:pt idx="83">
                  <c:v>0.2191724926233292</c:v>
                </c:pt>
                <c:pt idx="84">
                  <c:v>-0.2495934963226318</c:v>
                </c:pt>
                <c:pt idx="85">
                  <c:v>29.15361022949219</c:v>
                </c:pt>
                <c:pt idx="86">
                  <c:v>10.66697025299072</c:v>
                </c:pt>
                <c:pt idx="87">
                  <c:v>10.56437969207764</c:v>
                </c:pt>
                <c:pt idx="88">
                  <c:v>1.872331976890564</c:v>
                </c:pt>
                <c:pt idx="89">
                  <c:v>1.500540971755981</c:v>
                </c:pt>
                <c:pt idx="90">
                  <c:v>0.2749434113502502</c:v>
                </c:pt>
                <c:pt idx="91">
                  <c:v>2.095808982849121</c:v>
                </c:pt>
                <c:pt idx="92">
                  <c:v>0.324131190776825</c:v>
                </c:pt>
                <c:pt idx="93">
                  <c:v>0.09494958072900772</c:v>
                </c:pt>
                <c:pt idx="94">
                  <c:v>0.6205319762229919</c:v>
                </c:pt>
                <c:pt idx="95">
                  <c:v>9.533979415893555</c:v>
                </c:pt>
                <c:pt idx="96">
                  <c:v>14.03223991394043</c:v>
                </c:pt>
                <c:pt idx="97">
                  <c:v>7.725797176361084</c:v>
                </c:pt>
                <c:pt idx="98">
                  <c:v>0.5942698121070862</c:v>
                </c:pt>
                <c:pt idx="99">
                  <c:v>0.3480257987976074</c:v>
                </c:pt>
                <c:pt idx="100">
                  <c:v>-2.677639961242676</c:v>
                </c:pt>
                <c:pt idx="101">
                  <c:v>-2.073636054992676</c:v>
                </c:pt>
                <c:pt idx="102">
                  <c:v>0.2792189121246338</c:v>
                </c:pt>
                <c:pt idx="103">
                  <c:v>-0.08684456348419189</c:v>
                </c:pt>
                <c:pt idx="104">
                  <c:v>38.32917022705078</c:v>
                </c:pt>
                <c:pt idx="105">
                  <c:v>8.199463844299316</c:v>
                </c:pt>
                <c:pt idx="106">
                  <c:v>10.98775959014893</c:v>
                </c:pt>
                <c:pt idx="107">
                  <c:v>2.417079925537109</c:v>
                </c:pt>
                <c:pt idx="108">
                  <c:v>-2.937283039093018</c:v>
                </c:pt>
                <c:pt idx="109">
                  <c:v>-0.2453386932611465</c:v>
                </c:pt>
                <c:pt idx="110">
                  <c:v>-0.5173032879829407</c:v>
                </c:pt>
                <c:pt idx="111">
                  <c:v>2.683252096176147</c:v>
                </c:pt>
                <c:pt idx="112">
                  <c:v>-0.02282338030636311</c:v>
                </c:pt>
                <c:pt idx="113">
                  <c:v>1.071107983589172</c:v>
                </c:pt>
                <c:pt idx="114">
                  <c:v>11.63945007324219</c:v>
                </c:pt>
                <c:pt idx="115">
                  <c:v>14.68115997314453</c:v>
                </c:pt>
                <c:pt idx="116">
                  <c:v>9.262799263000488</c:v>
                </c:pt>
                <c:pt idx="117">
                  <c:v>-2.456499099731445</c:v>
                </c:pt>
                <c:pt idx="118">
                  <c:v>-1.123618006706238</c:v>
                </c:pt>
                <c:pt idx="119">
                  <c:v>-2.423218011856079</c:v>
                </c:pt>
                <c:pt idx="120">
                  <c:v>1.452538013458252</c:v>
                </c:pt>
                <c:pt idx="121">
                  <c:v>0.6296256184577942</c:v>
                </c:pt>
                <c:pt idx="122">
                  <c:v>0.5699645280838013</c:v>
                </c:pt>
                <c:pt idx="123">
                  <c:v>13.60225009918213</c:v>
                </c:pt>
                <c:pt idx="124">
                  <c:v>13.5283203125</c:v>
                </c:pt>
                <c:pt idx="125">
                  <c:v>10.17889976501465</c:v>
                </c:pt>
                <c:pt idx="126">
                  <c:v>1.142784953117371</c:v>
                </c:pt>
                <c:pt idx="127">
                  <c:v>-4.684876918792725</c:v>
                </c:pt>
                <c:pt idx="128">
                  <c:v>-2.632333040237427</c:v>
                </c:pt>
                <c:pt idx="129">
                  <c:v>0.4006760120391846</c:v>
                </c:pt>
                <c:pt idx="130">
                  <c:v>0.6666867136955261</c:v>
                </c:pt>
                <c:pt idx="131">
                  <c:v>0.1773238927125931</c:v>
                </c:pt>
                <c:pt idx="132">
                  <c:v>3.261765003204346</c:v>
                </c:pt>
                <c:pt idx="133">
                  <c:v>9.933193206787109</c:v>
                </c:pt>
                <c:pt idx="134">
                  <c:v>14.20971965789795</c:v>
                </c:pt>
                <c:pt idx="135">
                  <c:v>7.793232917785645</c:v>
                </c:pt>
                <c:pt idx="136">
                  <c:v>3.420460939407349</c:v>
                </c:pt>
                <c:pt idx="137">
                  <c:v>1.177873969078064</c:v>
                </c:pt>
                <c:pt idx="138">
                  <c:v>2.542392015457153</c:v>
                </c:pt>
                <c:pt idx="139">
                  <c:v>-0.5475851893424988</c:v>
                </c:pt>
                <c:pt idx="140">
                  <c:v>0.2390791028738022</c:v>
                </c:pt>
                <c:pt idx="141">
                  <c:v>-0.2466302961111069</c:v>
                </c:pt>
                <c:pt idx="142">
                  <c:v>36.46971893310547</c:v>
                </c:pt>
                <c:pt idx="143">
                  <c:v>8.040156364440918</c:v>
                </c:pt>
                <c:pt idx="144">
                  <c:v>11.00286960601807</c:v>
                </c:pt>
                <c:pt idx="145">
                  <c:v>4.053390979766846</c:v>
                </c:pt>
                <c:pt idx="146">
                  <c:v>2.499181032180786</c:v>
                </c:pt>
                <c:pt idx="147">
                  <c:v>-0.04841985180974007</c:v>
                </c:pt>
                <c:pt idx="148">
                  <c:v>-0.02204873040318489</c:v>
                </c:pt>
                <c:pt idx="149">
                  <c:v>2.397056102752686</c:v>
                </c:pt>
                <c:pt idx="150">
                  <c:v>0.3335185945034027</c:v>
                </c:pt>
                <c:pt idx="151">
                  <c:v>1.919445037841797</c:v>
                </c:pt>
                <c:pt idx="152">
                  <c:v>10.46823978424072</c:v>
                </c:pt>
                <c:pt idx="153">
                  <c:v>14.17201995849609</c:v>
                </c:pt>
                <c:pt idx="154">
                  <c:v>8.489042282104492</c:v>
                </c:pt>
                <c:pt idx="155">
                  <c:v>1.142328977584839</c:v>
                </c:pt>
                <c:pt idx="156">
                  <c:v>0.807538628578186</c:v>
                </c:pt>
                <c:pt idx="157">
                  <c:v>0.2645086050033569</c:v>
                </c:pt>
                <c:pt idx="158">
                  <c:v>1.076287031173706</c:v>
                </c:pt>
                <c:pt idx="159">
                  <c:v>-0.4871557056903839</c:v>
                </c:pt>
                <c:pt idx="160">
                  <c:v>0.09280289709568024</c:v>
                </c:pt>
                <c:pt idx="161">
                  <c:v>43.27801132202148</c:v>
                </c:pt>
                <c:pt idx="162">
                  <c:v>7.559970855712891</c:v>
                </c:pt>
                <c:pt idx="163">
                  <c:v>11.18118000030518</c:v>
                </c:pt>
                <c:pt idx="164">
                  <c:v>2.617902040481567</c:v>
                </c:pt>
                <c:pt idx="165">
                  <c:v>1.120900988578796</c:v>
                </c:pt>
                <c:pt idx="166">
                  <c:v>0.2016029953956604</c:v>
                </c:pt>
                <c:pt idx="167">
                  <c:v>0.3094637095928192</c:v>
                </c:pt>
                <c:pt idx="168">
                  <c:v>-0.2436659932136536</c:v>
                </c:pt>
                <c:pt idx="169">
                  <c:v>-0.2297700047492981</c:v>
                </c:pt>
                <c:pt idx="170">
                  <c:v>0.6571199893951416</c:v>
                </c:pt>
                <c:pt idx="171">
                  <c:v>11.75555992126465</c:v>
                </c:pt>
                <c:pt idx="172">
                  <c:v>14.89080047607422</c:v>
                </c:pt>
                <c:pt idx="173">
                  <c:v>9.503169059753418</c:v>
                </c:pt>
                <c:pt idx="174">
                  <c:v>1.283782005310059</c:v>
                </c:pt>
                <c:pt idx="175">
                  <c:v>-0.09642723947763443</c:v>
                </c:pt>
                <c:pt idx="176">
                  <c:v>-2.613392114639282</c:v>
                </c:pt>
                <c:pt idx="177">
                  <c:v>-0.2110918015241623</c:v>
                </c:pt>
                <c:pt idx="178">
                  <c:v>-0.6059737801551819</c:v>
                </c:pt>
                <c:pt idx="179">
                  <c:v>0.3006977140903473</c:v>
                </c:pt>
                <c:pt idx="180">
                  <c:v>25.85037994384766</c:v>
                </c:pt>
                <c:pt idx="181">
                  <c:v>6.942813873291016</c:v>
                </c:pt>
                <c:pt idx="182">
                  <c:v>11.68093013763428</c:v>
                </c:pt>
                <c:pt idx="183">
                  <c:v>3.263514041900635</c:v>
                </c:pt>
                <c:pt idx="184">
                  <c:v>2.952682971954346</c:v>
                </c:pt>
                <c:pt idx="185">
                  <c:v>-0.641960620880127</c:v>
                </c:pt>
                <c:pt idx="186">
                  <c:v>-0.530211329460144</c:v>
                </c:pt>
                <c:pt idx="187">
                  <c:v>0.88906329870224</c:v>
                </c:pt>
                <c:pt idx="188">
                  <c:v>0.3279255926609039</c:v>
                </c:pt>
                <c:pt idx="189">
                  <c:v>1.032412052154541</c:v>
                </c:pt>
                <c:pt idx="190">
                  <c:v>11.22220039367676</c:v>
                </c:pt>
                <c:pt idx="191">
                  <c:v>16.36350059509277</c:v>
                </c:pt>
                <c:pt idx="192">
                  <c:v>10.14694976806641</c:v>
                </c:pt>
                <c:pt idx="193">
                  <c:v>2.133972883224487</c:v>
                </c:pt>
                <c:pt idx="194">
                  <c:v>1.559355974197388</c:v>
                </c:pt>
                <c:pt idx="195">
                  <c:v>0.8423798084259033</c:v>
                </c:pt>
                <c:pt idx="196">
                  <c:v>-0.3725551962852478</c:v>
                </c:pt>
                <c:pt idx="197">
                  <c:v>0.5246686935424805</c:v>
                </c:pt>
                <c:pt idx="198">
                  <c:v>0.3026084899902344</c:v>
                </c:pt>
                <c:pt idx="199">
                  <c:v>9.330519676208496</c:v>
                </c:pt>
                <c:pt idx="200">
                  <c:v>7.046092987060547</c:v>
                </c:pt>
                <c:pt idx="201">
                  <c:v>12.2960901260376</c:v>
                </c:pt>
                <c:pt idx="202">
                  <c:v>4.094301223754883</c:v>
                </c:pt>
                <c:pt idx="203">
                  <c:v>3.574443101882935</c:v>
                </c:pt>
                <c:pt idx="204">
                  <c:v>-0.2446047961711884</c:v>
                </c:pt>
                <c:pt idx="205">
                  <c:v>0.01640596985816956</c:v>
                </c:pt>
                <c:pt idx="206">
                  <c:v>0.5411671996116638</c:v>
                </c:pt>
                <c:pt idx="207">
                  <c:v>0.1795652061700821</c:v>
                </c:pt>
                <c:pt idx="208">
                  <c:v>-0.1676304936408997</c:v>
                </c:pt>
                <c:pt idx="209">
                  <c:v>18.42795944213867</c:v>
                </c:pt>
                <c:pt idx="210">
                  <c:v>14.57929992675781</c:v>
                </c:pt>
                <c:pt idx="211">
                  <c:v>10.56682968139648</c:v>
                </c:pt>
                <c:pt idx="212">
                  <c:v>1.35481595993042</c:v>
                </c:pt>
                <c:pt idx="213">
                  <c:v>0.9278568029403687</c:v>
                </c:pt>
                <c:pt idx="214">
                  <c:v>1.19929301738739</c:v>
                </c:pt>
                <c:pt idx="215">
                  <c:v>-1.245020985603333</c:v>
                </c:pt>
                <c:pt idx="216">
                  <c:v>0.5657358765602112</c:v>
                </c:pt>
                <c:pt idx="217">
                  <c:v>-0.1648018062114716</c:v>
                </c:pt>
                <c:pt idx="218">
                  <c:v>0.8747879862785339</c:v>
                </c:pt>
                <c:pt idx="219">
                  <c:v>7.651895046234131</c:v>
                </c:pt>
                <c:pt idx="220">
                  <c:v>13.14009952545166</c:v>
                </c:pt>
                <c:pt idx="221">
                  <c:v>5.614336013793945</c:v>
                </c:pt>
                <c:pt idx="222">
                  <c:v>1.001415014266968</c:v>
                </c:pt>
                <c:pt idx="223">
                  <c:v>-0.03431254997849464</c:v>
                </c:pt>
                <c:pt idx="224">
                  <c:v>-2.295265913009644</c:v>
                </c:pt>
                <c:pt idx="225">
                  <c:v>1.229709982872009</c:v>
                </c:pt>
                <c:pt idx="226">
                  <c:v>1.014657020568848</c:v>
                </c:pt>
                <c:pt idx="227">
                  <c:v>0.1768224984407425</c:v>
                </c:pt>
                <c:pt idx="228">
                  <c:v>9.55660343170166</c:v>
                </c:pt>
                <c:pt idx="229">
                  <c:v>15.8550500869751</c:v>
                </c:pt>
                <c:pt idx="230">
                  <c:v>10.35046005249023</c:v>
                </c:pt>
                <c:pt idx="231">
                  <c:v>1.059636950492859</c:v>
                </c:pt>
                <c:pt idx="232">
                  <c:v>1.406309008598328</c:v>
                </c:pt>
                <c:pt idx="233">
                  <c:v>-2.631519079208374</c:v>
                </c:pt>
                <c:pt idx="234">
                  <c:v>-2.219629049301147</c:v>
                </c:pt>
                <c:pt idx="235">
                  <c:v>0.5442777872085571</c:v>
                </c:pt>
                <c:pt idx="236">
                  <c:v>-0.07840189337730408</c:v>
                </c:pt>
                <c:pt idx="237">
                  <c:v>0.4826383888721466</c:v>
                </c:pt>
                <c:pt idx="238">
                  <c:v>8.217009544372559</c:v>
                </c:pt>
                <c:pt idx="239">
                  <c:v>13.50053977966309</c:v>
                </c:pt>
                <c:pt idx="240">
                  <c:v>6.22024393081665</c:v>
                </c:pt>
                <c:pt idx="241">
                  <c:v>-1.882164001464844</c:v>
                </c:pt>
                <c:pt idx="242">
                  <c:v>1.83589494228363</c:v>
                </c:pt>
                <c:pt idx="243">
                  <c:v>1.239117026329041</c:v>
                </c:pt>
                <c:pt idx="244">
                  <c:v>-0.1314499974250793</c:v>
                </c:pt>
                <c:pt idx="245">
                  <c:v>-0.1258153021335602</c:v>
                </c:pt>
                <c:pt idx="246">
                  <c:v>0.245290994644165</c:v>
                </c:pt>
                <c:pt idx="247">
                  <c:v>28.38174057006836</c:v>
                </c:pt>
                <c:pt idx="248">
                  <c:v>11.19289016723633</c:v>
                </c:pt>
                <c:pt idx="249">
                  <c:v>10.61001968383789</c:v>
                </c:pt>
                <c:pt idx="250">
                  <c:v>1.849390983581543</c:v>
                </c:pt>
                <c:pt idx="251">
                  <c:v>-3.430041074752808</c:v>
                </c:pt>
                <c:pt idx="252">
                  <c:v>-0.6201199293136597</c:v>
                </c:pt>
                <c:pt idx="253">
                  <c:v>1.806517004966736</c:v>
                </c:pt>
                <c:pt idx="254">
                  <c:v>-0.239634096622467</c:v>
                </c:pt>
                <c:pt idx="255">
                  <c:v>0.2750240862369537</c:v>
                </c:pt>
                <c:pt idx="256">
                  <c:v>1.372773051261902</c:v>
                </c:pt>
                <c:pt idx="257">
                  <c:v>9.75420093536377</c:v>
                </c:pt>
                <c:pt idx="258">
                  <c:v>14.06334972381592</c:v>
                </c:pt>
                <c:pt idx="259">
                  <c:v>7.789461135864258</c:v>
                </c:pt>
                <c:pt idx="260">
                  <c:v>-3.156763076782227</c:v>
                </c:pt>
                <c:pt idx="261">
                  <c:v>-0.08585061132907867</c:v>
                </c:pt>
                <c:pt idx="262">
                  <c:v>0.1066714003682137</c:v>
                </c:pt>
                <c:pt idx="263">
                  <c:v>0.291606992483139</c:v>
                </c:pt>
                <c:pt idx="264">
                  <c:v>-0.05983626842498779</c:v>
                </c:pt>
                <c:pt idx="265">
                  <c:v>0.7281816005706787</c:v>
                </c:pt>
                <c:pt idx="266">
                  <c:v>9.881613731384277</c:v>
                </c:pt>
                <c:pt idx="267">
                  <c:v>15.31700038909912</c:v>
                </c:pt>
                <c:pt idx="268">
                  <c:v>9.739612579345703</c:v>
                </c:pt>
                <c:pt idx="269">
                  <c:v>1.323660016059875</c:v>
                </c:pt>
                <c:pt idx="270">
                  <c:v>4.03248405456543</c:v>
                </c:pt>
                <c:pt idx="271">
                  <c:v>-1.290459990501404</c:v>
                </c:pt>
                <c:pt idx="272">
                  <c:v>1.218741059303284</c:v>
                </c:pt>
                <c:pt idx="273">
                  <c:v>0.2649923861026764</c:v>
                </c:pt>
                <c:pt idx="274">
                  <c:v>0.509618878364563</c:v>
                </c:pt>
                <c:pt idx="275">
                  <c:v>18.59374046325684</c:v>
                </c:pt>
                <c:pt idx="276">
                  <c:v>6.862039089202881</c:v>
                </c:pt>
                <c:pt idx="277">
                  <c:v>11.84780979156494</c:v>
                </c:pt>
                <c:pt idx="278">
                  <c:v>3.535825967788696</c:v>
                </c:pt>
                <c:pt idx="279">
                  <c:v>2.419132947921753</c:v>
                </c:pt>
                <c:pt idx="280">
                  <c:v>3.113454103469849</c:v>
                </c:pt>
                <c:pt idx="281">
                  <c:v>0.04107150062918663</c:v>
                </c:pt>
                <c:pt idx="282">
                  <c:v>1.96794605255127</c:v>
                </c:pt>
                <c:pt idx="283">
                  <c:v>0.05171740055084229</c:v>
                </c:pt>
                <c:pt idx="284">
                  <c:v>0.5298216938972473</c:v>
                </c:pt>
                <c:pt idx="285">
                  <c:v>10.5252103805542</c:v>
                </c:pt>
                <c:pt idx="286">
                  <c:v>16.9282398223877</c:v>
                </c:pt>
                <c:pt idx="287">
                  <c:v>10.35538959503174</c:v>
                </c:pt>
                <c:pt idx="288">
                  <c:v>1.132045984268188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axId val="75091328"/>
        <c:axId val="75089408"/>
      </c:scatterChart>
      <c:valAx>
        <c:axId val="750913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t>Time [h]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val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r>
                  <a:t/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Report-2031_Oil_4500bopd_Liquid_4773blpd_No_GL_TD_Only_OP2_TCV_10pc.genkey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Legends!B2</c:f>
              <c:strCache>
                <c:ptCount val="1"/>
                <c:pt idx="0">
                  <c:v>VAR1</c:v>
                </c:pt>
              </c:strCache>
            </c:strRef>
          </c:tx>
          <c:marker>
            <c:symbol val="none"/>
          </c:marker>
          <c:xVal>
            <c:numRef>
              <c:f>SIM4!$A$11:$A$299</c:f>
              <c:numCache>
                <c:ptCount val="289"/>
                <c:pt idx="0">
                  <c:v>0</c:v>
                </c:pt>
                <c:pt idx="1">
                  <c:v>0.2500112354755402</c:v>
                </c:pt>
                <c:pt idx="2">
                  <c:v>0.5001211166381836</c:v>
                </c:pt>
                <c:pt idx="3">
                  <c:v>0.7500610947608948</c:v>
                </c:pt>
                <c:pt idx="4">
                  <c:v>1.000138640403748</c:v>
                </c:pt>
                <c:pt idx="5">
                  <c:v>1.250008344650269</c:v>
                </c:pt>
                <c:pt idx="6">
                  <c:v>1.500068068504333</c:v>
                </c:pt>
                <c:pt idx="7">
                  <c:v>1.750544190406799</c:v>
                </c:pt>
                <c:pt idx="8">
                  <c:v>2.00004506111145</c:v>
                </c:pt>
                <c:pt idx="9">
                  <c:v>2.250679969787598</c:v>
                </c:pt>
                <c:pt idx="10">
                  <c:v>2.500439643859863</c:v>
                </c:pt>
                <c:pt idx="11">
                  <c:v>2.750040769577026</c:v>
                </c:pt>
                <c:pt idx="12">
                  <c:v>3.000186204910278</c:v>
                </c:pt>
                <c:pt idx="13">
                  <c:v>3.250072240829468</c:v>
                </c:pt>
                <c:pt idx="14">
                  <c:v>3.500366687774658</c:v>
                </c:pt>
                <c:pt idx="15">
                  <c:v>3.750369548797607</c:v>
                </c:pt>
                <c:pt idx="16">
                  <c:v>4.000369548797607</c:v>
                </c:pt>
                <c:pt idx="17">
                  <c:v>4.250458240509033</c:v>
                </c:pt>
                <c:pt idx="18">
                  <c:v>4.500405788421631</c:v>
                </c:pt>
                <c:pt idx="19">
                  <c:v>4.750080585479736</c:v>
                </c:pt>
                <c:pt idx="20">
                  <c:v>5.000389099121094</c:v>
                </c:pt>
                <c:pt idx="21">
                  <c:v>5.250255584716797</c:v>
                </c:pt>
                <c:pt idx="22">
                  <c:v>5.500697135925293</c:v>
                </c:pt>
                <c:pt idx="23">
                  <c:v>5.750344276428223</c:v>
                </c:pt>
                <c:pt idx="24">
                  <c:v>6.00059986114502</c:v>
                </c:pt>
                <c:pt idx="25">
                  <c:v>6.250333309173584</c:v>
                </c:pt>
                <c:pt idx="26">
                  <c:v>6.500533103942871</c:v>
                </c:pt>
                <c:pt idx="27">
                  <c:v>6.75029182434082</c:v>
                </c:pt>
                <c:pt idx="28">
                  <c:v>7.000044345855713</c:v>
                </c:pt>
                <c:pt idx="29">
                  <c:v>7.250141620635986</c:v>
                </c:pt>
                <c:pt idx="30">
                  <c:v>7.500188827514648</c:v>
                </c:pt>
                <c:pt idx="31">
                  <c:v>7.750236034393311</c:v>
                </c:pt>
                <c:pt idx="32">
                  <c:v>8.000619888305664</c:v>
                </c:pt>
                <c:pt idx="33">
                  <c:v>8.250310897827148</c:v>
                </c:pt>
                <c:pt idx="34">
                  <c:v>8.500744819641113</c:v>
                </c:pt>
                <c:pt idx="35">
                  <c:v>8.750397682189941</c:v>
                </c:pt>
                <c:pt idx="36">
                  <c:v>9.000094413757324</c:v>
                </c:pt>
                <c:pt idx="37">
                  <c:v>9.250146865844727</c:v>
                </c:pt>
                <c:pt idx="38">
                  <c:v>9.50018310546875</c:v>
                </c:pt>
                <c:pt idx="39">
                  <c:v>9.750447273254395</c:v>
                </c:pt>
                <c:pt idx="40">
                  <c:v>10.00028610229492</c:v>
                </c:pt>
                <c:pt idx="41">
                  <c:v>10.25046348571777</c:v>
                </c:pt>
                <c:pt idx="42">
                  <c:v>10.50020027160645</c:v>
                </c:pt>
                <c:pt idx="43">
                  <c:v>10.75005531311035</c:v>
                </c:pt>
                <c:pt idx="44">
                  <c:v>11.00014686584473</c:v>
                </c:pt>
                <c:pt idx="45">
                  <c:v>11.25011920928955</c:v>
                </c:pt>
                <c:pt idx="46">
                  <c:v>11.50009155273438</c:v>
                </c:pt>
                <c:pt idx="47">
                  <c:v>11.75016975402832</c:v>
                </c:pt>
                <c:pt idx="48">
                  <c:v>12.00040245056152</c:v>
                </c:pt>
                <c:pt idx="49">
                  <c:v>12.25017738342285</c:v>
                </c:pt>
                <c:pt idx="50">
                  <c:v>12.50063323974609</c:v>
                </c:pt>
                <c:pt idx="51">
                  <c:v>12.75024127960205</c:v>
                </c:pt>
                <c:pt idx="52">
                  <c:v>13.0001277923584</c:v>
                </c:pt>
                <c:pt idx="53">
                  <c:v>13.25046634674072</c:v>
                </c:pt>
                <c:pt idx="54">
                  <c:v>13.50045585632324</c:v>
                </c:pt>
                <c:pt idx="55">
                  <c:v>13.75008583068848</c:v>
                </c:pt>
                <c:pt idx="56">
                  <c:v>14.00021362304688</c:v>
                </c:pt>
                <c:pt idx="57">
                  <c:v>14.25052261352539</c:v>
                </c:pt>
                <c:pt idx="58">
                  <c:v>14.5003080368042</c:v>
                </c:pt>
                <c:pt idx="59">
                  <c:v>14.75031661987305</c:v>
                </c:pt>
                <c:pt idx="60">
                  <c:v>15.00020313262939</c:v>
                </c:pt>
                <c:pt idx="61">
                  <c:v>15.25058650970459</c:v>
                </c:pt>
                <c:pt idx="62">
                  <c:v>15.50090312957764</c:v>
                </c:pt>
                <c:pt idx="63">
                  <c:v>15.75045299530029</c:v>
                </c:pt>
                <c:pt idx="64">
                  <c:v>16.00020790100098</c:v>
                </c:pt>
                <c:pt idx="65">
                  <c:v>16.25048065185547</c:v>
                </c:pt>
                <c:pt idx="66">
                  <c:v>16.50031089782715</c:v>
                </c:pt>
                <c:pt idx="67">
                  <c:v>16.75016403198242</c:v>
                </c:pt>
                <c:pt idx="68">
                  <c:v>17.00008964538574</c:v>
                </c:pt>
                <c:pt idx="69">
                  <c:v>17.25002861022949</c:v>
                </c:pt>
                <c:pt idx="70">
                  <c:v>17.50037002563477</c:v>
                </c:pt>
                <c:pt idx="71">
                  <c:v>17.75028419494629</c:v>
                </c:pt>
                <c:pt idx="72">
                  <c:v>18.00027275085449</c:v>
                </c:pt>
                <c:pt idx="73">
                  <c:v>18.25046730041504</c:v>
                </c:pt>
                <c:pt idx="74">
                  <c:v>18.50070762634277</c:v>
                </c:pt>
                <c:pt idx="75">
                  <c:v>18.75052833557129</c:v>
                </c:pt>
                <c:pt idx="76">
                  <c:v>19.00079536437988</c:v>
                </c:pt>
                <c:pt idx="77">
                  <c:v>19.25055503845215</c:v>
                </c:pt>
                <c:pt idx="78">
                  <c:v>19.50068283081055</c:v>
                </c:pt>
                <c:pt idx="79">
                  <c:v>19.75021934509277</c:v>
                </c:pt>
                <c:pt idx="80">
                  <c:v>20.00015258789062</c:v>
                </c:pt>
                <c:pt idx="81">
                  <c:v>20.25033569335938</c:v>
                </c:pt>
                <c:pt idx="82">
                  <c:v>20.50015640258789</c:v>
                </c:pt>
                <c:pt idx="83">
                  <c:v>20.75014686584473</c:v>
                </c:pt>
                <c:pt idx="84">
                  <c:v>21.00001907348633</c:v>
                </c:pt>
                <c:pt idx="85">
                  <c:v>21.25065040588379</c:v>
                </c:pt>
                <c:pt idx="86">
                  <c:v>21.50035858154297</c:v>
                </c:pt>
                <c:pt idx="87">
                  <c:v>21.75038528442383</c:v>
                </c:pt>
                <c:pt idx="88">
                  <c:v>22.00012016296387</c:v>
                </c:pt>
                <c:pt idx="89">
                  <c:v>22.25033378601074</c:v>
                </c:pt>
                <c:pt idx="90">
                  <c:v>22.50067710876465</c:v>
                </c:pt>
                <c:pt idx="91">
                  <c:v>22.75064659118652</c:v>
                </c:pt>
                <c:pt idx="92">
                  <c:v>23.00021934509277</c:v>
                </c:pt>
                <c:pt idx="93">
                  <c:v>23.25008964538574</c:v>
                </c:pt>
                <c:pt idx="94">
                  <c:v>23.50001335144043</c:v>
                </c:pt>
                <c:pt idx="95">
                  <c:v>23.75001335144043</c:v>
                </c:pt>
                <c:pt idx="96">
                  <c:v>24.00016021728516</c:v>
                </c:pt>
                <c:pt idx="97">
                  <c:v>24.25019454956055</c:v>
                </c:pt>
                <c:pt idx="98">
                  <c:v>24.50027275085449</c:v>
                </c:pt>
                <c:pt idx="99">
                  <c:v>24.75042724609375</c:v>
                </c:pt>
                <c:pt idx="100">
                  <c:v>25.00060272216797</c:v>
                </c:pt>
                <c:pt idx="101">
                  <c:v>25.25040626525879</c:v>
                </c:pt>
                <c:pt idx="102">
                  <c:v>25.50044441223145</c:v>
                </c:pt>
                <c:pt idx="103">
                  <c:v>25.75018692016602</c:v>
                </c:pt>
                <c:pt idx="104">
                  <c:v>26.00047302246094</c:v>
                </c:pt>
                <c:pt idx="105">
                  <c:v>26.25036430358887</c:v>
                </c:pt>
                <c:pt idx="106">
                  <c:v>26.50044441223145</c:v>
                </c:pt>
                <c:pt idx="107">
                  <c:v>26.75015068054199</c:v>
                </c:pt>
                <c:pt idx="108">
                  <c:v>27.00048637390137</c:v>
                </c:pt>
                <c:pt idx="109">
                  <c:v>27.25033569335938</c:v>
                </c:pt>
                <c:pt idx="110">
                  <c:v>27.50015640258789</c:v>
                </c:pt>
                <c:pt idx="111">
                  <c:v>27.75038146972656</c:v>
                </c:pt>
                <c:pt idx="112">
                  <c:v>28.00055503845215</c:v>
                </c:pt>
                <c:pt idx="113">
                  <c:v>28.25066757202148</c:v>
                </c:pt>
                <c:pt idx="114">
                  <c:v>28.50016593933105</c:v>
                </c:pt>
                <c:pt idx="115">
                  <c:v>28.75033378601074</c:v>
                </c:pt>
                <c:pt idx="116">
                  <c:v>29.00033378601074</c:v>
                </c:pt>
                <c:pt idx="117">
                  <c:v>29.25033378601074</c:v>
                </c:pt>
                <c:pt idx="118">
                  <c:v>29.50044441223145</c:v>
                </c:pt>
                <c:pt idx="119">
                  <c:v>29.75016593933105</c:v>
                </c:pt>
                <c:pt idx="120">
                  <c:v>30.00022315979004</c:v>
                </c:pt>
                <c:pt idx="121">
                  <c:v>30.2504997253418</c:v>
                </c:pt>
                <c:pt idx="122">
                  <c:v>30.50005531311035</c:v>
                </c:pt>
                <c:pt idx="123">
                  <c:v>30.75005531311035</c:v>
                </c:pt>
                <c:pt idx="124">
                  <c:v>31.0001106262207</c:v>
                </c:pt>
                <c:pt idx="125">
                  <c:v>31.25022315979004</c:v>
                </c:pt>
                <c:pt idx="126">
                  <c:v>31.50005531311035</c:v>
                </c:pt>
                <c:pt idx="127">
                  <c:v>31.7501106262207</c:v>
                </c:pt>
                <c:pt idx="128">
                  <c:v>32.00030517578125</c:v>
                </c:pt>
                <c:pt idx="129">
                  <c:v>32.2501106262207</c:v>
                </c:pt>
                <c:pt idx="130">
                  <c:v>32.50025177001953</c:v>
                </c:pt>
                <c:pt idx="131">
                  <c:v>32.7504997253418</c:v>
                </c:pt>
                <c:pt idx="132">
                  <c:v>33.00022125244141</c:v>
                </c:pt>
                <c:pt idx="133">
                  <c:v>33.25036239624023</c:v>
                </c:pt>
                <c:pt idx="134">
                  <c:v>33.50044631958008</c:v>
                </c:pt>
                <c:pt idx="135">
                  <c:v>33.75022125244141</c:v>
                </c:pt>
                <c:pt idx="136">
                  <c:v>34.00033187866211</c:v>
                </c:pt>
                <c:pt idx="137">
                  <c:v>34.25022125244141</c:v>
                </c:pt>
                <c:pt idx="138">
                  <c:v>34.5001106262207</c:v>
                </c:pt>
                <c:pt idx="139">
                  <c:v>34.75008392333984</c:v>
                </c:pt>
                <c:pt idx="140">
                  <c:v>35.00019454956055</c:v>
                </c:pt>
                <c:pt idx="141">
                  <c:v>35.2506103515625</c:v>
                </c:pt>
                <c:pt idx="142">
                  <c:v>35.50019454956055</c:v>
                </c:pt>
                <c:pt idx="143">
                  <c:v>35.75005722045898</c:v>
                </c:pt>
                <c:pt idx="144">
                  <c:v>36.00027847290039</c:v>
                </c:pt>
                <c:pt idx="145">
                  <c:v>36.25</c:v>
                </c:pt>
                <c:pt idx="146">
                  <c:v>36.50038909912109</c:v>
                </c:pt>
                <c:pt idx="147">
                  <c:v>36.75025177001953</c:v>
                </c:pt>
                <c:pt idx="148">
                  <c:v>37.00022125244141</c:v>
                </c:pt>
                <c:pt idx="149">
                  <c:v>37.25013732910156</c:v>
                </c:pt>
                <c:pt idx="150">
                  <c:v>37.50008392333984</c:v>
                </c:pt>
                <c:pt idx="151">
                  <c:v>37.7501106262207</c:v>
                </c:pt>
                <c:pt idx="152">
                  <c:v>38.00036239624023</c:v>
                </c:pt>
                <c:pt idx="153">
                  <c:v>38.25005722045898</c:v>
                </c:pt>
                <c:pt idx="154">
                  <c:v>38.50013732910156</c:v>
                </c:pt>
                <c:pt idx="155">
                  <c:v>38.75022125244141</c:v>
                </c:pt>
                <c:pt idx="156">
                  <c:v>39.00022125244141</c:v>
                </c:pt>
                <c:pt idx="157">
                  <c:v>39.25044631958008</c:v>
                </c:pt>
                <c:pt idx="158">
                  <c:v>39.50066757202148</c:v>
                </c:pt>
                <c:pt idx="159">
                  <c:v>39.75033187866211</c:v>
                </c:pt>
                <c:pt idx="160">
                  <c:v>40.00008392333984</c:v>
                </c:pt>
                <c:pt idx="161">
                  <c:v>40.25030517578125</c:v>
                </c:pt>
                <c:pt idx="162">
                  <c:v>40.50038909912109</c:v>
                </c:pt>
                <c:pt idx="163">
                  <c:v>40.7501106262207</c:v>
                </c:pt>
                <c:pt idx="164">
                  <c:v>41.00030517578125</c:v>
                </c:pt>
                <c:pt idx="165">
                  <c:v>41.25022125244141</c:v>
                </c:pt>
                <c:pt idx="166">
                  <c:v>41.50036239624023</c:v>
                </c:pt>
                <c:pt idx="167">
                  <c:v>41.75075149536133</c:v>
                </c:pt>
                <c:pt idx="168">
                  <c:v>42.00066757202148</c:v>
                </c:pt>
                <c:pt idx="169">
                  <c:v>42.25080490112305</c:v>
                </c:pt>
                <c:pt idx="170">
                  <c:v>42.50063705444336</c:v>
                </c:pt>
                <c:pt idx="171">
                  <c:v>42.75066757202148</c:v>
                </c:pt>
                <c:pt idx="172">
                  <c:v>43.00027847290039</c:v>
                </c:pt>
                <c:pt idx="173">
                  <c:v>43.2504997253418</c:v>
                </c:pt>
                <c:pt idx="174">
                  <c:v>43.50041580200195</c:v>
                </c:pt>
                <c:pt idx="175">
                  <c:v>43.75019454956055</c:v>
                </c:pt>
                <c:pt idx="176">
                  <c:v>44.00030517578125</c:v>
                </c:pt>
                <c:pt idx="177">
                  <c:v>44.2501106262207</c:v>
                </c:pt>
                <c:pt idx="178">
                  <c:v>44.50044631958008</c:v>
                </c:pt>
                <c:pt idx="179">
                  <c:v>44.75044631958008</c:v>
                </c:pt>
                <c:pt idx="180">
                  <c:v>45.0004997253418</c:v>
                </c:pt>
                <c:pt idx="181">
                  <c:v>45.25041580200195</c:v>
                </c:pt>
                <c:pt idx="182">
                  <c:v>45.50002670288086</c:v>
                </c:pt>
                <c:pt idx="183">
                  <c:v>45.75</c:v>
                </c:pt>
                <c:pt idx="184">
                  <c:v>46.00005722045898</c:v>
                </c:pt>
                <c:pt idx="185">
                  <c:v>46.25022125244141</c:v>
                </c:pt>
                <c:pt idx="186">
                  <c:v>46.50044631958008</c:v>
                </c:pt>
                <c:pt idx="187">
                  <c:v>46.7501106262207</c:v>
                </c:pt>
                <c:pt idx="188">
                  <c:v>47.00025177001953</c:v>
                </c:pt>
                <c:pt idx="189">
                  <c:v>47.25038909912109</c:v>
                </c:pt>
                <c:pt idx="190">
                  <c:v>47.5001106262207</c:v>
                </c:pt>
                <c:pt idx="191">
                  <c:v>47.75005722045898</c:v>
                </c:pt>
                <c:pt idx="192">
                  <c:v>48.00022125244141</c:v>
                </c:pt>
                <c:pt idx="193">
                  <c:v>48.25019454956055</c:v>
                </c:pt>
                <c:pt idx="194">
                  <c:v>48.50052642822266</c:v>
                </c:pt>
                <c:pt idx="195">
                  <c:v>48.75027847290039</c:v>
                </c:pt>
                <c:pt idx="196">
                  <c:v>49.00022125244141</c:v>
                </c:pt>
                <c:pt idx="197">
                  <c:v>49.25019454956055</c:v>
                </c:pt>
                <c:pt idx="198">
                  <c:v>49.50052642822266</c:v>
                </c:pt>
                <c:pt idx="199">
                  <c:v>49.7501106262207</c:v>
                </c:pt>
                <c:pt idx="200">
                  <c:v>50.00036239624023</c:v>
                </c:pt>
                <c:pt idx="201">
                  <c:v>50.25002670288086</c:v>
                </c:pt>
                <c:pt idx="202">
                  <c:v>50.5</c:v>
                </c:pt>
                <c:pt idx="203">
                  <c:v>50.75013732910156</c:v>
                </c:pt>
                <c:pt idx="204">
                  <c:v>51.00036239624023</c:v>
                </c:pt>
                <c:pt idx="205">
                  <c:v>51.25033187866211</c:v>
                </c:pt>
                <c:pt idx="206">
                  <c:v>51.50022125244141</c:v>
                </c:pt>
                <c:pt idx="207">
                  <c:v>51.75008392333984</c:v>
                </c:pt>
                <c:pt idx="208">
                  <c:v>52.00008392333984</c:v>
                </c:pt>
                <c:pt idx="209">
                  <c:v>52.25016784667969</c:v>
                </c:pt>
                <c:pt idx="210">
                  <c:v>52.50055694580078</c:v>
                </c:pt>
                <c:pt idx="211">
                  <c:v>52.75036239624023</c:v>
                </c:pt>
                <c:pt idx="212">
                  <c:v>53.00016784667969</c:v>
                </c:pt>
                <c:pt idx="213">
                  <c:v>53.25025177001953</c:v>
                </c:pt>
                <c:pt idx="214">
                  <c:v>53.50033187866211</c:v>
                </c:pt>
                <c:pt idx="215">
                  <c:v>53.75019454956055</c:v>
                </c:pt>
                <c:pt idx="216">
                  <c:v>54.00044631958008</c:v>
                </c:pt>
                <c:pt idx="217">
                  <c:v>54.25033187866211</c:v>
                </c:pt>
                <c:pt idx="218">
                  <c:v>54.50055694580078</c:v>
                </c:pt>
                <c:pt idx="219">
                  <c:v>54.75033187866211</c:v>
                </c:pt>
                <c:pt idx="220">
                  <c:v>55.0004997253418</c:v>
                </c:pt>
                <c:pt idx="221">
                  <c:v>55.25038909912109</c:v>
                </c:pt>
                <c:pt idx="222">
                  <c:v>55.50022125244141</c:v>
                </c:pt>
                <c:pt idx="223">
                  <c:v>55.75027847290039</c:v>
                </c:pt>
                <c:pt idx="224">
                  <c:v>56.00030517578125</c:v>
                </c:pt>
                <c:pt idx="225">
                  <c:v>56.2506103515625</c:v>
                </c:pt>
                <c:pt idx="226">
                  <c:v>56.50016784667969</c:v>
                </c:pt>
                <c:pt idx="227">
                  <c:v>56.75008392333984</c:v>
                </c:pt>
                <c:pt idx="228">
                  <c:v>57.00013732910156</c:v>
                </c:pt>
                <c:pt idx="229">
                  <c:v>57.25005722045898</c:v>
                </c:pt>
                <c:pt idx="230">
                  <c:v>57.50013732910156</c:v>
                </c:pt>
                <c:pt idx="231">
                  <c:v>57.75025177001953</c:v>
                </c:pt>
                <c:pt idx="232">
                  <c:v>58.00016784667969</c:v>
                </c:pt>
                <c:pt idx="233">
                  <c:v>58.25025177001953</c:v>
                </c:pt>
                <c:pt idx="234">
                  <c:v>58.50027847290039</c:v>
                </c:pt>
                <c:pt idx="235">
                  <c:v>58.75063705444336</c:v>
                </c:pt>
                <c:pt idx="236">
                  <c:v>59.00066757202148</c:v>
                </c:pt>
                <c:pt idx="237">
                  <c:v>59.25002670288086</c:v>
                </c:pt>
                <c:pt idx="238">
                  <c:v>59.50013732910156</c:v>
                </c:pt>
                <c:pt idx="239">
                  <c:v>59.7504997253418</c:v>
                </c:pt>
                <c:pt idx="240">
                  <c:v>60.00025177001953</c:v>
                </c:pt>
                <c:pt idx="241">
                  <c:v>60.25022125244141</c:v>
                </c:pt>
                <c:pt idx="242">
                  <c:v>60.50038909912109</c:v>
                </c:pt>
                <c:pt idx="243">
                  <c:v>60.75025177001953</c:v>
                </c:pt>
                <c:pt idx="244">
                  <c:v>61.00025177001953</c:v>
                </c:pt>
                <c:pt idx="245">
                  <c:v>61.25038909912109</c:v>
                </c:pt>
                <c:pt idx="246">
                  <c:v>61.50013732910156</c:v>
                </c:pt>
                <c:pt idx="247">
                  <c:v>61.75005722045898</c:v>
                </c:pt>
                <c:pt idx="248">
                  <c:v>62.00083160400391</c:v>
                </c:pt>
                <c:pt idx="249">
                  <c:v>62.2506103515625</c:v>
                </c:pt>
                <c:pt idx="250">
                  <c:v>62.50027847290039</c:v>
                </c:pt>
                <c:pt idx="251">
                  <c:v>62.75052642822266</c:v>
                </c:pt>
                <c:pt idx="252">
                  <c:v>63.0001106262207</c:v>
                </c:pt>
                <c:pt idx="253">
                  <c:v>63.25019454956055</c:v>
                </c:pt>
                <c:pt idx="254">
                  <c:v>63.50016784667969</c:v>
                </c:pt>
                <c:pt idx="255">
                  <c:v>63.75002670288086</c:v>
                </c:pt>
                <c:pt idx="256">
                  <c:v>64.00030517578125</c:v>
                </c:pt>
                <c:pt idx="257">
                  <c:v>64.25011444091797</c:v>
                </c:pt>
                <c:pt idx="258">
                  <c:v>64.50038909912109</c:v>
                </c:pt>
                <c:pt idx="259">
                  <c:v>64.7506103515625</c:v>
                </c:pt>
                <c:pt idx="260">
                  <c:v>65.00011444091797</c:v>
                </c:pt>
                <c:pt idx="261">
                  <c:v>65.25030517578125</c:v>
                </c:pt>
                <c:pt idx="262">
                  <c:v>65.50011444091797</c:v>
                </c:pt>
                <c:pt idx="263">
                  <c:v>65.75035858154297</c:v>
                </c:pt>
                <c:pt idx="264">
                  <c:v>66.00019073486328</c:v>
                </c:pt>
                <c:pt idx="265">
                  <c:v>66.25008392333984</c:v>
                </c:pt>
                <c:pt idx="266">
                  <c:v>66.50016784667969</c:v>
                </c:pt>
                <c:pt idx="267">
                  <c:v>66.75047302246094</c:v>
                </c:pt>
                <c:pt idx="268">
                  <c:v>67.00011444091797</c:v>
                </c:pt>
                <c:pt idx="269">
                  <c:v>67.25003051757812</c:v>
                </c:pt>
                <c:pt idx="270">
                  <c:v>67.50003051757812</c:v>
                </c:pt>
                <c:pt idx="271">
                  <c:v>67.75027465820312</c:v>
                </c:pt>
                <c:pt idx="272">
                  <c:v>68.00066375732422</c:v>
                </c:pt>
                <c:pt idx="273">
                  <c:v>68.25072479248047</c:v>
                </c:pt>
                <c:pt idx="274">
                  <c:v>68.50047302246094</c:v>
                </c:pt>
                <c:pt idx="275">
                  <c:v>68.75077819824219</c:v>
                </c:pt>
                <c:pt idx="276">
                  <c:v>69.00030517578125</c:v>
                </c:pt>
                <c:pt idx="277">
                  <c:v>69.25038909912109</c:v>
                </c:pt>
                <c:pt idx="278">
                  <c:v>69.50055694580078</c:v>
                </c:pt>
                <c:pt idx="279">
                  <c:v>69.75052642822266</c:v>
                </c:pt>
                <c:pt idx="280">
                  <c:v>70.00008392333984</c:v>
                </c:pt>
                <c:pt idx="281">
                  <c:v>70.25022125244141</c:v>
                </c:pt>
                <c:pt idx="282">
                  <c:v>70.50019073486328</c:v>
                </c:pt>
                <c:pt idx="283">
                  <c:v>70.75027465820312</c:v>
                </c:pt>
                <c:pt idx="284">
                  <c:v>71.00047302246094</c:v>
                </c:pt>
                <c:pt idx="285">
                  <c:v>71.25022125244141</c:v>
                </c:pt>
                <c:pt idx="286">
                  <c:v>71.50027465820312</c:v>
                </c:pt>
                <c:pt idx="287">
                  <c:v>71.75030517578125</c:v>
                </c:pt>
                <c:pt idx="288">
                  <c:v>72.00003051757812</c:v>
                </c:pt>
              </c:numCache>
            </c:numRef>
          </c:xVal>
          <c:yVal>
            <c:numRef>
              <c:f>SIM4!$E$11:$E$299</c:f>
              <c:numCache>
                <c:ptCount val="289"/>
                <c:pt idx="0">
                  <c:v>0.01899014040827751</c:v>
                </c:pt>
                <c:pt idx="1">
                  <c:v>0.01325295027345419</c:v>
                </c:pt>
                <c:pt idx="2">
                  <c:v>0.009234599769115448</c:v>
                </c:pt>
                <c:pt idx="3">
                  <c:v>0.005029994994401932</c:v>
                </c:pt>
                <c:pt idx="4">
                  <c:v>-0.001137707033194602</c:v>
                </c:pt>
                <c:pt idx="5">
                  <c:v>-0.001649342942982912</c:v>
                </c:pt>
                <c:pt idx="6">
                  <c:v>-0.0001193764983327128</c:v>
                </c:pt>
                <c:pt idx="7">
                  <c:v>-0.0002765950921457261</c:v>
                </c:pt>
                <c:pt idx="8">
                  <c:v>-0.0007778162835165858</c:v>
                </c:pt>
                <c:pt idx="9">
                  <c:v>0.006739790085703135</c:v>
                </c:pt>
                <c:pt idx="10">
                  <c:v>0.005490314215421677</c:v>
                </c:pt>
                <c:pt idx="11">
                  <c:v>0.03059975989162922</c:v>
                </c:pt>
                <c:pt idx="12">
                  <c:v>0.01463195029646158</c:v>
                </c:pt>
                <c:pt idx="13">
                  <c:v>0.009326205588877201</c:v>
                </c:pt>
                <c:pt idx="14">
                  <c:v>0.01446818001568317</c:v>
                </c:pt>
                <c:pt idx="15">
                  <c:v>0.007370573934167624</c:v>
                </c:pt>
                <c:pt idx="16">
                  <c:v>0.004478586837649345</c:v>
                </c:pt>
                <c:pt idx="17">
                  <c:v>-0.0002315741003258154</c:v>
                </c:pt>
                <c:pt idx="18">
                  <c:v>-0.0009057651041075587</c:v>
                </c:pt>
                <c:pt idx="19">
                  <c:v>7.439230103045702E-5</c:v>
                </c:pt>
                <c:pt idx="20">
                  <c:v>-0.001800533966161311</c:v>
                </c:pt>
                <c:pt idx="21">
                  <c:v>-0.0006006596959196031</c:v>
                </c:pt>
                <c:pt idx="22">
                  <c:v>0.01148173958063126</c:v>
                </c:pt>
                <c:pt idx="23">
                  <c:v>0.0007105509866960347</c:v>
                </c:pt>
                <c:pt idx="24">
                  <c:v>0.02987192943692207</c:v>
                </c:pt>
                <c:pt idx="25">
                  <c:v>0.01896345056593418</c:v>
                </c:pt>
                <c:pt idx="26">
                  <c:v>0.009678608737885952</c:v>
                </c:pt>
                <c:pt idx="27">
                  <c:v>0.01342772040516138</c:v>
                </c:pt>
                <c:pt idx="28">
                  <c:v>0.009405037388205528</c:v>
                </c:pt>
                <c:pt idx="29">
                  <c:v>0.005469514988362789</c:v>
                </c:pt>
                <c:pt idx="30">
                  <c:v>-0.001033889944665134</c:v>
                </c:pt>
                <c:pt idx="31">
                  <c:v>-0.001396588049829006</c:v>
                </c:pt>
                <c:pt idx="32">
                  <c:v>-0.0004948463174514472</c:v>
                </c:pt>
                <c:pt idx="33">
                  <c:v>-0.000413697212934494</c:v>
                </c:pt>
                <c:pt idx="34">
                  <c:v>-0.0005971658974885941</c:v>
                </c:pt>
                <c:pt idx="35">
                  <c:v>-0.003201201092451811</c:v>
                </c:pt>
                <c:pt idx="36">
                  <c:v>0.001790842041373253</c:v>
                </c:pt>
                <c:pt idx="37">
                  <c:v>0.02904658019542694</c:v>
                </c:pt>
                <c:pt idx="38">
                  <c:v>0.02585197053849697</c:v>
                </c:pt>
                <c:pt idx="39">
                  <c:v>0.01084537990391254</c:v>
                </c:pt>
                <c:pt idx="40">
                  <c:v>0.01188198011368513</c:v>
                </c:pt>
                <c:pt idx="41">
                  <c:v>0.01310050021857023</c:v>
                </c:pt>
                <c:pt idx="42">
                  <c:v>0.005820699967443943</c:v>
                </c:pt>
                <c:pt idx="43">
                  <c:v>-0.001756501966156065</c:v>
                </c:pt>
                <c:pt idx="44">
                  <c:v>-0.0009898778516799212</c:v>
                </c:pt>
                <c:pt idx="45">
                  <c:v>-0.0007357546710409224</c:v>
                </c:pt>
                <c:pt idx="46">
                  <c:v>-0.0009320419048890471</c:v>
                </c:pt>
                <c:pt idx="47">
                  <c:v>-0.0007337533170357347</c:v>
                </c:pt>
                <c:pt idx="48">
                  <c:v>-0.0007549707079306245</c:v>
                </c:pt>
                <c:pt idx="49">
                  <c:v>0.08314944803714752</c:v>
                </c:pt>
                <c:pt idx="50">
                  <c:v>0.02778331004083157</c:v>
                </c:pt>
                <c:pt idx="51">
                  <c:v>0.03615257889032364</c:v>
                </c:pt>
                <c:pt idx="52">
                  <c:v>0.01181547995656729</c:v>
                </c:pt>
                <c:pt idx="53">
                  <c:v>0.01165654975920916</c:v>
                </c:pt>
                <c:pt idx="54">
                  <c:v>0.01600009016692638</c:v>
                </c:pt>
                <c:pt idx="55">
                  <c:v>0.005795200821012259</c:v>
                </c:pt>
                <c:pt idx="56">
                  <c:v>-0.0003187306865584105</c:v>
                </c:pt>
                <c:pt idx="57">
                  <c:v>-0.0008596801781095564</c:v>
                </c:pt>
                <c:pt idx="58">
                  <c:v>-0.001986860996112227</c:v>
                </c:pt>
                <c:pt idx="59">
                  <c:v>-0.0008880278910510242</c:v>
                </c:pt>
                <c:pt idx="60">
                  <c:v>-0.0009645718964748085</c:v>
                </c:pt>
                <c:pt idx="61">
                  <c:v>-0.0004067556001245975</c:v>
                </c:pt>
                <c:pt idx="62">
                  <c:v>0.01507569011300802</c:v>
                </c:pt>
                <c:pt idx="63">
                  <c:v>0.005242086946964264</c:v>
                </c:pt>
                <c:pt idx="64">
                  <c:v>0.03149617835879326</c:v>
                </c:pt>
                <c:pt idx="65">
                  <c:v>0.01476943958550692</c:v>
                </c:pt>
                <c:pt idx="66">
                  <c:v>0.009660527110099792</c:v>
                </c:pt>
                <c:pt idx="67">
                  <c:v>0.01386594958603382</c:v>
                </c:pt>
                <c:pt idx="68">
                  <c:v>0.007585903163999319</c:v>
                </c:pt>
                <c:pt idx="69">
                  <c:v>0.003405559109523892</c:v>
                </c:pt>
                <c:pt idx="70">
                  <c:v>0.0004024633963126689</c:v>
                </c:pt>
                <c:pt idx="71">
                  <c:v>-0.001109155942685902</c:v>
                </c:pt>
                <c:pt idx="72">
                  <c:v>-0.0005371589795686305</c:v>
                </c:pt>
                <c:pt idx="73">
                  <c:v>-0.0008760961936786771</c:v>
                </c:pt>
                <c:pt idx="74">
                  <c:v>-0.00058364198775962</c:v>
                </c:pt>
                <c:pt idx="75">
                  <c:v>-0.0002860038075596094</c:v>
                </c:pt>
                <c:pt idx="76">
                  <c:v>0.0615907795727253</c:v>
                </c:pt>
                <c:pt idx="77">
                  <c:v>0.03040147945284843</c:v>
                </c:pt>
                <c:pt idx="78">
                  <c:v>0.03157829120755196</c:v>
                </c:pt>
                <c:pt idx="79">
                  <c:v>0.01145827025175095</c:v>
                </c:pt>
                <c:pt idx="80">
                  <c:v>0.01217645034193993</c:v>
                </c:pt>
                <c:pt idx="81">
                  <c:v>0.01403243001550436</c:v>
                </c:pt>
                <c:pt idx="82">
                  <c:v>0.006014525890350342</c:v>
                </c:pt>
                <c:pt idx="83">
                  <c:v>-0.0005991418729536235</c:v>
                </c:pt>
                <c:pt idx="84">
                  <c:v>-0.00216390797868371</c:v>
                </c:pt>
                <c:pt idx="85">
                  <c:v>-0.0006681937957182527</c:v>
                </c:pt>
                <c:pt idx="86">
                  <c:v>-0.001309563056565821</c:v>
                </c:pt>
                <c:pt idx="87">
                  <c:v>-5.505479930434376E-5</c:v>
                </c:pt>
                <c:pt idx="88">
                  <c:v>-0.001253706985153258</c:v>
                </c:pt>
                <c:pt idx="89">
                  <c:v>0.07127867639064789</c:v>
                </c:pt>
                <c:pt idx="90">
                  <c:v>0.0254836194217205</c:v>
                </c:pt>
                <c:pt idx="91">
                  <c:v>0.03538030013442039</c:v>
                </c:pt>
                <c:pt idx="92">
                  <c:v>0.01203809957951307</c:v>
                </c:pt>
                <c:pt idx="93">
                  <c:v>0.01149933971464634</c:v>
                </c:pt>
                <c:pt idx="94">
                  <c:v>0.01591666974127293</c:v>
                </c:pt>
                <c:pt idx="95">
                  <c:v>0.005853789858520031</c:v>
                </c:pt>
                <c:pt idx="96">
                  <c:v>-0.003376964945346117</c:v>
                </c:pt>
                <c:pt idx="97">
                  <c:v>0.0007031082059256732</c:v>
                </c:pt>
                <c:pt idx="98">
                  <c:v>-0.0006051649106666446</c:v>
                </c:pt>
                <c:pt idx="99">
                  <c:v>-0.0005501303821802139</c:v>
                </c:pt>
                <c:pt idx="100">
                  <c:v>-0.0006668277783319354</c:v>
                </c:pt>
                <c:pt idx="101">
                  <c:v>-0.0002772053121589124</c:v>
                </c:pt>
                <c:pt idx="102">
                  <c:v>0.0266614593565464</c:v>
                </c:pt>
                <c:pt idx="103">
                  <c:v>0.001967268064618111</c:v>
                </c:pt>
                <c:pt idx="104">
                  <c:v>0.03088157996535301</c:v>
                </c:pt>
                <c:pt idx="105">
                  <c:v>0.01428132969886065</c:v>
                </c:pt>
                <c:pt idx="106">
                  <c:v>0.009902101941406727</c:v>
                </c:pt>
                <c:pt idx="107">
                  <c:v>0.01371804997324944</c:v>
                </c:pt>
                <c:pt idx="108">
                  <c:v>0.00742828007787466</c:v>
                </c:pt>
                <c:pt idx="109">
                  <c:v>0.003001712961122394</c:v>
                </c:pt>
                <c:pt idx="110">
                  <c:v>-0.0005013258778490126</c:v>
                </c:pt>
                <c:pt idx="111">
                  <c:v>-0.001573462039232254</c:v>
                </c:pt>
                <c:pt idx="112">
                  <c:v>-0.001378802000544965</c:v>
                </c:pt>
                <c:pt idx="113">
                  <c:v>-0.0009529517265036702</c:v>
                </c:pt>
                <c:pt idx="114">
                  <c:v>-0.0005491187912411988</c:v>
                </c:pt>
                <c:pt idx="115">
                  <c:v>0.01416859962046146</c:v>
                </c:pt>
                <c:pt idx="116">
                  <c:v>0.01306605990976095</c:v>
                </c:pt>
                <c:pt idx="117">
                  <c:v>0.02869885973632336</c:v>
                </c:pt>
                <c:pt idx="118">
                  <c:v>0.02096227928996086</c:v>
                </c:pt>
                <c:pt idx="119">
                  <c:v>0.01007291954010725</c:v>
                </c:pt>
                <c:pt idx="120">
                  <c:v>0.01218700967729092</c:v>
                </c:pt>
                <c:pt idx="121">
                  <c:v>0.01112181972712278</c:v>
                </c:pt>
                <c:pt idx="122">
                  <c:v>0.005425959825515747</c:v>
                </c:pt>
                <c:pt idx="123">
                  <c:v>-0.0009479593718424439</c:v>
                </c:pt>
                <c:pt idx="124">
                  <c:v>-0.000979185220785439</c:v>
                </c:pt>
                <c:pt idx="125">
                  <c:v>-0.00124146300368011</c:v>
                </c:pt>
                <c:pt idx="126">
                  <c:v>-0.001081238966435194</c:v>
                </c:pt>
                <c:pt idx="127">
                  <c:v>-0.0008173818932846189</c:v>
                </c:pt>
                <c:pt idx="128">
                  <c:v>-3.477279824437574E-5</c:v>
                </c:pt>
                <c:pt idx="129">
                  <c:v>0.06599558889865875</c:v>
                </c:pt>
                <c:pt idx="130">
                  <c:v>0.02603778056800365</c:v>
                </c:pt>
                <c:pt idx="131">
                  <c:v>0.03637088090181351</c:v>
                </c:pt>
                <c:pt idx="132">
                  <c:v>0.01254194974899292</c:v>
                </c:pt>
                <c:pt idx="133">
                  <c:v>0.01184917986392975</c:v>
                </c:pt>
                <c:pt idx="134">
                  <c:v>0.01568656042218208</c:v>
                </c:pt>
                <c:pt idx="135">
                  <c:v>0.006071326788514853</c:v>
                </c:pt>
                <c:pt idx="136">
                  <c:v>-0.003115426050499082</c:v>
                </c:pt>
                <c:pt idx="137">
                  <c:v>-0.0007015863084234297</c:v>
                </c:pt>
                <c:pt idx="138">
                  <c:v>-0.001008406979963183</c:v>
                </c:pt>
                <c:pt idx="139">
                  <c:v>-0.002227876102551818</c:v>
                </c:pt>
                <c:pt idx="140">
                  <c:v>-0.0008730482077226043</c:v>
                </c:pt>
                <c:pt idx="141">
                  <c:v>-0.0007737284176982939</c:v>
                </c:pt>
                <c:pt idx="142">
                  <c:v>0.01776150986552238</c:v>
                </c:pt>
                <c:pt idx="143">
                  <c:v>0.001696211053058505</c:v>
                </c:pt>
                <c:pt idx="144">
                  <c:v>0.03071524016559124</c:v>
                </c:pt>
                <c:pt idx="145">
                  <c:v>0.01440847013145685</c:v>
                </c:pt>
                <c:pt idx="146">
                  <c:v>0.0097671989351511</c:v>
                </c:pt>
                <c:pt idx="147">
                  <c:v>0.01349388994276524</c:v>
                </c:pt>
                <c:pt idx="148">
                  <c:v>0.007668084930628538</c:v>
                </c:pt>
                <c:pt idx="149">
                  <c:v>0.003366638906300068</c:v>
                </c:pt>
                <c:pt idx="150">
                  <c:v>0.0001085226977011189</c:v>
                </c:pt>
                <c:pt idx="151">
                  <c:v>-0.001270261942408979</c:v>
                </c:pt>
                <c:pt idx="152">
                  <c:v>-0.0005864111008122563</c:v>
                </c:pt>
                <c:pt idx="153">
                  <c:v>-0.001237264019437134</c:v>
                </c:pt>
                <c:pt idx="154">
                  <c:v>-0.0005850617890246212</c:v>
                </c:pt>
                <c:pt idx="155">
                  <c:v>0.06006330996751785</c:v>
                </c:pt>
                <c:pt idx="156">
                  <c:v>0.03967443853616714</c:v>
                </c:pt>
                <c:pt idx="157">
                  <c:v>0.03008707985281944</c:v>
                </c:pt>
                <c:pt idx="158">
                  <c:v>0.02919361926615238</c:v>
                </c:pt>
                <c:pt idx="159">
                  <c:v>0.01108255982398987</c:v>
                </c:pt>
                <c:pt idx="160">
                  <c:v>0.0119944903999567</c:v>
                </c:pt>
                <c:pt idx="161">
                  <c:v>0.01372922956943512</c:v>
                </c:pt>
                <c:pt idx="162">
                  <c:v>0.005882980767637491</c:v>
                </c:pt>
                <c:pt idx="163">
                  <c:v>-0.0001486192049924284</c:v>
                </c:pt>
                <c:pt idx="164">
                  <c:v>-0.001215907977893949</c:v>
                </c:pt>
                <c:pt idx="165">
                  <c:v>-0.001061946968548</c:v>
                </c:pt>
                <c:pt idx="166">
                  <c:v>-0.001462872955016792</c:v>
                </c:pt>
                <c:pt idx="167">
                  <c:v>-0.0009487171773798764</c:v>
                </c:pt>
                <c:pt idx="168">
                  <c:v>-0.0004168511077295989</c:v>
                </c:pt>
                <c:pt idx="169">
                  <c:v>0.04767204076051712</c:v>
                </c:pt>
                <c:pt idx="170">
                  <c:v>0.02083607017993927</c:v>
                </c:pt>
                <c:pt idx="171">
                  <c:v>0.03436243161559105</c:v>
                </c:pt>
                <c:pt idx="172">
                  <c:v>0.01291374024003744</c:v>
                </c:pt>
                <c:pt idx="173">
                  <c:v>0.0112969595938921</c:v>
                </c:pt>
                <c:pt idx="174">
                  <c:v>0.01516132988035679</c:v>
                </c:pt>
                <c:pt idx="175">
                  <c:v>0.006336790975183249</c:v>
                </c:pt>
                <c:pt idx="176">
                  <c:v>9.75025977822952E-5</c:v>
                </c:pt>
                <c:pt idx="177">
                  <c:v>-0.0008590923971496522</c:v>
                </c:pt>
                <c:pt idx="178">
                  <c:v>-0.0006578976754099131</c:v>
                </c:pt>
                <c:pt idx="179">
                  <c:v>-0.001322617055848241</c:v>
                </c:pt>
                <c:pt idx="180">
                  <c:v>-0.0003479353908915073</c:v>
                </c:pt>
                <c:pt idx="181">
                  <c:v>-0.0003683434915728867</c:v>
                </c:pt>
                <c:pt idx="182">
                  <c:v>0.007015128154307604</c:v>
                </c:pt>
                <c:pt idx="183">
                  <c:v>0.006176386028528214</c:v>
                </c:pt>
                <c:pt idx="184">
                  <c:v>0.02930561080574989</c:v>
                </c:pt>
                <c:pt idx="185">
                  <c:v>0.01673188060522079</c:v>
                </c:pt>
                <c:pt idx="186">
                  <c:v>0.009342007339000702</c:v>
                </c:pt>
                <c:pt idx="187">
                  <c:v>0.01275441981852055</c:v>
                </c:pt>
                <c:pt idx="188">
                  <c:v>0.009134214371442795</c:v>
                </c:pt>
                <c:pt idx="189">
                  <c:v>0.00473775202408433</c:v>
                </c:pt>
                <c:pt idx="190">
                  <c:v>-0.001884225057438016</c:v>
                </c:pt>
                <c:pt idx="191">
                  <c:v>0.0006957529112696648</c:v>
                </c:pt>
                <c:pt idx="192">
                  <c:v>0.0001700254942988977</c:v>
                </c:pt>
                <c:pt idx="193">
                  <c:v>-0.0008203646866604686</c:v>
                </c:pt>
                <c:pt idx="194">
                  <c:v>-0.0006295584025792778</c:v>
                </c:pt>
                <c:pt idx="195">
                  <c:v>0.004595499951392412</c:v>
                </c:pt>
                <c:pt idx="196">
                  <c:v>0.0850168764591217</c:v>
                </c:pt>
                <c:pt idx="197">
                  <c:v>0.02965277992188931</c:v>
                </c:pt>
                <c:pt idx="198">
                  <c:v>0.03522567823529243</c:v>
                </c:pt>
                <c:pt idx="199">
                  <c:v>0.01158485002815723</c:v>
                </c:pt>
                <c:pt idx="200">
                  <c:v>0.01187208015471697</c:v>
                </c:pt>
                <c:pt idx="201">
                  <c:v>0.01517585013061762</c:v>
                </c:pt>
                <c:pt idx="202">
                  <c:v>0.005886171013116837</c:v>
                </c:pt>
                <c:pt idx="203">
                  <c:v>-0.000671810528729111</c:v>
                </c:pt>
                <c:pt idx="204">
                  <c:v>-0.0004092956951353699</c:v>
                </c:pt>
                <c:pt idx="205">
                  <c:v>-0.002128050895407796</c:v>
                </c:pt>
                <c:pt idx="206">
                  <c:v>-0.0008015115163289011</c:v>
                </c:pt>
                <c:pt idx="207">
                  <c:v>-0.001103841001167893</c:v>
                </c:pt>
                <c:pt idx="208">
                  <c:v>-0.0002879326930269599</c:v>
                </c:pt>
                <c:pt idx="209">
                  <c:v>0.02900267951190472</c:v>
                </c:pt>
                <c:pt idx="210">
                  <c:v>0.01272717025130987</c:v>
                </c:pt>
                <c:pt idx="211">
                  <c:v>0.03247695043683052</c:v>
                </c:pt>
                <c:pt idx="212">
                  <c:v>0.01412233989685774</c:v>
                </c:pt>
                <c:pt idx="213">
                  <c:v>0.01029764022678137</c:v>
                </c:pt>
                <c:pt idx="214">
                  <c:v>0.01431803032755852</c:v>
                </c:pt>
                <c:pt idx="215">
                  <c:v>0.007035193033516407</c:v>
                </c:pt>
                <c:pt idx="216">
                  <c:v>0.002314154990017414</c:v>
                </c:pt>
                <c:pt idx="217">
                  <c:v>-0.001444656052626669</c:v>
                </c:pt>
                <c:pt idx="218">
                  <c:v>-0.0007652298081666231</c:v>
                </c:pt>
                <c:pt idx="219">
                  <c:v>-0.0007882007048465312</c:v>
                </c:pt>
                <c:pt idx="220">
                  <c:v>-0.0009063949109986424</c:v>
                </c:pt>
                <c:pt idx="221">
                  <c:v>-0.0004003822978120297</c:v>
                </c:pt>
                <c:pt idx="222">
                  <c:v>-0.003841808065772057</c:v>
                </c:pt>
                <c:pt idx="223">
                  <c:v>0.00107898295391351</c:v>
                </c:pt>
                <c:pt idx="224">
                  <c:v>0.02893356047570705</c:v>
                </c:pt>
                <c:pt idx="225">
                  <c:v>0.01981863938271999</c:v>
                </c:pt>
                <c:pt idx="226">
                  <c:v>0.009842647239565849</c:v>
                </c:pt>
                <c:pt idx="227">
                  <c:v>0.01235300023108721</c:v>
                </c:pt>
                <c:pt idx="228">
                  <c:v>0.01062044966965914</c:v>
                </c:pt>
                <c:pt idx="229">
                  <c:v>0.005350740160793066</c:v>
                </c:pt>
                <c:pt idx="230">
                  <c:v>-0.0009276919881813228</c:v>
                </c:pt>
                <c:pt idx="231">
                  <c:v>-0.002184499055147171</c:v>
                </c:pt>
                <c:pt idx="232">
                  <c:v>-0.001189552014693618</c:v>
                </c:pt>
                <c:pt idx="233">
                  <c:v>-0.0004966916749253869</c:v>
                </c:pt>
                <c:pt idx="234">
                  <c:v>-0.0004056697944179177</c:v>
                </c:pt>
                <c:pt idx="235">
                  <c:v>0.001090212957933545</c:v>
                </c:pt>
                <c:pt idx="236">
                  <c:v>0.08052816241979599</c:v>
                </c:pt>
                <c:pt idx="237">
                  <c:v>0.02765423059463501</c:v>
                </c:pt>
                <c:pt idx="238">
                  <c:v>0.03665127977728844</c:v>
                </c:pt>
                <c:pt idx="239">
                  <c:v>0.01210272964090109</c:v>
                </c:pt>
                <c:pt idx="240">
                  <c:v>0.01190507970750332</c:v>
                </c:pt>
                <c:pt idx="241">
                  <c:v>0.0158721599727869</c:v>
                </c:pt>
                <c:pt idx="242">
                  <c:v>0.005924723111093044</c:v>
                </c:pt>
                <c:pt idx="243">
                  <c:v>-0.0007357306894846261</c:v>
                </c:pt>
                <c:pt idx="244">
                  <c:v>-0.001195334945805371</c:v>
                </c:pt>
                <c:pt idx="245">
                  <c:v>0.0004994326154701412</c:v>
                </c:pt>
                <c:pt idx="246">
                  <c:v>-0.001013817032799125</c:v>
                </c:pt>
                <c:pt idx="247">
                  <c:v>-0.0009799723047763109</c:v>
                </c:pt>
                <c:pt idx="248">
                  <c:v>-0.001425691996701062</c:v>
                </c:pt>
                <c:pt idx="249">
                  <c:v>0.04099322855472565</c:v>
                </c:pt>
                <c:pt idx="250">
                  <c:v>0.0153201799839735</c:v>
                </c:pt>
                <c:pt idx="251">
                  <c:v>0.03212666884064674</c:v>
                </c:pt>
                <c:pt idx="252">
                  <c:v>0.0131843201816082</c:v>
                </c:pt>
                <c:pt idx="253">
                  <c:v>0.01062151975929737</c:v>
                </c:pt>
                <c:pt idx="254">
                  <c:v>0.01423889026045799</c:v>
                </c:pt>
                <c:pt idx="255">
                  <c:v>0.006782209035009146</c:v>
                </c:pt>
                <c:pt idx="256">
                  <c:v>0.00166411604732275</c:v>
                </c:pt>
                <c:pt idx="257">
                  <c:v>0.0003729331074282527</c:v>
                </c:pt>
                <c:pt idx="258">
                  <c:v>0.0005823491956107318</c:v>
                </c:pt>
                <c:pt idx="259">
                  <c:v>-0.001180600957013667</c:v>
                </c:pt>
                <c:pt idx="260">
                  <c:v>-0.001393339014612138</c:v>
                </c:pt>
                <c:pt idx="261">
                  <c:v>-0.0004833234997931868</c:v>
                </c:pt>
                <c:pt idx="262">
                  <c:v>0.005549382884055376</c:v>
                </c:pt>
                <c:pt idx="263">
                  <c:v>0.009691653773188591</c:v>
                </c:pt>
                <c:pt idx="264">
                  <c:v>0.02900649979710579</c:v>
                </c:pt>
                <c:pt idx="265">
                  <c:v>0.01862535998225212</c:v>
                </c:pt>
                <c:pt idx="266">
                  <c:v>0.009635968133807182</c:v>
                </c:pt>
                <c:pt idx="267">
                  <c:v>0.01250969991087914</c:v>
                </c:pt>
                <c:pt idx="268">
                  <c:v>0.01005394011735916</c:v>
                </c:pt>
                <c:pt idx="269">
                  <c:v>0.005171739961951971</c:v>
                </c:pt>
                <c:pt idx="270">
                  <c:v>0.0004649281036108732</c:v>
                </c:pt>
                <c:pt idx="271">
                  <c:v>-0.0007089345017448068</c:v>
                </c:pt>
                <c:pt idx="272">
                  <c:v>-0.0007489884737879038</c:v>
                </c:pt>
                <c:pt idx="273">
                  <c:v>-0.001413519959896803</c:v>
                </c:pt>
                <c:pt idx="274">
                  <c:v>-0.0006412430084310472</c:v>
                </c:pt>
                <c:pt idx="275">
                  <c:v>-0.002852318109944463</c:v>
                </c:pt>
                <c:pt idx="276">
                  <c:v>0.08955296874046326</c:v>
                </c:pt>
                <c:pt idx="277">
                  <c:v>0.02932113967835903</c:v>
                </c:pt>
                <c:pt idx="278">
                  <c:v>0.03566782921552658</c:v>
                </c:pt>
                <c:pt idx="279">
                  <c:v>0.01178740989416838</c:v>
                </c:pt>
                <c:pt idx="280">
                  <c:v>0.01186611969023943</c:v>
                </c:pt>
                <c:pt idx="281">
                  <c:v>0.01539327017962933</c:v>
                </c:pt>
                <c:pt idx="282">
                  <c:v>0.005913568194955587</c:v>
                </c:pt>
                <c:pt idx="283">
                  <c:v>-0.0004662573919631541</c:v>
                </c:pt>
                <c:pt idx="284">
                  <c:v>-0.0003516000870149583</c:v>
                </c:pt>
                <c:pt idx="285">
                  <c:v>-0.0001091123995138332</c:v>
                </c:pt>
                <c:pt idx="286">
                  <c:v>-0.001072042970918119</c:v>
                </c:pt>
                <c:pt idx="287">
                  <c:v>-0.001771437004208565</c:v>
                </c:pt>
                <c:pt idx="288">
                  <c:v>-0.0009486177004873753</c:v>
                </c:pt>
              </c:numCache>
            </c:numRef>
          </c:yVal>
        </c:ser>
        <c:ser>
          <c:idx val="1"/>
          <c:order val="1"/>
          <c:tx>
            <c:strRef>
              <c:f>Legends!B3</c:f>
              <c:strCache>
                <c:ptCount val="1"/>
                <c:pt idx="0">
                  <c:v>VAR2</c:v>
                </c:pt>
              </c:strCache>
            </c:strRef>
          </c:tx>
          <c:marker>
            <c:symbol val="none"/>
          </c:marker>
          <c:xVal>
            <c:numRef>
              <c:f>SIM4!$B$11:$B$299</c:f>
              <c:numCache>
                <c:ptCount val="289"/>
                <c:pt idx="0">
                  <c:v>0</c:v>
                </c:pt>
                <c:pt idx="1">
                  <c:v>0.2500112354755402</c:v>
                </c:pt>
                <c:pt idx="2">
                  <c:v>0.5001211166381836</c:v>
                </c:pt>
                <c:pt idx="3">
                  <c:v>0.7500610947608948</c:v>
                </c:pt>
                <c:pt idx="4">
                  <c:v>1.000138640403748</c:v>
                </c:pt>
                <c:pt idx="5">
                  <c:v>1.250008344650269</c:v>
                </c:pt>
                <c:pt idx="6">
                  <c:v>1.500068068504333</c:v>
                </c:pt>
                <c:pt idx="7">
                  <c:v>1.750544190406799</c:v>
                </c:pt>
                <c:pt idx="8">
                  <c:v>2.00004506111145</c:v>
                </c:pt>
                <c:pt idx="9">
                  <c:v>2.250679969787598</c:v>
                </c:pt>
                <c:pt idx="10">
                  <c:v>2.500439643859863</c:v>
                </c:pt>
                <c:pt idx="11">
                  <c:v>2.750040769577026</c:v>
                </c:pt>
                <c:pt idx="12">
                  <c:v>3.000186204910278</c:v>
                </c:pt>
                <c:pt idx="13">
                  <c:v>3.250072240829468</c:v>
                </c:pt>
                <c:pt idx="14">
                  <c:v>3.500366687774658</c:v>
                </c:pt>
                <c:pt idx="15">
                  <c:v>3.750369548797607</c:v>
                </c:pt>
                <c:pt idx="16">
                  <c:v>4.000369548797607</c:v>
                </c:pt>
                <c:pt idx="17">
                  <c:v>4.250458240509033</c:v>
                </c:pt>
                <c:pt idx="18">
                  <c:v>4.500405788421631</c:v>
                </c:pt>
                <c:pt idx="19">
                  <c:v>4.750080585479736</c:v>
                </c:pt>
                <c:pt idx="20">
                  <c:v>5.000389099121094</c:v>
                </c:pt>
                <c:pt idx="21">
                  <c:v>5.250255584716797</c:v>
                </c:pt>
                <c:pt idx="22">
                  <c:v>5.500697135925293</c:v>
                </c:pt>
                <c:pt idx="23">
                  <c:v>5.750344276428223</c:v>
                </c:pt>
                <c:pt idx="24">
                  <c:v>6.00059986114502</c:v>
                </c:pt>
                <c:pt idx="25">
                  <c:v>6.250333309173584</c:v>
                </c:pt>
                <c:pt idx="26">
                  <c:v>6.500533103942871</c:v>
                </c:pt>
                <c:pt idx="27">
                  <c:v>6.75029182434082</c:v>
                </c:pt>
                <c:pt idx="28">
                  <c:v>7.000044345855713</c:v>
                </c:pt>
                <c:pt idx="29">
                  <c:v>7.250141620635986</c:v>
                </c:pt>
                <c:pt idx="30">
                  <c:v>7.500188827514648</c:v>
                </c:pt>
                <c:pt idx="31">
                  <c:v>7.750236034393311</c:v>
                </c:pt>
                <c:pt idx="32">
                  <c:v>8.000619888305664</c:v>
                </c:pt>
                <c:pt idx="33">
                  <c:v>8.250310897827148</c:v>
                </c:pt>
                <c:pt idx="34">
                  <c:v>8.500744819641113</c:v>
                </c:pt>
                <c:pt idx="35">
                  <c:v>8.750397682189941</c:v>
                </c:pt>
                <c:pt idx="36">
                  <c:v>9.000094413757324</c:v>
                </c:pt>
                <c:pt idx="37">
                  <c:v>9.250146865844727</c:v>
                </c:pt>
                <c:pt idx="38">
                  <c:v>9.50018310546875</c:v>
                </c:pt>
                <c:pt idx="39">
                  <c:v>9.750447273254395</c:v>
                </c:pt>
                <c:pt idx="40">
                  <c:v>10.00028610229492</c:v>
                </c:pt>
                <c:pt idx="41">
                  <c:v>10.25046348571777</c:v>
                </c:pt>
                <c:pt idx="42">
                  <c:v>10.50020027160645</c:v>
                </c:pt>
                <c:pt idx="43">
                  <c:v>10.75005531311035</c:v>
                </c:pt>
                <c:pt idx="44">
                  <c:v>11.00014686584473</c:v>
                </c:pt>
                <c:pt idx="45">
                  <c:v>11.25011920928955</c:v>
                </c:pt>
                <c:pt idx="46">
                  <c:v>11.50009155273438</c:v>
                </c:pt>
                <c:pt idx="47">
                  <c:v>11.75016975402832</c:v>
                </c:pt>
                <c:pt idx="48">
                  <c:v>12.00040245056152</c:v>
                </c:pt>
                <c:pt idx="49">
                  <c:v>12.25017738342285</c:v>
                </c:pt>
                <c:pt idx="50">
                  <c:v>12.50063323974609</c:v>
                </c:pt>
                <c:pt idx="51">
                  <c:v>12.75024127960205</c:v>
                </c:pt>
                <c:pt idx="52">
                  <c:v>13.0001277923584</c:v>
                </c:pt>
                <c:pt idx="53">
                  <c:v>13.25046634674072</c:v>
                </c:pt>
                <c:pt idx="54">
                  <c:v>13.50045585632324</c:v>
                </c:pt>
                <c:pt idx="55">
                  <c:v>13.75008583068848</c:v>
                </c:pt>
                <c:pt idx="56">
                  <c:v>14.00021362304688</c:v>
                </c:pt>
                <c:pt idx="57">
                  <c:v>14.25052261352539</c:v>
                </c:pt>
                <c:pt idx="58">
                  <c:v>14.5003080368042</c:v>
                </c:pt>
                <c:pt idx="59">
                  <c:v>14.75031661987305</c:v>
                </c:pt>
                <c:pt idx="60">
                  <c:v>15.00020313262939</c:v>
                </c:pt>
                <c:pt idx="61">
                  <c:v>15.25058650970459</c:v>
                </c:pt>
                <c:pt idx="62">
                  <c:v>15.50090312957764</c:v>
                </c:pt>
                <c:pt idx="63">
                  <c:v>15.75045299530029</c:v>
                </c:pt>
                <c:pt idx="64">
                  <c:v>16.00020790100098</c:v>
                </c:pt>
                <c:pt idx="65">
                  <c:v>16.25048065185547</c:v>
                </c:pt>
                <c:pt idx="66">
                  <c:v>16.50031089782715</c:v>
                </c:pt>
                <c:pt idx="67">
                  <c:v>16.75016403198242</c:v>
                </c:pt>
                <c:pt idx="68">
                  <c:v>17.00008964538574</c:v>
                </c:pt>
                <c:pt idx="69">
                  <c:v>17.25002861022949</c:v>
                </c:pt>
                <c:pt idx="70">
                  <c:v>17.50037002563477</c:v>
                </c:pt>
                <c:pt idx="71">
                  <c:v>17.75028419494629</c:v>
                </c:pt>
                <c:pt idx="72">
                  <c:v>18.00027275085449</c:v>
                </c:pt>
                <c:pt idx="73">
                  <c:v>18.25046730041504</c:v>
                </c:pt>
                <c:pt idx="74">
                  <c:v>18.50070762634277</c:v>
                </c:pt>
                <c:pt idx="75">
                  <c:v>18.75052833557129</c:v>
                </c:pt>
                <c:pt idx="76">
                  <c:v>19.00079536437988</c:v>
                </c:pt>
                <c:pt idx="77">
                  <c:v>19.25055503845215</c:v>
                </c:pt>
                <c:pt idx="78">
                  <c:v>19.50068283081055</c:v>
                </c:pt>
                <c:pt idx="79">
                  <c:v>19.75021934509277</c:v>
                </c:pt>
                <c:pt idx="80">
                  <c:v>20.00015258789062</c:v>
                </c:pt>
                <c:pt idx="81">
                  <c:v>20.25033569335938</c:v>
                </c:pt>
                <c:pt idx="82">
                  <c:v>20.50015640258789</c:v>
                </c:pt>
                <c:pt idx="83">
                  <c:v>20.75014686584473</c:v>
                </c:pt>
                <c:pt idx="84">
                  <c:v>21.00001907348633</c:v>
                </c:pt>
                <c:pt idx="85">
                  <c:v>21.25065040588379</c:v>
                </c:pt>
                <c:pt idx="86">
                  <c:v>21.50035858154297</c:v>
                </c:pt>
                <c:pt idx="87">
                  <c:v>21.75038528442383</c:v>
                </c:pt>
                <c:pt idx="88">
                  <c:v>22.00012016296387</c:v>
                </c:pt>
                <c:pt idx="89">
                  <c:v>22.25033378601074</c:v>
                </c:pt>
                <c:pt idx="90">
                  <c:v>22.50067710876465</c:v>
                </c:pt>
                <c:pt idx="91">
                  <c:v>22.75064659118652</c:v>
                </c:pt>
                <c:pt idx="92">
                  <c:v>23.00021934509277</c:v>
                </c:pt>
                <c:pt idx="93">
                  <c:v>23.25008964538574</c:v>
                </c:pt>
                <c:pt idx="94">
                  <c:v>23.50001335144043</c:v>
                </c:pt>
                <c:pt idx="95">
                  <c:v>23.75001335144043</c:v>
                </c:pt>
                <c:pt idx="96">
                  <c:v>24.00016021728516</c:v>
                </c:pt>
                <c:pt idx="97">
                  <c:v>24.25019454956055</c:v>
                </c:pt>
                <c:pt idx="98">
                  <c:v>24.50027275085449</c:v>
                </c:pt>
                <c:pt idx="99">
                  <c:v>24.75042724609375</c:v>
                </c:pt>
                <c:pt idx="100">
                  <c:v>25.00060272216797</c:v>
                </c:pt>
                <c:pt idx="101">
                  <c:v>25.25040626525879</c:v>
                </c:pt>
                <c:pt idx="102">
                  <c:v>25.50044441223145</c:v>
                </c:pt>
                <c:pt idx="103">
                  <c:v>25.75018692016602</c:v>
                </c:pt>
                <c:pt idx="104">
                  <c:v>26.00047302246094</c:v>
                </c:pt>
                <c:pt idx="105">
                  <c:v>26.25036430358887</c:v>
                </c:pt>
                <c:pt idx="106">
                  <c:v>26.50044441223145</c:v>
                </c:pt>
                <c:pt idx="107">
                  <c:v>26.75015068054199</c:v>
                </c:pt>
                <c:pt idx="108">
                  <c:v>27.00048637390137</c:v>
                </c:pt>
                <c:pt idx="109">
                  <c:v>27.25033569335938</c:v>
                </c:pt>
                <c:pt idx="110">
                  <c:v>27.50015640258789</c:v>
                </c:pt>
                <c:pt idx="111">
                  <c:v>27.75038146972656</c:v>
                </c:pt>
                <c:pt idx="112">
                  <c:v>28.00055503845215</c:v>
                </c:pt>
                <c:pt idx="113">
                  <c:v>28.25066757202148</c:v>
                </c:pt>
                <c:pt idx="114">
                  <c:v>28.50016593933105</c:v>
                </c:pt>
                <c:pt idx="115">
                  <c:v>28.75033378601074</c:v>
                </c:pt>
                <c:pt idx="116">
                  <c:v>29.00033378601074</c:v>
                </c:pt>
                <c:pt idx="117">
                  <c:v>29.25033378601074</c:v>
                </c:pt>
                <c:pt idx="118">
                  <c:v>29.50044441223145</c:v>
                </c:pt>
                <c:pt idx="119">
                  <c:v>29.75016593933105</c:v>
                </c:pt>
                <c:pt idx="120">
                  <c:v>30.00022315979004</c:v>
                </c:pt>
                <c:pt idx="121">
                  <c:v>30.2504997253418</c:v>
                </c:pt>
                <c:pt idx="122">
                  <c:v>30.50005531311035</c:v>
                </c:pt>
                <c:pt idx="123">
                  <c:v>30.75005531311035</c:v>
                </c:pt>
                <c:pt idx="124">
                  <c:v>31.0001106262207</c:v>
                </c:pt>
                <c:pt idx="125">
                  <c:v>31.25022315979004</c:v>
                </c:pt>
                <c:pt idx="126">
                  <c:v>31.50005531311035</c:v>
                </c:pt>
                <c:pt idx="127">
                  <c:v>31.7501106262207</c:v>
                </c:pt>
                <c:pt idx="128">
                  <c:v>32.00030517578125</c:v>
                </c:pt>
                <c:pt idx="129">
                  <c:v>32.2501106262207</c:v>
                </c:pt>
                <c:pt idx="130">
                  <c:v>32.50025177001953</c:v>
                </c:pt>
                <c:pt idx="131">
                  <c:v>32.7504997253418</c:v>
                </c:pt>
                <c:pt idx="132">
                  <c:v>33.00022125244141</c:v>
                </c:pt>
                <c:pt idx="133">
                  <c:v>33.25036239624023</c:v>
                </c:pt>
                <c:pt idx="134">
                  <c:v>33.50044631958008</c:v>
                </c:pt>
                <c:pt idx="135">
                  <c:v>33.75022125244141</c:v>
                </c:pt>
                <c:pt idx="136">
                  <c:v>34.00033187866211</c:v>
                </c:pt>
                <c:pt idx="137">
                  <c:v>34.25022125244141</c:v>
                </c:pt>
                <c:pt idx="138">
                  <c:v>34.5001106262207</c:v>
                </c:pt>
                <c:pt idx="139">
                  <c:v>34.75008392333984</c:v>
                </c:pt>
                <c:pt idx="140">
                  <c:v>35.00019454956055</c:v>
                </c:pt>
                <c:pt idx="141">
                  <c:v>35.2506103515625</c:v>
                </c:pt>
                <c:pt idx="142">
                  <c:v>35.50019454956055</c:v>
                </c:pt>
                <c:pt idx="143">
                  <c:v>35.75005722045898</c:v>
                </c:pt>
                <c:pt idx="144">
                  <c:v>36.00027847290039</c:v>
                </c:pt>
                <c:pt idx="145">
                  <c:v>36.25</c:v>
                </c:pt>
                <c:pt idx="146">
                  <c:v>36.50038909912109</c:v>
                </c:pt>
                <c:pt idx="147">
                  <c:v>36.75025177001953</c:v>
                </c:pt>
                <c:pt idx="148">
                  <c:v>37.00022125244141</c:v>
                </c:pt>
                <c:pt idx="149">
                  <c:v>37.25013732910156</c:v>
                </c:pt>
                <c:pt idx="150">
                  <c:v>37.50008392333984</c:v>
                </c:pt>
                <c:pt idx="151">
                  <c:v>37.7501106262207</c:v>
                </c:pt>
                <c:pt idx="152">
                  <c:v>38.00036239624023</c:v>
                </c:pt>
                <c:pt idx="153">
                  <c:v>38.25005722045898</c:v>
                </c:pt>
                <c:pt idx="154">
                  <c:v>38.50013732910156</c:v>
                </c:pt>
                <c:pt idx="155">
                  <c:v>38.75022125244141</c:v>
                </c:pt>
                <c:pt idx="156">
                  <c:v>39.00022125244141</c:v>
                </c:pt>
                <c:pt idx="157">
                  <c:v>39.25044631958008</c:v>
                </c:pt>
                <c:pt idx="158">
                  <c:v>39.50066757202148</c:v>
                </c:pt>
                <c:pt idx="159">
                  <c:v>39.75033187866211</c:v>
                </c:pt>
                <c:pt idx="160">
                  <c:v>40.00008392333984</c:v>
                </c:pt>
                <c:pt idx="161">
                  <c:v>40.25030517578125</c:v>
                </c:pt>
                <c:pt idx="162">
                  <c:v>40.50038909912109</c:v>
                </c:pt>
                <c:pt idx="163">
                  <c:v>40.7501106262207</c:v>
                </c:pt>
                <c:pt idx="164">
                  <c:v>41.00030517578125</c:v>
                </c:pt>
                <c:pt idx="165">
                  <c:v>41.25022125244141</c:v>
                </c:pt>
                <c:pt idx="166">
                  <c:v>41.50036239624023</c:v>
                </c:pt>
                <c:pt idx="167">
                  <c:v>41.75075149536133</c:v>
                </c:pt>
                <c:pt idx="168">
                  <c:v>42.00066757202148</c:v>
                </c:pt>
                <c:pt idx="169">
                  <c:v>42.25080490112305</c:v>
                </c:pt>
                <c:pt idx="170">
                  <c:v>42.50063705444336</c:v>
                </c:pt>
                <c:pt idx="171">
                  <c:v>42.75066757202148</c:v>
                </c:pt>
                <c:pt idx="172">
                  <c:v>43.00027847290039</c:v>
                </c:pt>
                <c:pt idx="173">
                  <c:v>43.2504997253418</c:v>
                </c:pt>
                <c:pt idx="174">
                  <c:v>43.50041580200195</c:v>
                </c:pt>
                <c:pt idx="175">
                  <c:v>43.75019454956055</c:v>
                </c:pt>
                <c:pt idx="176">
                  <c:v>44.00030517578125</c:v>
                </c:pt>
                <c:pt idx="177">
                  <c:v>44.2501106262207</c:v>
                </c:pt>
                <c:pt idx="178">
                  <c:v>44.50044631958008</c:v>
                </c:pt>
                <c:pt idx="179">
                  <c:v>44.75044631958008</c:v>
                </c:pt>
                <c:pt idx="180">
                  <c:v>45.0004997253418</c:v>
                </c:pt>
                <c:pt idx="181">
                  <c:v>45.25041580200195</c:v>
                </c:pt>
                <c:pt idx="182">
                  <c:v>45.50002670288086</c:v>
                </c:pt>
                <c:pt idx="183">
                  <c:v>45.75</c:v>
                </c:pt>
                <c:pt idx="184">
                  <c:v>46.00005722045898</c:v>
                </c:pt>
                <c:pt idx="185">
                  <c:v>46.25022125244141</c:v>
                </c:pt>
                <c:pt idx="186">
                  <c:v>46.50044631958008</c:v>
                </c:pt>
                <c:pt idx="187">
                  <c:v>46.7501106262207</c:v>
                </c:pt>
                <c:pt idx="188">
                  <c:v>47.00025177001953</c:v>
                </c:pt>
                <c:pt idx="189">
                  <c:v>47.25038909912109</c:v>
                </c:pt>
                <c:pt idx="190">
                  <c:v>47.5001106262207</c:v>
                </c:pt>
                <c:pt idx="191">
                  <c:v>47.75005722045898</c:v>
                </c:pt>
                <c:pt idx="192">
                  <c:v>48.00022125244141</c:v>
                </c:pt>
                <c:pt idx="193">
                  <c:v>48.25019454956055</c:v>
                </c:pt>
                <c:pt idx="194">
                  <c:v>48.50052642822266</c:v>
                </c:pt>
                <c:pt idx="195">
                  <c:v>48.75027847290039</c:v>
                </c:pt>
                <c:pt idx="196">
                  <c:v>49.00022125244141</c:v>
                </c:pt>
                <c:pt idx="197">
                  <c:v>49.25019454956055</c:v>
                </c:pt>
                <c:pt idx="198">
                  <c:v>49.50052642822266</c:v>
                </c:pt>
                <c:pt idx="199">
                  <c:v>49.7501106262207</c:v>
                </c:pt>
                <c:pt idx="200">
                  <c:v>50.00036239624023</c:v>
                </c:pt>
                <c:pt idx="201">
                  <c:v>50.25002670288086</c:v>
                </c:pt>
                <c:pt idx="202">
                  <c:v>50.5</c:v>
                </c:pt>
                <c:pt idx="203">
                  <c:v>50.75013732910156</c:v>
                </c:pt>
                <c:pt idx="204">
                  <c:v>51.00036239624023</c:v>
                </c:pt>
                <c:pt idx="205">
                  <c:v>51.25033187866211</c:v>
                </c:pt>
                <c:pt idx="206">
                  <c:v>51.50022125244141</c:v>
                </c:pt>
                <c:pt idx="207">
                  <c:v>51.75008392333984</c:v>
                </c:pt>
                <c:pt idx="208">
                  <c:v>52.00008392333984</c:v>
                </c:pt>
                <c:pt idx="209">
                  <c:v>52.25016784667969</c:v>
                </c:pt>
                <c:pt idx="210">
                  <c:v>52.50055694580078</c:v>
                </c:pt>
                <c:pt idx="211">
                  <c:v>52.75036239624023</c:v>
                </c:pt>
                <c:pt idx="212">
                  <c:v>53.00016784667969</c:v>
                </c:pt>
                <c:pt idx="213">
                  <c:v>53.25025177001953</c:v>
                </c:pt>
                <c:pt idx="214">
                  <c:v>53.50033187866211</c:v>
                </c:pt>
                <c:pt idx="215">
                  <c:v>53.75019454956055</c:v>
                </c:pt>
                <c:pt idx="216">
                  <c:v>54.00044631958008</c:v>
                </c:pt>
                <c:pt idx="217">
                  <c:v>54.25033187866211</c:v>
                </c:pt>
                <c:pt idx="218">
                  <c:v>54.50055694580078</c:v>
                </c:pt>
                <c:pt idx="219">
                  <c:v>54.75033187866211</c:v>
                </c:pt>
                <c:pt idx="220">
                  <c:v>55.0004997253418</c:v>
                </c:pt>
                <c:pt idx="221">
                  <c:v>55.25038909912109</c:v>
                </c:pt>
                <c:pt idx="222">
                  <c:v>55.50022125244141</c:v>
                </c:pt>
                <c:pt idx="223">
                  <c:v>55.75027847290039</c:v>
                </c:pt>
                <c:pt idx="224">
                  <c:v>56.00030517578125</c:v>
                </c:pt>
                <c:pt idx="225">
                  <c:v>56.2506103515625</c:v>
                </c:pt>
                <c:pt idx="226">
                  <c:v>56.50016784667969</c:v>
                </c:pt>
                <c:pt idx="227">
                  <c:v>56.75008392333984</c:v>
                </c:pt>
                <c:pt idx="228">
                  <c:v>57.00013732910156</c:v>
                </c:pt>
                <c:pt idx="229">
                  <c:v>57.25005722045898</c:v>
                </c:pt>
                <c:pt idx="230">
                  <c:v>57.50013732910156</c:v>
                </c:pt>
                <c:pt idx="231">
                  <c:v>57.75025177001953</c:v>
                </c:pt>
                <c:pt idx="232">
                  <c:v>58.00016784667969</c:v>
                </c:pt>
                <c:pt idx="233">
                  <c:v>58.25025177001953</c:v>
                </c:pt>
                <c:pt idx="234">
                  <c:v>58.50027847290039</c:v>
                </c:pt>
                <c:pt idx="235">
                  <c:v>58.75063705444336</c:v>
                </c:pt>
                <c:pt idx="236">
                  <c:v>59.00066757202148</c:v>
                </c:pt>
                <c:pt idx="237">
                  <c:v>59.25002670288086</c:v>
                </c:pt>
                <c:pt idx="238">
                  <c:v>59.50013732910156</c:v>
                </c:pt>
                <c:pt idx="239">
                  <c:v>59.7504997253418</c:v>
                </c:pt>
                <c:pt idx="240">
                  <c:v>60.00025177001953</c:v>
                </c:pt>
                <c:pt idx="241">
                  <c:v>60.25022125244141</c:v>
                </c:pt>
                <c:pt idx="242">
                  <c:v>60.50038909912109</c:v>
                </c:pt>
                <c:pt idx="243">
                  <c:v>60.75025177001953</c:v>
                </c:pt>
                <c:pt idx="244">
                  <c:v>61.00025177001953</c:v>
                </c:pt>
                <c:pt idx="245">
                  <c:v>61.25038909912109</c:v>
                </c:pt>
                <c:pt idx="246">
                  <c:v>61.50013732910156</c:v>
                </c:pt>
                <c:pt idx="247">
                  <c:v>61.75005722045898</c:v>
                </c:pt>
                <c:pt idx="248">
                  <c:v>62.00083160400391</c:v>
                </c:pt>
                <c:pt idx="249">
                  <c:v>62.2506103515625</c:v>
                </c:pt>
                <c:pt idx="250">
                  <c:v>62.50027847290039</c:v>
                </c:pt>
                <c:pt idx="251">
                  <c:v>62.75052642822266</c:v>
                </c:pt>
                <c:pt idx="252">
                  <c:v>63.0001106262207</c:v>
                </c:pt>
                <c:pt idx="253">
                  <c:v>63.25019454956055</c:v>
                </c:pt>
                <c:pt idx="254">
                  <c:v>63.50016784667969</c:v>
                </c:pt>
                <c:pt idx="255">
                  <c:v>63.75002670288086</c:v>
                </c:pt>
                <c:pt idx="256">
                  <c:v>64.00030517578125</c:v>
                </c:pt>
                <c:pt idx="257">
                  <c:v>64.25011444091797</c:v>
                </c:pt>
                <c:pt idx="258">
                  <c:v>64.50038909912109</c:v>
                </c:pt>
                <c:pt idx="259">
                  <c:v>64.7506103515625</c:v>
                </c:pt>
                <c:pt idx="260">
                  <c:v>65.00011444091797</c:v>
                </c:pt>
                <c:pt idx="261">
                  <c:v>65.25030517578125</c:v>
                </c:pt>
                <c:pt idx="262">
                  <c:v>65.50011444091797</c:v>
                </c:pt>
                <c:pt idx="263">
                  <c:v>65.75035858154297</c:v>
                </c:pt>
                <c:pt idx="264">
                  <c:v>66.00019073486328</c:v>
                </c:pt>
                <c:pt idx="265">
                  <c:v>66.25008392333984</c:v>
                </c:pt>
                <c:pt idx="266">
                  <c:v>66.50016784667969</c:v>
                </c:pt>
                <c:pt idx="267">
                  <c:v>66.75047302246094</c:v>
                </c:pt>
                <c:pt idx="268">
                  <c:v>67.00011444091797</c:v>
                </c:pt>
                <c:pt idx="269">
                  <c:v>67.25003051757812</c:v>
                </c:pt>
                <c:pt idx="270">
                  <c:v>67.50003051757812</c:v>
                </c:pt>
                <c:pt idx="271">
                  <c:v>67.75027465820312</c:v>
                </c:pt>
                <c:pt idx="272">
                  <c:v>68.00066375732422</c:v>
                </c:pt>
                <c:pt idx="273">
                  <c:v>68.25072479248047</c:v>
                </c:pt>
                <c:pt idx="274">
                  <c:v>68.50047302246094</c:v>
                </c:pt>
                <c:pt idx="275">
                  <c:v>68.75077819824219</c:v>
                </c:pt>
                <c:pt idx="276">
                  <c:v>69.00030517578125</c:v>
                </c:pt>
                <c:pt idx="277">
                  <c:v>69.25038909912109</c:v>
                </c:pt>
                <c:pt idx="278">
                  <c:v>69.50055694580078</c:v>
                </c:pt>
                <c:pt idx="279">
                  <c:v>69.75052642822266</c:v>
                </c:pt>
                <c:pt idx="280">
                  <c:v>70.00008392333984</c:v>
                </c:pt>
                <c:pt idx="281">
                  <c:v>70.25022125244141</c:v>
                </c:pt>
                <c:pt idx="282">
                  <c:v>70.50019073486328</c:v>
                </c:pt>
                <c:pt idx="283">
                  <c:v>70.75027465820312</c:v>
                </c:pt>
                <c:pt idx="284">
                  <c:v>71.00047302246094</c:v>
                </c:pt>
                <c:pt idx="285">
                  <c:v>71.25022125244141</c:v>
                </c:pt>
                <c:pt idx="286">
                  <c:v>71.50027465820312</c:v>
                </c:pt>
                <c:pt idx="287">
                  <c:v>71.75030517578125</c:v>
                </c:pt>
                <c:pt idx="288">
                  <c:v>72.00003051757812</c:v>
                </c:pt>
              </c:numCache>
            </c:numRef>
          </c:xVal>
          <c:yVal>
            <c:numRef>
              <c:f>SIM4!$F$11:$F$299</c:f>
              <c:numCache>
                <c:ptCount val="289"/>
                <c:pt idx="0">
                  <c:v>6.976023197174072</c:v>
                </c:pt>
                <c:pt idx="1">
                  <c:v>4.242303848266602</c:v>
                </c:pt>
                <c:pt idx="2">
                  <c:v>2.912945032119751</c:v>
                </c:pt>
                <c:pt idx="3">
                  <c:v>1.130789995193481</c:v>
                </c:pt>
                <c:pt idx="4">
                  <c:v>-1.523414969444275</c:v>
                </c:pt>
                <c:pt idx="5">
                  <c:v>-0.5713431835174561</c:v>
                </c:pt>
                <c:pt idx="6">
                  <c:v>-1.477447032928467</c:v>
                </c:pt>
                <c:pt idx="7">
                  <c:v>-0.6965150237083435</c:v>
                </c:pt>
                <c:pt idx="8">
                  <c:v>-0.3213205933570862</c:v>
                </c:pt>
                <c:pt idx="9">
                  <c:v>0.2099522948265076</c:v>
                </c:pt>
                <c:pt idx="10">
                  <c:v>3.481755971908569</c:v>
                </c:pt>
                <c:pt idx="11">
                  <c:v>3.207367897033691</c:v>
                </c:pt>
                <c:pt idx="12">
                  <c:v>4.633410930633545</c:v>
                </c:pt>
                <c:pt idx="13">
                  <c:v>3.414434909820557</c:v>
                </c:pt>
                <c:pt idx="14">
                  <c:v>2.712361097335815</c:v>
                </c:pt>
                <c:pt idx="15">
                  <c:v>2.880822896957397</c:v>
                </c:pt>
                <c:pt idx="16">
                  <c:v>1.172142028808594</c:v>
                </c:pt>
                <c:pt idx="17">
                  <c:v>-1.215451955795288</c:v>
                </c:pt>
                <c:pt idx="18">
                  <c:v>-0.7610834240913391</c:v>
                </c:pt>
                <c:pt idx="19">
                  <c:v>-1.127639055252075</c:v>
                </c:pt>
                <c:pt idx="20">
                  <c:v>-0.2773160040378571</c:v>
                </c:pt>
                <c:pt idx="21">
                  <c:v>-0.1767181009054184</c:v>
                </c:pt>
                <c:pt idx="22">
                  <c:v>0.3837603032588959</c:v>
                </c:pt>
                <c:pt idx="23">
                  <c:v>0.2734776139259338</c:v>
                </c:pt>
                <c:pt idx="24">
                  <c:v>3.316627025604248</c:v>
                </c:pt>
                <c:pt idx="25">
                  <c:v>4.833681106567383</c:v>
                </c:pt>
                <c:pt idx="26">
                  <c:v>3.741980075836182</c:v>
                </c:pt>
                <c:pt idx="27">
                  <c:v>2.325418949127197</c:v>
                </c:pt>
                <c:pt idx="28">
                  <c:v>3.310405969619751</c:v>
                </c:pt>
                <c:pt idx="29">
                  <c:v>1.818724036216736</c:v>
                </c:pt>
                <c:pt idx="30">
                  <c:v>-0.6312679052352905</c:v>
                </c:pt>
                <c:pt idx="31">
                  <c:v>-0.8980075120925903</c:v>
                </c:pt>
                <c:pt idx="32">
                  <c:v>-0.6051324009895325</c:v>
                </c:pt>
                <c:pt idx="33">
                  <c:v>-0.9719343185424805</c:v>
                </c:pt>
                <c:pt idx="34">
                  <c:v>-0.1966758072376251</c:v>
                </c:pt>
                <c:pt idx="35">
                  <c:v>-1.540562987327576</c:v>
                </c:pt>
                <c:pt idx="36">
                  <c:v>0.4512270987033844</c:v>
                </c:pt>
                <c:pt idx="37">
                  <c:v>3.497519969940186</c:v>
                </c:pt>
                <c:pt idx="38">
                  <c:v>4.715826034545898</c:v>
                </c:pt>
                <c:pt idx="39">
                  <c:v>3.924510955810547</c:v>
                </c:pt>
                <c:pt idx="40">
                  <c:v>2.040620088577271</c:v>
                </c:pt>
                <c:pt idx="41">
                  <c:v>3.529619932174683</c:v>
                </c:pt>
                <c:pt idx="42">
                  <c:v>2.222565889358521</c:v>
                </c:pt>
                <c:pt idx="43">
                  <c:v>-1.107017993927002</c:v>
                </c:pt>
                <c:pt idx="44">
                  <c:v>-1.142048954963684</c:v>
                </c:pt>
                <c:pt idx="45">
                  <c:v>-0.5251643061637878</c:v>
                </c:pt>
                <c:pt idx="46">
                  <c:v>-1.257761001586914</c:v>
                </c:pt>
                <c:pt idx="47">
                  <c:v>-0.5358467102050781</c:v>
                </c:pt>
                <c:pt idx="48">
                  <c:v>-0.5098140835762024</c:v>
                </c:pt>
                <c:pt idx="49">
                  <c:v>3.582226991653442</c:v>
                </c:pt>
                <c:pt idx="50">
                  <c:v>4.168944835662842</c:v>
                </c:pt>
                <c:pt idx="51">
                  <c:v>3.818006992340088</c:v>
                </c:pt>
                <c:pt idx="52">
                  <c:v>4.167640209197998</c:v>
                </c:pt>
                <c:pt idx="53">
                  <c:v>2.291493892669678</c:v>
                </c:pt>
                <c:pt idx="54">
                  <c:v>3.08105206489563</c:v>
                </c:pt>
                <c:pt idx="55">
                  <c:v>2.393374919891357</c:v>
                </c:pt>
                <c:pt idx="56">
                  <c:v>-0.6642025113105774</c:v>
                </c:pt>
                <c:pt idx="57">
                  <c:v>-0.6536172032356262</c:v>
                </c:pt>
                <c:pt idx="58">
                  <c:v>-0.5776190757751465</c:v>
                </c:pt>
                <c:pt idx="59">
                  <c:v>-0.8945558071136475</c:v>
                </c:pt>
                <c:pt idx="60">
                  <c:v>-0.7830619215965271</c:v>
                </c:pt>
                <c:pt idx="61">
                  <c:v>-0.4062618911266327</c:v>
                </c:pt>
                <c:pt idx="62">
                  <c:v>0.4869278967380524</c:v>
                </c:pt>
                <c:pt idx="63">
                  <c:v>2.957921981811523</c:v>
                </c:pt>
                <c:pt idx="64">
                  <c:v>3.150520086288452</c:v>
                </c:pt>
                <c:pt idx="65">
                  <c:v>4.653357982635498</c:v>
                </c:pt>
                <c:pt idx="66">
                  <c:v>3.317811965942383</c:v>
                </c:pt>
                <c:pt idx="67">
                  <c:v>2.311589956283569</c:v>
                </c:pt>
                <c:pt idx="68">
                  <c:v>3.029470920562744</c:v>
                </c:pt>
                <c:pt idx="69">
                  <c:v>0.8920184969902039</c:v>
                </c:pt>
                <c:pt idx="70">
                  <c:v>-0.9611753821372986</c:v>
                </c:pt>
                <c:pt idx="71">
                  <c:v>-0.8373773097991943</c:v>
                </c:pt>
                <c:pt idx="72">
                  <c:v>-0.3162846863269806</c:v>
                </c:pt>
                <c:pt idx="73">
                  <c:v>-0.4173963069915771</c:v>
                </c:pt>
                <c:pt idx="74">
                  <c:v>-0.2400979995727539</c:v>
                </c:pt>
                <c:pt idx="75">
                  <c:v>-1.480898976325989</c:v>
                </c:pt>
                <c:pt idx="76">
                  <c:v>4.991363048553467</c:v>
                </c:pt>
                <c:pt idx="77">
                  <c:v>3.956918001174927</c:v>
                </c:pt>
                <c:pt idx="78">
                  <c:v>4.547473907470703</c:v>
                </c:pt>
                <c:pt idx="79">
                  <c:v>4.065557956695557</c:v>
                </c:pt>
                <c:pt idx="80">
                  <c:v>2.1808180809021</c:v>
                </c:pt>
                <c:pt idx="81">
                  <c:v>3.440331935882568</c:v>
                </c:pt>
                <c:pt idx="82">
                  <c:v>2.306022882461548</c:v>
                </c:pt>
                <c:pt idx="83">
                  <c:v>-0.2910315096378326</c:v>
                </c:pt>
                <c:pt idx="84">
                  <c:v>-0.3688583076000214</c:v>
                </c:pt>
                <c:pt idx="85">
                  <c:v>-1.112702965736389</c:v>
                </c:pt>
                <c:pt idx="86">
                  <c:v>-0.5380327105522156</c:v>
                </c:pt>
                <c:pt idx="87">
                  <c:v>-0.3823797106742859</c:v>
                </c:pt>
                <c:pt idx="88">
                  <c:v>-0.4819310009479523</c:v>
                </c:pt>
                <c:pt idx="89">
                  <c:v>2.937585115432739</c:v>
                </c:pt>
                <c:pt idx="90">
                  <c:v>4.312153816223145</c:v>
                </c:pt>
                <c:pt idx="91">
                  <c:v>3.531580924987793</c:v>
                </c:pt>
                <c:pt idx="92">
                  <c:v>4.243936061859131</c:v>
                </c:pt>
                <c:pt idx="93">
                  <c:v>2.435091018676758</c:v>
                </c:pt>
                <c:pt idx="94">
                  <c:v>2.776956081390381</c:v>
                </c:pt>
                <c:pt idx="95">
                  <c:v>2.494002103805542</c:v>
                </c:pt>
                <c:pt idx="96">
                  <c:v>-0.902036190032959</c:v>
                </c:pt>
                <c:pt idx="97">
                  <c:v>-0.4191777110099792</c:v>
                </c:pt>
                <c:pt idx="98">
                  <c:v>-1.078377962112427</c:v>
                </c:pt>
                <c:pt idx="99">
                  <c:v>-1.466609001159668</c:v>
                </c:pt>
                <c:pt idx="100">
                  <c:v>-1.323454022407532</c:v>
                </c:pt>
                <c:pt idx="101">
                  <c:v>-0.6457778811454773</c:v>
                </c:pt>
                <c:pt idx="102">
                  <c:v>0.9003540873527527</c:v>
                </c:pt>
                <c:pt idx="103">
                  <c:v>0.2929055094718933</c:v>
                </c:pt>
                <c:pt idx="104">
                  <c:v>3.067811965942383</c:v>
                </c:pt>
                <c:pt idx="105">
                  <c:v>4.666374206542969</c:v>
                </c:pt>
                <c:pt idx="106">
                  <c:v>3.226675987243652</c:v>
                </c:pt>
                <c:pt idx="107">
                  <c:v>2.237181901931763</c:v>
                </c:pt>
                <c:pt idx="108">
                  <c:v>3.023555994033813</c:v>
                </c:pt>
                <c:pt idx="109">
                  <c:v>0.7655624151229858</c:v>
                </c:pt>
                <c:pt idx="110">
                  <c:v>-1.086009979248047</c:v>
                </c:pt>
                <c:pt idx="111">
                  <c:v>-0.5399885177612305</c:v>
                </c:pt>
                <c:pt idx="112">
                  <c:v>-1.10667896270752</c:v>
                </c:pt>
                <c:pt idx="113">
                  <c:v>-0.9376099705696106</c:v>
                </c:pt>
                <c:pt idx="114">
                  <c:v>-0.2693845927715302</c:v>
                </c:pt>
                <c:pt idx="115">
                  <c:v>0.4910242855548859</c:v>
                </c:pt>
                <c:pt idx="116">
                  <c:v>6.394286155700684</c:v>
                </c:pt>
                <c:pt idx="117">
                  <c:v>3.152288913726807</c:v>
                </c:pt>
                <c:pt idx="118">
                  <c:v>4.855618000030518</c:v>
                </c:pt>
                <c:pt idx="119">
                  <c:v>3.777801990509033</c:v>
                </c:pt>
                <c:pt idx="120">
                  <c:v>2.009278059005737</c:v>
                </c:pt>
                <c:pt idx="121">
                  <c:v>3.527170896530151</c:v>
                </c:pt>
                <c:pt idx="122">
                  <c:v>1.954705953598022</c:v>
                </c:pt>
                <c:pt idx="123">
                  <c:v>-0.8391149044036865</c:v>
                </c:pt>
                <c:pt idx="124">
                  <c:v>-0.968563973903656</c:v>
                </c:pt>
                <c:pt idx="125">
                  <c:v>-1.127089977264404</c:v>
                </c:pt>
                <c:pt idx="126">
                  <c:v>-1.362364053726196</c:v>
                </c:pt>
                <c:pt idx="127">
                  <c:v>-0.5806692838668823</c:v>
                </c:pt>
                <c:pt idx="128">
                  <c:v>-0.5095589756965637</c:v>
                </c:pt>
                <c:pt idx="129">
                  <c:v>2.639298915863037</c:v>
                </c:pt>
                <c:pt idx="130">
                  <c:v>4.472745895385742</c:v>
                </c:pt>
                <c:pt idx="131">
                  <c:v>3.634737014770508</c:v>
                </c:pt>
                <c:pt idx="132">
                  <c:v>4.324921131134033</c:v>
                </c:pt>
                <c:pt idx="133">
                  <c:v>2.55945897102356</c:v>
                </c:pt>
                <c:pt idx="134">
                  <c:v>2.957576036453247</c:v>
                </c:pt>
                <c:pt idx="135">
                  <c:v>2.485131025314331</c:v>
                </c:pt>
                <c:pt idx="136">
                  <c:v>-0.7905477285385132</c:v>
                </c:pt>
                <c:pt idx="137">
                  <c:v>-1.662912011146545</c:v>
                </c:pt>
                <c:pt idx="138">
                  <c:v>-1.221621036529541</c:v>
                </c:pt>
                <c:pt idx="139">
                  <c:v>-0.2887704968452454</c:v>
                </c:pt>
                <c:pt idx="140">
                  <c:v>-1.040035963058472</c:v>
                </c:pt>
                <c:pt idx="141">
                  <c:v>-0.5626857876777649</c:v>
                </c:pt>
                <c:pt idx="142">
                  <c:v>0.5826005935668945</c:v>
                </c:pt>
                <c:pt idx="143">
                  <c:v>0.2178371995687485</c:v>
                </c:pt>
                <c:pt idx="144">
                  <c:v>3.075423002243042</c:v>
                </c:pt>
                <c:pt idx="145">
                  <c:v>4.627878189086914</c:v>
                </c:pt>
                <c:pt idx="146">
                  <c:v>3.266026020050049</c:v>
                </c:pt>
                <c:pt idx="147">
                  <c:v>2.184537887573242</c:v>
                </c:pt>
                <c:pt idx="148">
                  <c:v>3.085832118988037</c:v>
                </c:pt>
                <c:pt idx="149">
                  <c:v>0.8869205117225647</c:v>
                </c:pt>
                <c:pt idx="150">
                  <c:v>-1.049613952636719</c:v>
                </c:pt>
                <c:pt idx="151">
                  <c:v>-1.259374976158142</c:v>
                </c:pt>
                <c:pt idx="152">
                  <c:v>-0.9173849821090698</c:v>
                </c:pt>
                <c:pt idx="153">
                  <c:v>-0.797027587890625</c:v>
                </c:pt>
                <c:pt idx="154">
                  <c:v>-0.4182336032390594</c:v>
                </c:pt>
                <c:pt idx="155">
                  <c:v>2.043169021606445</c:v>
                </c:pt>
                <c:pt idx="156">
                  <c:v>5.963006973266602</c:v>
                </c:pt>
                <c:pt idx="157">
                  <c:v>3.754652976989746</c:v>
                </c:pt>
                <c:pt idx="158">
                  <c:v>4.655858039855957</c:v>
                </c:pt>
                <c:pt idx="159">
                  <c:v>3.994926929473877</c:v>
                </c:pt>
                <c:pt idx="160">
                  <c:v>2.092314004898071</c:v>
                </c:pt>
                <c:pt idx="161">
                  <c:v>3.488461971282959</c:v>
                </c:pt>
                <c:pt idx="162">
                  <c:v>2.257407903671265</c:v>
                </c:pt>
                <c:pt idx="163">
                  <c:v>-0.9732310771942139</c:v>
                </c:pt>
                <c:pt idx="164">
                  <c:v>-0.4461953043937683</c:v>
                </c:pt>
                <c:pt idx="165">
                  <c:v>-0.8746328949928284</c:v>
                </c:pt>
                <c:pt idx="166">
                  <c:v>-0.199244499206543</c:v>
                </c:pt>
                <c:pt idx="167">
                  <c:v>-0.3540739119052887</c:v>
                </c:pt>
                <c:pt idx="168">
                  <c:v>-0.7810177206993103</c:v>
                </c:pt>
                <c:pt idx="169">
                  <c:v>1.854333996772766</c:v>
                </c:pt>
                <c:pt idx="170">
                  <c:v>4.608442783355713</c:v>
                </c:pt>
                <c:pt idx="171">
                  <c:v>3.319000005722046</c:v>
                </c:pt>
                <c:pt idx="172">
                  <c:v>4.442419052124023</c:v>
                </c:pt>
                <c:pt idx="173">
                  <c:v>2.817030906677246</c:v>
                </c:pt>
                <c:pt idx="174">
                  <c:v>2.614171981811523</c:v>
                </c:pt>
                <c:pt idx="175">
                  <c:v>2.662805080413818</c:v>
                </c:pt>
                <c:pt idx="176">
                  <c:v>0.02076395973563194</c:v>
                </c:pt>
                <c:pt idx="177">
                  <c:v>-0.9389569163322449</c:v>
                </c:pt>
                <c:pt idx="178">
                  <c:v>-0.8687992095947266</c:v>
                </c:pt>
                <c:pt idx="179">
                  <c:v>-0.4316382110118866</c:v>
                </c:pt>
                <c:pt idx="180">
                  <c:v>-0.7975612878799438</c:v>
                </c:pt>
                <c:pt idx="181">
                  <c:v>-0.9570500254631042</c:v>
                </c:pt>
                <c:pt idx="182">
                  <c:v>0.2207680940628052</c:v>
                </c:pt>
                <c:pt idx="183">
                  <c:v>4.162230014801025</c:v>
                </c:pt>
                <c:pt idx="184">
                  <c:v>3.070954084396362</c:v>
                </c:pt>
                <c:pt idx="185">
                  <c:v>4.781134128570557</c:v>
                </c:pt>
                <c:pt idx="186">
                  <c:v>3.537698984146118</c:v>
                </c:pt>
                <c:pt idx="187">
                  <c:v>2.067660093307495</c:v>
                </c:pt>
                <c:pt idx="188">
                  <c:v>3.345355987548828</c:v>
                </c:pt>
                <c:pt idx="189">
                  <c:v>1.479208946228027</c:v>
                </c:pt>
                <c:pt idx="190">
                  <c:v>-1.276705980300903</c:v>
                </c:pt>
                <c:pt idx="191">
                  <c:v>-0.7556480169296265</c:v>
                </c:pt>
                <c:pt idx="192">
                  <c:v>-1.207427978515625</c:v>
                </c:pt>
                <c:pt idx="193">
                  <c:v>-0.5578964948654175</c:v>
                </c:pt>
                <c:pt idx="194">
                  <c:v>-0.3857660889625549</c:v>
                </c:pt>
                <c:pt idx="195">
                  <c:v>-2.652638912200928</c:v>
                </c:pt>
                <c:pt idx="196">
                  <c:v>4.218080043792725</c:v>
                </c:pt>
                <c:pt idx="197">
                  <c:v>4.053853034973145</c:v>
                </c:pt>
                <c:pt idx="198">
                  <c:v>4.222622871398926</c:v>
                </c:pt>
                <c:pt idx="199">
                  <c:v>4.102396965026855</c:v>
                </c:pt>
                <c:pt idx="200">
                  <c:v>2.179063081741333</c:v>
                </c:pt>
                <c:pt idx="201">
                  <c:v>3.332688093185425</c:v>
                </c:pt>
                <c:pt idx="202">
                  <c:v>2.329524040222168</c:v>
                </c:pt>
                <c:pt idx="203">
                  <c:v>-0.9478808045387268</c:v>
                </c:pt>
                <c:pt idx="204">
                  <c:v>-1.501256942749023</c:v>
                </c:pt>
                <c:pt idx="205">
                  <c:v>-1.977452039718628</c:v>
                </c:pt>
                <c:pt idx="206">
                  <c:v>-0.3425008058547974</c:v>
                </c:pt>
                <c:pt idx="207">
                  <c:v>-1.336650967597961</c:v>
                </c:pt>
                <c:pt idx="208">
                  <c:v>-0.8368132710456848</c:v>
                </c:pt>
                <c:pt idx="209">
                  <c:v>0.9932206273078918</c:v>
                </c:pt>
                <c:pt idx="210">
                  <c:v>4.471467971801758</c:v>
                </c:pt>
                <c:pt idx="211">
                  <c:v>3.173964977264404</c:v>
                </c:pt>
                <c:pt idx="212">
                  <c:v>4.642691135406494</c:v>
                </c:pt>
                <c:pt idx="213">
                  <c:v>3.151695966720581</c:v>
                </c:pt>
                <c:pt idx="214">
                  <c:v>2.397635936737061</c:v>
                </c:pt>
                <c:pt idx="215">
                  <c:v>2.893115043640137</c:v>
                </c:pt>
                <c:pt idx="216">
                  <c:v>0.5541617274284363</c:v>
                </c:pt>
                <c:pt idx="217">
                  <c:v>-0.1365413069725037</c:v>
                </c:pt>
                <c:pt idx="218">
                  <c:v>-1.304002046585083</c:v>
                </c:pt>
                <c:pt idx="219">
                  <c:v>-0.2996683120727539</c:v>
                </c:pt>
                <c:pt idx="220">
                  <c:v>-0.4069977998733521</c:v>
                </c:pt>
                <c:pt idx="221">
                  <c:v>-0.7061715722084045</c:v>
                </c:pt>
                <c:pt idx="222">
                  <c:v>-1.204884052276611</c:v>
                </c:pt>
                <c:pt idx="223">
                  <c:v>0.5115262866020203</c:v>
                </c:pt>
                <c:pt idx="224">
                  <c:v>3.166647911071777</c:v>
                </c:pt>
                <c:pt idx="225">
                  <c:v>4.849432945251465</c:v>
                </c:pt>
                <c:pt idx="226">
                  <c:v>3.729578018188477</c:v>
                </c:pt>
                <c:pt idx="227">
                  <c:v>2.035430908203125</c:v>
                </c:pt>
                <c:pt idx="228">
                  <c:v>3.48709511756897</c:v>
                </c:pt>
                <c:pt idx="229">
                  <c:v>1.875581026077271</c:v>
                </c:pt>
                <c:pt idx="230">
                  <c:v>-0.8075830936431885</c:v>
                </c:pt>
                <c:pt idx="231">
                  <c:v>-0.7382177710533142</c:v>
                </c:pt>
                <c:pt idx="232">
                  <c:v>-1.045600056648254</c:v>
                </c:pt>
                <c:pt idx="233">
                  <c:v>-0.2766321003437042</c:v>
                </c:pt>
                <c:pt idx="234">
                  <c:v>-0.7791926264762878</c:v>
                </c:pt>
                <c:pt idx="235">
                  <c:v>-1.025629997253418</c:v>
                </c:pt>
                <c:pt idx="236">
                  <c:v>3.252841949462891</c:v>
                </c:pt>
                <c:pt idx="237">
                  <c:v>4.344316005706787</c:v>
                </c:pt>
                <c:pt idx="238">
                  <c:v>3.759823083877563</c:v>
                </c:pt>
                <c:pt idx="239">
                  <c:v>4.237815856933594</c:v>
                </c:pt>
                <c:pt idx="240">
                  <c:v>2.393728971481323</c:v>
                </c:pt>
                <c:pt idx="241">
                  <c:v>3.07240104675293</c:v>
                </c:pt>
                <c:pt idx="242">
                  <c:v>2.419195890426636</c:v>
                </c:pt>
                <c:pt idx="243">
                  <c:v>-1.226812958717346</c:v>
                </c:pt>
                <c:pt idx="244">
                  <c:v>-1.19539999961853</c:v>
                </c:pt>
                <c:pt idx="245">
                  <c:v>-1.016847014427185</c:v>
                </c:pt>
                <c:pt idx="246">
                  <c:v>-1.124503970146179</c:v>
                </c:pt>
                <c:pt idx="247">
                  <c:v>-1.212708950042725</c:v>
                </c:pt>
                <c:pt idx="248">
                  <c:v>-1.135105013847351</c:v>
                </c:pt>
                <c:pt idx="249">
                  <c:v>1.502275943756104</c:v>
                </c:pt>
                <c:pt idx="250">
                  <c:v>4.522884845733643</c:v>
                </c:pt>
                <c:pt idx="251">
                  <c:v>3.139666080474854</c:v>
                </c:pt>
                <c:pt idx="252">
                  <c:v>4.497161865234375</c:v>
                </c:pt>
                <c:pt idx="253">
                  <c:v>2.988949060440063</c:v>
                </c:pt>
                <c:pt idx="254">
                  <c:v>2.331445932388306</c:v>
                </c:pt>
                <c:pt idx="255">
                  <c:v>2.857024908065796</c:v>
                </c:pt>
                <c:pt idx="256">
                  <c:v>0.3853369951248169</c:v>
                </c:pt>
                <c:pt idx="257">
                  <c:v>-0.3798786997795105</c:v>
                </c:pt>
                <c:pt idx="258">
                  <c:v>-1.102800011634827</c:v>
                </c:pt>
                <c:pt idx="259">
                  <c:v>-1.163665056228638</c:v>
                </c:pt>
                <c:pt idx="260">
                  <c:v>-0.719154417514801</c:v>
                </c:pt>
                <c:pt idx="261">
                  <c:v>-0.1378190070390701</c:v>
                </c:pt>
                <c:pt idx="262">
                  <c:v>0.1715961992740631</c:v>
                </c:pt>
                <c:pt idx="263">
                  <c:v>5.523873805999756</c:v>
                </c:pt>
                <c:pt idx="264">
                  <c:v>3.116508007049561</c:v>
                </c:pt>
                <c:pt idx="265">
                  <c:v>4.837206840515137</c:v>
                </c:pt>
                <c:pt idx="266">
                  <c:v>3.671642065048218</c:v>
                </c:pt>
                <c:pt idx="267">
                  <c:v>2.047703981399536</c:v>
                </c:pt>
                <c:pt idx="268">
                  <c:v>3.444955110549927</c:v>
                </c:pt>
                <c:pt idx="269">
                  <c:v>1.748831033706665</c:v>
                </c:pt>
                <c:pt idx="270">
                  <c:v>-0.6238821744918823</c:v>
                </c:pt>
                <c:pt idx="271">
                  <c:v>-0.5296990871429443</c:v>
                </c:pt>
                <c:pt idx="272">
                  <c:v>-0.8529959917068481</c:v>
                </c:pt>
                <c:pt idx="273">
                  <c:v>-0.1551072001457214</c:v>
                </c:pt>
                <c:pt idx="274">
                  <c:v>-0.7414429187774658</c:v>
                </c:pt>
                <c:pt idx="275">
                  <c:v>-4.962629795074463</c:v>
                </c:pt>
                <c:pt idx="276">
                  <c:v>4.13458776473999</c:v>
                </c:pt>
                <c:pt idx="277">
                  <c:v>4.109450817108154</c:v>
                </c:pt>
                <c:pt idx="278">
                  <c:v>4.125119209289551</c:v>
                </c:pt>
                <c:pt idx="279">
                  <c:v>4.127861022949219</c:v>
                </c:pt>
                <c:pt idx="280">
                  <c:v>2.222656011581421</c:v>
                </c:pt>
                <c:pt idx="281">
                  <c:v>3.280318975448608</c:v>
                </c:pt>
                <c:pt idx="282">
                  <c:v>2.349761009216309</c:v>
                </c:pt>
                <c:pt idx="283">
                  <c:v>-1.000231027603149</c:v>
                </c:pt>
                <c:pt idx="284">
                  <c:v>-0.7320073246955872</c:v>
                </c:pt>
                <c:pt idx="285">
                  <c:v>-0.3471871912479401</c:v>
                </c:pt>
                <c:pt idx="286">
                  <c:v>-0.8473690152168274</c:v>
                </c:pt>
                <c:pt idx="287">
                  <c:v>-0.1191707998514175</c:v>
                </c:pt>
                <c:pt idx="288">
                  <c:v>-0.3436133861541748</c:v>
                </c:pt>
              </c:numCache>
            </c:numRef>
          </c:yVal>
        </c:ser>
        <c:ser>
          <c:idx val="2"/>
          <c:order val="2"/>
          <c:tx>
            <c:strRef>
              <c:f>Legends!B4</c:f>
              <c:strCache>
                <c:ptCount val="1"/>
                <c:pt idx="0">
                  <c:v>VAR3</c:v>
                </c:pt>
              </c:strCache>
            </c:strRef>
          </c:tx>
          <c:marker>
            <c:symbol val="none"/>
          </c:marker>
          <c:xVal>
            <c:numRef>
              <c:f>SIM4!$C$11:$C$299</c:f>
              <c:numCache>
                <c:ptCount val="289"/>
                <c:pt idx="0">
                  <c:v>0</c:v>
                </c:pt>
                <c:pt idx="1">
                  <c:v>0.2500112354755402</c:v>
                </c:pt>
                <c:pt idx="2">
                  <c:v>0.5001211166381836</c:v>
                </c:pt>
                <c:pt idx="3">
                  <c:v>0.7500610947608948</c:v>
                </c:pt>
                <c:pt idx="4">
                  <c:v>1.000138640403748</c:v>
                </c:pt>
                <c:pt idx="5">
                  <c:v>1.250008344650269</c:v>
                </c:pt>
                <c:pt idx="6">
                  <c:v>1.500068068504333</c:v>
                </c:pt>
                <c:pt idx="7">
                  <c:v>1.750544190406799</c:v>
                </c:pt>
                <c:pt idx="8">
                  <c:v>2.00004506111145</c:v>
                </c:pt>
                <c:pt idx="9">
                  <c:v>2.250679969787598</c:v>
                </c:pt>
                <c:pt idx="10">
                  <c:v>2.500439643859863</c:v>
                </c:pt>
                <c:pt idx="11">
                  <c:v>2.750040769577026</c:v>
                </c:pt>
                <c:pt idx="12">
                  <c:v>3.000186204910278</c:v>
                </c:pt>
                <c:pt idx="13">
                  <c:v>3.250072240829468</c:v>
                </c:pt>
                <c:pt idx="14">
                  <c:v>3.500366687774658</c:v>
                </c:pt>
                <c:pt idx="15">
                  <c:v>3.750369548797607</c:v>
                </c:pt>
                <c:pt idx="16">
                  <c:v>4.000369548797607</c:v>
                </c:pt>
                <c:pt idx="17">
                  <c:v>4.250458240509033</c:v>
                </c:pt>
                <c:pt idx="18">
                  <c:v>4.500405788421631</c:v>
                </c:pt>
                <c:pt idx="19">
                  <c:v>4.750080585479736</c:v>
                </c:pt>
                <c:pt idx="20">
                  <c:v>5.000389099121094</c:v>
                </c:pt>
                <c:pt idx="21">
                  <c:v>5.250255584716797</c:v>
                </c:pt>
                <c:pt idx="22">
                  <c:v>5.500697135925293</c:v>
                </c:pt>
                <c:pt idx="23">
                  <c:v>5.750344276428223</c:v>
                </c:pt>
                <c:pt idx="24">
                  <c:v>6.00059986114502</c:v>
                </c:pt>
                <c:pt idx="25">
                  <c:v>6.250333309173584</c:v>
                </c:pt>
                <c:pt idx="26">
                  <c:v>6.500533103942871</c:v>
                </c:pt>
                <c:pt idx="27">
                  <c:v>6.75029182434082</c:v>
                </c:pt>
                <c:pt idx="28">
                  <c:v>7.000044345855713</c:v>
                </c:pt>
                <c:pt idx="29">
                  <c:v>7.250141620635986</c:v>
                </c:pt>
                <c:pt idx="30">
                  <c:v>7.500188827514648</c:v>
                </c:pt>
                <c:pt idx="31">
                  <c:v>7.750236034393311</c:v>
                </c:pt>
                <c:pt idx="32">
                  <c:v>8.000619888305664</c:v>
                </c:pt>
                <c:pt idx="33">
                  <c:v>8.250310897827148</c:v>
                </c:pt>
                <c:pt idx="34">
                  <c:v>8.500744819641113</c:v>
                </c:pt>
                <c:pt idx="35">
                  <c:v>8.750397682189941</c:v>
                </c:pt>
                <c:pt idx="36">
                  <c:v>9.000094413757324</c:v>
                </c:pt>
                <c:pt idx="37">
                  <c:v>9.250146865844727</c:v>
                </c:pt>
                <c:pt idx="38">
                  <c:v>9.50018310546875</c:v>
                </c:pt>
                <c:pt idx="39">
                  <c:v>9.750447273254395</c:v>
                </c:pt>
                <c:pt idx="40">
                  <c:v>10.00028610229492</c:v>
                </c:pt>
                <c:pt idx="41">
                  <c:v>10.25046348571777</c:v>
                </c:pt>
                <c:pt idx="42">
                  <c:v>10.50020027160645</c:v>
                </c:pt>
                <c:pt idx="43">
                  <c:v>10.75005531311035</c:v>
                </c:pt>
                <c:pt idx="44">
                  <c:v>11.00014686584473</c:v>
                </c:pt>
                <c:pt idx="45">
                  <c:v>11.25011920928955</c:v>
                </c:pt>
                <c:pt idx="46">
                  <c:v>11.50009155273438</c:v>
                </c:pt>
                <c:pt idx="47">
                  <c:v>11.75016975402832</c:v>
                </c:pt>
                <c:pt idx="48">
                  <c:v>12.00040245056152</c:v>
                </c:pt>
                <c:pt idx="49">
                  <c:v>12.25017738342285</c:v>
                </c:pt>
                <c:pt idx="50">
                  <c:v>12.50063323974609</c:v>
                </c:pt>
                <c:pt idx="51">
                  <c:v>12.75024127960205</c:v>
                </c:pt>
                <c:pt idx="52">
                  <c:v>13.0001277923584</c:v>
                </c:pt>
                <c:pt idx="53">
                  <c:v>13.25046634674072</c:v>
                </c:pt>
                <c:pt idx="54">
                  <c:v>13.50045585632324</c:v>
                </c:pt>
                <c:pt idx="55">
                  <c:v>13.75008583068848</c:v>
                </c:pt>
                <c:pt idx="56">
                  <c:v>14.00021362304688</c:v>
                </c:pt>
                <c:pt idx="57">
                  <c:v>14.25052261352539</c:v>
                </c:pt>
                <c:pt idx="58">
                  <c:v>14.5003080368042</c:v>
                </c:pt>
                <c:pt idx="59">
                  <c:v>14.75031661987305</c:v>
                </c:pt>
                <c:pt idx="60">
                  <c:v>15.00020313262939</c:v>
                </c:pt>
                <c:pt idx="61">
                  <c:v>15.25058650970459</c:v>
                </c:pt>
                <c:pt idx="62">
                  <c:v>15.50090312957764</c:v>
                </c:pt>
                <c:pt idx="63">
                  <c:v>15.75045299530029</c:v>
                </c:pt>
                <c:pt idx="64">
                  <c:v>16.00020790100098</c:v>
                </c:pt>
                <c:pt idx="65">
                  <c:v>16.25048065185547</c:v>
                </c:pt>
                <c:pt idx="66">
                  <c:v>16.50031089782715</c:v>
                </c:pt>
                <c:pt idx="67">
                  <c:v>16.75016403198242</c:v>
                </c:pt>
                <c:pt idx="68">
                  <c:v>17.00008964538574</c:v>
                </c:pt>
                <c:pt idx="69">
                  <c:v>17.25002861022949</c:v>
                </c:pt>
                <c:pt idx="70">
                  <c:v>17.50037002563477</c:v>
                </c:pt>
                <c:pt idx="71">
                  <c:v>17.75028419494629</c:v>
                </c:pt>
                <c:pt idx="72">
                  <c:v>18.00027275085449</c:v>
                </c:pt>
                <c:pt idx="73">
                  <c:v>18.25046730041504</c:v>
                </c:pt>
                <c:pt idx="74">
                  <c:v>18.50070762634277</c:v>
                </c:pt>
                <c:pt idx="75">
                  <c:v>18.75052833557129</c:v>
                </c:pt>
                <c:pt idx="76">
                  <c:v>19.00079536437988</c:v>
                </c:pt>
                <c:pt idx="77">
                  <c:v>19.25055503845215</c:v>
                </c:pt>
                <c:pt idx="78">
                  <c:v>19.50068283081055</c:v>
                </c:pt>
                <c:pt idx="79">
                  <c:v>19.75021934509277</c:v>
                </c:pt>
                <c:pt idx="80">
                  <c:v>20.00015258789062</c:v>
                </c:pt>
                <c:pt idx="81">
                  <c:v>20.25033569335938</c:v>
                </c:pt>
                <c:pt idx="82">
                  <c:v>20.50015640258789</c:v>
                </c:pt>
                <c:pt idx="83">
                  <c:v>20.75014686584473</c:v>
                </c:pt>
                <c:pt idx="84">
                  <c:v>21.00001907348633</c:v>
                </c:pt>
                <c:pt idx="85">
                  <c:v>21.25065040588379</c:v>
                </c:pt>
                <c:pt idx="86">
                  <c:v>21.50035858154297</c:v>
                </c:pt>
                <c:pt idx="87">
                  <c:v>21.75038528442383</c:v>
                </c:pt>
                <c:pt idx="88">
                  <c:v>22.00012016296387</c:v>
                </c:pt>
                <c:pt idx="89">
                  <c:v>22.25033378601074</c:v>
                </c:pt>
                <c:pt idx="90">
                  <c:v>22.50067710876465</c:v>
                </c:pt>
                <c:pt idx="91">
                  <c:v>22.75064659118652</c:v>
                </c:pt>
                <c:pt idx="92">
                  <c:v>23.00021934509277</c:v>
                </c:pt>
                <c:pt idx="93">
                  <c:v>23.25008964538574</c:v>
                </c:pt>
                <c:pt idx="94">
                  <c:v>23.50001335144043</c:v>
                </c:pt>
                <c:pt idx="95">
                  <c:v>23.75001335144043</c:v>
                </c:pt>
                <c:pt idx="96">
                  <c:v>24.00016021728516</c:v>
                </c:pt>
                <c:pt idx="97">
                  <c:v>24.25019454956055</c:v>
                </c:pt>
                <c:pt idx="98">
                  <c:v>24.50027275085449</c:v>
                </c:pt>
                <c:pt idx="99">
                  <c:v>24.75042724609375</c:v>
                </c:pt>
                <c:pt idx="100">
                  <c:v>25.00060272216797</c:v>
                </c:pt>
                <c:pt idx="101">
                  <c:v>25.25040626525879</c:v>
                </c:pt>
                <c:pt idx="102">
                  <c:v>25.50044441223145</c:v>
                </c:pt>
                <c:pt idx="103">
                  <c:v>25.75018692016602</c:v>
                </c:pt>
                <c:pt idx="104">
                  <c:v>26.00047302246094</c:v>
                </c:pt>
                <c:pt idx="105">
                  <c:v>26.25036430358887</c:v>
                </c:pt>
                <c:pt idx="106">
                  <c:v>26.50044441223145</c:v>
                </c:pt>
                <c:pt idx="107">
                  <c:v>26.75015068054199</c:v>
                </c:pt>
                <c:pt idx="108">
                  <c:v>27.00048637390137</c:v>
                </c:pt>
                <c:pt idx="109">
                  <c:v>27.25033569335938</c:v>
                </c:pt>
                <c:pt idx="110">
                  <c:v>27.50015640258789</c:v>
                </c:pt>
                <c:pt idx="111">
                  <c:v>27.75038146972656</c:v>
                </c:pt>
                <c:pt idx="112">
                  <c:v>28.00055503845215</c:v>
                </c:pt>
                <c:pt idx="113">
                  <c:v>28.25066757202148</c:v>
                </c:pt>
                <c:pt idx="114">
                  <c:v>28.50016593933105</c:v>
                </c:pt>
                <c:pt idx="115">
                  <c:v>28.75033378601074</c:v>
                </c:pt>
                <c:pt idx="116">
                  <c:v>29.00033378601074</c:v>
                </c:pt>
                <c:pt idx="117">
                  <c:v>29.25033378601074</c:v>
                </c:pt>
                <c:pt idx="118">
                  <c:v>29.50044441223145</c:v>
                </c:pt>
                <c:pt idx="119">
                  <c:v>29.75016593933105</c:v>
                </c:pt>
                <c:pt idx="120">
                  <c:v>30.00022315979004</c:v>
                </c:pt>
                <c:pt idx="121">
                  <c:v>30.2504997253418</c:v>
                </c:pt>
                <c:pt idx="122">
                  <c:v>30.50005531311035</c:v>
                </c:pt>
                <c:pt idx="123">
                  <c:v>30.75005531311035</c:v>
                </c:pt>
                <c:pt idx="124">
                  <c:v>31.0001106262207</c:v>
                </c:pt>
                <c:pt idx="125">
                  <c:v>31.25022315979004</c:v>
                </c:pt>
                <c:pt idx="126">
                  <c:v>31.50005531311035</c:v>
                </c:pt>
                <c:pt idx="127">
                  <c:v>31.7501106262207</c:v>
                </c:pt>
                <c:pt idx="128">
                  <c:v>32.00030517578125</c:v>
                </c:pt>
                <c:pt idx="129">
                  <c:v>32.2501106262207</c:v>
                </c:pt>
                <c:pt idx="130">
                  <c:v>32.50025177001953</c:v>
                </c:pt>
                <c:pt idx="131">
                  <c:v>32.7504997253418</c:v>
                </c:pt>
                <c:pt idx="132">
                  <c:v>33.00022125244141</c:v>
                </c:pt>
                <c:pt idx="133">
                  <c:v>33.25036239624023</c:v>
                </c:pt>
                <c:pt idx="134">
                  <c:v>33.50044631958008</c:v>
                </c:pt>
                <c:pt idx="135">
                  <c:v>33.75022125244141</c:v>
                </c:pt>
                <c:pt idx="136">
                  <c:v>34.00033187866211</c:v>
                </c:pt>
                <c:pt idx="137">
                  <c:v>34.25022125244141</c:v>
                </c:pt>
                <c:pt idx="138">
                  <c:v>34.5001106262207</c:v>
                </c:pt>
                <c:pt idx="139">
                  <c:v>34.75008392333984</c:v>
                </c:pt>
                <c:pt idx="140">
                  <c:v>35.00019454956055</c:v>
                </c:pt>
                <c:pt idx="141">
                  <c:v>35.2506103515625</c:v>
                </c:pt>
                <c:pt idx="142">
                  <c:v>35.50019454956055</c:v>
                </c:pt>
                <c:pt idx="143">
                  <c:v>35.75005722045898</c:v>
                </c:pt>
                <c:pt idx="144">
                  <c:v>36.00027847290039</c:v>
                </c:pt>
                <c:pt idx="145">
                  <c:v>36.25</c:v>
                </c:pt>
                <c:pt idx="146">
                  <c:v>36.50038909912109</c:v>
                </c:pt>
                <c:pt idx="147">
                  <c:v>36.75025177001953</c:v>
                </c:pt>
                <c:pt idx="148">
                  <c:v>37.00022125244141</c:v>
                </c:pt>
                <c:pt idx="149">
                  <c:v>37.25013732910156</c:v>
                </c:pt>
                <c:pt idx="150">
                  <c:v>37.50008392333984</c:v>
                </c:pt>
                <c:pt idx="151">
                  <c:v>37.7501106262207</c:v>
                </c:pt>
                <c:pt idx="152">
                  <c:v>38.00036239624023</c:v>
                </c:pt>
                <c:pt idx="153">
                  <c:v>38.25005722045898</c:v>
                </c:pt>
                <c:pt idx="154">
                  <c:v>38.50013732910156</c:v>
                </c:pt>
                <c:pt idx="155">
                  <c:v>38.75022125244141</c:v>
                </c:pt>
                <c:pt idx="156">
                  <c:v>39.00022125244141</c:v>
                </c:pt>
                <c:pt idx="157">
                  <c:v>39.25044631958008</c:v>
                </c:pt>
                <c:pt idx="158">
                  <c:v>39.50066757202148</c:v>
                </c:pt>
                <c:pt idx="159">
                  <c:v>39.75033187866211</c:v>
                </c:pt>
                <c:pt idx="160">
                  <c:v>40.00008392333984</c:v>
                </c:pt>
                <c:pt idx="161">
                  <c:v>40.25030517578125</c:v>
                </c:pt>
                <c:pt idx="162">
                  <c:v>40.50038909912109</c:v>
                </c:pt>
                <c:pt idx="163">
                  <c:v>40.7501106262207</c:v>
                </c:pt>
                <c:pt idx="164">
                  <c:v>41.00030517578125</c:v>
                </c:pt>
                <c:pt idx="165">
                  <c:v>41.25022125244141</c:v>
                </c:pt>
                <c:pt idx="166">
                  <c:v>41.50036239624023</c:v>
                </c:pt>
                <c:pt idx="167">
                  <c:v>41.75075149536133</c:v>
                </c:pt>
                <c:pt idx="168">
                  <c:v>42.00066757202148</c:v>
                </c:pt>
                <c:pt idx="169">
                  <c:v>42.25080490112305</c:v>
                </c:pt>
                <c:pt idx="170">
                  <c:v>42.50063705444336</c:v>
                </c:pt>
                <c:pt idx="171">
                  <c:v>42.75066757202148</c:v>
                </c:pt>
                <c:pt idx="172">
                  <c:v>43.00027847290039</c:v>
                </c:pt>
                <c:pt idx="173">
                  <c:v>43.2504997253418</c:v>
                </c:pt>
                <c:pt idx="174">
                  <c:v>43.50041580200195</c:v>
                </c:pt>
                <c:pt idx="175">
                  <c:v>43.75019454956055</c:v>
                </c:pt>
                <c:pt idx="176">
                  <c:v>44.00030517578125</c:v>
                </c:pt>
                <c:pt idx="177">
                  <c:v>44.2501106262207</c:v>
                </c:pt>
                <c:pt idx="178">
                  <c:v>44.50044631958008</c:v>
                </c:pt>
                <c:pt idx="179">
                  <c:v>44.75044631958008</c:v>
                </c:pt>
                <c:pt idx="180">
                  <c:v>45.0004997253418</c:v>
                </c:pt>
                <c:pt idx="181">
                  <c:v>45.25041580200195</c:v>
                </c:pt>
                <c:pt idx="182">
                  <c:v>45.50002670288086</c:v>
                </c:pt>
                <c:pt idx="183">
                  <c:v>45.75</c:v>
                </c:pt>
                <c:pt idx="184">
                  <c:v>46.00005722045898</c:v>
                </c:pt>
                <c:pt idx="185">
                  <c:v>46.25022125244141</c:v>
                </c:pt>
                <c:pt idx="186">
                  <c:v>46.50044631958008</c:v>
                </c:pt>
                <c:pt idx="187">
                  <c:v>46.7501106262207</c:v>
                </c:pt>
                <c:pt idx="188">
                  <c:v>47.00025177001953</c:v>
                </c:pt>
                <c:pt idx="189">
                  <c:v>47.25038909912109</c:v>
                </c:pt>
                <c:pt idx="190">
                  <c:v>47.5001106262207</c:v>
                </c:pt>
                <c:pt idx="191">
                  <c:v>47.75005722045898</c:v>
                </c:pt>
                <c:pt idx="192">
                  <c:v>48.00022125244141</c:v>
                </c:pt>
                <c:pt idx="193">
                  <c:v>48.25019454956055</c:v>
                </c:pt>
                <c:pt idx="194">
                  <c:v>48.50052642822266</c:v>
                </c:pt>
                <c:pt idx="195">
                  <c:v>48.75027847290039</c:v>
                </c:pt>
                <c:pt idx="196">
                  <c:v>49.00022125244141</c:v>
                </c:pt>
                <c:pt idx="197">
                  <c:v>49.25019454956055</c:v>
                </c:pt>
                <c:pt idx="198">
                  <c:v>49.50052642822266</c:v>
                </c:pt>
                <c:pt idx="199">
                  <c:v>49.7501106262207</c:v>
                </c:pt>
                <c:pt idx="200">
                  <c:v>50.00036239624023</c:v>
                </c:pt>
                <c:pt idx="201">
                  <c:v>50.25002670288086</c:v>
                </c:pt>
                <c:pt idx="202">
                  <c:v>50.5</c:v>
                </c:pt>
                <c:pt idx="203">
                  <c:v>50.75013732910156</c:v>
                </c:pt>
                <c:pt idx="204">
                  <c:v>51.00036239624023</c:v>
                </c:pt>
                <c:pt idx="205">
                  <c:v>51.25033187866211</c:v>
                </c:pt>
                <c:pt idx="206">
                  <c:v>51.50022125244141</c:v>
                </c:pt>
                <c:pt idx="207">
                  <c:v>51.75008392333984</c:v>
                </c:pt>
                <c:pt idx="208">
                  <c:v>52.00008392333984</c:v>
                </c:pt>
                <c:pt idx="209">
                  <c:v>52.25016784667969</c:v>
                </c:pt>
                <c:pt idx="210">
                  <c:v>52.50055694580078</c:v>
                </c:pt>
                <c:pt idx="211">
                  <c:v>52.75036239624023</c:v>
                </c:pt>
                <c:pt idx="212">
                  <c:v>53.00016784667969</c:v>
                </c:pt>
                <c:pt idx="213">
                  <c:v>53.25025177001953</c:v>
                </c:pt>
                <c:pt idx="214">
                  <c:v>53.50033187866211</c:v>
                </c:pt>
                <c:pt idx="215">
                  <c:v>53.75019454956055</c:v>
                </c:pt>
                <c:pt idx="216">
                  <c:v>54.00044631958008</c:v>
                </c:pt>
                <c:pt idx="217">
                  <c:v>54.25033187866211</c:v>
                </c:pt>
                <c:pt idx="218">
                  <c:v>54.50055694580078</c:v>
                </c:pt>
                <c:pt idx="219">
                  <c:v>54.75033187866211</c:v>
                </c:pt>
                <c:pt idx="220">
                  <c:v>55.0004997253418</c:v>
                </c:pt>
                <c:pt idx="221">
                  <c:v>55.25038909912109</c:v>
                </c:pt>
                <c:pt idx="222">
                  <c:v>55.50022125244141</c:v>
                </c:pt>
                <c:pt idx="223">
                  <c:v>55.75027847290039</c:v>
                </c:pt>
                <c:pt idx="224">
                  <c:v>56.00030517578125</c:v>
                </c:pt>
                <c:pt idx="225">
                  <c:v>56.2506103515625</c:v>
                </c:pt>
                <c:pt idx="226">
                  <c:v>56.50016784667969</c:v>
                </c:pt>
                <c:pt idx="227">
                  <c:v>56.75008392333984</c:v>
                </c:pt>
                <c:pt idx="228">
                  <c:v>57.00013732910156</c:v>
                </c:pt>
                <c:pt idx="229">
                  <c:v>57.25005722045898</c:v>
                </c:pt>
                <c:pt idx="230">
                  <c:v>57.50013732910156</c:v>
                </c:pt>
                <c:pt idx="231">
                  <c:v>57.75025177001953</c:v>
                </c:pt>
                <c:pt idx="232">
                  <c:v>58.00016784667969</c:v>
                </c:pt>
                <c:pt idx="233">
                  <c:v>58.25025177001953</c:v>
                </c:pt>
                <c:pt idx="234">
                  <c:v>58.50027847290039</c:v>
                </c:pt>
                <c:pt idx="235">
                  <c:v>58.75063705444336</c:v>
                </c:pt>
                <c:pt idx="236">
                  <c:v>59.00066757202148</c:v>
                </c:pt>
                <c:pt idx="237">
                  <c:v>59.25002670288086</c:v>
                </c:pt>
                <c:pt idx="238">
                  <c:v>59.50013732910156</c:v>
                </c:pt>
                <c:pt idx="239">
                  <c:v>59.7504997253418</c:v>
                </c:pt>
                <c:pt idx="240">
                  <c:v>60.00025177001953</c:v>
                </c:pt>
                <c:pt idx="241">
                  <c:v>60.25022125244141</c:v>
                </c:pt>
                <c:pt idx="242">
                  <c:v>60.50038909912109</c:v>
                </c:pt>
                <c:pt idx="243">
                  <c:v>60.75025177001953</c:v>
                </c:pt>
                <c:pt idx="244">
                  <c:v>61.00025177001953</c:v>
                </c:pt>
                <c:pt idx="245">
                  <c:v>61.25038909912109</c:v>
                </c:pt>
                <c:pt idx="246">
                  <c:v>61.50013732910156</c:v>
                </c:pt>
                <c:pt idx="247">
                  <c:v>61.75005722045898</c:v>
                </c:pt>
                <c:pt idx="248">
                  <c:v>62.00083160400391</c:v>
                </c:pt>
                <c:pt idx="249">
                  <c:v>62.2506103515625</c:v>
                </c:pt>
                <c:pt idx="250">
                  <c:v>62.50027847290039</c:v>
                </c:pt>
                <c:pt idx="251">
                  <c:v>62.75052642822266</c:v>
                </c:pt>
                <c:pt idx="252">
                  <c:v>63.0001106262207</c:v>
                </c:pt>
                <c:pt idx="253">
                  <c:v>63.25019454956055</c:v>
                </c:pt>
                <c:pt idx="254">
                  <c:v>63.50016784667969</c:v>
                </c:pt>
                <c:pt idx="255">
                  <c:v>63.75002670288086</c:v>
                </c:pt>
                <c:pt idx="256">
                  <c:v>64.00030517578125</c:v>
                </c:pt>
                <c:pt idx="257">
                  <c:v>64.25011444091797</c:v>
                </c:pt>
                <c:pt idx="258">
                  <c:v>64.50038909912109</c:v>
                </c:pt>
                <c:pt idx="259">
                  <c:v>64.7506103515625</c:v>
                </c:pt>
                <c:pt idx="260">
                  <c:v>65.00011444091797</c:v>
                </c:pt>
                <c:pt idx="261">
                  <c:v>65.25030517578125</c:v>
                </c:pt>
                <c:pt idx="262">
                  <c:v>65.50011444091797</c:v>
                </c:pt>
                <c:pt idx="263">
                  <c:v>65.75035858154297</c:v>
                </c:pt>
                <c:pt idx="264">
                  <c:v>66.00019073486328</c:v>
                </c:pt>
                <c:pt idx="265">
                  <c:v>66.25008392333984</c:v>
                </c:pt>
                <c:pt idx="266">
                  <c:v>66.50016784667969</c:v>
                </c:pt>
                <c:pt idx="267">
                  <c:v>66.75047302246094</c:v>
                </c:pt>
                <c:pt idx="268">
                  <c:v>67.00011444091797</c:v>
                </c:pt>
                <c:pt idx="269">
                  <c:v>67.25003051757812</c:v>
                </c:pt>
                <c:pt idx="270">
                  <c:v>67.50003051757812</c:v>
                </c:pt>
                <c:pt idx="271">
                  <c:v>67.75027465820312</c:v>
                </c:pt>
                <c:pt idx="272">
                  <c:v>68.00066375732422</c:v>
                </c:pt>
                <c:pt idx="273">
                  <c:v>68.25072479248047</c:v>
                </c:pt>
                <c:pt idx="274">
                  <c:v>68.50047302246094</c:v>
                </c:pt>
                <c:pt idx="275">
                  <c:v>68.75077819824219</c:v>
                </c:pt>
                <c:pt idx="276">
                  <c:v>69.00030517578125</c:v>
                </c:pt>
                <c:pt idx="277">
                  <c:v>69.25038909912109</c:v>
                </c:pt>
                <c:pt idx="278">
                  <c:v>69.50055694580078</c:v>
                </c:pt>
                <c:pt idx="279">
                  <c:v>69.75052642822266</c:v>
                </c:pt>
                <c:pt idx="280">
                  <c:v>70.00008392333984</c:v>
                </c:pt>
                <c:pt idx="281">
                  <c:v>70.25022125244141</c:v>
                </c:pt>
                <c:pt idx="282">
                  <c:v>70.50019073486328</c:v>
                </c:pt>
                <c:pt idx="283">
                  <c:v>70.75027465820312</c:v>
                </c:pt>
                <c:pt idx="284">
                  <c:v>71.00047302246094</c:v>
                </c:pt>
                <c:pt idx="285">
                  <c:v>71.25022125244141</c:v>
                </c:pt>
                <c:pt idx="286">
                  <c:v>71.50027465820312</c:v>
                </c:pt>
                <c:pt idx="287">
                  <c:v>71.75030517578125</c:v>
                </c:pt>
                <c:pt idx="288">
                  <c:v>72.00003051757812</c:v>
                </c:pt>
              </c:numCache>
            </c:numRef>
          </c:xVal>
          <c:yVal>
            <c:numRef>
              <c:f>SIM4!$G$11:$G$299</c:f>
              <c:numCache>
                <c:ptCount val="289"/>
                <c:pt idx="0">
                  <c:v>9.87746524810791</c:v>
                </c:pt>
                <c:pt idx="1">
                  <c:v>6.967663764953613</c:v>
                </c:pt>
                <c:pt idx="2">
                  <c:v>5.829698085784912</c:v>
                </c:pt>
                <c:pt idx="3">
                  <c:v>3.361793041229248</c:v>
                </c:pt>
                <c:pt idx="4">
                  <c:v>0.9239462018013</c:v>
                </c:pt>
                <c:pt idx="5">
                  <c:v>-0.6565983891487122</c:v>
                </c:pt>
                <c:pt idx="6">
                  <c:v>0.8027424812316895</c:v>
                </c:pt>
                <c:pt idx="7">
                  <c:v>0.6684923768043518</c:v>
                </c:pt>
                <c:pt idx="8">
                  <c:v>-0.176583394408226</c:v>
                </c:pt>
                <c:pt idx="9">
                  <c:v>0.5615584254264832</c:v>
                </c:pt>
                <c:pt idx="10">
                  <c:v>10.67905044555664</c:v>
                </c:pt>
                <c:pt idx="11">
                  <c:v>3.392889976501465</c:v>
                </c:pt>
                <c:pt idx="12">
                  <c:v>7.182168006896973</c:v>
                </c:pt>
                <c:pt idx="13">
                  <c:v>6.796528816223145</c:v>
                </c:pt>
                <c:pt idx="14">
                  <c:v>4.108851909637451</c:v>
                </c:pt>
                <c:pt idx="15">
                  <c:v>6.687615871429443</c:v>
                </c:pt>
                <c:pt idx="16">
                  <c:v>3.811975955963135</c:v>
                </c:pt>
                <c:pt idx="17">
                  <c:v>0.5877562761306763</c:v>
                </c:pt>
                <c:pt idx="18">
                  <c:v>-0.2387396991252899</c:v>
                </c:pt>
                <c:pt idx="19">
                  <c:v>1.986724972724915</c:v>
                </c:pt>
                <c:pt idx="20">
                  <c:v>-0.8620176911354065</c:v>
                </c:pt>
                <c:pt idx="21">
                  <c:v>-0.3047923147678375</c:v>
                </c:pt>
                <c:pt idx="22">
                  <c:v>0.875407874584198</c:v>
                </c:pt>
                <c:pt idx="23">
                  <c:v>11.39169979095459</c:v>
                </c:pt>
                <c:pt idx="24">
                  <c:v>3.554433107376099</c:v>
                </c:pt>
                <c:pt idx="25">
                  <c:v>6.585178852081299</c:v>
                </c:pt>
                <c:pt idx="26">
                  <c:v>7.361485004425049</c:v>
                </c:pt>
                <c:pt idx="27">
                  <c:v>3.657566070556641</c:v>
                </c:pt>
                <c:pt idx="28">
                  <c:v>6.582622051239014</c:v>
                </c:pt>
                <c:pt idx="29">
                  <c:v>5.154407978057861</c:v>
                </c:pt>
                <c:pt idx="30">
                  <c:v>-0.2570570111274719</c:v>
                </c:pt>
                <c:pt idx="31">
                  <c:v>-0.04720329120755196</c:v>
                </c:pt>
                <c:pt idx="32">
                  <c:v>0.4600403904914856</c:v>
                </c:pt>
                <c:pt idx="33">
                  <c:v>0.6252484917640686</c:v>
                </c:pt>
                <c:pt idx="34">
                  <c:v>-0.08130895346403122</c:v>
                </c:pt>
                <c:pt idx="35">
                  <c:v>-0.5435957908630371</c:v>
                </c:pt>
                <c:pt idx="36">
                  <c:v>11.20761966705322</c:v>
                </c:pt>
                <c:pt idx="37">
                  <c:v>3.822483062744141</c:v>
                </c:pt>
                <c:pt idx="38">
                  <c:v>5.581258773803711</c:v>
                </c:pt>
                <c:pt idx="39">
                  <c:v>7.205574989318848</c:v>
                </c:pt>
                <c:pt idx="40">
                  <c:v>3.431504011154175</c:v>
                </c:pt>
                <c:pt idx="41">
                  <c:v>5.757116794586182</c:v>
                </c:pt>
                <c:pt idx="42">
                  <c:v>6.095945835113525</c:v>
                </c:pt>
                <c:pt idx="43">
                  <c:v>0.05151451006531715</c:v>
                </c:pt>
                <c:pt idx="44">
                  <c:v>0.2333984971046448</c:v>
                </c:pt>
                <c:pt idx="45">
                  <c:v>-0.06127594038844109</c:v>
                </c:pt>
                <c:pt idx="46">
                  <c:v>0.8975511193275452</c:v>
                </c:pt>
                <c:pt idx="47">
                  <c:v>0.06150135025382042</c:v>
                </c:pt>
                <c:pt idx="48">
                  <c:v>-0.06020957976579666</c:v>
                </c:pt>
                <c:pt idx="49">
                  <c:v>3.726149082183838</c:v>
                </c:pt>
                <c:pt idx="50">
                  <c:v>4.74252986907959</c:v>
                </c:pt>
                <c:pt idx="51">
                  <c:v>4.022243022918701</c:v>
                </c:pt>
                <c:pt idx="52">
                  <c:v>7.289347171783447</c:v>
                </c:pt>
                <c:pt idx="53">
                  <c:v>3.919400930404663</c:v>
                </c:pt>
                <c:pt idx="54">
                  <c:v>4.470943927764893</c:v>
                </c:pt>
                <c:pt idx="55">
                  <c:v>6.624621868133545</c:v>
                </c:pt>
                <c:pt idx="56">
                  <c:v>1.123363971710205</c:v>
                </c:pt>
                <c:pt idx="57">
                  <c:v>0.1651619970798492</c:v>
                </c:pt>
                <c:pt idx="58">
                  <c:v>-1.09579598903656</c:v>
                </c:pt>
                <c:pt idx="59">
                  <c:v>0.5528563857078552</c:v>
                </c:pt>
                <c:pt idx="60">
                  <c:v>-0.1928994059562683</c:v>
                </c:pt>
                <c:pt idx="61">
                  <c:v>0.07342193275690079</c:v>
                </c:pt>
                <c:pt idx="62">
                  <c:v>0.6174963116645813</c:v>
                </c:pt>
                <c:pt idx="63">
                  <c:v>10.04862022399902</c:v>
                </c:pt>
                <c:pt idx="64">
                  <c:v>3.331532955169678</c:v>
                </c:pt>
                <c:pt idx="65">
                  <c:v>7.211729049682617</c:v>
                </c:pt>
                <c:pt idx="66">
                  <c:v>6.511422157287598</c:v>
                </c:pt>
                <c:pt idx="67">
                  <c:v>3.574697971343994</c:v>
                </c:pt>
                <c:pt idx="68">
                  <c:v>6.960787773132324</c:v>
                </c:pt>
                <c:pt idx="69">
                  <c:v>3.630079030990601</c:v>
                </c:pt>
                <c:pt idx="70">
                  <c:v>1.076800942420959</c:v>
                </c:pt>
                <c:pt idx="71">
                  <c:v>0.07795193046331406</c:v>
                </c:pt>
                <c:pt idx="72">
                  <c:v>0.01324902009218931</c:v>
                </c:pt>
                <c:pt idx="73">
                  <c:v>-0.2618806958198547</c:v>
                </c:pt>
                <c:pt idx="74">
                  <c:v>-0.1742841005325317</c:v>
                </c:pt>
                <c:pt idx="75">
                  <c:v>1.829807043075562</c:v>
                </c:pt>
                <c:pt idx="76">
                  <c:v>5.206499099731445</c:v>
                </c:pt>
                <c:pt idx="77">
                  <c:v>4.304807186126709</c:v>
                </c:pt>
                <c:pt idx="78">
                  <c:v>4.934607982635498</c:v>
                </c:pt>
                <c:pt idx="79">
                  <c:v>7.240421772003174</c:v>
                </c:pt>
                <c:pt idx="80">
                  <c:v>3.626126050949097</c:v>
                </c:pt>
                <c:pt idx="81">
                  <c:v>5.393979072570801</c:v>
                </c:pt>
                <c:pt idx="82">
                  <c:v>6.19121789932251</c:v>
                </c:pt>
                <c:pt idx="83">
                  <c:v>-0.1346700936555862</c:v>
                </c:pt>
                <c:pt idx="84">
                  <c:v>-1.673251986503601</c:v>
                </c:pt>
                <c:pt idx="85">
                  <c:v>1.201568007469177</c:v>
                </c:pt>
                <c:pt idx="86">
                  <c:v>-0.6153125166893005</c:v>
                </c:pt>
                <c:pt idx="87">
                  <c:v>0.3304229974746704</c:v>
                </c:pt>
                <c:pt idx="88">
                  <c:v>-0.3099533021450043</c:v>
                </c:pt>
                <c:pt idx="89">
                  <c:v>3.078955888748169</c:v>
                </c:pt>
                <c:pt idx="90">
                  <c:v>5.109536170959473</c:v>
                </c:pt>
                <c:pt idx="91">
                  <c:v>3.721790075302124</c:v>
                </c:pt>
                <c:pt idx="92">
                  <c:v>7.348350048065186</c:v>
                </c:pt>
                <c:pt idx="93">
                  <c:v>4.212982177734375</c:v>
                </c:pt>
                <c:pt idx="94">
                  <c:v>4.018272876739502</c:v>
                </c:pt>
                <c:pt idx="95">
                  <c:v>6.868074893951416</c:v>
                </c:pt>
                <c:pt idx="96">
                  <c:v>1.094313979148865</c:v>
                </c:pt>
                <c:pt idx="97">
                  <c:v>0.9172044992446899</c:v>
                </c:pt>
                <c:pt idx="98">
                  <c:v>0.7048094272613525</c:v>
                </c:pt>
                <c:pt idx="99">
                  <c:v>0.7778602242469788</c:v>
                </c:pt>
                <c:pt idx="100">
                  <c:v>1.367460966110229</c:v>
                </c:pt>
                <c:pt idx="101">
                  <c:v>0.224894106388092</c:v>
                </c:pt>
                <c:pt idx="102">
                  <c:v>1.034641981124878</c:v>
                </c:pt>
                <c:pt idx="103">
                  <c:v>9.247098922729492</c:v>
                </c:pt>
                <c:pt idx="104">
                  <c:v>3.246145963668823</c:v>
                </c:pt>
                <c:pt idx="105">
                  <c:v>7.384590148925781</c:v>
                </c:pt>
                <c:pt idx="106">
                  <c:v>6.220728874206543</c:v>
                </c:pt>
                <c:pt idx="107">
                  <c:v>3.47489595413208</c:v>
                </c:pt>
                <c:pt idx="108">
                  <c:v>7.052216053009033</c:v>
                </c:pt>
                <c:pt idx="109">
                  <c:v>3.456623077392578</c:v>
                </c:pt>
                <c:pt idx="110">
                  <c:v>0.4044691920280457</c:v>
                </c:pt>
                <c:pt idx="111">
                  <c:v>-0.7195044755935669</c:v>
                </c:pt>
                <c:pt idx="112">
                  <c:v>0.5544230937957764</c:v>
                </c:pt>
                <c:pt idx="113">
                  <c:v>0.008579921908676624</c:v>
                </c:pt>
                <c:pt idx="114">
                  <c:v>-0.1964451968669891</c:v>
                </c:pt>
                <c:pt idx="115">
                  <c:v>0.8581809997558594</c:v>
                </c:pt>
                <c:pt idx="116">
                  <c:v>11.08337020874023</c:v>
                </c:pt>
                <c:pt idx="117">
                  <c:v>3.417490005493164</c:v>
                </c:pt>
                <c:pt idx="118">
                  <c:v>6.315539836883545</c:v>
                </c:pt>
                <c:pt idx="119">
                  <c:v>7.263804912567139</c:v>
                </c:pt>
                <c:pt idx="120">
                  <c:v>3.328509092330933</c:v>
                </c:pt>
                <c:pt idx="121">
                  <c:v>6.343181133270264</c:v>
                </c:pt>
                <c:pt idx="122">
                  <c:v>5.618101119995117</c:v>
                </c:pt>
                <c:pt idx="123">
                  <c:v>0.6442130208015442</c:v>
                </c:pt>
                <c:pt idx="124">
                  <c:v>-0.1875357031822205</c:v>
                </c:pt>
                <c:pt idx="125">
                  <c:v>-0.2882766127586365</c:v>
                </c:pt>
                <c:pt idx="126">
                  <c:v>0.6119822263717651</c:v>
                </c:pt>
                <c:pt idx="127">
                  <c:v>0.1121532991528511</c:v>
                </c:pt>
                <c:pt idx="128">
                  <c:v>0.2557170987129211</c:v>
                </c:pt>
                <c:pt idx="129">
                  <c:v>2.779690980911255</c:v>
                </c:pt>
                <c:pt idx="130">
                  <c:v>5.26892614364624</c:v>
                </c:pt>
                <c:pt idx="131">
                  <c:v>3.827688932418823</c:v>
                </c:pt>
                <c:pt idx="132">
                  <c:v>7.318490028381348</c:v>
                </c:pt>
                <c:pt idx="133">
                  <c:v>4.359761238098145</c:v>
                </c:pt>
                <c:pt idx="134">
                  <c:v>4.328952789306641</c:v>
                </c:pt>
                <c:pt idx="135">
                  <c:v>6.652345180511475</c:v>
                </c:pt>
                <c:pt idx="136">
                  <c:v>1.236763954162598</c:v>
                </c:pt>
                <c:pt idx="137">
                  <c:v>1.33024001121521</c:v>
                </c:pt>
                <c:pt idx="138">
                  <c:v>0.1248217970132828</c:v>
                </c:pt>
                <c:pt idx="139">
                  <c:v>-1.345396041870117</c:v>
                </c:pt>
                <c:pt idx="140">
                  <c:v>0.1578433066606522</c:v>
                </c:pt>
                <c:pt idx="141">
                  <c:v>0.0996943786740303</c:v>
                </c:pt>
                <c:pt idx="142">
                  <c:v>0.7139089107513428</c:v>
                </c:pt>
                <c:pt idx="143">
                  <c:v>9.661752700805664</c:v>
                </c:pt>
                <c:pt idx="144">
                  <c:v>3.254479885101318</c:v>
                </c:pt>
                <c:pt idx="145">
                  <c:v>7.266444206237793</c:v>
                </c:pt>
                <c:pt idx="146">
                  <c:v>6.355537891387939</c:v>
                </c:pt>
                <c:pt idx="147">
                  <c:v>3.422065019607544</c:v>
                </c:pt>
                <c:pt idx="148">
                  <c:v>7.048256874084473</c:v>
                </c:pt>
                <c:pt idx="149">
                  <c:v>3.645589113235474</c:v>
                </c:pt>
                <c:pt idx="150">
                  <c:v>1.459548950195312</c:v>
                </c:pt>
                <c:pt idx="151">
                  <c:v>0.1890314072370529</c:v>
                </c:pt>
                <c:pt idx="152">
                  <c:v>0.197872593998909</c:v>
                </c:pt>
                <c:pt idx="153">
                  <c:v>-0.1333647072315216</c:v>
                </c:pt>
                <c:pt idx="154">
                  <c:v>-0.1041759997606277</c:v>
                </c:pt>
                <c:pt idx="155">
                  <c:v>5.767662048339844</c:v>
                </c:pt>
                <c:pt idx="156">
                  <c:v>6.32036018371582</c:v>
                </c:pt>
                <c:pt idx="157">
                  <c:v>4.076734066009521</c:v>
                </c:pt>
                <c:pt idx="158">
                  <c:v>5.226169109344482</c:v>
                </c:pt>
                <c:pt idx="159">
                  <c:v>7.253562927246094</c:v>
                </c:pt>
                <c:pt idx="160">
                  <c:v>3.504240036010742</c:v>
                </c:pt>
                <c:pt idx="161">
                  <c:v>5.541726112365723</c:v>
                </c:pt>
                <c:pt idx="162">
                  <c:v>6.158403873443604</c:v>
                </c:pt>
                <c:pt idx="163">
                  <c:v>1.186635971069336</c:v>
                </c:pt>
                <c:pt idx="164">
                  <c:v>-0.3957425951957703</c:v>
                </c:pt>
                <c:pt idx="165">
                  <c:v>0.3714371025562286</c:v>
                </c:pt>
                <c:pt idx="166">
                  <c:v>-0.8785883188247681</c:v>
                </c:pt>
                <c:pt idx="167">
                  <c:v>-0.1578405946493149</c:v>
                </c:pt>
                <c:pt idx="168">
                  <c:v>0.3547484874725342</c:v>
                </c:pt>
                <c:pt idx="169">
                  <c:v>1.991476058959961</c:v>
                </c:pt>
                <c:pt idx="170">
                  <c:v>6.021442890167236</c:v>
                </c:pt>
                <c:pt idx="171">
                  <c:v>3.500694990158081</c:v>
                </c:pt>
                <c:pt idx="172">
                  <c:v>7.395650863647461</c:v>
                </c:pt>
                <c:pt idx="173">
                  <c:v>4.962498188018799</c:v>
                </c:pt>
                <c:pt idx="174">
                  <c:v>3.871433019638062</c:v>
                </c:pt>
                <c:pt idx="175">
                  <c:v>6.930918216705322</c:v>
                </c:pt>
                <c:pt idx="176">
                  <c:v>2.244864940643311</c:v>
                </c:pt>
                <c:pt idx="177">
                  <c:v>-0.02979250997304916</c:v>
                </c:pt>
                <c:pt idx="178">
                  <c:v>0.9449234008789062</c:v>
                </c:pt>
                <c:pt idx="179">
                  <c:v>-0.5431607961654663</c:v>
                </c:pt>
                <c:pt idx="180">
                  <c:v>0.4733279943466187</c:v>
                </c:pt>
                <c:pt idx="181">
                  <c:v>0.4901754856109619</c:v>
                </c:pt>
                <c:pt idx="182">
                  <c:v>0.2993994951248169</c:v>
                </c:pt>
                <c:pt idx="183">
                  <c:v>11.13313007354736</c:v>
                </c:pt>
                <c:pt idx="184">
                  <c:v>3.2846360206604</c:v>
                </c:pt>
                <c:pt idx="185">
                  <c:v>6.938916206359863</c:v>
                </c:pt>
                <c:pt idx="186">
                  <c:v>7.118278980255127</c:v>
                </c:pt>
                <c:pt idx="187">
                  <c:v>3.337490081787109</c:v>
                </c:pt>
                <c:pt idx="188">
                  <c:v>6.805426120758057</c:v>
                </c:pt>
                <c:pt idx="189">
                  <c:v>4.667257785797119</c:v>
                </c:pt>
                <c:pt idx="190">
                  <c:v>0.2563660144805908</c:v>
                </c:pt>
                <c:pt idx="191">
                  <c:v>1.64257800579071</c:v>
                </c:pt>
                <c:pt idx="192">
                  <c:v>2.166980028152466</c:v>
                </c:pt>
                <c:pt idx="193">
                  <c:v>-0.0008547697798348963</c:v>
                </c:pt>
                <c:pt idx="194">
                  <c:v>-0.08872921764850616</c:v>
                </c:pt>
                <c:pt idx="195">
                  <c:v>1.604305028915405</c:v>
                </c:pt>
                <c:pt idx="196">
                  <c:v>4.39437198638916</c:v>
                </c:pt>
                <c:pt idx="197">
                  <c:v>4.470398902893066</c:v>
                </c:pt>
                <c:pt idx="198">
                  <c:v>4.456664085388184</c:v>
                </c:pt>
                <c:pt idx="199">
                  <c:v>7.258432865142822</c:v>
                </c:pt>
                <c:pt idx="200">
                  <c:v>3.678421974182129</c:v>
                </c:pt>
                <c:pt idx="201">
                  <c:v>4.997550010681152</c:v>
                </c:pt>
                <c:pt idx="202">
                  <c:v>6.367084980010986</c:v>
                </c:pt>
                <c:pt idx="203">
                  <c:v>0.290301114320755</c:v>
                </c:pt>
                <c:pt idx="204">
                  <c:v>2.038691997528076</c:v>
                </c:pt>
                <c:pt idx="205">
                  <c:v>0.9101225137710571</c:v>
                </c:pt>
                <c:pt idx="206">
                  <c:v>-0.2700034081935883</c:v>
                </c:pt>
                <c:pt idx="207">
                  <c:v>0.8275117874145508</c:v>
                </c:pt>
                <c:pt idx="208">
                  <c:v>0.2963233888149261</c:v>
                </c:pt>
                <c:pt idx="209">
                  <c:v>1.128222942352295</c:v>
                </c:pt>
                <c:pt idx="210">
                  <c:v>7.617073059082031</c:v>
                </c:pt>
                <c:pt idx="211">
                  <c:v>3.353250026702881</c:v>
                </c:pt>
                <c:pt idx="212">
                  <c:v>7.371365070343018</c:v>
                </c:pt>
                <c:pt idx="213">
                  <c:v>5.917648792266846</c:v>
                </c:pt>
                <c:pt idx="214">
                  <c:v>3.648535013198853</c:v>
                </c:pt>
                <c:pt idx="215">
                  <c:v>7.003666877746582</c:v>
                </c:pt>
                <c:pt idx="216">
                  <c:v>3.090508937835693</c:v>
                </c:pt>
                <c:pt idx="217">
                  <c:v>-0.8258734941482544</c:v>
                </c:pt>
                <c:pt idx="218">
                  <c:v>1.046362996101379</c:v>
                </c:pt>
                <c:pt idx="219">
                  <c:v>-0.1386705935001373</c:v>
                </c:pt>
                <c:pt idx="220">
                  <c:v>-0.4582662880420685</c:v>
                </c:pt>
                <c:pt idx="221">
                  <c:v>0.03742533922195435</c:v>
                </c:pt>
                <c:pt idx="222">
                  <c:v>2.124336957931519</c:v>
                </c:pt>
                <c:pt idx="223">
                  <c:v>9.52357292175293</c:v>
                </c:pt>
                <c:pt idx="224">
                  <c:v>3.422318935394287</c:v>
                </c:pt>
                <c:pt idx="225">
                  <c:v>6.475860118865967</c:v>
                </c:pt>
                <c:pt idx="226">
                  <c:v>7.275393009185791</c:v>
                </c:pt>
                <c:pt idx="227">
                  <c:v>3.345859050750732</c:v>
                </c:pt>
                <c:pt idx="228">
                  <c:v>6.448494911193848</c:v>
                </c:pt>
                <c:pt idx="229">
                  <c:v>5.435799121856689</c:v>
                </c:pt>
                <c:pt idx="230">
                  <c:v>0.466803103685379</c:v>
                </c:pt>
                <c:pt idx="231">
                  <c:v>-1.135313034057617</c:v>
                </c:pt>
                <c:pt idx="232">
                  <c:v>-0.08477766811847687</c:v>
                </c:pt>
                <c:pt idx="233">
                  <c:v>0.03128857165575027</c:v>
                </c:pt>
                <c:pt idx="234">
                  <c:v>0.5759143233299255</c:v>
                </c:pt>
                <c:pt idx="235">
                  <c:v>0.3918899893760681</c:v>
                </c:pt>
                <c:pt idx="236">
                  <c:v>3.395283937454224</c:v>
                </c:pt>
                <c:pt idx="237">
                  <c:v>4.97258186340332</c:v>
                </c:pt>
                <c:pt idx="238">
                  <c:v>3.958890914916992</c:v>
                </c:pt>
                <c:pt idx="239">
                  <c:v>7.313986778259277</c:v>
                </c:pt>
                <c:pt idx="240">
                  <c:v>4.05125904083252</c:v>
                </c:pt>
                <c:pt idx="241">
                  <c:v>4.478600978851318</c:v>
                </c:pt>
                <c:pt idx="242">
                  <c:v>6.59312105178833</c:v>
                </c:pt>
                <c:pt idx="243">
                  <c:v>1.029225945472717</c:v>
                </c:pt>
                <c:pt idx="244">
                  <c:v>-0.1256556063890457</c:v>
                </c:pt>
                <c:pt idx="245">
                  <c:v>0.792177677154541</c:v>
                </c:pt>
                <c:pt idx="246">
                  <c:v>0.1712543964385986</c:v>
                </c:pt>
                <c:pt idx="247">
                  <c:v>1.040933966636658</c:v>
                </c:pt>
                <c:pt idx="248">
                  <c:v>0.4409069120883942</c:v>
                </c:pt>
                <c:pt idx="249">
                  <c:v>1.639863014221191</c:v>
                </c:pt>
                <c:pt idx="250">
                  <c:v>6.900804996490479</c:v>
                </c:pt>
                <c:pt idx="251">
                  <c:v>3.31810998916626</c:v>
                </c:pt>
                <c:pt idx="252">
                  <c:v>7.398270130157471</c:v>
                </c:pt>
                <c:pt idx="253">
                  <c:v>5.487247943878174</c:v>
                </c:pt>
                <c:pt idx="254">
                  <c:v>3.553286075592041</c:v>
                </c:pt>
                <c:pt idx="255">
                  <c:v>7.09725284576416</c:v>
                </c:pt>
                <c:pt idx="256">
                  <c:v>2.827359914779663</c:v>
                </c:pt>
                <c:pt idx="257">
                  <c:v>0.5783544778823853</c:v>
                </c:pt>
                <c:pt idx="258">
                  <c:v>1.070147037506104</c:v>
                </c:pt>
                <c:pt idx="259">
                  <c:v>0.6998125910758972</c:v>
                </c:pt>
                <c:pt idx="260">
                  <c:v>-0.5924499034881592</c:v>
                </c:pt>
                <c:pt idx="261">
                  <c:v>-0.1332647949457169</c:v>
                </c:pt>
                <c:pt idx="262">
                  <c:v>0.5094059705734253</c:v>
                </c:pt>
                <c:pt idx="263">
                  <c:v>11.25839996337891</c:v>
                </c:pt>
                <c:pt idx="264">
                  <c:v>3.356659889221191</c:v>
                </c:pt>
                <c:pt idx="265">
                  <c:v>6.655375957489014</c:v>
                </c:pt>
                <c:pt idx="266">
                  <c:v>7.255681991577148</c:v>
                </c:pt>
                <c:pt idx="267">
                  <c:v>3.341773986816406</c:v>
                </c:pt>
                <c:pt idx="268">
                  <c:v>6.591214179992676</c:v>
                </c:pt>
                <c:pt idx="269">
                  <c:v>5.18587589263916</c:v>
                </c:pt>
                <c:pt idx="270">
                  <c:v>0.90537428855896</c:v>
                </c:pt>
                <c:pt idx="271">
                  <c:v>0.05962131917476654</c:v>
                </c:pt>
                <c:pt idx="272">
                  <c:v>0.5927394032478333</c:v>
                </c:pt>
                <c:pt idx="273">
                  <c:v>-0.4296613931655884</c:v>
                </c:pt>
                <c:pt idx="274">
                  <c:v>-0.008641553111374378</c:v>
                </c:pt>
                <c:pt idx="275">
                  <c:v>3.0574049949646</c:v>
                </c:pt>
                <c:pt idx="276">
                  <c:v>4.281912803649902</c:v>
                </c:pt>
                <c:pt idx="277">
                  <c:v>4.560742855072021</c:v>
                </c:pt>
                <c:pt idx="278">
                  <c:v>4.350694179534912</c:v>
                </c:pt>
                <c:pt idx="279">
                  <c:v>7.23167896270752</c:v>
                </c:pt>
                <c:pt idx="280">
                  <c:v>3.756844043731689</c:v>
                </c:pt>
                <c:pt idx="281">
                  <c:v>4.8764967918396</c:v>
                </c:pt>
                <c:pt idx="282">
                  <c:v>6.399613857269287</c:v>
                </c:pt>
                <c:pt idx="283">
                  <c:v>1.11454701423645</c:v>
                </c:pt>
                <c:pt idx="284">
                  <c:v>0.3579927980899811</c:v>
                </c:pt>
                <c:pt idx="285">
                  <c:v>0.2746072113513947</c:v>
                </c:pt>
                <c:pt idx="286">
                  <c:v>0.233686700463295</c:v>
                </c:pt>
                <c:pt idx="287">
                  <c:v>-0.9353572726249695</c:v>
                </c:pt>
                <c:pt idx="288">
                  <c:v>-0.2325472980737686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axId val="75091328"/>
        <c:axId val="75089408"/>
      </c:scatterChart>
      <c:valAx>
        <c:axId val="750913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t>Time [h]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val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r>
                  <a:t/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10</xdr:row>
      <xdr:rowOff>0</xdr:rowOff>
    </xdr:from>
    <xdr:to>
      <xdr:col>18</xdr:col>
      <xdr:colOff>95250</xdr:colOff>
      <xdr:row>30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10</xdr:row>
      <xdr:rowOff>0</xdr:rowOff>
    </xdr:from>
    <xdr:to>
      <xdr:col>18</xdr:col>
      <xdr:colOff>95250</xdr:colOff>
      <xdr:row>30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10</xdr:row>
      <xdr:rowOff>0</xdr:rowOff>
    </xdr:from>
    <xdr:to>
      <xdr:col>18</xdr:col>
      <xdr:colOff>95250</xdr:colOff>
      <xdr:row>30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10</xdr:row>
      <xdr:rowOff>0</xdr:rowOff>
    </xdr:from>
    <xdr:to>
      <xdr:col>18</xdr:col>
      <xdr:colOff>95250</xdr:colOff>
      <xdr:row>30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4"/>
  <sheetViews>
    <sheetView tabSelected="0" workbookViewId="0" showGridLines="true" showRowColHeaders="1">
      <selection activeCell="B1" sqref="B1"/>
    </sheetView>
  </sheetViews>
  <sheetFormatPr defaultRowHeight="14.4" outlineLevelRow="0" outlineLevelCol="0"/>
  <cols>
    <col min="1" max="1" width="42.418213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99"/>
  <sheetViews>
    <sheetView tabSelected="0" workbookViewId="0" showGridLines="true" showRowColHeaders="1">
      <selection activeCell="G10" sqref="G10"/>
    </sheetView>
  </sheetViews>
  <sheetFormatPr defaultRowHeight="14.4" outlineLevelRow="0" outlineLevelCol="0"/>
  <sheetData>
    <row r="1" spans="1:9">
      <c r="A1" s="2" t="s">
        <v>8</v>
      </c>
      <c r="B1" s="2" t="s">
        <v>8</v>
      </c>
      <c r="C1" s="2" t="s">
        <v>8</v>
      </c>
      <c r="D1" s="1"/>
      <c r="E1" s="2" t="s">
        <v>9</v>
      </c>
      <c r="F1" s="2" t="s">
        <v>10</v>
      </c>
      <c r="G1" s="2" t="s">
        <v>10</v>
      </c>
    </row>
    <row r="2" spans="1:9">
      <c r="A2" s="1" t="s">
        <v>11</v>
      </c>
      <c r="B2" s="1" t="s">
        <v>12</v>
      </c>
      <c r="C2" s="1" t="s">
        <v>13</v>
      </c>
      <c r="D2" s="1"/>
      <c r="E2" s="1" t="str">
        <f>'Legends'!B2</f>
        <v>0</v>
      </c>
      <c r="F2" s="1" t="str">
        <f>'Legends'!B3</f>
        <v>0</v>
      </c>
      <c r="G2" s="1" t="str">
        <f>'Legends'!B4</f>
        <v>0</v>
      </c>
      <c r="I2" s="3" t="s">
        <v>14</v>
      </c>
    </row>
    <row r="3" spans="1:9">
      <c r="A3" t="str">
        <f>MIN($A$11:$A$299)</f>
        <v>0</v>
      </c>
      <c r="B3" t="str">
        <f>MIN($B$11:$B$299)</f>
        <v>0</v>
      </c>
      <c r="C3" t="str">
        <f>MIN($C$11:$C$299)</f>
        <v>0</v>
      </c>
      <c r="D3" s="1" t="s">
        <v>15</v>
      </c>
      <c r="E3" t="str">
        <f>MIN($E$11:$E$299)</f>
        <v>0</v>
      </c>
      <c r="F3" t="str">
        <f>MIN($F$11:$F$299)</f>
        <v>0</v>
      </c>
      <c r="G3" t="str">
        <f>MIN($G$11:$G$299)</f>
        <v>0</v>
      </c>
    </row>
    <row r="4" spans="1:9">
      <c r="A4" t="str">
        <f>MEDIAN($A$11:$A$299)</f>
        <v>0</v>
      </c>
      <c r="B4" t="str">
        <f>MEDIAN($B$11:$B$299)</f>
        <v>0</v>
      </c>
      <c r="C4" t="str">
        <f>MEDIAN($C$11:$C$299)</f>
        <v>0</v>
      </c>
      <c r="D4" s="1" t="s">
        <v>16</v>
      </c>
      <c r="E4" t="str">
        <f>MEDIAN($E$11:$E$299)</f>
        <v>0</v>
      </c>
      <c r="F4" t="str">
        <f>MEDIAN($F$11:$F$299)</f>
        <v>0</v>
      </c>
      <c r="G4" t="str">
        <f>MEDIAN($G$11:$G$299)</f>
        <v>0</v>
      </c>
    </row>
    <row r="5" spans="1:9">
      <c r="A5" t="str">
        <f>MAX($A$11:$A$299)</f>
        <v>0</v>
      </c>
      <c r="B5" t="str">
        <f>MAX($B$11:$B$299)</f>
        <v>0</v>
      </c>
      <c r="C5" t="str">
        <f>MAX($C$11:$C$299)</f>
        <v>0</v>
      </c>
      <c r="D5" s="1" t="s">
        <v>17</v>
      </c>
      <c r="E5" t="str">
        <f>MAX($E$11:$E$299)</f>
        <v>0</v>
      </c>
      <c r="F5" t="str">
        <f>MAX($F$11:$F$299)</f>
        <v>0</v>
      </c>
      <c r="G5" t="str">
        <f>MAX($G$11:$G$299)</f>
        <v>0</v>
      </c>
    </row>
    <row r="6" spans="1:9">
      <c r="A6" t="str">
        <f>$A5-$A3</f>
        <v>0</v>
      </c>
      <c r="B6" t="str">
        <f>$B5-$B3</f>
        <v>0</v>
      </c>
      <c r="C6" t="str">
        <f>$C5-$C3</f>
        <v>0</v>
      </c>
      <c r="D6" s="1" t="s">
        <v>18</v>
      </c>
      <c r="E6" t="str">
        <f>$E5-$E3</f>
        <v>0</v>
      </c>
      <c r="F6" t="str">
        <f>$F5-$F3</f>
        <v>0</v>
      </c>
      <c r="G6" t="str">
        <f>$G5-$G3</f>
        <v>0</v>
      </c>
    </row>
    <row r="7" spans="1:9">
      <c r="A7" s="2" t="s">
        <v>8</v>
      </c>
      <c r="B7" s="2" t="s">
        <v>8</v>
      </c>
      <c r="C7" s="2" t="s">
        <v>8</v>
      </c>
      <c r="D7" s="1"/>
      <c r="E7" s="2" t="s">
        <v>9</v>
      </c>
      <c r="F7" s="2" t="s">
        <v>10</v>
      </c>
      <c r="G7" s="2" t="s">
        <v>10</v>
      </c>
    </row>
    <row r="8" spans="1:9">
      <c r="A8">
        <v>0</v>
      </c>
      <c r="B8">
        <v>0</v>
      </c>
      <c r="C8">
        <v>0</v>
      </c>
      <c r="D8" s="1" t="s">
        <v>19</v>
      </c>
      <c r="E8">
        <v>0</v>
      </c>
      <c r="F8">
        <v>0</v>
      </c>
      <c r="G8">
        <v>0</v>
      </c>
    </row>
    <row r="9" spans="1:9">
      <c r="A9">
        <v>1</v>
      </c>
      <c r="B9">
        <v>1</v>
      </c>
      <c r="C9">
        <v>1</v>
      </c>
      <c r="D9" s="1" t="s">
        <v>20</v>
      </c>
      <c r="E9">
        <v>1</v>
      </c>
      <c r="F9">
        <v>1</v>
      </c>
      <c r="G9">
        <v>1</v>
      </c>
    </row>
    <row r="10" spans="1:9">
      <c r="A10" s="1" t="s">
        <v>11</v>
      </c>
      <c r="B10" s="1" t="s">
        <v>12</v>
      </c>
      <c r="C10" s="1" t="s">
        <v>13</v>
      </c>
      <c r="D10" s="1"/>
      <c r="E10" s="1" t="str">
        <f>'Legends'!B2</f>
        <v>0</v>
      </c>
      <c r="F10" s="1" t="str">
        <f>'Legends'!B3</f>
        <v>0</v>
      </c>
      <c r="G10" s="1" t="str">
        <f>'Legends'!B4</f>
        <v>0</v>
      </c>
    </row>
    <row r="11" spans="1:9">
      <c r="A11" t="str">
        <f>A$9 * (0 -A$8)</f>
        <v>0</v>
      </c>
      <c r="B11" t="str">
        <f>B$9 * (0 -B$8)</f>
        <v>0</v>
      </c>
      <c r="C11" t="str">
        <f>C$9 * (0 -C$8)</f>
        <v>0</v>
      </c>
      <c r="E11" t="str">
        <f>E$9 * (0.01899014040827751 -E$8)</f>
        <v>0</v>
      </c>
      <c r="F11" t="str">
        <f>F$9 * (6.976023197174072 -F$8)</f>
        <v>0</v>
      </c>
      <c r="G11" t="str">
        <f>G$9 * (9.87746524810791 -G$8)</f>
        <v>0</v>
      </c>
    </row>
    <row r="12" spans="1:9">
      <c r="A12" t="str">
        <f>A$9 * (0.2504511773586273 -A$8)</f>
        <v>0</v>
      </c>
      <c r="B12" t="str">
        <f>B$9 * (0.2504511773586273 -B$8)</f>
        <v>0</v>
      </c>
      <c r="C12" t="str">
        <f>C$9 * (0.2504511773586273 -C$8)</f>
        <v>0</v>
      </c>
      <c r="E12" t="str">
        <f>E$9 * (0.01235297974199057 -E$8)</f>
        <v>0</v>
      </c>
      <c r="F12" t="str">
        <f>F$9 * (7.181337833404541 -F$8)</f>
        <v>0</v>
      </c>
      <c r="G12" t="str">
        <f>G$9 * (13.02390003204346 -G$8)</f>
        <v>0</v>
      </c>
    </row>
    <row r="13" spans="1:9">
      <c r="A13" t="str">
        <f>A$9 * (0.5003725290298462 -A$8)</f>
        <v>0</v>
      </c>
      <c r="B13" t="str">
        <f>B$9 * (0.5003725290298462 -B$8)</f>
        <v>0</v>
      </c>
      <c r="C13" t="str">
        <f>C$9 * (0.5003725290298462 -C$8)</f>
        <v>0</v>
      </c>
      <c r="E13" t="str">
        <f>E$9 * (0.008767951279878616 -E$8)</f>
        <v>0</v>
      </c>
      <c r="F13" t="str">
        <f>F$9 * (5.209248065948486 -F$8)</f>
        <v>0</v>
      </c>
      <c r="G13" t="str">
        <f>G$9 * (11.39206981658936 -G$8)</f>
        <v>0</v>
      </c>
    </row>
    <row r="14" spans="1:9">
      <c r="A14" t="str">
        <f>A$9 * (0.7502644658088684 -A$8)</f>
        <v>0</v>
      </c>
      <c r="B14" t="str">
        <f>B$9 * (0.7502644658088684 -B$8)</f>
        <v>0</v>
      </c>
      <c r="C14" t="str">
        <f>C$9 * (0.7502644658088684 -C$8)</f>
        <v>0</v>
      </c>
      <c r="E14" t="str">
        <f>E$9 * (0.01135827973484993 -E$8)</f>
        <v>0</v>
      </c>
      <c r="F14" t="str">
        <f>F$9 * (5.983951091766357 -F$8)</f>
        <v>0</v>
      </c>
      <c r="G14" t="str">
        <f>G$9 * (11.16973972320557 -G$8)</f>
        <v>0</v>
      </c>
    </row>
    <row r="15" spans="1:9">
      <c r="A15" t="str">
        <f>A$9 * (1.000229716300964 -A$8)</f>
        <v>0</v>
      </c>
      <c r="B15" t="str">
        <f>B$9 * (1.000229716300964 -B$8)</f>
        <v>0</v>
      </c>
      <c r="C15" t="str">
        <f>C$9 * (1.000229716300964 -C$8)</f>
        <v>0</v>
      </c>
      <c r="E15" t="str">
        <f>E$9 * (0.009398536756634712 -E$8)</f>
        <v>0</v>
      </c>
      <c r="F15" t="str">
        <f>F$9 * (5.278471946716309 -F$8)</f>
        <v>0</v>
      </c>
      <c r="G15" t="str">
        <f>G$9 * (11.01521968841553 -G$8)</f>
        <v>0</v>
      </c>
    </row>
    <row r="16" spans="1:9">
      <c r="A16" t="str">
        <f>A$9 * (1.250013113021851 -A$8)</f>
        <v>0</v>
      </c>
      <c r="B16" t="str">
        <f>B$9 * (1.250013113021851 -B$8)</f>
        <v>0</v>
      </c>
      <c r="C16" t="str">
        <f>C$9 * (1.250013113021851 -C$8)</f>
        <v>0</v>
      </c>
      <c r="E16" t="str">
        <f>E$9 * (0.01062831003218889 -E$8)</f>
        <v>0</v>
      </c>
      <c r="F16" t="str">
        <f>F$9 * (5.146395206451416 -F$8)</f>
        <v>0</v>
      </c>
      <c r="G16" t="str">
        <f>G$9 * (9.851216316223145 -G$8)</f>
        <v>0</v>
      </c>
    </row>
    <row r="17" spans="1:9">
      <c r="A17" t="str">
        <f>A$9 * (1.500121116638184 -A$8)</f>
        <v>0</v>
      </c>
      <c r="B17" t="str">
        <f>B$9 * (1.500121116638184 -B$8)</f>
        <v>0</v>
      </c>
      <c r="C17" t="str">
        <f>C$9 * (1.500121116638184 -C$8)</f>
        <v>0</v>
      </c>
      <c r="E17" t="str">
        <f>E$9 * (0.00895081739872694 -E$8)</f>
        <v>0</v>
      </c>
      <c r="F17" t="str">
        <f>F$9 * (5.006810188293457 -F$8)</f>
        <v>0</v>
      </c>
      <c r="G17" t="str">
        <f>G$9 * (10.74590015411377 -G$8)</f>
        <v>0</v>
      </c>
    </row>
    <row r="18" spans="1:9">
      <c r="A18" t="str">
        <f>A$9 * (1.750328660011292 -A$8)</f>
        <v>0</v>
      </c>
      <c r="B18" t="str">
        <f>B$9 * (1.750328660011292 -B$8)</f>
        <v>0</v>
      </c>
      <c r="C18" t="str">
        <f>C$9 * (1.750328660011292 -C$8)</f>
        <v>0</v>
      </c>
      <c r="E18" t="str">
        <f>E$9 * (0.008839445188641548 -E$8)</f>
        <v>0</v>
      </c>
      <c r="F18" t="str">
        <f>F$9 * (4.737603187561035 -F$8)</f>
        <v>0</v>
      </c>
      <c r="G18" t="str">
        <f>G$9 * (10.18994998931885 -G$8)</f>
        <v>0</v>
      </c>
    </row>
    <row r="19" spans="1:9">
      <c r="A19" t="str">
        <f>A$9 * (2.000328540802002 -A$8)</f>
        <v>0</v>
      </c>
      <c r="B19" t="str">
        <f>B$9 * (2.000328540802002 -B$8)</f>
        <v>0</v>
      </c>
      <c r="C19" t="str">
        <f>C$9 * (2.000328540802002 -C$8)</f>
        <v>0</v>
      </c>
      <c r="E19" t="str">
        <f>E$9 * (0.01007585041224957 -E$8)</f>
        <v>0</v>
      </c>
      <c r="F19" t="str">
        <f>F$9 * (5.198352813720703 -F$8)</f>
        <v>0</v>
      </c>
      <c r="G19" t="str">
        <f>G$9 * (10.32841014862061 -G$8)</f>
        <v>0</v>
      </c>
    </row>
    <row r="20" spans="1:9">
      <c r="A20" t="str">
        <f>A$9 * (2.2502760887146 -A$8)</f>
        <v>0</v>
      </c>
      <c r="B20" t="str">
        <f>B$9 * (2.2502760887146 -B$8)</f>
        <v>0</v>
      </c>
      <c r="C20" t="str">
        <f>C$9 * (2.2502760887146 -C$8)</f>
        <v>0</v>
      </c>
      <c r="E20" t="str">
        <f>E$9 * (0.008484907448291779 -E$8)</f>
        <v>0</v>
      </c>
      <c r="F20" t="str">
        <f>F$9 * (4.683227062225342 -F$8)</f>
        <v>0</v>
      </c>
      <c r="G20" t="str">
        <f>G$9 * (10.36596012115479 -G$8)</f>
        <v>0</v>
      </c>
    </row>
    <row r="21" spans="1:9">
      <c r="A21" t="str">
        <f>A$9 * (2.500304222106934 -A$8)</f>
        <v>0</v>
      </c>
      <c r="B21" t="str">
        <f>B$9 * (2.500304222106934 -B$8)</f>
        <v>0</v>
      </c>
      <c r="C21" t="str">
        <f>C$9 * (2.500304222106934 -C$8)</f>
        <v>0</v>
      </c>
      <c r="E21" t="str">
        <f>E$9 * (0.01016569044440985 -E$8)</f>
        <v>0</v>
      </c>
      <c r="F21" t="str">
        <f>F$9 * (5.070384979248047 -F$8)</f>
        <v>0</v>
      </c>
      <c r="G21" t="str">
        <f>G$9 * (9.994375228881836 -G$8)</f>
        <v>0</v>
      </c>
    </row>
    <row r="22" spans="1:9">
      <c r="A22" t="str">
        <f>A$9 * (2.750331878662109 -A$8)</f>
        <v>0</v>
      </c>
      <c r="B22" t="str">
        <f>B$9 * (2.750331878662109 -B$8)</f>
        <v>0</v>
      </c>
      <c r="C22" t="str">
        <f>C$9 * (2.750331878662109 -C$8)</f>
        <v>0</v>
      </c>
      <c r="E22" t="str">
        <f>E$9 * (0.009207810275256634 -E$8)</f>
        <v>0</v>
      </c>
      <c r="F22" t="str">
        <f>F$9 * (4.888185024261475 -F$8)</f>
        <v>0</v>
      </c>
      <c r="G22" t="str">
        <f>G$9 * (10.27120971679688 -G$8)</f>
        <v>0</v>
      </c>
    </row>
    <row r="23" spans="1:9">
      <c r="A23" t="str">
        <f>A$9 * (3.000361204147339 -A$8)</f>
        <v>0</v>
      </c>
      <c r="B23" t="str">
        <f>B$9 * (3.000361204147339 -B$8)</f>
        <v>0</v>
      </c>
      <c r="C23" t="str">
        <f>C$9 * (3.000361204147339 -C$8)</f>
        <v>0</v>
      </c>
      <c r="E23" t="str">
        <f>E$9 * (0.009293840266764164 -E$8)</f>
        <v>0</v>
      </c>
      <c r="F23" t="str">
        <f>F$9 * (4.81830883026123 -F$8)</f>
        <v>0</v>
      </c>
      <c r="G23" t="str">
        <f>G$9 * (10.04555988311768 -G$8)</f>
        <v>0</v>
      </c>
    </row>
    <row r="24" spans="1:9">
      <c r="A24" t="str">
        <f>A$9 * (3.250388860702515 -A$8)</f>
        <v>0</v>
      </c>
      <c r="B24" t="str">
        <f>B$9 * (3.250388860702515 -B$8)</f>
        <v>0</v>
      </c>
      <c r="C24" t="str">
        <f>C$9 * (3.250388860702515 -C$8)</f>
        <v>0</v>
      </c>
      <c r="E24" t="str">
        <f>E$9 * (0.009793265722692013 -E$8)</f>
        <v>0</v>
      </c>
      <c r="F24" t="str">
        <f>F$9 * (5.030058860778809 -F$8)</f>
        <v>0</v>
      </c>
      <c r="G24" t="str">
        <f>G$9 * (10.16969013214111 -G$8)</f>
        <v>0</v>
      </c>
    </row>
    <row r="25" spans="1:9">
      <c r="A25" t="str">
        <f>A$9 * (3.500027894973755 -A$8)</f>
        <v>0</v>
      </c>
      <c r="B25" t="str">
        <f>B$9 * (3.500027894973755 -B$8)</f>
        <v>0</v>
      </c>
      <c r="C25" t="str">
        <f>C$9 * (3.500027894973755 -C$8)</f>
        <v>0</v>
      </c>
      <c r="E25" t="str">
        <f>E$9 * (0.009593348950147629 -E$8)</f>
        <v>0</v>
      </c>
      <c r="F25" t="str">
        <f>F$9 * (4.945787906646729 -F$8)</f>
        <v>0</v>
      </c>
      <c r="G25" t="str">
        <f>G$9 * (10.12565040588379 -G$8)</f>
        <v>0</v>
      </c>
    </row>
    <row r="26" spans="1:9">
      <c r="A26" t="str">
        <f>A$9 * (3.750055551528931 -A$8)</f>
        <v>0</v>
      </c>
      <c r="B26" t="str">
        <f>B$9 * (3.750055551528931 -B$8)</f>
        <v>0</v>
      </c>
      <c r="C26" t="str">
        <f>C$9 * (3.750055551528931 -C$8)</f>
        <v>0</v>
      </c>
      <c r="E26" t="str">
        <f>E$9 * (0.009927818551659584 -E$8)</f>
        <v>0</v>
      </c>
      <c r="F26" t="str">
        <f>F$9 * (4.995786190032959 -F$8)</f>
        <v>0</v>
      </c>
      <c r="G26" t="str">
        <f>G$9 * (10.00938034057617 -G$8)</f>
        <v>0</v>
      </c>
    </row>
    <row r="27" spans="1:9">
      <c r="A27" t="str">
        <f>A$9 * (4.000083446502686 -A$8)</f>
        <v>0</v>
      </c>
      <c r="B27" t="str">
        <f>B$9 * (4.000083446502686 -B$8)</f>
        <v>0</v>
      </c>
      <c r="C27" t="str">
        <f>C$9 * (4.000083446502686 -C$8)</f>
        <v>0</v>
      </c>
      <c r="E27" t="str">
        <f>E$9 * (0.009745977818965912 -E$8)</f>
        <v>0</v>
      </c>
      <c r="F27" t="str">
        <f>F$9 * (4.987526893615723 -F$8)</f>
        <v>0</v>
      </c>
      <c r="G27" t="str">
        <f>G$9 * (10.13465976715088 -G$8)</f>
        <v>0</v>
      </c>
    </row>
    <row r="28" spans="1:9">
      <c r="A28" t="str">
        <f>A$9 * (4.250111103057861 -A$8)</f>
        <v>0</v>
      </c>
      <c r="B28" t="str">
        <f>B$9 * (4.250111103057861 -B$8)</f>
        <v>0</v>
      </c>
      <c r="C28" t="str">
        <f>C$9 * (4.250111103057861 -C$8)</f>
        <v>0</v>
      </c>
      <c r="E28" t="str">
        <f>E$9 * (0.009619700722396374 -E$8)</f>
        <v>0</v>
      </c>
      <c r="F28" t="str">
        <f>F$9 * (4.898069858551025 -F$8)</f>
        <v>0</v>
      </c>
      <c r="G28" t="str">
        <f>G$9 * (10.03995990753174 -G$8)</f>
        <v>0</v>
      </c>
    </row>
    <row r="29" spans="1:9">
      <c r="A29" t="str">
        <f>A$9 * (4.500138759613037 -A$8)</f>
        <v>0</v>
      </c>
      <c r="B29" t="str">
        <f>B$9 * (4.500138759613037 -B$8)</f>
        <v>0</v>
      </c>
      <c r="C29" t="str">
        <f>C$9 * (4.500138759613037 -C$8)</f>
        <v>0</v>
      </c>
      <c r="E29" t="str">
        <f>E$9 * (0.009813901968300343 -E$8)</f>
        <v>0</v>
      </c>
      <c r="F29" t="str">
        <f>F$9 * (4.945738792419434 -F$8)</f>
        <v>0</v>
      </c>
      <c r="G29" t="str">
        <f>G$9 * (10.01618957519531 -G$8)</f>
        <v>0</v>
      </c>
    </row>
    <row r="30" spans="1:9">
      <c r="A30" t="str">
        <f>A$9 * (4.750166893005371 -A$8)</f>
        <v>0</v>
      </c>
      <c r="B30" t="str">
        <f>B$9 * (4.750166893005371 -B$8)</f>
        <v>0</v>
      </c>
      <c r="C30" t="str">
        <f>C$9 * (4.750166893005371 -C$8)</f>
        <v>0</v>
      </c>
      <c r="E30" t="str">
        <f>E$9 * (0.009633160196244717 -E$8)</f>
        <v>0</v>
      </c>
      <c r="F30" t="str">
        <f>F$9 * (4.908864974975586 -F$8)</f>
        <v>0</v>
      </c>
      <c r="G30" t="str">
        <f>G$9 * (10.06272029876709 -G$8)</f>
        <v>0</v>
      </c>
    </row>
    <row r="31" spans="1:9">
      <c r="A31" t="str">
        <f>A$9 * (5.000194549560547 -A$8)</f>
        <v>0</v>
      </c>
      <c r="B31" t="str">
        <f>B$9 * (5.000194549560547 -B$8)</f>
        <v>0</v>
      </c>
      <c r="C31" t="str">
        <f>C$9 * (5.000194549560547 -C$8)</f>
        <v>0</v>
      </c>
      <c r="E31" t="str">
        <f>E$9 * (0.009712209925055504 -E$8)</f>
        <v>0</v>
      </c>
      <c r="F31" t="str">
        <f>F$9 * (4.896020889282227 -F$8)</f>
        <v>0</v>
      </c>
      <c r="G31" t="str">
        <f>G$9 * (9.980698585510254 -G$8)</f>
        <v>0</v>
      </c>
    </row>
    <row r="32" spans="1:9">
      <c r="A32" t="str">
        <f>A$9 * (5.250222206115723 -A$8)</f>
        <v>0</v>
      </c>
      <c r="B32" t="str">
        <f>B$9 * (5.250222206115723 -B$8)</f>
        <v>0</v>
      </c>
      <c r="C32" t="str">
        <f>C$9 * (5.250222206115723 -C$8)</f>
        <v>0</v>
      </c>
      <c r="E32" t="str">
        <f>E$9 * (0.009768794290721416 -E$8)</f>
        <v>0</v>
      </c>
      <c r="F32" t="str">
        <f>F$9 * (4.924986839294434 -F$8)</f>
        <v>0</v>
      </c>
      <c r="G32" t="str">
        <f>G$9 * (10.0071496963501 -G$8)</f>
        <v>0</v>
      </c>
    </row>
    <row r="33" spans="1:9">
      <c r="A33" t="str">
        <f>A$9 * (5.500249862670898 -A$8)</f>
        <v>0</v>
      </c>
      <c r="B33" t="str">
        <f>B$9 * (5.500249862670898 -B$8)</f>
        <v>0</v>
      </c>
      <c r="C33" t="str">
        <f>C$9 * (5.500249862670898 -C$8)</f>
        <v>0</v>
      </c>
      <c r="E33" t="str">
        <f>E$9 * (0.009662165306508541 -E$8)</f>
        <v>0</v>
      </c>
      <c r="F33" t="str">
        <f>F$9 * (4.885807037353516 -F$8)</f>
        <v>0</v>
      </c>
      <c r="G33" t="str">
        <f>G$9 * (9.995956420898438 -G$8)</f>
        <v>0</v>
      </c>
    </row>
    <row r="34" spans="1:9">
      <c r="A34" t="str">
        <f>A$9 * (5.750277996063232 -A$8)</f>
        <v>0</v>
      </c>
      <c r="B34" t="str">
        <f>B$9 * (5.750277996063232 -B$8)</f>
        <v>0</v>
      </c>
      <c r="C34" t="str">
        <f>C$9 * (5.750277996063232 -C$8)</f>
        <v>0</v>
      </c>
      <c r="E34" t="str">
        <f>E$9 * (0.009771605953574181 -E$8)</f>
        <v>0</v>
      </c>
      <c r="F34" t="str">
        <f>F$9 * (4.89839506149292 -F$8)</f>
        <v>0</v>
      </c>
      <c r="G34" t="str">
        <f>G$9 * (9.949575424194336 -G$8)</f>
        <v>0</v>
      </c>
    </row>
    <row r="35" spans="1:9">
      <c r="A35" t="str">
        <f>A$9 * (6.000305652618408 -A$8)</f>
        <v>0</v>
      </c>
      <c r="B35" t="str">
        <f>B$9 * (6.000305652618408 -B$8)</f>
        <v>0</v>
      </c>
      <c r="C35" t="str">
        <f>C$9 * (6.000305652618408 -C$8)</f>
        <v>0</v>
      </c>
      <c r="E35" t="str">
        <f>E$9 * (0.009737667627632618 -E$8)</f>
        <v>0</v>
      </c>
      <c r="F35" t="str">
        <f>F$9 * (4.898931980133057 -F$8)</f>
        <v>0</v>
      </c>
      <c r="G35" t="str">
        <f>G$9 * (9.97559642791748 -G$8)</f>
        <v>0</v>
      </c>
    </row>
    <row r="36" spans="1:9">
      <c r="A36" t="str">
        <f>A$9 * (6.250333309173584 -A$8)</f>
        <v>0</v>
      </c>
      <c r="B36" t="str">
        <f>B$9 * (6.250333309173584 -B$8)</f>
        <v>0</v>
      </c>
      <c r="C36" t="str">
        <f>C$9 * (6.250333309173584 -C$8)</f>
        <v>0</v>
      </c>
      <c r="E36" t="str">
        <f>E$9 * (0.009715227410197258 -E$8)</f>
        <v>0</v>
      </c>
      <c r="F36" t="str">
        <f>F$9 * (4.875664234161377 -F$8)</f>
        <v>0</v>
      </c>
      <c r="G36" t="str">
        <f>G$9 * (9.941168785095215 -G$8)</f>
        <v>0</v>
      </c>
    </row>
    <row r="37" spans="1:9">
      <c r="A37" t="str">
        <f>A$9 * (6.50036096572876 -A$8)</f>
        <v>0</v>
      </c>
      <c r="B37" t="str">
        <f>B$9 * (6.50036096572876 -B$8)</f>
        <v>0</v>
      </c>
      <c r="C37" t="str">
        <f>C$9 * (6.50036096572876 -C$8)</f>
        <v>0</v>
      </c>
      <c r="E37" t="str">
        <f>E$9 * (0.00978646706789732 -E$8)</f>
        <v>0</v>
      </c>
      <c r="F37" t="str">
        <f>F$9 * (4.891172885894775 -F$8)</f>
        <v>0</v>
      </c>
      <c r="G37" t="str">
        <f>G$9 * (9.92794132232666 -G$8)</f>
        <v>0</v>
      </c>
    </row>
    <row r="38" spans="1:9">
      <c r="A38" t="str">
        <f>A$9 * (6.75 -A$8)</f>
        <v>0</v>
      </c>
      <c r="B38" t="str">
        <f>B$9 * (6.75 -B$8)</f>
        <v>0</v>
      </c>
      <c r="C38" t="str">
        <f>C$9 * (6.75 -C$8)</f>
        <v>0</v>
      </c>
      <c r="E38" t="str">
        <f>E$9 * (0.009734553284943104 -E$8)</f>
        <v>0</v>
      </c>
      <c r="F38" t="str">
        <f>F$9 * (4.877693176269531 -F$8)</f>
        <v>0</v>
      </c>
      <c r="G38" t="str">
        <f>G$9 * (9.935090065002441 -G$8)</f>
        <v>0</v>
      </c>
    </row>
    <row r="39" spans="1:9">
      <c r="A39" t="str">
        <f>A$9 * (7.000027656555176 -A$8)</f>
        <v>0</v>
      </c>
      <c r="B39" t="str">
        <f>B$9 * (7.000027656555176 -B$8)</f>
        <v>0</v>
      </c>
      <c r="C39" t="str">
        <f>C$9 * (7.000027656555176 -C$8)</f>
        <v>0</v>
      </c>
      <c r="E39" t="str">
        <f>E$9 * (0.009760910645127296 -E$8)</f>
        <v>0</v>
      </c>
      <c r="F39" t="str">
        <f>F$9 * (4.870511054992676 -F$8)</f>
        <v>0</v>
      </c>
      <c r="G39" t="str">
        <f>G$9 * (9.902462959289551 -G$8)</f>
        <v>0</v>
      </c>
    </row>
    <row r="40" spans="1:9">
      <c r="A40" t="str">
        <f>A$9 * (7.25005578994751 -A$8)</f>
        <v>0</v>
      </c>
      <c r="B40" t="str">
        <f>B$9 * (7.25005578994751 -B$8)</f>
        <v>0</v>
      </c>
      <c r="C40" t="str">
        <f>C$9 * (7.25005578994751 -C$8)</f>
        <v>0</v>
      </c>
      <c r="E40" t="str">
        <f>E$9 * (0.009783023037016392 -E$8)</f>
        <v>0</v>
      </c>
      <c r="F40" t="str">
        <f>F$9 * (4.877882957458496 -F$8)</f>
        <v>0</v>
      </c>
      <c r="G40" t="str">
        <f>G$9 * (9.904850959777832 -G$8)</f>
        <v>0</v>
      </c>
    </row>
    <row r="41" spans="1:9">
      <c r="A41" t="str">
        <f>A$9 * (7.500086307525635 -A$8)</f>
        <v>0</v>
      </c>
      <c r="B41" t="str">
        <f>B$9 * (7.500086307525635 -B$8)</f>
        <v>0</v>
      </c>
      <c r="C41" t="str">
        <f>C$9 * (7.500086307525635 -C$8)</f>
        <v>0</v>
      </c>
      <c r="E41" t="str">
        <f>E$9 * (0.00975111685693264 -E$8)</f>
        <v>0</v>
      </c>
      <c r="F41" t="str">
        <f>F$9 * (4.863367080688477 -F$8)</f>
        <v>0</v>
      </c>
      <c r="G41" t="str">
        <f>G$9 * (9.895777702331543 -G$8)</f>
        <v>0</v>
      </c>
    </row>
    <row r="42" spans="1:9">
      <c r="A42" t="str">
        <f>A$9 * (7.750113964080811 -A$8)</f>
        <v>0</v>
      </c>
      <c r="B42" t="str">
        <f>B$9 * (7.750113964080811 -B$8)</f>
        <v>0</v>
      </c>
      <c r="C42" t="str">
        <f>C$9 * (7.750113964080811 -C$8)</f>
        <v>0</v>
      </c>
      <c r="E42" t="str">
        <f>E$9 * (0.009788159281015396 -E$8)</f>
        <v>0</v>
      </c>
      <c r="F42" t="str">
        <f>F$9 * (4.865077018737793 -F$8)</f>
        <v>0</v>
      </c>
      <c r="G42" t="str">
        <f>G$9 * (9.875426292419434 -G$8)</f>
        <v>0</v>
      </c>
    </row>
    <row r="43" spans="1:9">
      <c r="A43" t="str">
        <f>A$9 * (8.000142097473145 -A$8)</f>
        <v>0</v>
      </c>
      <c r="B43" t="str">
        <f>B$9 * (8.000142097473145 -B$8)</f>
        <v>0</v>
      </c>
      <c r="C43" t="str">
        <f>C$9 * (8.000142097473145 -C$8)</f>
        <v>0</v>
      </c>
      <c r="E43" t="str">
        <f>E$9 * (0.00978029053658247 -E$8)</f>
        <v>0</v>
      </c>
      <c r="F43" t="str">
        <f>F$9 * (4.863815784454346 -F$8)</f>
        <v>0</v>
      </c>
      <c r="G43" t="str">
        <f>G$9 * (9.879034996032715 -G$8)</f>
        <v>0</v>
      </c>
    </row>
    <row r="44" spans="1:9">
      <c r="A44" t="str">
        <f>A$9 * (8.25016975402832 -A$8)</f>
        <v>0</v>
      </c>
      <c r="B44" t="str">
        <f>B$9 * (8.25016975402832 -B$8)</f>
        <v>0</v>
      </c>
      <c r="C44" t="str">
        <f>C$9 * (8.25016975402832 -C$8)</f>
        <v>0</v>
      </c>
      <c r="E44" t="str">
        <f>E$9 * (0.009774362668395042 -E$8)</f>
        <v>0</v>
      </c>
      <c r="F44" t="str">
        <f>F$9 * (4.854410171508789 -F$8)</f>
        <v>0</v>
      </c>
      <c r="G44" t="str">
        <f>G$9 * (9.863341331481934 -G$8)</f>
        <v>0</v>
      </c>
    </row>
    <row r="45" spans="1:9">
      <c r="A45" t="str">
        <f>A$9 * (8.500197410583496 -A$8)</f>
        <v>0</v>
      </c>
      <c r="B45" t="str">
        <f>B$9 * (8.500197410583496 -B$8)</f>
        <v>0</v>
      </c>
      <c r="C45" t="str">
        <f>C$9 * (8.500197410583496 -C$8)</f>
        <v>0</v>
      </c>
      <c r="E45" t="str">
        <f>E$9 * (0.009799705818295479 -E$8)</f>
        <v>0</v>
      </c>
      <c r="F45" t="str">
        <f>F$9 * (4.857735157012939 -F$8)</f>
        <v>0</v>
      </c>
      <c r="G45" t="str">
        <f>G$9 * (9.854434013366699 -G$8)</f>
        <v>0</v>
      </c>
    </row>
    <row r="46" spans="1:9">
      <c r="A46" t="str">
        <f>A$9 * (8.750225067138672 -A$8)</f>
        <v>0</v>
      </c>
      <c r="B46" t="str">
        <f>B$9 * (8.750225067138672 -B$8)</f>
        <v>0</v>
      </c>
      <c r="C46" t="str">
        <f>C$9 * (8.750225067138672 -C$8)</f>
        <v>0</v>
      </c>
      <c r="E46" t="str">
        <f>E$9 * (0.00978455226868391 -E$8)</f>
        <v>0</v>
      </c>
      <c r="F46" t="str">
        <f>F$9 * (4.852073192596436 -F$8)</f>
        <v>0</v>
      </c>
      <c r="G46" t="str">
        <f>G$9 * (9.853114128112793 -G$8)</f>
        <v>0</v>
      </c>
    </row>
    <row r="47" spans="1:9">
      <c r="A47" t="str">
        <f>A$9 * (9.000252723693848 -A$8)</f>
        <v>0</v>
      </c>
      <c r="B47" t="str">
        <f>B$9 * (9.000252723693848 -B$8)</f>
        <v>0</v>
      </c>
      <c r="C47" t="str">
        <f>C$9 * (9.000252723693848 -C$8)</f>
        <v>0</v>
      </c>
      <c r="E47" t="str">
        <f>E$9 * (0.009794468060135841 -E$8)</f>
        <v>0</v>
      </c>
      <c r="F47" t="str">
        <f>F$9 * (4.84815502166748 -F$8)</f>
        <v>0</v>
      </c>
      <c r="G47" t="str">
        <f>G$9 * (9.838619232177734 -G$8)</f>
        <v>0</v>
      </c>
    </row>
    <row r="48" spans="1:9">
      <c r="A48" t="str">
        <f>A$9 * (9.250280380249023 -A$8)</f>
        <v>0</v>
      </c>
      <c r="B48" t="str">
        <f>B$9 * (9.250280380249023 -B$8)</f>
        <v>0</v>
      </c>
      <c r="C48" t="str">
        <f>C$9 * (9.250280380249023 -C$8)</f>
        <v>0</v>
      </c>
      <c r="E48" t="str">
        <f>E$9 * (0.009803810156881809 -E$8)</f>
        <v>0</v>
      </c>
      <c r="F48" t="str">
        <f>F$9 * (4.849407196044922 -F$8)</f>
        <v>0</v>
      </c>
      <c r="G48" t="str">
        <f>G$9 * (9.835844993591309 -G$8)</f>
        <v>0</v>
      </c>
    </row>
    <row r="49" spans="1:9">
      <c r="A49" t="str">
        <f>A$9 * (9.500308036804199 -A$8)</f>
        <v>0</v>
      </c>
      <c r="B49" t="str">
        <f>B$9 * (9.500308036804199 -B$8)</f>
        <v>0</v>
      </c>
      <c r="C49" t="str">
        <f>C$9 * (9.500308036804199 -C$8)</f>
        <v>0</v>
      </c>
      <c r="E49" t="str">
        <f>E$9 * (0.009794159792363644 -E$8)</f>
        <v>0</v>
      </c>
      <c r="F49" t="str">
        <f>F$9 * (4.843451976776123 -F$8)</f>
        <v>0</v>
      </c>
      <c r="G49" t="str">
        <f>G$9 * (9.829995155334473 -G$8)</f>
        <v>0</v>
      </c>
    </row>
    <row r="50" spans="1:9">
      <c r="A50" t="str">
        <f>A$9 * (9.750335693359375 -A$8)</f>
        <v>0</v>
      </c>
      <c r="B50" t="str">
        <f>B$9 * (9.750335693359375 -B$8)</f>
        <v>0</v>
      </c>
      <c r="C50" t="str">
        <f>C$9 * (9.750335693359375 -C$8)</f>
        <v>0</v>
      </c>
      <c r="E50" t="str">
        <f>E$9 * (0.009807662107050419 -E$8)</f>
        <v>0</v>
      </c>
      <c r="F50" t="str">
        <f>F$9 * (4.842812061309814 -F$8)</f>
        <v>0</v>
      </c>
      <c r="G50" t="str">
        <f>G$9 * (9.820183753967285 -G$8)</f>
        <v>0</v>
      </c>
    </row>
    <row r="51" spans="1:9">
      <c r="A51" t="str">
        <f>A$9 * (10.00036430358887 -A$8)</f>
        <v>0</v>
      </c>
      <c r="B51" t="str">
        <f>B$9 * (10.00036430358887 -B$8)</f>
        <v>0</v>
      </c>
      <c r="C51" t="str">
        <f>C$9 * (10.00036430358887 -C$8)</f>
        <v>0</v>
      </c>
      <c r="E51" t="str">
        <f>E$9 * (0.009806664660573006 -E$8)</f>
        <v>0</v>
      </c>
      <c r="F51" t="str">
        <f>F$9 * (4.841559886932373 -F$8)</f>
        <v>0</v>
      </c>
      <c r="G51" t="str">
        <f>G$9 * (9.818751335144043 -G$8)</f>
        <v>0</v>
      </c>
    </row>
    <row r="52" spans="1:9">
      <c r="A52" t="str">
        <f>A$9 * (10.25000286102295 -A$8)</f>
        <v>0</v>
      </c>
      <c r="B52" t="str">
        <f>B$9 * (10.25000286102295 -B$8)</f>
        <v>0</v>
      </c>
      <c r="C52" t="str">
        <f>C$9 * (10.25000286102295 -C$8)</f>
        <v>0</v>
      </c>
      <c r="E52" t="str">
        <f>E$9 * (0.009805206209421158 -E$8)</f>
        <v>0</v>
      </c>
      <c r="F52" t="str">
        <f>F$9 * (4.837384223937988 -F$8)</f>
        <v>0</v>
      </c>
      <c r="G52" t="str">
        <f>G$9 * (9.811165809631348 -G$8)</f>
        <v>0</v>
      </c>
    </row>
    <row r="53" spans="1:9">
      <c r="A53" t="str">
        <f>A$9 * (10.50003051757812 -A$8)</f>
        <v>0</v>
      </c>
      <c r="B53" t="str">
        <f>B$9 * (10.50003051757812 -B$8)</f>
        <v>0</v>
      </c>
      <c r="C53" t="str">
        <f>C$9 * (10.50003051757812 -C$8)</f>
        <v>0</v>
      </c>
      <c r="E53" t="str">
        <f>E$9 * (0.009814918972551823 -E$8)</f>
        <v>0</v>
      </c>
      <c r="F53" t="str">
        <f>F$9 * (4.837617874145508 -F$8)</f>
        <v>0</v>
      </c>
      <c r="G53" t="str">
        <f>G$9 * (9.805723190307617 -G$8)</f>
        <v>0</v>
      </c>
    </row>
    <row r="54" spans="1:9">
      <c r="A54" t="str">
        <f>A$9 * (10.7500581741333 -A$8)</f>
        <v>0</v>
      </c>
      <c r="B54" t="str">
        <f>B$9 * (10.7500581741333 -B$8)</f>
        <v>0</v>
      </c>
      <c r="C54" t="str">
        <f>C$9 * (10.7500581741333 -C$8)</f>
        <v>0</v>
      </c>
      <c r="E54" t="str">
        <f>E$9 * (0.009810834191739559 -E$8)</f>
        <v>0</v>
      </c>
      <c r="F54" t="str">
        <f>F$9 * (4.835042953491211 -F$8)</f>
        <v>0</v>
      </c>
      <c r="G54" t="str">
        <f>G$9 * (9.803339004516602 -G$8)</f>
        <v>0</v>
      </c>
    </row>
    <row r="55" spans="1:9">
      <c r="A55" t="str">
        <f>A$9 * (11.00008583068848 -A$8)</f>
        <v>0</v>
      </c>
      <c r="B55" t="str">
        <f>B$9 * (11.00008583068848 -B$8)</f>
        <v>0</v>
      </c>
      <c r="C55" t="str">
        <f>C$9 * (11.00008583068848 -C$8)</f>
        <v>0</v>
      </c>
      <c r="E55" t="str">
        <f>E$9 * (0.009814619086682796 -E$8)</f>
        <v>0</v>
      </c>
      <c r="F55" t="str">
        <f>F$9 * (4.832880973815918 -F$8)</f>
        <v>0</v>
      </c>
      <c r="G55" t="str">
        <f>G$9 * (9.796543121337891 -G$8)</f>
        <v>0</v>
      </c>
    </row>
    <row r="56" spans="1:9">
      <c r="A56" t="str">
        <f>A$9 * (11.25011348724365 -A$8)</f>
        <v>0</v>
      </c>
      <c r="B56" t="str">
        <f>B$9 * (11.25011348724365 -B$8)</f>
        <v>0</v>
      </c>
      <c r="C56" t="str">
        <f>C$9 * (11.25011348724365 -C$8)</f>
        <v>0</v>
      </c>
      <c r="E56" t="str">
        <f>E$9 * (0.009818880818784237 -E$8)</f>
        <v>0</v>
      </c>
      <c r="F56" t="str">
        <f>F$9 * (4.832699775695801 -F$8)</f>
        <v>0</v>
      </c>
      <c r="G56" t="str">
        <f>G$9 * (9.793746948242188 -G$8)</f>
        <v>0</v>
      </c>
    </row>
    <row r="57" spans="1:9">
      <c r="A57" t="str">
        <f>A$9 * (11.50014209747314 -A$8)</f>
        <v>0</v>
      </c>
      <c r="B57" t="str">
        <f>B$9 * (11.50014209747314 -B$8)</f>
        <v>0</v>
      </c>
      <c r="C57" t="str">
        <f>C$9 * (11.50014209747314 -C$8)</f>
        <v>0</v>
      </c>
      <c r="E57" t="str">
        <f>E$9 * (0.009816126897931099 -E$8)</f>
        <v>0</v>
      </c>
      <c r="F57" t="str">
        <f>F$9 * (4.830099105834961 -F$8)</f>
        <v>0</v>
      </c>
      <c r="G57" t="str">
        <f>G$9 * (9.790305137634277 -G$8)</f>
        <v>0</v>
      </c>
    </row>
    <row r="58" spans="1:9">
      <c r="A58" t="str">
        <f>A$9 * (11.75016975402832 -A$8)</f>
        <v>0</v>
      </c>
      <c r="B58" t="str">
        <f>B$9 * (11.75016975402832 -B$8)</f>
        <v>0</v>
      </c>
      <c r="C58" t="str">
        <f>C$9 * (11.75016975402832 -C$8)</f>
        <v>0</v>
      </c>
      <c r="E58" t="str">
        <f>E$9 * (0.009821218438446522 -E$8)</f>
        <v>0</v>
      </c>
      <c r="F58" t="str">
        <f>F$9 * (4.829246044158936 -F$8)</f>
        <v>0</v>
      </c>
      <c r="G58" t="str">
        <f>G$9 * (9.785420417785645 -G$8)</f>
        <v>0</v>
      </c>
    </row>
    <row r="59" spans="1:9">
      <c r="A59" t="str">
        <f>A$9 * (12.00020027160645 -A$8)</f>
        <v>0</v>
      </c>
      <c r="B59" t="str">
        <f>B$9 * (12.00020027160645 -B$8)</f>
        <v>0</v>
      </c>
      <c r="C59" t="str">
        <f>C$9 * (12.00020027160645 -C$8)</f>
        <v>0</v>
      </c>
      <c r="E59" t="str">
        <f>E$9 * (0.009821701794862747 -E$8)</f>
        <v>0</v>
      </c>
      <c r="F59" t="str">
        <f>F$9 * (4.828390121459961 -F$8)</f>
        <v>0</v>
      </c>
      <c r="G59" t="str">
        <f>G$9 * (9.783583641052246 -G$8)</f>
        <v>0</v>
      </c>
    </row>
    <row r="60" spans="1:9">
      <c r="A60" t="str">
        <f>A$9 * (12.25022792816162 -A$8)</f>
        <v>0</v>
      </c>
      <c r="B60" t="str">
        <f>B$9 * (12.25022792816162 -B$8)</f>
        <v>0</v>
      </c>
      <c r="C60" t="str">
        <f>C$9 * (12.25022792816162 -C$8)</f>
        <v>0</v>
      </c>
      <c r="E60" t="str">
        <f>E$9 * (0.009821474552154541 -E$8)</f>
        <v>0</v>
      </c>
      <c r="F60" t="str">
        <f>F$9 * (4.826466083526611 -F$8)</f>
        <v>0</v>
      </c>
      <c r="G60" t="str">
        <f>G$9 * (9.779855728149414 -G$8)</f>
        <v>0</v>
      </c>
    </row>
    <row r="61" spans="1:9">
      <c r="A61" t="str">
        <f>A$9 * (12.5002555847168 -A$8)</f>
        <v>0</v>
      </c>
      <c r="B61" t="str">
        <f>B$9 * (12.5002555847168 -B$8)</f>
        <v>0</v>
      </c>
      <c r="C61" t="str">
        <f>C$9 * (12.5002555847168 -C$8)</f>
        <v>0</v>
      </c>
      <c r="E61" t="str">
        <f>E$9 * (0.009825333021581173 -E$8)</f>
        <v>0</v>
      </c>
      <c r="F61" t="str">
        <f>F$9 * (4.826104164123535 -F$8)</f>
        <v>0</v>
      </c>
      <c r="G61" t="str">
        <f>G$9 * (9.776802062988281 -G$8)</f>
        <v>0</v>
      </c>
    </row>
    <row r="62" spans="1:9">
      <c r="A62" t="str">
        <f>A$9 * (12.75028324127197 -A$8)</f>
        <v>0</v>
      </c>
      <c r="B62" t="str">
        <f>B$9 * (12.75028324127197 -B$8)</f>
        <v>0</v>
      </c>
      <c r="C62" t="str">
        <f>C$9 * (12.75028324127197 -C$8)</f>
        <v>0</v>
      </c>
      <c r="E62" t="str">
        <f>E$9 * (0.00982443243265152 -E$8)</f>
        <v>0</v>
      </c>
      <c r="F62" t="str">
        <f>F$9 * (4.82488489151001 -F$8)</f>
        <v>0</v>
      </c>
      <c r="G62" t="str">
        <f>G$9 * (9.775027275085449 -G$8)</f>
        <v>0</v>
      </c>
    </row>
    <row r="63" spans="1:9">
      <c r="A63" t="str">
        <f>A$9 * (13.00031089782715 -A$8)</f>
        <v>0</v>
      </c>
      <c r="B63" t="str">
        <f>B$9 * (13.00031089782715 -B$8)</f>
        <v>0</v>
      </c>
      <c r="C63" t="str">
        <f>C$9 * (13.00031089782715 -C$8)</f>
        <v>0</v>
      </c>
      <c r="E63" t="str">
        <f>E$9 * (0.009825949557125568 -E$8)</f>
        <v>0</v>
      </c>
      <c r="F63" t="str">
        <f>F$9 * (4.82374382019043 -F$8)</f>
        <v>0</v>
      </c>
      <c r="G63" t="str">
        <f>G$9 * (9.771781921386719 -G$8)</f>
        <v>0</v>
      </c>
    </row>
    <row r="64" spans="1:9">
      <c r="A64" t="str">
        <f>A$9 * (13.25033855438232 -A$8)</f>
        <v>0</v>
      </c>
      <c r="B64" t="str">
        <f>B$9 * (13.25033855438232 -B$8)</f>
        <v>0</v>
      </c>
      <c r="C64" t="str">
        <f>C$9 * (13.25033855438232 -C$8)</f>
        <v>0</v>
      </c>
      <c r="E64" t="str">
        <f>E$9 * (0.009827896952629089 -E$8)</f>
        <v>0</v>
      </c>
      <c r="F64" t="str">
        <f>F$9 * (4.823378086090088 -F$8)</f>
        <v>0</v>
      </c>
      <c r="G64" t="str">
        <f>G$9 * (9.769930839538574 -G$8)</f>
        <v>0</v>
      </c>
    </row>
    <row r="65" spans="1:9">
      <c r="A65" t="str">
        <f>A$9 * (13.5003662109375 -A$8)</f>
        <v>0</v>
      </c>
      <c r="B65" t="str">
        <f>B$9 * (13.5003662109375 -B$8)</f>
        <v>0</v>
      </c>
      <c r="C65" t="str">
        <f>C$9 * (13.5003662109375 -C$8)</f>
        <v>0</v>
      </c>
      <c r="E65" t="str">
        <f>E$9 * (0.009827222675085068 -E$8)</f>
        <v>0</v>
      </c>
      <c r="F65" t="str">
        <f>F$9 * (4.822197914123535 -F$8)</f>
        <v>0</v>
      </c>
      <c r="G65" t="str">
        <f>G$9 * (9.768026351928711 -G$8)</f>
        <v>0</v>
      </c>
    </row>
    <row r="66" spans="1:9">
      <c r="A66" t="str">
        <f>A$9 * (13.7500057220459 -A$8)</f>
        <v>0</v>
      </c>
      <c r="B66" t="str">
        <f>B$9 * (13.7500057220459 -B$8)</f>
        <v>0</v>
      </c>
      <c r="C66" t="str">
        <f>C$9 * (13.7500057220459 -C$8)</f>
        <v>0</v>
      </c>
      <c r="E66" t="str">
        <f>E$9 * (0.009829211980104446 -E$8)</f>
        <v>0</v>
      </c>
      <c r="F66" t="str">
        <f>F$9 * (4.821597099304199 -F$8)</f>
        <v>0</v>
      </c>
      <c r="G66" t="str">
        <f>G$9 * (9.765597343444824 -G$8)</f>
        <v>0</v>
      </c>
    </row>
    <row r="67" spans="1:9">
      <c r="A67" t="str">
        <f>A$9 * (14.00003337860107 -A$8)</f>
        <v>0</v>
      </c>
      <c r="B67" t="str">
        <f>B$9 * (14.00003337860107 -B$8)</f>
        <v>0</v>
      </c>
      <c r="C67" t="str">
        <f>C$9 * (14.00003337860107 -C$8)</f>
        <v>0</v>
      </c>
      <c r="E67" t="str">
        <f>E$9 * (0.009829753078520298 -E$8)</f>
        <v>0</v>
      </c>
      <c r="F67" t="str">
        <f>F$9 * (4.821078777313232 -F$8)</f>
        <v>0</v>
      </c>
      <c r="G67" t="str">
        <f>G$9 * (9.764300346374512 -G$8)</f>
        <v>0</v>
      </c>
    </row>
    <row r="68" spans="1:9">
      <c r="A68" t="str">
        <f>A$9 * (14.25006103515625 -A$8)</f>
        <v>0</v>
      </c>
      <c r="B68" t="str">
        <f>B$9 * (14.25006103515625 -B$8)</f>
        <v>0</v>
      </c>
      <c r="C68" t="str">
        <f>C$9 * (14.25006103515625 -C$8)</f>
        <v>0</v>
      </c>
      <c r="E68" t="str">
        <f>E$9 * (0.009829831309616566 -E$8)</f>
        <v>0</v>
      </c>
      <c r="F68" t="str">
        <f>F$9 * (4.820174217224121 -F$8)</f>
        <v>0</v>
      </c>
      <c r="G68" t="str">
        <f>G$9 * (9.762449264526367 -G$8)</f>
        <v>0</v>
      </c>
    </row>
    <row r="69" spans="1:9">
      <c r="A69" t="str">
        <f>A$9 * (14.50008869171143 -A$8)</f>
        <v>0</v>
      </c>
      <c r="B69" t="str">
        <f>B$9 * (14.50008869171143 -B$8)</f>
        <v>0</v>
      </c>
      <c r="C69" t="str">
        <f>C$9 * (14.50008869171143 -C$8)</f>
        <v>0</v>
      </c>
      <c r="E69" t="str">
        <f>E$9 * (0.009831408970057964 -E$8)</f>
        <v>0</v>
      </c>
      <c r="F69" t="str">
        <f>F$9 * (4.819831848144531 -F$8)</f>
        <v>0</v>
      </c>
      <c r="G69" t="str">
        <f>G$9 * (9.760814666748047 -G$8)</f>
        <v>0</v>
      </c>
    </row>
    <row r="70" spans="1:9">
      <c r="A70" t="str">
        <f>A$9 * (14.7501163482666 -A$8)</f>
        <v>0</v>
      </c>
      <c r="B70" t="str">
        <f>B$9 * (14.7501163482666 -B$8)</f>
        <v>0</v>
      </c>
      <c r="C70" t="str">
        <f>C$9 * (14.7501163482666 -C$8)</f>
        <v>0</v>
      </c>
      <c r="E70" t="str">
        <f>E$9 * (0.00983133539557457 -E$8)</f>
        <v>0</v>
      </c>
      <c r="F70" t="str">
        <f>F$9 * (4.819240093231201 -F$8)</f>
        <v>0</v>
      </c>
      <c r="G70" t="str">
        <f>G$9 * (9.759722709655762 -G$8)</f>
        <v>0</v>
      </c>
    </row>
    <row r="71" spans="1:9">
      <c r="A71" t="str">
        <f>A$9 * (15.00014400482178 -A$8)</f>
        <v>0</v>
      </c>
      <c r="B71" t="str">
        <f>B$9 * (15.00014400482178 -B$8)</f>
        <v>0</v>
      </c>
      <c r="C71" t="str">
        <f>C$9 * (15.00014400482178 -C$8)</f>
        <v>0</v>
      </c>
      <c r="E71" t="str">
        <f>E$9 * (0.009831976145505905 -E$8)</f>
        <v>0</v>
      </c>
      <c r="F71" t="str">
        <f>F$9 * (4.818655014038086 -F$8)</f>
        <v>0</v>
      </c>
      <c r="G71" t="str">
        <f>G$9 * (9.758155822753906 -G$8)</f>
        <v>0</v>
      </c>
    </row>
    <row r="72" spans="1:9">
      <c r="A72" t="str">
        <f>A$9 * (15.25017261505127 -A$8)</f>
        <v>0</v>
      </c>
      <c r="B72" t="str">
        <f>B$9 * (15.25017261505127 -B$8)</f>
        <v>0</v>
      </c>
      <c r="C72" t="str">
        <f>C$9 * (15.25017261505127 -C$8)</f>
        <v>0</v>
      </c>
      <c r="E72" t="str">
        <f>E$9 * (0.009832865558564663 -E$8)</f>
        <v>0</v>
      </c>
      <c r="F72" t="str">
        <f>F$9 * (4.818376064300537 -F$8)</f>
        <v>0</v>
      </c>
      <c r="G72" t="str">
        <f>G$9 * (9.757084846496582 -G$8)</f>
        <v>0</v>
      </c>
    </row>
    <row r="73" spans="1:9">
      <c r="A73" t="str">
        <f>A$9 * (15.50020027160645 -A$8)</f>
        <v>0</v>
      </c>
      <c r="B73" t="str">
        <f>B$9 * (15.50020027160645 -B$8)</f>
        <v>0</v>
      </c>
      <c r="C73" t="str">
        <f>C$9 * (15.50020027160645 -C$8)</f>
        <v>0</v>
      </c>
      <c r="E73" t="str">
        <f>E$9 * (0.009832767769694328 -E$8)</f>
        <v>0</v>
      </c>
      <c r="F73" t="str">
        <f>F$9 * (4.817831993103027 -F$8)</f>
        <v>0</v>
      </c>
      <c r="G73" t="str">
        <f>G$9 * (9.756077766418457 -G$8)</f>
        <v>0</v>
      </c>
    </row>
    <row r="74" spans="1:9">
      <c r="A74" t="str">
        <f>A$9 * (15.75022792816162 -A$8)</f>
        <v>0</v>
      </c>
      <c r="B74" t="str">
        <f>B$9 * (15.75022792816162 -B$8)</f>
        <v>0</v>
      </c>
      <c r="C74" t="str">
        <f>C$9 * (15.75022792816162 -C$8)</f>
        <v>0</v>
      </c>
      <c r="E74" t="str">
        <f>E$9 * (0.009833565913140774 -E$8)</f>
        <v>0</v>
      </c>
      <c r="F74" t="str">
        <f>F$9 * (4.817483901977539 -F$8)</f>
        <v>0</v>
      </c>
      <c r="G74" t="str">
        <f>G$9 * (9.754895210266113 -G$8)</f>
        <v>0</v>
      </c>
    </row>
    <row r="75" spans="1:9">
      <c r="A75" t="str">
        <f>A$9 * (16.0002555847168 -A$8)</f>
        <v>0</v>
      </c>
      <c r="B75" t="str">
        <f>B$9 * (16.0002555847168 -B$8)</f>
        <v>0</v>
      </c>
      <c r="C75" t="str">
        <f>C$9 * (16.0002555847168 -C$8)</f>
        <v>0</v>
      </c>
      <c r="E75" t="str">
        <f>E$9 * (0.009833912365138531 -E$8)</f>
        <v>0</v>
      </c>
      <c r="F75" t="str">
        <f>F$9 * (4.817199230194092 -F$8)</f>
        <v>0</v>
      </c>
      <c r="G75" t="str">
        <f>G$9 * (9.754141807556152 -G$8)</f>
        <v>0</v>
      </c>
    </row>
    <row r="76" spans="1:9">
      <c r="A76" t="str">
        <f>A$9 * (16.25028419494629 -A$8)</f>
        <v>0</v>
      </c>
      <c r="B76" t="str">
        <f>B$9 * (16.25028419494629 -B$8)</f>
        <v>0</v>
      </c>
      <c r="C76" t="str">
        <f>C$9 * (16.25028419494629 -C$8)</f>
        <v>0</v>
      </c>
      <c r="E76" t="str">
        <f>E$9 * (0.009834017604589462 -E$8)</f>
        <v>0</v>
      </c>
      <c r="F76" t="str">
        <f>F$9 * (4.816777229309082 -F$8)</f>
        <v>0</v>
      </c>
      <c r="G76" t="str">
        <f>G$9 * (9.753239631652832 -G$8)</f>
        <v>0</v>
      </c>
    </row>
    <row r="77" spans="1:9">
      <c r="A77" t="str">
        <f>A$9 * (16.50031089782715 -A$8)</f>
        <v>0</v>
      </c>
      <c r="B77" t="str">
        <f>B$9 * (16.50031089782715 -B$8)</f>
        <v>0</v>
      </c>
      <c r="C77" t="str">
        <f>C$9 * (16.50031089782715 -C$8)</f>
        <v>0</v>
      </c>
      <c r="E77" t="str">
        <f>E$9 * (0.009834667667746544 -E$8)</f>
        <v>0</v>
      </c>
      <c r="F77" t="str">
        <f>F$9 * (4.816558837890625 -F$8)</f>
        <v>0</v>
      </c>
      <c r="G77" t="str">
        <f>G$9 * (9.752413749694824 -G$8)</f>
        <v>0</v>
      </c>
    </row>
    <row r="78" spans="1:9">
      <c r="A78" t="str">
        <f>A$9 * (16.75034141540527 -A$8)</f>
        <v>0</v>
      </c>
      <c r="B78" t="str">
        <f>B$9 * (16.75034141540527 -B$8)</f>
        <v>0</v>
      </c>
      <c r="C78" t="str">
        <f>C$9 * (16.75034141540527 -C$8)</f>
        <v>0</v>
      </c>
      <c r="E78" t="str">
        <f>E$9 * (0.009834746830165386 -E$8)</f>
        <v>0</v>
      </c>
      <c r="F78" t="str">
        <f>F$9 * (4.816274166107178 -F$8)</f>
        <v>0</v>
      </c>
      <c r="G78" t="str">
        <f>G$9 * (9.751816749572754 -G$8)</f>
        <v>0</v>
      </c>
    </row>
    <row r="79" spans="1:9">
      <c r="A79" t="str">
        <f>A$9 * (17.00037002563477 -A$8)</f>
        <v>0</v>
      </c>
      <c r="B79" t="str">
        <f>B$9 * (17.00037002563477 -B$8)</f>
        <v>0</v>
      </c>
      <c r="C79" t="str">
        <f>C$9 * (17.00037002563477 -C$8)</f>
        <v>0</v>
      </c>
      <c r="E79" t="str">
        <f>E$9 * (0.009835026226937771 -E$8)</f>
        <v>0</v>
      </c>
      <c r="F79" t="str">
        <f>F$9 * (4.815987110137939 -F$8)</f>
        <v>0</v>
      </c>
      <c r="G79" t="str">
        <f>G$9 * (9.751072883605957 -G$8)</f>
        <v>0</v>
      </c>
    </row>
    <row r="80" spans="1:9">
      <c r="A80" t="str">
        <f>A$9 * (17.25000762939453 -A$8)</f>
        <v>0</v>
      </c>
      <c r="B80" t="str">
        <f>B$9 * (17.25000762939453 -B$8)</f>
        <v>0</v>
      </c>
      <c r="C80" t="str">
        <f>C$9 * (17.25000762939453 -C$8)</f>
        <v>0</v>
      </c>
      <c r="E80" t="str">
        <f>E$9 * (0.009835423901677132 -E$8)</f>
        <v>0</v>
      </c>
      <c r="F80" t="str">
        <f>F$9 * (4.815821170806885 -F$8)</f>
        <v>0</v>
      </c>
      <c r="G80" t="str">
        <f>G$9 * (9.750510215759277 -G$8)</f>
        <v>0</v>
      </c>
    </row>
    <row r="81" spans="1:9">
      <c r="A81" t="str">
        <f>A$9 * (17.50003623962402 -A$8)</f>
        <v>0</v>
      </c>
      <c r="B81" t="str">
        <f>B$9 * (17.50003623962402 -B$8)</f>
        <v>0</v>
      </c>
      <c r="C81" t="str">
        <f>C$9 * (17.50003623962402 -C$8)</f>
        <v>0</v>
      </c>
      <c r="E81" t="str">
        <f>E$9 * (0.009835452772676945 -E$8)</f>
        <v>0</v>
      </c>
      <c r="F81" t="str">
        <f>F$9 * (4.815569877624512 -F$8)</f>
        <v>0</v>
      </c>
      <c r="G81" t="str">
        <f>G$9 * (9.750000953674316 -G$8)</f>
        <v>0</v>
      </c>
    </row>
    <row r="82" spans="1:9">
      <c r="A82" t="str">
        <f>A$9 * (17.75006294250488 -A$8)</f>
        <v>0</v>
      </c>
      <c r="B82" t="str">
        <f>B$9 * (17.75006294250488 -B$8)</f>
        <v>0</v>
      </c>
      <c r="C82" t="str">
        <f>C$9 * (17.75006294250488 -C$8)</f>
        <v>0</v>
      </c>
      <c r="E82" t="str">
        <f>E$9 * (0.00983577873557806 -E$8)</f>
        <v>0</v>
      </c>
      <c r="F82" t="str">
        <f>F$9 * (4.815386772155762 -F$8)</f>
        <v>0</v>
      </c>
      <c r="G82" t="str">
        <f>G$9 * (9.74943733215332 -G$8)</f>
        <v>0</v>
      </c>
    </row>
    <row r="83" spans="1:9">
      <c r="A83" t="str">
        <f>A$9 * (18.00009155273438 -A$8)</f>
        <v>0</v>
      </c>
      <c r="B83" t="str">
        <f>B$9 * (18.00009155273438 -B$8)</f>
        <v>0</v>
      </c>
      <c r="C83" t="str">
        <f>C$9 * (18.00009155273438 -C$8)</f>
        <v>0</v>
      </c>
      <c r="E83" t="str">
        <f>E$9 * (0.009835967794060707 -E$8)</f>
        <v>0</v>
      </c>
      <c r="F83" t="str">
        <f>F$9 * (4.815237998962402 -F$8)</f>
        <v>0</v>
      </c>
      <c r="G83" t="str">
        <f>G$9 * (9.749035835266113 -G$8)</f>
        <v>0</v>
      </c>
    </row>
    <row r="84" spans="1:9">
      <c r="A84" t="str">
        <f>A$9 * (18.25012016296387 -A$8)</f>
        <v>0</v>
      </c>
      <c r="B84" t="str">
        <f>B$9 * (18.25012016296387 -B$8)</f>
        <v>0</v>
      </c>
      <c r="C84" t="str">
        <f>C$9 * (18.25012016296387 -C$8)</f>
        <v>0</v>
      </c>
      <c r="E84" t="str">
        <f>E$9 * (0.009836043231189251 -E$8)</f>
        <v>0</v>
      </c>
      <c r="F84" t="str">
        <f>F$9 * (4.815042972564697 -F$8)</f>
        <v>0</v>
      </c>
      <c r="G84" t="str">
        <f>G$9 * (9.748603820800781 -G$8)</f>
        <v>0</v>
      </c>
    </row>
    <row r="85" spans="1:9">
      <c r="A85" t="str">
        <f>A$9 * (18.50014686584473 -A$8)</f>
        <v>0</v>
      </c>
      <c r="B85" t="str">
        <f>B$9 * (18.50014686584473 -B$8)</f>
        <v>0</v>
      </c>
      <c r="C85" t="str">
        <f>C$9 * (18.50014686584473 -C$8)</f>
        <v>0</v>
      </c>
      <c r="E85" t="str">
        <f>E$9 * (0.00983631145209074 -E$8)</f>
        <v>0</v>
      </c>
      <c r="F85" t="str">
        <f>F$9 * (4.814920902252197 -F$8)</f>
        <v>0</v>
      </c>
      <c r="G85" t="str">
        <f>G$9 * (9.748201370239258 -G$8)</f>
        <v>0</v>
      </c>
    </row>
    <row r="86" spans="1:9">
      <c r="A86" t="str">
        <f>A$9 * (18.75017547607422 -A$8)</f>
        <v>0</v>
      </c>
      <c r="B86" t="str">
        <f>B$9 * (18.75017547607422 -B$8)</f>
        <v>0</v>
      </c>
      <c r="C86" t="str">
        <f>C$9 * (18.75017547607422 -C$8)</f>
        <v>0</v>
      </c>
      <c r="E86" t="str">
        <f>E$9 * (0.009836386889219284 -E$8)</f>
        <v>0</v>
      </c>
      <c r="F86" t="str">
        <f>F$9 * (4.814786911010742 -F$8)</f>
        <v>0</v>
      </c>
      <c r="G86" t="str">
        <f>G$9 * (9.747894287109375 -G$8)</f>
        <v>0</v>
      </c>
    </row>
    <row r="87" spans="1:9">
      <c r="A87" t="str">
        <f>A$9 * (19.00020217895508 -A$8)</f>
        <v>0</v>
      </c>
      <c r="B87" t="str">
        <f>B$9 * (19.00020217895508 -B$8)</f>
        <v>0</v>
      </c>
      <c r="C87" t="str">
        <f>C$9 * (19.00020217895508 -C$8)</f>
        <v>0</v>
      </c>
      <c r="E87" t="str">
        <f>E$9 * (0.009836510755121708 -E$8)</f>
        <v>0</v>
      </c>
      <c r="F87" t="str">
        <f>F$9 * (4.814649105072021 -F$8)</f>
        <v>0</v>
      </c>
      <c r="G87" t="str">
        <f>G$9 * (9.74754524230957 -G$8)</f>
        <v>0</v>
      </c>
    </row>
    <row r="88" spans="1:9">
      <c r="A88" t="str">
        <f>A$9 * (19.25023078918457 -A$8)</f>
        <v>0</v>
      </c>
      <c r="B88" t="str">
        <f>B$9 * (19.25023078918457 -B$8)</f>
        <v>0</v>
      </c>
      <c r="C88" t="str">
        <f>C$9 * (19.25023078918457 -C$8)</f>
        <v>0</v>
      </c>
      <c r="E88" t="str">
        <f>E$9 * (0.009836687706410885 -E$8)</f>
        <v>0</v>
      </c>
      <c r="F88" t="str">
        <f>F$9 * (4.814558982849121 -F$8)</f>
        <v>0</v>
      </c>
      <c r="G88" t="str">
        <f>G$9 * (9.747262954711914 -G$8)</f>
        <v>0</v>
      </c>
    </row>
    <row r="89" spans="1:9">
      <c r="A89" t="str">
        <f>A$9 * (19.50025749206543 -A$8)</f>
        <v>0</v>
      </c>
      <c r="B89" t="str">
        <f>B$9 * (19.50025749206543 -B$8)</f>
        <v>0</v>
      </c>
      <c r="C89" t="str">
        <f>C$9 * (19.50025749206543 -C$8)</f>
        <v>0</v>
      </c>
      <c r="E89" t="str">
        <f>E$9 * (0.009836726821959019 -E$8)</f>
        <v>0</v>
      </c>
      <c r="F89" t="str">
        <f>F$9 * (4.814444065093994 -F$8)</f>
        <v>0</v>
      </c>
      <c r="G89" t="str">
        <f>G$9 * (9.747013092041016 -G$8)</f>
        <v>0</v>
      </c>
    </row>
    <row r="90" spans="1:9">
      <c r="A90" t="str">
        <f>A$9 * (19.75028610229492 -A$8)</f>
        <v>0</v>
      </c>
      <c r="B90" t="str">
        <f>B$9 * (19.75028610229492 -B$8)</f>
        <v>0</v>
      </c>
      <c r="C90" t="str">
        <f>C$9 * (19.75028610229492 -C$8)</f>
        <v>0</v>
      </c>
      <c r="E90" t="str">
        <f>E$9 * (0.009836861863732338 -E$8)</f>
        <v>0</v>
      </c>
      <c r="F90" t="str">
        <f>F$9 * (4.814352035522461 -F$8)</f>
        <v>0</v>
      </c>
      <c r="G90" t="str">
        <f>G$9 * (9.746748924255371 -G$8)</f>
        <v>0</v>
      </c>
    </row>
    <row r="91" spans="1:9">
      <c r="A91" t="str">
        <f>A$9 * (20.00031471252441 -A$8)</f>
        <v>0</v>
      </c>
      <c r="B91" t="str">
        <f>B$9 * (20.00031471252441 -B$8)</f>
        <v>0</v>
      </c>
      <c r="C91" t="str">
        <f>C$9 * (20.00031471252441 -C$8)</f>
        <v>0</v>
      </c>
      <c r="E91" t="str">
        <f>E$9 * (0.009836957789957523 -E$8)</f>
        <v>0</v>
      </c>
      <c r="F91" t="str">
        <f>F$9 * (4.814278125762939 -F$8)</f>
        <v>0</v>
      </c>
      <c r="G91" t="str">
        <f>G$9 * (9.746546745300293 -G$8)</f>
        <v>0</v>
      </c>
    </row>
    <row r="92" spans="1:9">
      <c r="A92" t="str">
        <f>A$9 * (20.25034141540527 -A$8)</f>
        <v>0</v>
      </c>
      <c r="B92" t="str">
        <f>B$9 * (20.25034141540527 -B$8)</f>
        <v>0</v>
      </c>
      <c r="C92" t="str">
        <f>C$9 * (20.25034141540527 -C$8)</f>
        <v>0</v>
      </c>
      <c r="E92" t="str">
        <f>E$9 * (0.00983700156211853 -E$8)</f>
        <v>0</v>
      </c>
      <c r="F92" t="str">
        <f>F$9 * (4.814188003540039 -F$8)</f>
        <v>0</v>
      </c>
      <c r="G92" t="str">
        <f>G$9 * (9.746342658996582 -G$8)</f>
        <v>0</v>
      </c>
    </row>
    <row r="93" spans="1:9">
      <c r="A93" t="str">
        <f>A$9 * (20.50037002563477 -A$8)</f>
        <v>0</v>
      </c>
      <c r="B93" t="str">
        <f>B$9 * (20.50037002563477 -B$8)</f>
        <v>0</v>
      </c>
      <c r="C93" t="str">
        <f>C$9 * (20.50037002563477 -C$8)</f>
        <v>0</v>
      </c>
      <c r="E93" t="str">
        <f>E$9 * (0.009837115183472633 -E$8)</f>
        <v>0</v>
      </c>
      <c r="F93" t="str">
        <f>F$9 * (4.814126014709473 -F$8)</f>
        <v>0</v>
      </c>
      <c r="G93" t="str">
        <f>G$9 * (9.746150970458984 -G$8)</f>
        <v>0</v>
      </c>
    </row>
    <row r="94" spans="1:9">
      <c r="A94" t="str">
        <f>A$9 * (20.75000762939453 -A$8)</f>
        <v>0</v>
      </c>
      <c r="B94" t="str">
        <f>B$9 * (20.75000762939453 -B$8)</f>
        <v>0</v>
      </c>
      <c r="C94" t="str">
        <f>C$9 * (20.75000762939453 -C$8)</f>
        <v>0</v>
      </c>
      <c r="E94" t="str">
        <f>E$9 * (0.00983715895563364 -E$8)</f>
        <v>0</v>
      </c>
      <c r="F94" t="str">
        <f>F$9 * (4.814061164855957 -F$8)</f>
        <v>0</v>
      </c>
      <c r="G94" t="str">
        <f>G$9 * (9.746000289916992 -G$8)</f>
        <v>0</v>
      </c>
    </row>
    <row r="95" spans="1:9">
      <c r="A95" t="str">
        <f>A$9 * (21.00003623962402 -A$8)</f>
        <v>0</v>
      </c>
      <c r="B95" t="str">
        <f>B$9 * (21.00003623962402 -B$8)</f>
        <v>0</v>
      </c>
      <c r="C95" t="str">
        <f>C$9 * (21.00003623962402 -C$8)</f>
        <v>0</v>
      </c>
      <c r="E95" t="str">
        <f>E$9 * (0.009837216697633266 -E$8)</f>
        <v>0</v>
      </c>
      <c r="F95" t="str">
        <f>F$9 * (4.813998222351074 -F$8)</f>
        <v>0</v>
      </c>
      <c r="G95" t="str">
        <f>G$9 * (9.745837211608887 -G$8)</f>
        <v>0</v>
      </c>
    </row>
    <row r="96" spans="1:9">
      <c r="A96" t="str">
        <f>A$9 * (21.25006675720215 -A$8)</f>
        <v>0</v>
      </c>
      <c r="B96" t="str">
        <f>B$9 * (21.25006675720215 -B$8)</f>
        <v>0</v>
      </c>
      <c r="C96" t="str">
        <f>C$9 * (21.25006675720215 -C$8)</f>
        <v>0</v>
      </c>
      <c r="E96" t="str">
        <f>E$9 * (0.009837293066084385 -E$8)</f>
        <v>0</v>
      </c>
      <c r="F96" t="str">
        <f>F$9 * (4.813951015472412 -F$8)</f>
        <v>0</v>
      </c>
      <c r="G96" t="str">
        <f>G$9 * (9.745700836181641 -G$8)</f>
        <v>0</v>
      </c>
    </row>
    <row r="97" spans="1:9">
      <c r="A97" t="str">
        <f>A$9 * (21.50009536743164 -A$8)</f>
        <v>0</v>
      </c>
      <c r="B97" t="str">
        <f>B$9 * (21.50009536743164 -B$8)</f>
        <v>0</v>
      </c>
      <c r="C97" t="str">
        <f>C$9 * (21.50009536743164 -C$8)</f>
        <v>0</v>
      </c>
      <c r="E97" t="str">
        <f>E$9 * (0.009837321005761623 -E$8)</f>
        <v>0</v>
      </c>
      <c r="F97" t="str">
        <f>F$9 * (4.813899040222168 -F$8)</f>
        <v>0</v>
      </c>
      <c r="G97" t="str">
        <f>G$9 * (9.745580673217773 -G$8)</f>
        <v>0</v>
      </c>
    </row>
    <row r="98" spans="1:9">
      <c r="A98" t="str">
        <f>A$9 * (21.7501220703125 -A$8)</f>
        <v>0</v>
      </c>
      <c r="B98" t="str">
        <f>B$9 * (21.7501220703125 -B$8)</f>
        <v>0</v>
      </c>
      <c r="C98" t="str">
        <f>C$9 * (21.7501220703125 -C$8)</f>
        <v>0</v>
      </c>
      <c r="E98" t="str">
        <f>E$9 * (0.009837379679083824 -E$8)</f>
        <v>0</v>
      </c>
      <c r="F98" t="str">
        <f>F$9 * (4.81385612487793 -F$8)</f>
        <v>0</v>
      </c>
      <c r="G98" t="str">
        <f>G$9 * (9.745457649230957 -G$8)</f>
        <v>0</v>
      </c>
    </row>
    <row r="99" spans="1:9">
      <c r="A99" t="str">
        <f>A$9 * (22.00015068054199 -A$8)</f>
        <v>0</v>
      </c>
      <c r="B99" t="str">
        <f>B$9 * (22.00015068054199 -B$8)</f>
        <v>0</v>
      </c>
      <c r="C99" t="str">
        <f>C$9 * (22.00015068054199 -C$8)</f>
        <v>0</v>
      </c>
      <c r="E99" t="str">
        <f>E$9 * (0.009837424382567406 -E$8)</f>
        <v>0</v>
      </c>
      <c r="F99" t="str">
        <f>F$9 * (4.813817977905273 -F$8)</f>
        <v>0</v>
      </c>
      <c r="G99" t="str">
        <f>G$9 * (9.745360374450684 -G$8)</f>
        <v>0</v>
      </c>
    </row>
    <row r="100" spans="1:9">
      <c r="A100" t="str">
        <f>A$9 * (22.25017738342285 -A$8)</f>
        <v>0</v>
      </c>
      <c r="B100" t="str">
        <f>B$9 * (22.25017738342285 -B$8)</f>
        <v>0</v>
      </c>
      <c r="C100" t="str">
        <f>C$9 * (22.25017738342285 -C$8)</f>
        <v>0</v>
      </c>
      <c r="E100" t="str">
        <f>E$9 * (0.009837446734309196 -E$8)</f>
        <v>0</v>
      </c>
      <c r="F100" t="str">
        <f>F$9 * (4.813776969909668 -F$8)</f>
        <v>0</v>
      </c>
      <c r="G100" t="str">
        <f>G$9 * (9.745265007019043 -G$8)</f>
        <v>0</v>
      </c>
    </row>
    <row r="101" spans="1:9">
      <c r="A101" t="str">
        <f>A$9 * (22.50020599365234 -A$8)</f>
        <v>0</v>
      </c>
      <c r="B101" t="str">
        <f>B$9 * (22.50020599365234 -B$8)</f>
        <v>0</v>
      </c>
      <c r="C101" t="str">
        <f>C$9 * (22.50020599365234 -C$8)</f>
        <v>0</v>
      </c>
      <c r="E101" t="str">
        <f>E$9 * (0.009837495163083076 -E$8)</f>
        <v>0</v>
      </c>
      <c r="F101" t="str">
        <f>F$9 * (4.813745975494385 -F$8)</f>
        <v>0</v>
      </c>
      <c r="G101" t="str">
        <f>G$9 * (9.745175361633301 -G$8)</f>
        <v>0</v>
      </c>
    </row>
    <row r="102" spans="1:9">
      <c r="A102" t="str">
        <f>A$9 * (22.7502326965332 -A$8)</f>
        <v>0</v>
      </c>
      <c r="B102" t="str">
        <f>B$9 * (22.7502326965332 -B$8)</f>
        <v>0</v>
      </c>
      <c r="C102" t="str">
        <f>C$9 * (22.7502326965332 -C$8)</f>
        <v>0</v>
      </c>
      <c r="E102" t="str">
        <f>E$9 * (0.00983752217143774 -E$8)</f>
        <v>0</v>
      </c>
      <c r="F102" t="str">
        <f>F$9 * (4.813716888427734 -F$8)</f>
        <v>0</v>
      </c>
      <c r="G102" t="str">
        <f>G$9 * (9.745101928710938 -G$8)</f>
        <v>0</v>
      </c>
    </row>
    <row r="103" spans="1:9">
      <c r="A103" t="str">
        <f>A$9 * (23.0002613067627 -A$8)</f>
        <v>0</v>
      </c>
      <c r="B103" t="str">
        <f>B$9 * (23.0002613067627 -B$8)</f>
        <v>0</v>
      </c>
      <c r="C103" t="str">
        <f>C$9 * (23.0002613067627 -C$8)</f>
        <v>0</v>
      </c>
      <c r="E103" t="str">
        <f>E$9 * (0.00983754638582468 -E$8)</f>
        <v>0</v>
      </c>
      <c r="F103" t="str">
        <f>F$9 * (4.813685894012451 -F$8)</f>
        <v>0</v>
      </c>
      <c r="G103" t="str">
        <f>G$9 * (9.745026588439941 -G$8)</f>
        <v>0</v>
      </c>
    </row>
    <row r="104" spans="1:9">
      <c r="A104" t="str">
        <f>A$9 * (23.25028800964355 -A$8)</f>
        <v>0</v>
      </c>
      <c r="B104" t="str">
        <f>B$9 * (23.25028800964355 -B$8)</f>
        <v>0</v>
      </c>
      <c r="C104" t="str">
        <f>C$9 * (23.25028800964355 -C$8)</f>
        <v>0</v>
      </c>
      <c r="E104" t="str">
        <f>E$9 * (0.009837581776082516 -E$8)</f>
        <v>0</v>
      </c>
      <c r="F104" t="str">
        <f>F$9 * (4.81366491317749 -F$8)</f>
        <v>0</v>
      </c>
      <c r="G104" t="str">
        <f>G$9 * (9.744961738586426 -G$8)</f>
        <v>0</v>
      </c>
    </row>
    <row r="105" spans="1:9">
      <c r="A105" t="str">
        <f>A$9 * (23.50031661987305 -A$8)</f>
        <v>0</v>
      </c>
      <c r="B105" t="str">
        <f>B$9 * (23.50031661987305 -B$8)</f>
        <v>0</v>
      </c>
      <c r="C105" t="str">
        <f>C$9 * (23.50031661987305 -C$8)</f>
        <v>0</v>
      </c>
      <c r="E105" t="str">
        <f>E$9 * (0.009837597608566284 -E$8)</f>
        <v>0</v>
      </c>
      <c r="F105" t="str">
        <f>F$9 * (4.81364107131958 -F$8)</f>
        <v>0</v>
      </c>
      <c r="G105" t="str">
        <f>G$9 * (9.744905471801758 -G$8)</f>
        <v>0</v>
      </c>
    </row>
    <row r="106" spans="1:9">
      <c r="A106" t="str">
        <f>A$9 * (23.75034523010254 -A$8)</f>
        <v>0</v>
      </c>
      <c r="B106" t="str">
        <f>B$9 * (23.75034523010254 -B$8)</f>
        <v>0</v>
      </c>
      <c r="C106" t="str">
        <f>C$9 * (23.75034523010254 -C$8)</f>
        <v>0</v>
      </c>
      <c r="E106" t="str">
        <f>E$9 * (0.009837622754275799 -E$8)</f>
        <v>0</v>
      </c>
      <c r="F106" t="str">
        <f>F$9 * (4.813620090484619 -F$8)</f>
        <v>0</v>
      </c>
      <c r="G106" t="str">
        <f>G$9 * (9.744848251342773 -G$8)</f>
        <v>0</v>
      </c>
    </row>
    <row r="107" spans="1:9">
      <c r="A107" t="str">
        <f>A$9 * (24.0003719329834 -A$8)</f>
        <v>0</v>
      </c>
      <c r="B107" t="str">
        <f>B$9 * (24.0003719329834 -B$8)</f>
        <v>0</v>
      </c>
      <c r="C107" t="str">
        <f>C$9 * (24.0003719329834 -C$8)</f>
        <v>0</v>
      </c>
      <c r="E107" t="str">
        <f>E$9 * (0.009837641380727291 -E$8)</f>
        <v>0</v>
      </c>
      <c r="F107" t="str">
        <f>F$9 * (4.813601016998291 -F$8)</f>
        <v>0</v>
      </c>
      <c r="G107" t="str">
        <f>G$9 * (9.744802474975586 -G$8)</f>
        <v>0</v>
      </c>
    </row>
    <row r="108" spans="1:9">
      <c r="A108" t="str">
        <f>A$9 * (24.2500114440918 -A$8)</f>
        <v>0</v>
      </c>
      <c r="B108" t="str">
        <f>B$9 * (24.2500114440918 -B$8)</f>
        <v>0</v>
      </c>
      <c r="C108" t="str">
        <f>C$9 * (24.2500114440918 -C$8)</f>
        <v>0</v>
      </c>
      <c r="E108" t="str">
        <f>E$9 * (0.00983765721321106 -E$8)</f>
        <v>0</v>
      </c>
      <c r="F108" t="str">
        <f>F$9 * (4.813583850860596 -F$8)</f>
        <v>0</v>
      </c>
      <c r="G108" t="str">
        <f>G$9 * (9.744756698608398 -G$8)</f>
        <v>0</v>
      </c>
    </row>
    <row r="109" spans="1:9">
      <c r="A109" t="str">
        <f>A$9 * (24.50003814697266 -A$8)</f>
        <v>0</v>
      </c>
      <c r="B109" t="str">
        <f>B$9 * (24.50003814697266 -B$8)</f>
        <v>0</v>
      </c>
      <c r="C109" t="str">
        <f>C$9 * (24.50003814697266 -C$8)</f>
        <v>0</v>
      </c>
      <c r="E109" t="str">
        <f>E$9 * (0.009837676770985126 -E$8)</f>
        <v>0</v>
      </c>
      <c r="F109" t="str">
        <f>F$9 * (4.813569068908691 -F$8)</f>
        <v>0</v>
      </c>
      <c r="G109" t="str">
        <f>G$9 * (9.744714736938477 -G$8)</f>
        <v>0</v>
      </c>
    </row>
    <row r="110" spans="1:9">
      <c r="A110" t="str">
        <f>A$9 * (24.75006675720215 -A$8)</f>
        <v>0</v>
      </c>
      <c r="B110" t="str">
        <f>B$9 * (24.75006675720215 -B$8)</f>
        <v>0</v>
      </c>
      <c r="C110" t="str">
        <f>C$9 * (24.75006675720215 -C$8)</f>
        <v>0</v>
      </c>
      <c r="E110" t="str">
        <f>E$9 * (0.009837689809501171 -E$8)</f>
        <v>0</v>
      </c>
      <c r="F110" t="str">
        <f>F$9 * (4.813554763793945 -F$8)</f>
        <v>0</v>
      </c>
      <c r="G110" t="str">
        <f>G$9 * (9.74467945098877 -G$8)</f>
        <v>0</v>
      </c>
    </row>
    <row r="111" spans="1:9">
      <c r="A111" t="str">
        <f>A$9 * (25.00009536743164 -A$8)</f>
        <v>0</v>
      </c>
      <c r="B111" t="str">
        <f>B$9 * (25.00009536743164 -B$8)</f>
        <v>0</v>
      </c>
      <c r="C111" t="str">
        <f>C$9 * (25.00009536743164 -C$8)</f>
        <v>0</v>
      </c>
      <c r="E111" t="str">
        <f>E$9 * (0.009837700054049492 -E$8)</f>
        <v>0</v>
      </c>
      <c r="F111" t="str">
        <f>F$9 * (4.813539981842041 -F$8)</f>
        <v>0</v>
      </c>
      <c r="G111" t="str">
        <f>G$9 * (9.744645118713379 -G$8)</f>
        <v>0</v>
      </c>
    </row>
    <row r="112" spans="1:9">
      <c r="A112" t="str">
        <f>A$9 * (25.2501220703125 -A$8)</f>
        <v>0</v>
      </c>
      <c r="B112" t="str">
        <f>B$9 * (25.2501220703125 -B$8)</f>
        <v>0</v>
      </c>
      <c r="C112" t="str">
        <f>C$9 * (25.2501220703125 -C$8)</f>
        <v>0</v>
      </c>
      <c r="E112" t="str">
        <f>E$9 * (0.00983771774917841 -E$8)</f>
        <v>0</v>
      </c>
      <c r="F112" t="str">
        <f>F$9 * (4.813529968261719 -F$8)</f>
        <v>0</v>
      </c>
      <c r="G112" t="str">
        <f>G$9 * (9.744613647460938 -G$8)</f>
        <v>0</v>
      </c>
    </row>
    <row r="113" spans="1:9">
      <c r="A113" t="str">
        <f>A$9 * (25.50015068054199 -A$8)</f>
        <v>0</v>
      </c>
      <c r="B113" t="str">
        <f>B$9 * (25.50015068054199 -B$8)</f>
        <v>0</v>
      </c>
      <c r="C113" t="str">
        <f>C$9 * (25.50015068054199 -C$8)</f>
        <v>0</v>
      </c>
      <c r="E113" t="str">
        <f>E$9 * (0.009837723337113857 -E$8)</f>
        <v>0</v>
      </c>
      <c r="F113" t="str">
        <f>F$9 * (4.813517093658447 -F$8)</f>
        <v>0</v>
      </c>
      <c r="G113" t="str">
        <f>G$9 * (9.744586944580078 -G$8)</f>
        <v>0</v>
      </c>
    </row>
    <row r="114" spans="1:9">
      <c r="A114" t="str">
        <f>A$9 * (25.75017738342285 -A$8)</f>
        <v>0</v>
      </c>
      <c r="B114" t="str">
        <f>B$9 * (25.75017738342285 -B$8)</f>
        <v>0</v>
      </c>
      <c r="C114" t="str">
        <f>C$9 * (25.75017738342285 -C$8)</f>
        <v>0</v>
      </c>
      <c r="E114" t="str">
        <f>E$9 * (0.009837736375629902 -E$8)</f>
        <v>0</v>
      </c>
      <c r="F114" t="str">
        <f>F$9 * (4.813508033752441 -F$8)</f>
        <v>0</v>
      </c>
      <c r="G114" t="str">
        <f>G$9 * (9.744560241699219 -G$8)</f>
        <v>0</v>
      </c>
    </row>
    <row r="115" spans="1:9">
      <c r="A115" t="str">
        <f>A$9 * (26.00020790100098 -A$8)</f>
        <v>0</v>
      </c>
      <c r="B115" t="str">
        <f>B$9 * (26.00020790100098 -B$8)</f>
        <v>0</v>
      </c>
      <c r="C115" t="str">
        <f>C$9 * (26.00020790100098 -C$8)</f>
        <v>0</v>
      </c>
      <c r="E115" t="str">
        <f>E$9 * (0.009837744757533073 -E$8)</f>
        <v>0</v>
      </c>
      <c r="F115" t="str">
        <f>F$9 * (4.813498973846436 -F$8)</f>
        <v>0</v>
      </c>
      <c r="G115" t="str">
        <f>G$9 * (9.744538307189941 -G$8)</f>
        <v>0</v>
      </c>
    </row>
    <row r="116" spans="1:9">
      <c r="A116" t="str">
        <f>A$9 * (26.25023651123047 -A$8)</f>
        <v>0</v>
      </c>
      <c r="B116" t="str">
        <f>B$9 * (26.25023651123047 -B$8)</f>
        <v>0</v>
      </c>
      <c r="C116" t="str">
        <f>C$9 * (26.25023651123047 -C$8)</f>
        <v>0</v>
      </c>
      <c r="E116" t="str">
        <f>E$9 * (0.009837751276791096 -E$8)</f>
        <v>0</v>
      </c>
      <c r="F116" t="str">
        <f>F$9 * (4.81348991394043 -F$8)</f>
        <v>0</v>
      </c>
      <c r="G116" t="str">
        <f>G$9 * (9.744516372680664 -G$8)</f>
        <v>0</v>
      </c>
    </row>
    <row r="117" spans="1:9">
      <c r="A117" t="str">
        <f>A$9 * (26.50026321411133 -A$8)</f>
        <v>0</v>
      </c>
      <c r="B117" t="str">
        <f>B$9 * (26.50026321411133 -B$8)</f>
        <v>0</v>
      </c>
      <c r="C117" t="str">
        <f>C$9 * (26.50026321411133 -C$8)</f>
        <v>0</v>
      </c>
      <c r="E117" t="str">
        <f>E$9 * (0.009837759658694267 -E$8)</f>
        <v>0</v>
      </c>
      <c r="F117" t="str">
        <f>F$9 * (4.813483238220215 -F$8)</f>
        <v>0</v>
      </c>
      <c r="G117" t="str">
        <f>G$9 * (9.74449634552002 -G$8)</f>
        <v>0</v>
      </c>
    </row>
    <row r="118" spans="1:9">
      <c r="A118" t="str">
        <f>A$9 * (26.75029182434082 -A$8)</f>
        <v>0</v>
      </c>
      <c r="B118" t="str">
        <f>B$9 * (26.75029182434082 -B$8)</f>
        <v>0</v>
      </c>
      <c r="C118" t="str">
        <f>C$9 * (26.75029182434082 -C$8)</f>
        <v>0</v>
      </c>
      <c r="E118" t="str">
        <f>E$9 * (0.009837768971920013 -E$8)</f>
        <v>0</v>
      </c>
      <c r="F118" t="str">
        <f>F$9 * (4.813477039337158 -F$8)</f>
        <v>0</v>
      </c>
      <c r="G118" t="str">
        <f>G$9 * (9.744479179382324 -G$8)</f>
        <v>0</v>
      </c>
    </row>
    <row r="119" spans="1:9">
      <c r="A119" t="str">
        <f>A$9 * (27.00031852722168 -A$8)</f>
        <v>0</v>
      </c>
      <c r="B119" t="str">
        <f>B$9 * (27.00031852722168 -B$8)</f>
        <v>0</v>
      </c>
      <c r="C119" t="str">
        <f>C$9 * (27.00031852722168 -C$8)</f>
        <v>0</v>
      </c>
      <c r="E119" t="str">
        <f>E$9 * (0.009837772697210312 -E$8)</f>
        <v>0</v>
      </c>
      <c r="F119" t="str">
        <f>F$9 * (4.813468933105469 -F$8)</f>
        <v>0</v>
      </c>
      <c r="G119" t="str">
        <f>G$9 * (9.744462966918945 -G$8)</f>
        <v>0</v>
      </c>
    </row>
    <row r="120" spans="1:9">
      <c r="A120" t="str">
        <f>A$9 * (27.25034713745117 -A$8)</f>
        <v>0</v>
      </c>
      <c r="B120" t="str">
        <f>B$9 * (27.25034713745117 -B$8)</f>
        <v>0</v>
      </c>
      <c r="C120" t="str">
        <f>C$9 * (27.25034713745117 -C$8)</f>
        <v>0</v>
      </c>
      <c r="E120" t="str">
        <f>E$9 * (0.009837782010436058 -E$8)</f>
        <v>0</v>
      </c>
      <c r="F120" t="str">
        <f>F$9 * (4.813465118408203 -F$8)</f>
        <v>0</v>
      </c>
      <c r="G120" t="str">
        <f>G$9 * (9.744446754455566 -G$8)</f>
        <v>0</v>
      </c>
    </row>
    <row r="121" spans="1:9">
      <c r="A121" t="str">
        <f>A$9 * (27.50037574768066 -A$8)</f>
        <v>0</v>
      </c>
      <c r="B121" t="str">
        <f>B$9 * (27.50037574768066 -B$8)</f>
        <v>0</v>
      </c>
      <c r="C121" t="str">
        <f>C$9 * (27.50037574768066 -C$8)</f>
        <v>0</v>
      </c>
      <c r="E121" t="str">
        <f>E$9 * (0.009837783873081207 -E$8)</f>
        <v>0</v>
      </c>
      <c r="F121" t="str">
        <f>F$9 * (4.81345796585083 -F$8)</f>
        <v>0</v>
      </c>
      <c r="G121" t="str">
        <f>G$9 * (9.744434356689453 -G$8)</f>
        <v>0</v>
      </c>
    </row>
    <row r="122" spans="1:9">
      <c r="A122" t="str">
        <f>A$9 * (27.75001335144043 -A$8)</f>
        <v>0</v>
      </c>
      <c r="B122" t="str">
        <f>B$9 * (27.75001335144043 -B$8)</f>
        <v>0</v>
      </c>
      <c r="C122" t="str">
        <f>C$9 * (27.75001335144043 -C$8)</f>
        <v>0</v>
      </c>
      <c r="E122" t="str">
        <f>E$9 * (0.009837791323661804 -E$8)</f>
        <v>0</v>
      </c>
      <c r="F122" t="str">
        <f>F$9 * (4.813455104827881 -F$8)</f>
        <v>0</v>
      </c>
      <c r="G122" t="str">
        <f>G$9 * (9.744421005249023 -G$8)</f>
        <v>0</v>
      </c>
    </row>
    <row r="123" spans="1:9">
      <c r="A123" t="str">
        <f>A$9 * (28.00002861022949 -A$8)</f>
        <v>0</v>
      </c>
      <c r="B123" t="str">
        <f>B$9 * (28.00002861022949 -B$8)</f>
        <v>0</v>
      </c>
      <c r="C123" t="str">
        <f>C$9 * (28.00002861022949 -C$8)</f>
        <v>0</v>
      </c>
      <c r="E123" t="str">
        <f>E$9 * (0.009837794117629528 -E$8)</f>
        <v>0</v>
      </c>
      <c r="F123" t="str">
        <f>F$9 * (4.813448905944824 -F$8)</f>
        <v>0</v>
      </c>
      <c r="G123" t="str">
        <f>G$9 * (9.744409561157227 -G$8)</f>
        <v>0</v>
      </c>
    </row>
    <row r="124" spans="1:9">
      <c r="A124" t="str">
        <f>A$9 * (28.25008392333984 -A$8)</f>
        <v>0</v>
      </c>
      <c r="B124" t="str">
        <f>B$9 * (28.25008392333984 -B$8)</f>
        <v>0</v>
      </c>
      <c r="C124" t="str">
        <f>C$9 * (28.25008392333984 -C$8)</f>
        <v>0</v>
      </c>
      <c r="E124" t="str">
        <f>E$9 * (0.009837799705564976 -E$8)</f>
        <v>0</v>
      </c>
      <c r="F124" t="str">
        <f>F$9 * (4.813446044921875 -F$8)</f>
        <v>0</v>
      </c>
      <c r="G124" t="str">
        <f>G$9 * (9.744399070739746 -G$8)</f>
        <v>0</v>
      </c>
    </row>
    <row r="125" spans="1:9">
      <c r="A125" t="str">
        <f>A$9 * (28.5001106262207 -A$8)</f>
        <v>0</v>
      </c>
      <c r="B125" t="str">
        <f>B$9 * (28.5001106262207 -B$8)</f>
        <v>0</v>
      </c>
      <c r="C125" t="str">
        <f>C$9 * (28.5001106262207 -C$8)</f>
        <v>0</v>
      </c>
      <c r="E125" t="str">
        <f>E$9 * (0.009837804362177849 -E$8)</f>
        <v>0</v>
      </c>
      <c r="F125" t="str">
        <f>F$9 * (4.813442230224609 -F$8)</f>
        <v>0</v>
      </c>
      <c r="G125" t="str">
        <f>G$9 * (9.744388580322266 -G$8)</f>
        <v>0</v>
      </c>
    </row>
    <row r="126" spans="1:9">
      <c r="A126" t="str">
        <f>A$9 * (28.7501392364502 -A$8)</f>
        <v>0</v>
      </c>
      <c r="B126" t="str">
        <f>B$9 * (28.7501392364502 -B$8)</f>
        <v>0</v>
      </c>
      <c r="C126" t="str">
        <f>C$9 * (28.7501392364502 -C$8)</f>
        <v>0</v>
      </c>
      <c r="E126" t="str">
        <f>E$9 * (0.009837805293500423 -E$8)</f>
        <v>0</v>
      </c>
      <c r="F126" t="str">
        <f>F$9 * (4.813437938690186 -F$8)</f>
        <v>0</v>
      </c>
      <c r="G126" t="str">
        <f>G$9 * (9.744380950927734 -G$8)</f>
        <v>0</v>
      </c>
    </row>
    <row r="127" spans="1:9">
      <c r="A127" t="str">
        <f>A$9 * (29.00016593933105 -A$8)</f>
        <v>0</v>
      </c>
      <c r="B127" t="str">
        <f>B$9 * (29.00016593933105 -B$8)</f>
        <v>0</v>
      </c>
      <c r="C127" t="str">
        <f>C$9 * (29.00016593933105 -C$8)</f>
        <v>0</v>
      </c>
      <c r="E127" t="str">
        <f>E$9 * (0.009837809018790722 -E$8)</f>
        <v>0</v>
      </c>
      <c r="F127" t="str">
        <f>F$9 * (4.81343412399292 -F$8)</f>
        <v>0</v>
      </c>
      <c r="G127" t="str">
        <f>G$9 * (9.744372367858887 -G$8)</f>
        <v>0</v>
      </c>
    </row>
    <row r="128" spans="1:9">
      <c r="A128" t="str">
        <f>A$9 * (29.25019454956055 -A$8)</f>
        <v>0</v>
      </c>
      <c r="B128" t="str">
        <f>B$9 * (29.25019454956055 -B$8)</f>
        <v>0</v>
      </c>
      <c r="C128" t="str">
        <f>C$9 * (29.25019454956055 -C$8)</f>
        <v>0</v>
      </c>
      <c r="E128" t="str">
        <f>E$9 * (0.009837811812758446 -E$8)</f>
        <v>0</v>
      </c>
      <c r="F128" t="str">
        <f>F$9 * (4.813432216644287 -F$8)</f>
        <v>0</v>
      </c>
      <c r="G128" t="str">
        <f>G$9 * (9.744364738464355 -G$8)</f>
        <v>0</v>
      </c>
    </row>
    <row r="129" spans="1:9">
      <c r="A129" t="str">
        <f>A$9 * (29.50022315979004 -A$8)</f>
        <v>0</v>
      </c>
      <c r="B129" t="str">
        <f>B$9 * (29.50022315979004 -B$8)</f>
        <v>0</v>
      </c>
      <c r="C129" t="str">
        <f>C$9 * (29.50022315979004 -C$8)</f>
        <v>0</v>
      </c>
      <c r="E129" t="str">
        <f>E$9 * (0.009837813675403595 -E$8)</f>
        <v>0</v>
      </c>
      <c r="F129" t="str">
        <f>F$9 * (4.81342887878418 -F$8)</f>
        <v>0</v>
      </c>
      <c r="G129" t="str">
        <f>G$9 * (9.744358062744141 -G$8)</f>
        <v>0</v>
      </c>
    </row>
    <row r="130" spans="1:9">
      <c r="A130" t="str">
        <f>A$9 * (29.7502498626709 -A$8)</f>
        <v>0</v>
      </c>
      <c r="B130" t="str">
        <f>B$9 * (29.7502498626709 -B$8)</f>
        <v>0</v>
      </c>
      <c r="C130" t="str">
        <f>C$9 * (29.7502498626709 -C$8)</f>
        <v>0</v>
      </c>
      <c r="E130" t="str">
        <f>E$9 * (0.009837818332016468 -E$8)</f>
        <v>0</v>
      </c>
      <c r="F130" t="str">
        <f>F$9 * (4.813426971435547 -F$8)</f>
        <v>0</v>
      </c>
      <c r="G130" t="str">
        <f>G$9 * (9.744351387023926 -G$8)</f>
        <v>0</v>
      </c>
    </row>
    <row r="131" spans="1:9">
      <c r="A131" t="str">
        <f>A$9 * (30.00027847290039 -A$8)</f>
        <v>0</v>
      </c>
      <c r="B131" t="str">
        <f>B$9 * (30.00027847290039 -B$8)</f>
        <v>0</v>
      </c>
      <c r="C131" t="str">
        <f>C$9 * (30.00027847290039 -C$8)</f>
        <v>0</v>
      </c>
      <c r="E131" t="str">
        <f>E$9 * (0.009837821125984192 -E$8)</f>
        <v>0</v>
      </c>
      <c r="F131" t="str">
        <f>F$9 * (4.813425064086914 -F$8)</f>
        <v>0</v>
      </c>
      <c r="G131" t="str">
        <f>G$9 * (9.744344711303711 -G$8)</f>
        <v>0</v>
      </c>
    </row>
    <row r="132" spans="1:9">
      <c r="A132" t="str">
        <f>A$9 * (30.25030517578125 -A$8)</f>
        <v>0</v>
      </c>
      <c r="B132" t="str">
        <f>B$9 * (30.25030517578125 -B$8)</f>
        <v>0</v>
      </c>
      <c r="C132" t="str">
        <f>C$9 * (30.25030517578125 -C$8)</f>
        <v>0</v>
      </c>
      <c r="E132" t="str">
        <f>E$9 * (0.009837823919951916 -E$8)</f>
        <v>0</v>
      </c>
      <c r="F132" t="str">
        <f>F$9 * (4.813423156738281 -F$8)</f>
        <v>0</v>
      </c>
      <c r="G132" t="str">
        <f>G$9 * (9.744338989257812 -G$8)</f>
        <v>0</v>
      </c>
    </row>
    <row r="133" spans="1:9">
      <c r="A133" t="str">
        <f>A$9 * (30.50033378601074 -A$8)</f>
        <v>0</v>
      </c>
      <c r="B133" t="str">
        <f>B$9 * (30.50033378601074 -B$8)</f>
        <v>0</v>
      </c>
      <c r="C133" t="str">
        <f>C$9 * (30.50033378601074 -C$8)</f>
        <v>0</v>
      </c>
      <c r="E133" t="str">
        <f>E$9 * (0.009837822988629341 -E$8)</f>
        <v>0</v>
      </c>
      <c r="F133" t="str">
        <f>F$9 * (4.813418865203857 -F$8)</f>
        <v>0</v>
      </c>
      <c r="G133" t="str">
        <f>G$9 * (9.74433422088623 -G$8)</f>
        <v>0</v>
      </c>
    </row>
    <row r="134" spans="1:9">
      <c r="A134" t="str">
        <f>A$9 * (30.7503604888916 -A$8)</f>
        <v>0</v>
      </c>
      <c r="B134" t="str">
        <f>B$9 * (30.7503604888916 -B$8)</f>
        <v>0</v>
      </c>
      <c r="C134" t="str">
        <f>C$9 * (30.7503604888916 -C$8)</f>
        <v>0</v>
      </c>
      <c r="E134" t="str">
        <f>E$9 * (0.009837827645242214 -E$8)</f>
        <v>0</v>
      </c>
      <c r="F134" t="str">
        <f>F$9 * (4.813418865203857 -F$8)</f>
        <v>0</v>
      </c>
      <c r="G134" t="str">
        <f>G$9 * (9.744329452514648 -G$8)</f>
        <v>0</v>
      </c>
    </row>
    <row r="135" spans="1:9">
      <c r="A135" t="str">
        <f>A$9 * (31.00038909912109 -A$8)</f>
        <v>0</v>
      </c>
      <c r="B135" t="str">
        <f>B$9 * (31.00038909912109 -B$8)</f>
        <v>0</v>
      </c>
      <c r="C135" t="str">
        <f>C$9 * (31.00038909912109 -C$8)</f>
        <v>0</v>
      </c>
      <c r="E135" t="str">
        <f>E$9 * (0.009837827645242214 -E$8)</f>
        <v>0</v>
      </c>
      <c r="F135" t="str">
        <f>F$9 * (4.813416004180908 -F$8)</f>
        <v>0</v>
      </c>
      <c r="G135" t="str">
        <f>G$9 * (9.74432373046875 -G$8)</f>
        <v>0</v>
      </c>
    </row>
    <row r="136" spans="1:9">
      <c r="A136" t="str">
        <f>A$9 * (31.25002861022949 -A$8)</f>
        <v>0</v>
      </c>
      <c r="B136" t="str">
        <f>B$9 * (31.25002861022949 -B$8)</f>
        <v>0</v>
      </c>
      <c r="C136" t="str">
        <f>C$9 * (31.25002861022949 -C$8)</f>
        <v>0</v>
      </c>
      <c r="E136" t="str">
        <f>E$9 * (0.009837828576564789 -E$8)</f>
        <v>0</v>
      </c>
      <c r="F136" t="str">
        <f>F$9 * (4.813414096832275 -F$8)</f>
        <v>0</v>
      </c>
      <c r="G136" t="str">
        <f>G$9 * (9.744319915771484 -G$8)</f>
        <v>0</v>
      </c>
    </row>
    <row r="137" spans="1:9">
      <c r="A137" t="str">
        <f>A$9 * (31.50005531311035 -A$8)</f>
        <v>0</v>
      </c>
      <c r="B137" t="str">
        <f>B$9 * (31.50005531311035 -B$8)</f>
        <v>0</v>
      </c>
      <c r="C137" t="str">
        <f>C$9 * (31.50005531311035 -C$8)</f>
        <v>0</v>
      </c>
      <c r="E137" t="str">
        <f>E$9 * (0.009837834164500237 -E$8)</f>
        <v>0</v>
      </c>
      <c r="F137" t="str">
        <f>F$9 * (4.813414096832275 -F$8)</f>
        <v>0</v>
      </c>
      <c r="G137" t="str">
        <f>G$9 * (9.744316101074219 -G$8)</f>
        <v>0</v>
      </c>
    </row>
    <row r="138" spans="1:9">
      <c r="A138" t="str">
        <f>A$9 * (31.75008392333984 -A$8)</f>
        <v>0</v>
      </c>
      <c r="B138" t="str">
        <f>B$9 * (31.75008392333984 -B$8)</f>
        <v>0</v>
      </c>
      <c r="C138" t="str">
        <f>C$9 * (31.75008392333984 -C$8)</f>
        <v>0</v>
      </c>
      <c r="E138" t="str">
        <f>E$9 * (0.009837835095822811 -E$8)</f>
        <v>0</v>
      </c>
      <c r="F138" t="str">
        <f>F$9 * (4.813413143157959 -F$8)</f>
        <v>0</v>
      </c>
      <c r="G138" t="str">
        <f>G$9 * (9.744312286376953 -G$8)</f>
        <v>0</v>
      </c>
    </row>
    <row r="139" spans="1:9">
      <c r="A139" t="str">
        <f>A$9 * (32.0001106262207 -A$8)</f>
        <v>0</v>
      </c>
      <c r="B139" t="str">
        <f>B$9 * (32.0001106262207 -B$8)</f>
        <v>0</v>
      </c>
      <c r="C139" t="str">
        <f>C$9 * (32.0001106262207 -C$8)</f>
        <v>0</v>
      </c>
      <c r="E139" t="str">
        <f>E$9 * (0.00983783695846796 -E$8)</f>
        <v>0</v>
      </c>
      <c r="F139" t="str">
        <f>F$9 * (4.813411235809326 -F$8)</f>
        <v>0</v>
      </c>
      <c r="G139" t="str">
        <f>G$9 * (9.744308471679688 -G$8)</f>
        <v>0</v>
      </c>
    </row>
    <row r="140" spans="1:9">
      <c r="A140" t="str">
        <f>A$9 * (32.25013732910156 -A$8)</f>
        <v>0</v>
      </c>
      <c r="B140" t="str">
        <f>B$9 * (32.25013732910156 -B$8)</f>
        <v>0</v>
      </c>
      <c r="C140" t="str">
        <f>C$9 * (32.25013732910156 -C$8)</f>
        <v>0</v>
      </c>
      <c r="E140" t="str">
        <f>E$9 * (0.00983783695846796 -E$8)</f>
        <v>0</v>
      </c>
      <c r="F140" t="str">
        <f>F$9 * (4.813409805297852 -F$8)</f>
        <v>0</v>
      </c>
      <c r="G140" t="str">
        <f>G$9 * (9.744304656982422 -G$8)</f>
        <v>0</v>
      </c>
    </row>
    <row r="141" spans="1:9">
      <c r="A141" t="str">
        <f>A$9 * (32.50016784667969 -A$8)</f>
        <v>0</v>
      </c>
      <c r="B141" t="str">
        <f>B$9 * (32.50016784667969 -B$8)</f>
        <v>0</v>
      </c>
      <c r="C141" t="str">
        <f>C$9 * (32.50016784667969 -C$8)</f>
        <v>0</v>
      </c>
      <c r="E141" t="str">
        <f>E$9 * (0.00983783695846796 -E$8)</f>
        <v>0</v>
      </c>
      <c r="F141" t="str">
        <f>F$9 * (4.813407897949219 -F$8)</f>
        <v>0</v>
      </c>
      <c r="G141" t="str">
        <f>G$9 * (9.744301795959473 -G$8)</f>
        <v>0</v>
      </c>
    </row>
    <row r="142" spans="1:9">
      <c r="A142" t="str">
        <f>A$9 * (32.75019454956055 -A$8)</f>
        <v>0</v>
      </c>
      <c r="B142" t="str">
        <f>B$9 * (32.75019454956055 -B$8)</f>
        <v>0</v>
      </c>
      <c r="C142" t="str">
        <f>C$9 * (32.75019454956055 -C$8)</f>
        <v>0</v>
      </c>
      <c r="E142" t="str">
        <f>E$9 * (0.009837837889790535 -E$8)</f>
        <v>0</v>
      </c>
      <c r="F142" t="str">
        <f>F$9 * (4.813405990600586 -F$8)</f>
        <v>0</v>
      </c>
      <c r="G142" t="str">
        <f>G$9 * (9.744298934936523 -G$8)</f>
        <v>0</v>
      </c>
    </row>
    <row r="143" spans="1:9">
      <c r="A143" t="str">
        <f>A$9 * (33.00022125244141 -A$8)</f>
        <v>0</v>
      </c>
      <c r="B143" t="str">
        <f>B$9 * (33.00022125244141 -B$8)</f>
        <v>0</v>
      </c>
      <c r="C143" t="str">
        <f>C$9 * (33.00022125244141 -C$8)</f>
        <v>0</v>
      </c>
      <c r="E143" t="str">
        <f>E$9 * (0.00983783882111311 -E$8)</f>
        <v>0</v>
      </c>
      <c r="F143" t="str">
        <f>F$9 * (4.81340503692627 -F$8)</f>
        <v>0</v>
      </c>
      <c r="G143" t="str">
        <f>G$9 * (9.744296073913574 -G$8)</f>
        <v>0</v>
      </c>
    </row>
    <row r="144" spans="1:9">
      <c r="A144" t="str">
        <f>A$9 * (33.25025177001953 -A$8)</f>
        <v>0</v>
      </c>
      <c r="B144" t="str">
        <f>B$9 * (33.25025177001953 -B$8)</f>
        <v>0</v>
      </c>
      <c r="C144" t="str">
        <f>C$9 * (33.25025177001953 -C$8)</f>
        <v>0</v>
      </c>
      <c r="E144" t="str">
        <f>E$9 * (0.009837839752435684 -E$8)</f>
        <v>0</v>
      </c>
      <c r="F144" t="str">
        <f>F$9 * (4.813404083251953 -F$8)</f>
        <v>0</v>
      </c>
      <c r="G144" t="str">
        <f>G$9 * (9.744293212890625 -G$8)</f>
        <v>0</v>
      </c>
    </row>
    <row r="145" spans="1:9">
      <c r="A145" t="str">
        <f>A$9 * (33.50027847290039 -A$8)</f>
        <v>0</v>
      </c>
      <c r="B145" t="str">
        <f>B$9 * (33.50027847290039 -B$8)</f>
        <v>0</v>
      </c>
      <c r="C145" t="str">
        <f>C$9 * (33.50027847290039 -C$8)</f>
        <v>0</v>
      </c>
      <c r="E145" t="str">
        <f>E$9 * (0.009837844409048557 -E$8)</f>
        <v>0</v>
      </c>
      <c r="F145" t="str">
        <f>F$9 * (4.813404083251953 -F$8)</f>
        <v>0</v>
      </c>
      <c r="G145" t="str">
        <f>G$9 * (9.744290351867676 -G$8)</f>
        <v>0</v>
      </c>
    </row>
    <row r="146" spans="1:9">
      <c r="A146" t="str">
        <f>A$9 * (33.75030517578125 -A$8)</f>
        <v>0</v>
      </c>
      <c r="B146" t="str">
        <f>B$9 * (33.75030517578125 -B$8)</f>
        <v>0</v>
      </c>
      <c r="C146" t="str">
        <f>C$9 * (33.75030517578125 -C$8)</f>
        <v>0</v>
      </c>
      <c r="E146" t="str">
        <f>E$9 * (0.009837844409048557 -E$8)</f>
        <v>0</v>
      </c>
      <c r="F146" t="str">
        <f>F$9 * (4.813403129577637 -F$8)</f>
        <v>0</v>
      </c>
      <c r="G146" t="str">
        <f>G$9 * (9.744288444519043 -G$8)</f>
        <v>0</v>
      </c>
    </row>
    <row r="147" spans="1:9">
      <c r="A147" t="str">
        <f>A$9 * (34.00033187866211 -A$8)</f>
        <v>0</v>
      </c>
      <c r="B147" t="str">
        <f>B$9 * (34.00033187866211 -B$8)</f>
        <v>0</v>
      </c>
      <c r="C147" t="str">
        <f>C$9 * (34.00033187866211 -C$8)</f>
        <v>0</v>
      </c>
      <c r="E147" t="str">
        <f>E$9 * (0.009837846271693707 -E$8)</f>
        <v>0</v>
      </c>
      <c r="F147" t="str">
        <f>F$9 * (4.81340217590332 -F$8)</f>
        <v>0</v>
      </c>
      <c r="G147" t="str">
        <f>G$9 * (9.744284629821777 -G$8)</f>
        <v>0</v>
      </c>
    </row>
    <row r="148" spans="1:9">
      <c r="A148" t="str">
        <f>A$9 * (34.25036239624023 -A$8)</f>
        <v>0</v>
      </c>
      <c r="B148" t="str">
        <f>B$9 * (34.25036239624023 -B$8)</f>
        <v>0</v>
      </c>
      <c r="C148" t="str">
        <f>C$9 * (34.25036239624023 -C$8)</f>
        <v>0</v>
      </c>
      <c r="E148" t="str">
        <f>E$9 * (0.009837844409048557 -E$8)</f>
        <v>0</v>
      </c>
      <c r="F148" t="str">
        <f>F$9 * (4.813399791717529 -F$8)</f>
        <v>0</v>
      </c>
      <c r="G148" t="str">
        <f>G$9 * (9.744282722473145 -G$8)</f>
        <v>0</v>
      </c>
    </row>
    <row r="149" spans="1:9">
      <c r="A149" t="str">
        <f>A$9 * (34.50038909912109 -A$8)</f>
        <v>0</v>
      </c>
      <c r="B149" t="str">
        <f>B$9 * (34.50038909912109 -B$8)</f>
        <v>0</v>
      </c>
      <c r="C149" t="str">
        <f>C$9 * (34.50038909912109 -C$8)</f>
        <v>0</v>
      </c>
      <c r="E149" t="str">
        <f>E$9 * (0.009837847203016281 -E$8)</f>
        <v>0</v>
      </c>
      <c r="F149" t="str">
        <f>F$9 * (4.813401222229004 -F$8)</f>
        <v>0</v>
      </c>
      <c r="G149" t="str">
        <f>G$9 * (9.744280815124512 -G$8)</f>
        <v>0</v>
      </c>
    </row>
    <row r="150" spans="1:9">
      <c r="A150" t="str">
        <f>A$9 * (34.75002670288086 -A$8)</f>
        <v>0</v>
      </c>
      <c r="B150" t="str">
        <f>B$9 * (34.75002670288086 -B$8)</f>
        <v>0</v>
      </c>
      <c r="C150" t="str">
        <f>C$9 * (34.75002670288086 -C$8)</f>
        <v>0</v>
      </c>
      <c r="E150" t="str">
        <f>E$9 * (0.009837848134338856 -E$8)</f>
        <v>0</v>
      </c>
      <c r="F150" t="str">
        <f>F$9 * (4.813399791717529 -F$8)</f>
        <v>0</v>
      </c>
      <c r="G150" t="str">
        <f>G$9 * (9.744278907775879 -G$8)</f>
        <v>0</v>
      </c>
    </row>
    <row r="151" spans="1:9">
      <c r="A151" t="str">
        <f>A$9 * (35.00005722045898 -A$8)</f>
        <v>0</v>
      </c>
      <c r="B151" t="str">
        <f>B$9 * (35.00005722045898 -B$8)</f>
        <v>0</v>
      </c>
      <c r="C151" t="str">
        <f>C$9 * (35.00005722045898 -C$8)</f>
        <v>0</v>
      </c>
      <c r="E151" t="str">
        <f>E$9 * (0.009837848134338856 -E$8)</f>
        <v>0</v>
      </c>
      <c r="F151" t="str">
        <f>F$9 * (4.813398838043213 -F$8)</f>
        <v>0</v>
      </c>
      <c r="G151" t="str">
        <f>G$9 * (9.744277000427246 -G$8)</f>
        <v>0</v>
      </c>
    </row>
    <row r="152" spans="1:9">
      <c r="A152" t="str">
        <f>A$9 * (35.25008392333984 -A$8)</f>
        <v>0</v>
      </c>
      <c r="B152" t="str">
        <f>B$9 * (35.25008392333984 -B$8)</f>
        <v>0</v>
      </c>
      <c r="C152" t="str">
        <f>C$9 * (35.25008392333984 -C$8)</f>
        <v>0</v>
      </c>
      <c r="E152" t="str">
        <f>E$9 * (0.00983784906566143 -E$8)</f>
        <v>0</v>
      </c>
      <c r="F152" t="str">
        <f>F$9 * (4.813397884368896 -F$8)</f>
        <v>0</v>
      </c>
      <c r="G152" t="str">
        <f>G$9 * (9.744275093078613 -G$8)</f>
        <v>0</v>
      </c>
    </row>
    <row r="153" spans="1:9">
      <c r="A153" t="str">
        <f>A$9 * (35.5001106262207 -A$8)</f>
        <v>0</v>
      </c>
      <c r="B153" t="str">
        <f>B$9 * (35.5001106262207 -B$8)</f>
        <v>0</v>
      </c>
      <c r="C153" t="str">
        <f>C$9 * (35.5001106262207 -C$8)</f>
        <v>0</v>
      </c>
      <c r="E153" t="str">
        <f>E$9 * (0.009837847203016281 -E$8)</f>
        <v>0</v>
      </c>
      <c r="F153" t="str">
        <f>F$9 * (4.813395977020264 -F$8)</f>
        <v>0</v>
      </c>
      <c r="G153" t="str">
        <f>G$9 * (9.74427318572998 -G$8)</f>
        <v>0</v>
      </c>
    </row>
    <row r="154" spans="1:9">
      <c r="A154" t="str">
        <f>A$9 * (35.75013732910156 -A$8)</f>
        <v>0</v>
      </c>
      <c r="B154" t="str">
        <f>B$9 * (35.75013732910156 -B$8)</f>
        <v>0</v>
      </c>
      <c r="C154" t="str">
        <f>C$9 * (35.75013732910156 -C$8)</f>
        <v>0</v>
      </c>
      <c r="E154" t="str">
        <f>E$9 * (0.00983784906566143 -E$8)</f>
        <v>0</v>
      </c>
      <c r="F154" t="str">
        <f>F$9 * (4.813395023345947 -F$8)</f>
        <v>0</v>
      </c>
      <c r="G154" t="str">
        <f>G$9 * (9.744271278381348 -G$8)</f>
        <v>0</v>
      </c>
    </row>
    <row r="155" spans="1:9">
      <c r="A155" t="str">
        <f>A$9 * (36.00016784667969 -A$8)</f>
        <v>0</v>
      </c>
      <c r="B155" t="str">
        <f>B$9 * (36.00016784667969 -B$8)</f>
        <v>0</v>
      </c>
      <c r="C155" t="str">
        <f>C$9 * (36.00016784667969 -C$8)</f>
        <v>0</v>
      </c>
      <c r="E155" t="str">
        <f>E$9 * (0.009837852790951729 -E$8)</f>
        <v>0</v>
      </c>
      <c r="F155" t="str">
        <f>F$9 * (4.813395977020264 -F$8)</f>
        <v>0</v>
      </c>
      <c r="G155" t="str">
        <f>G$9 * (9.744269371032715 -G$8)</f>
        <v>0</v>
      </c>
    </row>
    <row r="156" spans="1:9">
      <c r="A156" t="str">
        <f>A$9 * (36.25019454956055 -A$8)</f>
        <v>0</v>
      </c>
      <c r="B156" t="str">
        <f>B$9 * (36.25019454956055 -B$8)</f>
        <v>0</v>
      </c>
      <c r="C156" t="str">
        <f>C$9 * (36.25019454956055 -C$8)</f>
        <v>0</v>
      </c>
      <c r="E156" t="str">
        <f>E$9 * (0.009837851859629154 -E$8)</f>
        <v>0</v>
      </c>
      <c r="F156" t="str">
        <f>F$9 * (4.813395023345947 -F$8)</f>
        <v>0</v>
      </c>
      <c r="G156" t="str">
        <f>G$9 * (9.744268417358398 -G$8)</f>
        <v>0</v>
      </c>
    </row>
    <row r="157" spans="1:9">
      <c r="A157" t="str">
        <f>A$9 * (36.50022125244141 -A$8)</f>
        <v>0</v>
      </c>
      <c r="B157" t="str">
        <f>B$9 * (36.50022125244141 -B$8)</f>
        <v>0</v>
      </c>
      <c r="C157" t="str">
        <f>C$9 * (36.50022125244141 -C$8)</f>
        <v>0</v>
      </c>
      <c r="E157" t="str">
        <f>E$9 * (0.009837849996984005 -E$8)</f>
        <v>0</v>
      </c>
      <c r="F157" t="str">
        <f>F$9 * (4.813393115997314 -F$8)</f>
        <v>0</v>
      </c>
      <c r="G157" t="str">
        <f>G$9 * (9.744265556335449 -G$8)</f>
        <v>0</v>
      </c>
    </row>
    <row r="158" spans="1:9">
      <c r="A158" t="str">
        <f>A$9 * (36.75025177001953 -A$8)</f>
        <v>0</v>
      </c>
      <c r="B158" t="str">
        <f>B$9 * (36.75025177001953 -B$8)</f>
        <v>0</v>
      </c>
      <c r="C158" t="str">
        <f>C$9 * (36.75025177001953 -C$8)</f>
        <v>0</v>
      </c>
      <c r="E158" t="str">
        <f>E$9 * (0.00983785092830658 -E$8)</f>
        <v>0</v>
      </c>
      <c r="F158" t="str">
        <f>F$9 * (4.813393115997314 -F$8)</f>
        <v>0</v>
      </c>
      <c r="G158" t="str">
        <f>G$9 * (9.744263648986816 -G$8)</f>
        <v>0</v>
      </c>
    </row>
    <row r="159" spans="1:9">
      <c r="A159" t="str">
        <f>A$9 * (37.00027847290039 -A$8)</f>
        <v>0</v>
      </c>
      <c r="B159" t="str">
        <f>B$9 * (37.00027847290039 -B$8)</f>
        <v>0</v>
      </c>
      <c r="C159" t="str">
        <f>C$9 * (37.00027847290039 -C$8)</f>
        <v>0</v>
      </c>
      <c r="E159" t="str">
        <f>E$9 * (0.009837851859629154 -E$8)</f>
        <v>0</v>
      </c>
      <c r="F159" t="str">
        <f>F$9 * (4.813392162322998 -F$8)</f>
        <v>0</v>
      </c>
      <c r="G159" t="str">
        <f>G$9 * (9.7442626953125 -G$8)</f>
        <v>0</v>
      </c>
    </row>
    <row r="160" spans="1:9">
      <c r="A160" t="str">
        <f>A$9 * (37.25030517578125 -A$8)</f>
        <v>0</v>
      </c>
      <c r="B160" t="str">
        <f>B$9 * (37.25030517578125 -B$8)</f>
        <v>0</v>
      </c>
      <c r="C160" t="str">
        <f>C$9 * (37.25030517578125 -C$8)</f>
        <v>0</v>
      </c>
      <c r="E160" t="str">
        <f>E$9 * (0.009837853722274303 -E$8)</f>
        <v>0</v>
      </c>
      <c r="F160" t="str">
        <f>F$9 * (4.813393115997314 -F$8)</f>
        <v>0</v>
      </c>
      <c r="G160" t="str">
        <f>G$9 * (9.744260787963867 -G$8)</f>
        <v>0</v>
      </c>
    </row>
    <row r="161" spans="1:9">
      <c r="A161" t="str">
        <f>A$9 * (37.50033187866211 -A$8)</f>
        <v>0</v>
      </c>
      <c r="B161" t="str">
        <f>B$9 * (37.50033187866211 -B$8)</f>
        <v>0</v>
      </c>
      <c r="C161" t="str">
        <f>C$9 * (37.50033187866211 -C$8)</f>
        <v>0</v>
      </c>
      <c r="E161" t="str">
        <f>E$9 * (0.009837853722274303 -E$8)</f>
        <v>0</v>
      </c>
      <c r="F161" t="str">
        <f>F$9 * (4.813392162322998 -F$8)</f>
        <v>0</v>
      </c>
      <c r="G161" t="str">
        <f>G$9 * (9.744259834289551 -G$8)</f>
        <v>0</v>
      </c>
    </row>
    <row r="162" spans="1:9">
      <c r="A162" t="str">
        <f>A$9 * (37.75036239624023 -A$8)</f>
        <v>0</v>
      </c>
      <c r="B162" t="str">
        <f>B$9 * (37.75036239624023 -B$8)</f>
        <v>0</v>
      </c>
      <c r="C162" t="str">
        <f>C$9 * (37.75036239624023 -C$8)</f>
        <v>0</v>
      </c>
      <c r="E162" t="str">
        <f>E$9 * (0.009837857447564602 -E$8)</f>
        <v>0</v>
      </c>
      <c r="F162" t="str">
        <f>F$9 * (4.813392162322998 -F$8)</f>
        <v>0</v>
      </c>
      <c r="G162" t="str">
        <f>G$9 * (9.744257926940918 -G$8)</f>
        <v>0</v>
      </c>
    </row>
    <row r="163" spans="1:9">
      <c r="A163" t="str">
        <f>A$9 * (38.00038909912109 -A$8)</f>
        <v>0</v>
      </c>
      <c r="B163" t="str">
        <f>B$9 * (38.00038909912109 -B$8)</f>
        <v>0</v>
      </c>
      <c r="C163" t="str">
        <f>C$9 * (38.00038909912109 -C$8)</f>
        <v>0</v>
      </c>
      <c r="E163" t="str">
        <f>E$9 * (0.009837855584919453 -E$8)</f>
        <v>0</v>
      </c>
      <c r="F163" t="str">
        <f>F$9 * (4.813391208648682 -F$8)</f>
        <v>0</v>
      </c>
      <c r="G163" t="str">
        <f>G$9 * (9.744256973266602 -G$8)</f>
        <v>0</v>
      </c>
    </row>
    <row r="164" spans="1:9">
      <c r="A164" t="str">
        <f>A$9 * (38.25002670288086 -A$8)</f>
        <v>0</v>
      </c>
      <c r="B164" t="str">
        <f>B$9 * (38.25002670288086 -B$8)</f>
        <v>0</v>
      </c>
      <c r="C164" t="str">
        <f>C$9 * (38.25002670288086 -C$8)</f>
        <v>0</v>
      </c>
      <c r="E164" t="str">
        <f>E$9 * (0.009837853722274303 -E$8)</f>
        <v>0</v>
      </c>
      <c r="F164" t="str">
        <f>F$9 * (4.813388824462891 -F$8)</f>
        <v>0</v>
      </c>
      <c r="G164" t="str">
        <f>G$9 * (9.744256019592285 -G$8)</f>
        <v>0</v>
      </c>
    </row>
    <row r="165" spans="1:9">
      <c r="A165" t="str">
        <f>A$9 * (38.50005722045898 -A$8)</f>
        <v>0</v>
      </c>
      <c r="B165" t="str">
        <f>B$9 * (38.50005722045898 -B$8)</f>
        <v>0</v>
      </c>
      <c r="C165" t="str">
        <f>C$9 * (38.50005722045898 -C$8)</f>
        <v>0</v>
      </c>
      <c r="E165" t="str">
        <f>E$9 * (0.009837854653596878 -E$8)</f>
        <v>0</v>
      </c>
      <c r="F165" t="str">
        <f>F$9 * (4.813388824462891 -F$8)</f>
        <v>0</v>
      </c>
      <c r="G165" t="str">
        <f>G$9 * (9.744254112243652 -G$8)</f>
        <v>0</v>
      </c>
    </row>
    <row r="166" spans="1:9">
      <c r="A166" t="str">
        <f>A$9 * (38.75008392333984 -A$8)</f>
        <v>0</v>
      </c>
      <c r="B166" t="str">
        <f>B$9 * (38.75008392333984 -B$8)</f>
        <v>0</v>
      </c>
      <c r="C166" t="str">
        <f>C$9 * (38.75008392333984 -C$8)</f>
        <v>0</v>
      </c>
      <c r="E166" t="str">
        <f>E$9 * (0.009837858378887177 -E$8)</f>
        <v>0</v>
      </c>
      <c r="F166" t="str">
        <f>F$9 * (4.813388824462891 -F$8)</f>
        <v>0</v>
      </c>
      <c r="G166" t="str">
        <f>G$9 * (9.744253158569336 -G$8)</f>
        <v>0</v>
      </c>
    </row>
    <row r="167" spans="1:9">
      <c r="A167" t="str">
        <f>A$9 * (39.0001106262207 -A$8)</f>
        <v>0</v>
      </c>
      <c r="B167" t="str">
        <f>B$9 * (39.0001106262207 -B$8)</f>
        <v>0</v>
      </c>
      <c r="C167" t="str">
        <f>C$9 * (39.0001106262207 -C$8)</f>
        <v>0</v>
      </c>
      <c r="E167" t="str">
        <f>E$9 * (0.009837858378887177 -E$8)</f>
        <v>0</v>
      </c>
      <c r="F167" t="str">
        <f>F$9 * (4.813388824462891 -F$8)</f>
        <v>0</v>
      </c>
      <c r="G167" t="str">
        <f>G$9 * (9.744251251220703 -G$8)</f>
        <v>0</v>
      </c>
    </row>
    <row r="168" spans="1:9">
      <c r="A168" t="str">
        <f>A$9 * (39.25013732910156 -A$8)</f>
        <v>0</v>
      </c>
      <c r="B168" t="str">
        <f>B$9 * (39.25013732910156 -B$8)</f>
        <v>0</v>
      </c>
      <c r="C168" t="str">
        <f>C$9 * (39.25013732910156 -C$8)</f>
        <v>0</v>
      </c>
      <c r="E168" t="str">
        <f>E$9 * (0.009837859310209751 -E$8)</f>
        <v>0</v>
      </c>
      <c r="F168" t="str">
        <f>F$9 * (4.813387870788574 -F$8)</f>
        <v>0</v>
      </c>
      <c r="G168" t="str">
        <f>G$9 * (9.744250297546387 -G$8)</f>
        <v>0</v>
      </c>
    </row>
    <row r="169" spans="1:9">
      <c r="A169" t="str">
        <f>A$9 * (39.50016784667969 -A$8)</f>
        <v>0</v>
      </c>
      <c r="B169" t="str">
        <f>B$9 * (39.50016784667969 -B$8)</f>
        <v>0</v>
      </c>
      <c r="C169" t="str">
        <f>C$9 * (39.50016784667969 -C$8)</f>
        <v>0</v>
      </c>
      <c r="E169" t="str">
        <f>E$9 * (0.009837858378887177 -E$8)</f>
        <v>0</v>
      </c>
      <c r="F169" t="str">
        <f>F$9 * (4.813386917114258 -F$8)</f>
        <v>0</v>
      </c>
      <c r="G169" t="str">
        <f>G$9 * (9.74424934387207 -G$8)</f>
        <v>0</v>
      </c>
    </row>
    <row r="170" spans="1:9">
      <c r="A170" t="str">
        <f>A$9 * (39.75019454956055 -A$8)</f>
        <v>0</v>
      </c>
      <c r="B170" t="str">
        <f>B$9 * (39.75019454956055 -B$8)</f>
        <v>0</v>
      </c>
      <c r="C170" t="str">
        <f>C$9 * (39.75019454956055 -C$8)</f>
        <v>0</v>
      </c>
      <c r="E170" t="str">
        <f>E$9 * (0.009837859310209751 -E$8)</f>
        <v>0</v>
      </c>
      <c r="F170" t="str">
        <f>F$9 * (4.813386917114258 -F$8)</f>
        <v>0</v>
      </c>
      <c r="G170" t="str">
        <f>G$9 * (9.744248390197754 -G$8)</f>
        <v>0</v>
      </c>
    </row>
    <row r="171" spans="1:9">
      <c r="A171" t="str">
        <f>A$9 * (40.00022125244141 -A$8)</f>
        <v>0</v>
      </c>
      <c r="B171" t="str">
        <f>B$9 * (40.00022125244141 -B$8)</f>
        <v>0</v>
      </c>
      <c r="C171" t="str">
        <f>C$9 * (40.00022125244141 -C$8)</f>
        <v>0</v>
      </c>
      <c r="E171" t="str">
        <f>E$9 * (0.009837860241532326 -E$8)</f>
        <v>0</v>
      </c>
      <c r="F171" t="str">
        <f>F$9 * (4.813386917114258 -F$8)</f>
        <v>0</v>
      </c>
      <c r="G171" t="str">
        <f>G$9 * (9.744245529174805 -G$8)</f>
        <v>0</v>
      </c>
    </row>
    <row r="172" spans="1:9">
      <c r="A172" t="str">
        <f>A$9 * (40.25025177001953 -A$8)</f>
        <v>0</v>
      </c>
      <c r="B172" t="str">
        <f>B$9 * (40.25025177001953 -B$8)</f>
        <v>0</v>
      </c>
      <c r="C172" t="str">
        <f>C$9 * (40.25025177001953 -C$8)</f>
        <v>0</v>
      </c>
      <c r="E172" t="str">
        <f>E$9 * (0.009837860241532326 -E$8)</f>
        <v>0</v>
      </c>
      <c r="F172" t="str">
        <f>F$9 * (4.813386917114258 -F$8)</f>
        <v>0</v>
      </c>
      <c r="G172" t="str">
        <f>G$9 * (9.744244575500488 -G$8)</f>
        <v>0</v>
      </c>
    </row>
    <row r="173" spans="1:9">
      <c r="A173" t="str">
        <f>A$9 * (40.50027847290039 -A$8)</f>
        <v>0</v>
      </c>
      <c r="B173" t="str">
        <f>B$9 * (40.50027847290039 -B$8)</f>
        <v>0</v>
      </c>
      <c r="C173" t="str">
        <f>C$9 * (40.50027847290039 -C$8)</f>
        <v>0</v>
      </c>
      <c r="E173" t="str">
        <f>E$9 * (0.009837859310209751 -E$8)</f>
        <v>0</v>
      </c>
      <c r="F173" t="str">
        <f>F$9 * (4.813385009765625 -F$8)</f>
        <v>0</v>
      </c>
      <c r="G173" t="str">
        <f>G$9 * (9.744243621826172 -G$8)</f>
        <v>0</v>
      </c>
    </row>
    <row r="174" spans="1:9">
      <c r="A174" t="str">
        <f>A$9 * (40.75030517578125 -A$8)</f>
        <v>0</v>
      </c>
      <c r="B174" t="str">
        <f>B$9 * (40.75030517578125 -B$8)</f>
        <v>0</v>
      </c>
      <c r="C174" t="str">
        <f>C$9 * (40.75030517578125 -C$8)</f>
        <v>0</v>
      </c>
      <c r="E174" t="str">
        <f>E$9 * (0.0098378611728549 -E$8)</f>
        <v>0</v>
      </c>
      <c r="F174" t="str">
        <f>F$9 * (4.813385963439941 -F$8)</f>
        <v>0</v>
      </c>
      <c r="G174" t="str">
        <f>G$9 * (9.744242668151855 -G$8)</f>
        <v>0</v>
      </c>
    </row>
    <row r="175" spans="1:9">
      <c r="A175" t="str">
        <f>A$9 * (41.00033187866211 -A$8)</f>
        <v>0</v>
      </c>
      <c r="B175" t="str">
        <f>B$9 * (41.00033187866211 -B$8)</f>
        <v>0</v>
      </c>
      <c r="C175" t="str">
        <f>C$9 * (41.00033187866211 -C$8)</f>
        <v>0</v>
      </c>
      <c r="E175" t="str">
        <f>E$9 * (0.009837860241532326 -E$8)</f>
        <v>0</v>
      </c>
      <c r="F175" t="str">
        <f>F$9 * (4.813384056091309 -F$8)</f>
        <v>0</v>
      </c>
      <c r="G175" t="str">
        <f>G$9 * (9.744241714477539 -G$8)</f>
        <v>0</v>
      </c>
    </row>
    <row r="176" spans="1:9">
      <c r="A176" t="str">
        <f>A$9 * (41.25036239624023 -A$8)</f>
        <v>0</v>
      </c>
      <c r="B176" t="str">
        <f>B$9 * (41.25036239624023 -B$8)</f>
        <v>0</v>
      </c>
      <c r="C176" t="str">
        <f>C$9 * (41.25036239624023 -C$8)</f>
        <v>0</v>
      </c>
      <c r="E176" t="str">
        <f>E$9 * (0.0098378611728549 -E$8)</f>
        <v>0</v>
      </c>
      <c r="F176" t="str">
        <f>F$9 * (4.813385009765625 -F$8)</f>
        <v>0</v>
      </c>
      <c r="G176" t="str">
        <f>G$9 * (9.744240760803223 -G$8)</f>
        <v>0</v>
      </c>
    </row>
    <row r="177" spans="1:9">
      <c r="A177" t="str">
        <f>A$9 * (41.50038909912109 -A$8)</f>
        <v>0</v>
      </c>
      <c r="B177" t="str">
        <f>B$9 * (41.50038909912109 -B$8)</f>
        <v>0</v>
      </c>
      <c r="C177" t="str">
        <f>C$9 * (41.50038909912109 -C$8)</f>
        <v>0</v>
      </c>
      <c r="E177" t="str">
        <f>E$9 * (0.009837860241532326 -E$8)</f>
        <v>0</v>
      </c>
      <c r="F177" t="str">
        <f>F$9 * (4.813383102416992 -F$8)</f>
        <v>0</v>
      </c>
      <c r="G177" t="str">
        <f>G$9 * (9.744239807128906 -G$8)</f>
        <v>0</v>
      </c>
    </row>
    <row r="178" spans="1:9">
      <c r="A178" t="str">
        <f>A$9 * (41.75002670288086 -A$8)</f>
        <v>0</v>
      </c>
      <c r="B178" t="str">
        <f>B$9 * (41.75002670288086 -B$8)</f>
        <v>0</v>
      </c>
      <c r="C178" t="str">
        <f>C$9 * (41.75002670288086 -C$8)</f>
        <v>0</v>
      </c>
      <c r="E178" t="str">
        <f>E$9 * (0.009837860241532326 -E$8)</f>
        <v>0</v>
      </c>
      <c r="F178" t="str">
        <f>F$9 * (4.813383102416992 -F$8)</f>
        <v>0</v>
      </c>
      <c r="G178" t="str">
        <f>G$9 * (9.74423885345459 -G$8)</f>
        <v>0</v>
      </c>
    </row>
    <row r="179" spans="1:9">
      <c r="A179" t="str">
        <f>A$9 * (42.00005722045898 -A$8)</f>
        <v>0</v>
      </c>
      <c r="B179" t="str">
        <f>B$9 * (42.00005722045898 -B$8)</f>
        <v>0</v>
      </c>
      <c r="C179" t="str">
        <f>C$9 * (42.00005722045898 -C$8)</f>
        <v>0</v>
      </c>
      <c r="E179" t="str">
        <f>E$9 * (0.00983786303550005 -E$8)</f>
        <v>0</v>
      </c>
      <c r="F179" t="str">
        <f>F$9 * (4.813384056091309 -F$8)</f>
        <v>0</v>
      </c>
      <c r="G179" t="str">
        <f>G$9 * (9.744237899780273 -G$8)</f>
        <v>0</v>
      </c>
    </row>
    <row r="180" spans="1:9">
      <c r="A180" t="str">
        <f>A$9 * (42.25008392333984 -A$8)</f>
        <v>0</v>
      </c>
      <c r="B180" t="str">
        <f>B$9 * (42.25008392333984 -B$8)</f>
        <v>0</v>
      </c>
      <c r="C180" t="str">
        <f>C$9 * (42.25008392333984 -C$8)</f>
        <v>0</v>
      </c>
      <c r="E180" t="str">
        <f>E$9 * (0.009837862104177475 -E$8)</f>
        <v>0</v>
      </c>
      <c r="F180" t="str">
        <f>F$9 * (4.813382148742676 -F$8)</f>
        <v>0</v>
      </c>
      <c r="G180" t="str">
        <f>G$9 * (9.744236946105957 -G$8)</f>
        <v>0</v>
      </c>
    </row>
    <row r="181" spans="1:9">
      <c r="A181" t="str">
        <f>A$9 * (42.5001106262207 -A$8)</f>
        <v>0</v>
      </c>
      <c r="B181" t="str">
        <f>B$9 * (42.5001106262207 -B$8)</f>
        <v>0</v>
      </c>
      <c r="C181" t="str">
        <f>C$9 * (42.5001106262207 -C$8)</f>
        <v>0</v>
      </c>
      <c r="E181" t="str">
        <f>E$9 * (0.009837863966822624 -E$8)</f>
        <v>0</v>
      </c>
      <c r="F181" t="str">
        <f>F$9 * (4.813383102416992 -F$8)</f>
        <v>0</v>
      </c>
      <c r="G181" t="str">
        <f>G$9 * (9.744235992431641 -G$8)</f>
        <v>0</v>
      </c>
    </row>
    <row r="182" spans="1:9">
      <c r="A182" t="str">
        <f>A$9 * (42.75013732910156 -A$8)</f>
        <v>0</v>
      </c>
      <c r="B182" t="str">
        <f>B$9 * (42.75013732910156 -B$8)</f>
        <v>0</v>
      </c>
      <c r="C182" t="str">
        <f>C$9 * (42.75013732910156 -C$8)</f>
        <v>0</v>
      </c>
      <c r="E182" t="str">
        <f>E$9 * (0.00983786303550005 -E$8)</f>
        <v>0</v>
      </c>
      <c r="F182" t="str">
        <f>F$9 * (4.813382148742676 -F$8)</f>
        <v>0</v>
      </c>
      <c r="G182" t="str">
        <f>G$9 * (9.744235038757324 -G$8)</f>
        <v>0</v>
      </c>
    </row>
    <row r="183" spans="1:9">
      <c r="A183" t="str">
        <f>A$9 * (43.00016784667969 -A$8)</f>
        <v>0</v>
      </c>
      <c r="B183" t="str">
        <f>B$9 * (43.00016784667969 -B$8)</f>
        <v>0</v>
      </c>
      <c r="C183" t="str">
        <f>C$9 * (43.00016784667969 -C$8)</f>
        <v>0</v>
      </c>
      <c r="E183" t="str">
        <f>E$9 * (0.009837864898145199 -E$8)</f>
        <v>0</v>
      </c>
      <c r="F183" t="str">
        <f>F$9 * (4.813382148742676 -F$8)</f>
        <v>0</v>
      </c>
      <c r="G183" t="str">
        <f>G$9 * (9.744234085083008 -G$8)</f>
        <v>0</v>
      </c>
    </row>
    <row r="184" spans="1:9">
      <c r="A184" t="str">
        <f>A$9 * (43.25019454956055 -A$8)</f>
        <v>0</v>
      </c>
      <c r="B184" t="str">
        <f>B$9 * (43.25019454956055 -B$8)</f>
        <v>0</v>
      </c>
      <c r="C184" t="str">
        <f>C$9 * (43.25019454956055 -C$8)</f>
        <v>0</v>
      </c>
      <c r="E184" t="str">
        <f>E$9 * (0.00983786303550005 -E$8)</f>
        <v>0</v>
      </c>
      <c r="F184" t="str">
        <f>F$9 * (4.813381195068359 -F$8)</f>
        <v>0</v>
      </c>
      <c r="G184" t="str">
        <f>G$9 * (9.744233131408691 -G$8)</f>
        <v>0</v>
      </c>
    </row>
    <row r="185" spans="1:9">
      <c r="A185" t="str">
        <f>A$9 * (43.50022125244141 -A$8)</f>
        <v>0</v>
      </c>
      <c r="B185" t="str">
        <f>B$9 * (43.50022125244141 -B$8)</f>
        <v>0</v>
      </c>
      <c r="C185" t="str">
        <f>C$9 * (43.50022125244141 -C$8)</f>
        <v>0</v>
      </c>
      <c r="E185" t="str">
        <f>E$9 * (0.009837863966822624 -E$8)</f>
        <v>0</v>
      </c>
      <c r="F185" t="str">
        <f>F$9 * (4.813379764556885 -F$8)</f>
        <v>0</v>
      </c>
      <c r="G185" t="str">
        <f>G$9 * (9.744232177734375 -G$8)</f>
        <v>0</v>
      </c>
    </row>
    <row r="186" spans="1:9">
      <c r="A186" t="str">
        <f>A$9 * (43.75025177001953 -A$8)</f>
        <v>0</v>
      </c>
      <c r="B186" t="str">
        <f>B$9 * (43.75025177001953 -B$8)</f>
        <v>0</v>
      </c>
      <c r="C186" t="str">
        <f>C$9 * (43.75025177001953 -C$8)</f>
        <v>0</v>
      </c>
      <c r="E186" t="str">
        <f>E$9 * (0.009837864898145199 -E$8)</f>
        <v>0</v>
      </c>
      <c r="F186" t="str">
        <f>F$9 * (4.813379764556885 -F$8)</f>
        <v>0</v>
      </c>
      <c r="G186" t="str">
        <f>G$9 * (9.744231224060059 -G$8)</f>
        <v>0</v>
      </c>
    </row>
    <row r="187" spans="1:9">
      <c r="A187" t="str">
        <f>A$9 * (44.00027847290039 -A$8)</f>
        <v>0</v>
      </c>
      <c r="B187" t="str">
        <f>B$9 * (44.00027847290039 -B$8)</f>
        <v>0</v>
      </c>
      <c r="C187" t="str">
        <f>C$9 * (44.00027847290039 -C$8)</f>
        <v>0</v>
      </c>
      <c r="E187" t="str">
        <f>E$9 * (0.009837866760790348 -E$8)</f>
        <v>0</v>
      </c>
      <c r="F187" t="str">
        <f>F$9 * (4.813381195068359 -F$8)</f>
        <v>0</v>
      </c>
      <c r="G187" t="str">
        <f>G$9 * (9.744230270385742 -G$8)</f>
        <v>0</v>
      </c>
    </row>
    <row r="188" spans="1:9">
      <c r="A188" t="str">
        <f>A$9 * (44.25030517578125 -A$8)</f>
        <v>0</v>
      </c>
      <c r="B188" t="str">
        <f>B$9 * (44.25030517578125 -B$8)</f>
        <v>0</v>
      </c>
      <c r="C188" t="str">
        <f>C$9 * (44.25030517578125 -C$8)</f>
        <v>0</v>
      </c>
      <c r="E188" t="str">
        <f>E$9 * (0.009837865829467773 -E$8)</f>
        <v>0</v>
      </c>
      <c r="F188" t="str">
        <f>F$9 * (4.813379764556885 -F$8)</f>
        <v>0</v>
      </c>
      <c r="G188" t="str">
        <f>G$9 * (9.744229316711426 -G$8)</f>
        <v>0</v>
      </c>
    </row>
    <row r="189" spans="1:9">
      <c r="A189" t="str">
        <f>A$9 * (44.50033187866211 -A$8)</f>
        <v>0</v>
      </c>
      <c r="B189" t="str">
        <f>B$9 * (44.50033187866211 -B$8)</f>
        <v>0</v>
      </c>
      <c r="C189" t="str">
        <f>C$9 * (44.50033187866211 -C$8)</f>
        <v>0</v>
      </c>
      <c r="E189" t="str">
        <f>E$9 * (0.009837866760790348 -E$8)</f>
        <v>0</v>
      </c>
      <c r="F189" t="str">
        <f>F$9 * (4.813379764556885 -F$8)</f>
        <v>0</v>
      </c>
      <c r="G189" t="str">
        <f>G$9 * (9.744228363037109 -G$8)</f>
        <v>0</v>
      </c>
    </row>
    <row r="190" spans="1:9">
      <c r="A190" t="str">
        <f>A$9 * (44.75036239624023 -A$8)</f>
        <v>0</v>
      </c>
      <c r="B190" t="str">
        <f>B$9 * (44.75036239624023 -B$8)</f>
        <v>0</v>
      </c>
      <c r="C190" t="str">
        <f>C$9 * (44.75036239624023 -C$8)</f>
        <v>0</v>
      </c>
      <c r="E190" t="str">
        <f>E$9 * (0.009837867692112923 -E$8)</f>
        <v>0</v>
      </c>
      <c r="F190" t="str">
        <f>F$9 * (4.813379764556885 -F$8)</f>
        <v>0</v>
      </c>
      <c r="G190" t="str">
        <f>G$9 * (9.744228363037109 -G$8)</f>
        <v>0</v>
      </c>
    </row>
    <row r="191" spans="1:9">
      <c r="A191" t="str">
        <f>A$9 * (45.00038909912109 -A$8)</f>
        <v>0</v>
      </c>
      <c r="B191" t="str">
        <f>B$9 * (45.00038909912109 -B$8)</f>
        <v>0</v>
      </c>
      <c r="C191" t="str">
        <f>C$9 * (45.00038909912109 -C$8)</f>
        <v>0</v>
      </c>
      <c r="E191" t="str">
        <f>E$9 * (0.009837866760790348 -E$8)</f>
        <v>0</v>
      </c>
      <c r="F191" t="str">
        <f>F$9 * (4.813378810882568 -F$8)</f>
        <v>0</v>
      </c>
      <c r="G191" t="str">
        <f>G$9 * (9.744227409362793 -G$8)</f>
        <v>0</v>
      </c>
    </row>
    <row r="192" spans="1:9">
      <c r="A192" t="str">
        <f>A$9 * (45.25002670288086 -A$8)</f>
        <v>0</v>
      </c>
      <c r="B192" t="str">
        <f>B$9 * (45.25002670288086 -B$8)</f>
        <v>0</v>
      </c>
      <c r="C192" t="str">
        <f>C$9 * (45.25002670288086 -C$8)</f>
        <v>0</v>
      </c>
      <c r="E192" t="str">
        <f>E$9 * (0.009837866760790348 -E$8)</f>
        <v>0</v>
      </c>
      <c r="F192" t="str">
        <f>F$9 * (4.813378810882568 -F$8)</f>
        <v>0</v>
      </c>
      <c r="G192" t="str">
        <f>G$9 * (9.744226455688477 -G$8)</f>
        <v>0</v>
      </c>
    </row>
    <row r="193" spans="1:9">
      <c r="A193" t="str">
        <f>A$9 * (45.50005722045898 -A$8)</f>
        <v>0</v>
      </c>
      <c r="B193" t="str">
        <f>B$9 * (45.50005722045898 -B$8)</f>
        <v>0</v>
      </c>
      <c r="C193" t="str">
        <f>C$9 * (45.50005722045898 -C$8)</f>
        <v>0</v>
      </c>
      <c r="E193" t="str">
        <f>E$9 * (0.009837867692112923 -E$8)</f>
        <v>0</v>
      </c>
      <c r="F193" t="str">
        <f>F$9 * (4.813377857208252 -F$8)</f>
        <v>0</v>
      </c>
      <c r="G193" t="str">
        <f>G$9 * (9.744224548339844 -G$8)</f>
        <v>0</v>
      </c>
    </row>
    <row r="194" spans="1:9">
      <c r="A194" t="str">
        <f>A$9 * (45.75008392333984 -A$8)</f>
        <v>0</v>
      </c>
      <c r="B194" t="str">
        <f>B$9 * (45.75008392333984 -B$8)</f>
        <v>0</v>
      </c>
      <c r="C194" t="str">
        <f>C$9 * (45.75008392333984 -C$8)</f>
        <v>0</v>
      </c>
      <c r="E194" t="str">
        <f>E$9 * (0.009837865829467773 -E$8)</f>
        <v>0</v>
      </c>
      <c r="F194" t="str">
        <f>F$9 * (4.813376903533936 -F$8)</f>
        <v>0</v>
      </c>
      <c r="G194" t="str">
        <f>G$9 * (9.744223594665527 -G$8)</f>
        <v>0</v>
      </c>
    </row>
    <row r="195" spans="1:9">
      <c r="A195" t="str">
        <f>A$9 * (46.0001106262207 -A$8)</f>
        <v>0</v>
      </c>
      <c r="B195" t="str">
        <f>B$9 * (46.0001106262207 -B$8)</f>
        <v>0</v>
      </c>
      <c r="C195" t="str">
        <f>C$9 * (46.0001106262207 -C$8)</f>
        <v>0</v>
      </c>
      <c r="E195" t="str">
        <f>E$9 * (0.009837866760790348 -E$8)</f>
        <v>0</v>
      </c>
      <c r="F195" t="str">
        <f>F$9 * (4.813376903533936 -F$8)</f>
        <v>0</v>
      </c>
      <c r="G195" t="str">
        <f>G$9 * (9.744222640991211 -G$8)</f>
        <v>0</v>
      </c>
    </row>
    <row r="196" spans="1:9">
      <c r="A196" t="str">
        <f>A$9 * (46.25013732910156 -A$8)</f>
        <v>0</v>
      </c>
      <c r="B196" t="str">
        <f>B$9 * (46.25013732910156 -B$8)</f>
        <v>0</v>
      </c>
      <c r="C196" t="str">
        <f>C$9 * (46.25013732910156 -C$8)</f>
        <v>0</v>
      </c>
      <c r="E196" t="str">
        <f>E$9 * (0.009837868623435497 -E$8)</f>
        <v>0</v>
      </c>
      <c r="F196" t="str">
        <f>F$9 * (4.813377857208252 -F$8)</f>
        <v>0</v>
      </c>
      <c r="G196" t="str">
        <f>G$9 * (9.744221687316895 -G$8)</f>
        <v>0</v>
      </c>
    </row>
    <row r="197" spans="1:9">
      <c r="A197" t="str">
        <f>A$9 * (46.50016784667969 -A$8)</f>
        <v>0</v>
      </c>
      <c r="B197" t="str">
        <f>B$9 * (46.50016784667969 -B$8)</f>
        <v>0</v>
      </c>
      <c r="C197" t="str">
        <f>C$9 * (46.50016784667969 -C$8)</f>
        <v>0</v>
      </c>
      <c r="E197" t="str">
        <f>E$9 * (0.009837869554758072 -E$8)</f>
        <v>0</v>
      </c>
      <c r="F197" t="str">
        <f>F$9 * (4.813376903533936 -F$8)</f>
        <v>0</v>
      </c>
      <c r="G197" t="str">
        <f>G$9 * (9.744221687316895 -G$8)</f>
        <v>0</v>
      </c>
    </row>
    <row r="198" spans="1:9">
      <c r="A198" t="str">
        <f>A$9 * (46.75019454956055 -A$8)</f>
        <v>0</v>
      </c>
      <c r="B198" t="str">
        <f>B$9 * (46.75019454956055 -B$8)</f>
        <v>0</v>
      </c>
      <c r="C198" t="str">
        <f>C$9 * (46.75019454956055 -C$8)</f>
        <v>0</v>
      </c>
      <c r="E198" t="str">
        <f>E$9 * (0.009837866760790348 -E$8)</f>
        <v>0</v>
      </c>
      <c r="F198" t="str">
        <f>F$9 * (4.813375949859619 -F$8)</f>
        <v>0</v>
      </c>
      <c r="G198" t="str">
        <f>G$9 * (9.744220733642578 -G$8)</f>
        <v>0</v>
      </c>
    </row>
    <row r="199" spans="1:9">
      <c r="A199" t="str">
        <f>A$9 * (47.00022125244141 -A$8)</f>
        <v>0</v>
      </c>
      <c r="B199" t="str">
        <f>B$9 * (47.00022125244141 -B$8)</f>
        <v>0</v>
      </c>
      <c r="C199" t="str">
        <f>C$9 * (47.00022125244141 -C$8)</f>
        <v>0</v>
      </c>
      <c r="E199" t="str">
        <f>E$9 * (0.009837867692112923 -E$8)</f>
        <v>0</v>
      </c>
      <c r="F199" t="str">
        <f>F$9 * (4.813374996185303 -F$8)</f>
        <v>0</v>
      </c>
      <c r="G199" t="str">
        <f>G$9 * (9.744219779968262 -G$8)</f>
        <v>0</v>
      </c>
    </row>
    <row r="200" spans="1:9">
      <c r="A200" t="str">
        <f>A$9 * (47.25025177001953 -A$8)</f>
        <v>0</v>
      </c>
      <c r="B200" t="str">
        <f>B$9 * (47.25025177001953 -B$8)</f>
        <v>0</v>
      </c>
      <c r="C200" t="str">
        <f>C$9 * (47.25025177001953 -C$8)</f>
        <v>0</v>
      </c>
      <c r="E200" t="str">
        <f>E$9 * (0.009837869554758072 -E$8)</f>
        <v>0</v>
      </c>
      <c r="F200" t="str">
        <f>F$9 * (4.813375949859619 -F$8)</f>
        <v>0</v>
      </c>
      <c r="G200" t="str">
        <f>G$9 * (9.744219779968262 -G$8)</f>
        <v>0</v>
      </c>
    </row>
    <row r="201" spans="1:9">
      <c r="A201" t="str">
        <f>A$9 * (47.50027847290039 -A$8)</f>
        <v>0</v>
      </c>
      <c r="B201" t="str">
        <f>B$9 * (47.50027847290039 -B$8)</f>
        <v>0</v>
      </c>
      <c r="C201" t="str">
        <f>C$9 * (47.50027847290039 -C$8)</f>
        <v>0</v>
      </c>
      <c r="E201" t="str">
        <f>E$9 * (0.009837867692112923 -E$8)</f>
        <v>0</v>
      </c>
      <c r="F201" t="str">
        <f>F$9 * (4.813374996185303 -F$8)</f>
        <v>0</v>
      </c>
      <c r="G201" t="str">
        <f>G$9 * (9.744218826293945 -G$8)</f>
        <v>0</v>
      </c>
    </row>
    <row r="202" spans="1:9">
      <c r="A202" t="str">
        <f>A$9 * (47.75030517578125 -A$8)</f>
        <v>0</v>
      </c>
      <c r="B202" t="str">
        <f>B$9 * (47.75030517578125 -B$8)</f>
        <v>0</v>
      </c>
      <c r="C202" t="str">
        <f>C$9 * (47.75030517578125 -C$8)</f>
        <v>0</v>
      </c>
      <c r="E202" t="str">
        <f>E$9 * (0.009837868623435497 -E$8)</f>
        <v>0</v>
      </c>
      <c r="F202" t="str">
        <f>F$9 * (4.813374996185303 -F$8)</f>
        <v>0</v>
      </c>
      <c r="G202" t="str">
        <f>G$9 * (9.744217872619629 -G$8)</f>
        <v>0</v>
      </c>
    </row>
    <row r="203" spans="1:9">
      <c r="A203" t="str">
        <f>A$9 * (48.00033187866211 -A$8)</f>
        <v>0</v>
      </c>
      <c r="B203" t="str">
        <f>B$9 * (48.00033187866211 -B$8)</f>
        <v>0</v>
      </c>
      <c r="C203" t="str">
        <f>C$9 * (48.00033187866211 -C$8)</f>
        <v>0</v>
      </c>
      <c r="E203" t="str">
        <f>E$9 * (0.009837871417403221 -E$8)</f>
        <v>0</v>
      </c>
      <c r="F203" t="str">
        <f>F$9 * (4.813374996185303 -F$8)</f>
        <v>0</v>
      </c>
      <c r="G203" t="str">
        <f>G$9 * (9.744216918945312 -G$8)</f>
        <v>0</v>
      </c>
    </row>
    <row r="204" spans="1:9">
      <c r="A204" t="str">
        <f>A$9 * (48.25036239624023 -A$8)</f>
        <v>0</v>
      </c>
      <c r="B204" t="str">
        <f>B$9 * (48.25036239624023 -B$8)</f>
        <v>0</v>
      </c>
      <c r="C204" t="str">
        <f>C$9 * (48.25036239624023 -C$8)</f>
        <v>0</v>
      </c>
      <c r="E204" t="str">
        <f>E$9 * (0.009837868623435497 -E$8)</f>
        <v>0</v>
      </c>
      <c r="F204" t="str">
        <f>F$9 * (4.813374042510986 -F$8)</f>
        <v>0</v>
      </c>
      <c r="G204" t="str">
        <f>G$9 * (9.744216918945312 -G$8)</f>
        <v>0</v>
      </c>
    </row>
    <row r="205" spans="1:9">
      <c r="A205" t="str">
        <f>A$9 * (48.50038909912109 -A$8)</f>
        <v>0</v>
      </c>
      <c r="B205" t="str">
        <f>B$9 * (48.50038909912109 -B$8)</f>
        <v>0</v>
      </c>
      <c r="C205" t="str">
        <f>C$9 * (48.50038909912109 -C$8)</f>
        <v>0</v>
      </c>
      <c r="E205" t="str">
        <f>E$9 * (0.009837869554758072 -E$8)</f>
        <v>0</v>
      </c>
      <c r="F205" t="str">
        <f>F$9 * (4.813374042510986 -F$8)</f>
        <v>0</v>
      </c>
      <c r="G205" t="str">
        <f>G$9 * (9.744215965270996 -G$8)</f>
        <v>0</v>
      </c>
    </row>
    <row r="206" spans="1:9">
      <c r="A206" t="str">
        <f>A$9 * (48.75002670288086 -A$8)</f>
        <v>0</v>
      </c>
      <c r="B206" t="str">
        <f>B$9 * (48.75002670288086 -B$8)</f>
        <v>0</v>
      </c>
      <c r="C206" t="str">
        <f>C$9 * (48.75002670288086 -C$8)</f>
        <v>0</v>
      </c>
      <c r="E206" t="str">
        <f>E$9 * (0.009837872348725796 -E$8)</f>
        <v>0</v>
      </c>
      <c r="F206" t="str">
        <f>F$9 * (4.813374996185303 -F$8)</f>
        <v>0</v>
      </c>
      <c r="G206" t="str">
        <f>G$9 * (9.74421501159668 -G$8)</f>
        <v>0</v>
      </c>
    </row>
    <row r="207" spans="1:9">
      <c r="A207" t="str">
        <f>A$9 * (49.00005722045898 -A$8)</f>
        <v>0</v>
      </c>
      <c r="B207" t="str">
        <f>B$9 * (49.00005722045898 -B$8)</f>
        <v>0</v>
      </c>
      <c r="C207" t="str">
        <f>C$9 * (49.00005722045898 -C$8)</f>
        <v>0</v>
      </c>
      <c r="E207" t="str">
        <f>E$9 * (0.009837869554758072 -E$8)</f>
        <v>0</v>
      </c>
      <c r="F207" t="str">
        <f>F$9 * (4.81337308883667 -F$8)</f>
        <v>0</v>
      </c>
      <c r="G207" t="str">
        <f>G$9 * (9.744214057922363 -G$8)</f>
        <v>0</v>
      </c>
    </row>
    <row r="208" spans="1:9">
      <c r="A208" t="str">
        <f>A$9 * (49.25008392333984 -A$8)</f>
        <v>0</v>
      </c>
      <c r="B208" t="str">
        <f>B$9 * (49.25008392333984 -B$8)</f>
        <v>0</v>
      </c>
      <c r="C208" t="str">
        <f>C$9 * (49.25008392333984 -C$8)</f>
        <v>0</v>
      </c>
      <c r="E208" t="str">
        <f>E$9 * (0.009837868623435497 -E$8)</f>
        <v>0</v>
      </c>
      <c r="F208" t="str">
        <f>F$9 * (4.81337308883667 -F$8)</f>
        <v>0</v>
      </c>
      <c r="G208" t="str">
        <f>G$9 * (9.744214057922363 -G$8)</f>
        <v>0</v>
      </c>
    </row>
    <row r="209" spans="1:9">
      <c r="A209" t="str">
        <f>A$9 * (49.5001106262207 -A$8)</f>
        <v>0</v>
      </c>
      <c r="B209" t="str">
        <f>B$9 * (49.5001106262207 -B$8)</f>
        <v>0</v>
      </c>
      <c r="C209" t="str">
        <f>C$9 * (49.5001106262207 -C$8)</f>
        <v>0</v>
      </c>
      <c r="E209" t="str">
        <f>E$9 * (0.009837872348725796 -E$8)</f>
        <v>0</v>
      </c>
      <c r="F209" t="str">
        <f>F$9 * (4.813374042510986 -F$8)</f>
        <v>0</v>
      </c>
      <c r="G209" t="str">
        <f>G$9 * (9.744213104248047 -G$8)</f>
        <v>0</v>
      </c>
    </row>
    <row r="210" spans="1:9">
      <c r="A210" t="str">
        <f>A$9 * (49.75013732910156 -A$8)</f>
        <v>0</v>
      </c>
      <c r="B210" t="str">
        <f>B$9 * (49.75013732910156 -B$8)</f>
        <v>0</v>
      </c>
      <c r="C210" t="str">
        <f>C$9 * (49.75013732910156 -C$8)</f>
        <v>0</v>
      </c>
      <c r="E210" t="str">
        <f>E$9 * (0.009837871417403221 -E$8)</f>
        <v>0</v>
      </c>
      <c r="F210" t="str">
        <f>F$9 * (4.81337308883667 -F$8)</f>
        <v>0</v>
      </c>
      <c r="G210" t="str">
        <f>G$9 * (9.744213104248047 -G$8)</f>
        <v>0</v>
      </c>
    </row>
    <row r="211" spans="1:9">
      <c r="A211" t="str">
        <f>A$9 * (50.00016784667969 -A$8)</f>
        <v>0</v>
      </c>
      <c r="B211" t="str">
        <f>B$9 * (50.00016784667969 -B$8)</f>
        <v>0</v>
      </c>
      <c r="C211" t="str">
        <f>C$9 * (50.00016784667969 -C$8)</f>
        <v>0</v>
      </c>
      <c r="E211" t="str">
        <f>E$9 * (0.00983787328004837 -E$8)</f>
        <v>0</v>
      </c>
      <c r="F211" t="str">
        <f>F$9 * (4.81337308883667 -F$8)</f>
        <v>0</v>
      </c>
      <c r="G211" t="str">
        <f>G$9 * (9.74421215057373 -G$8)</f>
        <v>0</v>
      </c>
    </row>
    <row r="212" spans="1:9">
      <c r="A212" t="str">
        <f>A$9 * (50.25019454956055 -A$8)</f>
        <v>0</v>
      </c>
      <c r="B212" t="str">
        <f>B$9 * (50.25019454956055 -B$8)</f>
        <v>0</v>
      </c>
      <c r="C212" t="str">
        <f>C$9 * (50.25019454956055 -C$8)</f>
        <v>0</v>
      </c>
      <c r="E212" t="str">
        <f>E$9 * (0.00983787328004837 -E$8)</f>
        <v>0</v>
      </c>
      <c r="F212" t="str">
        <f>F$9 * (4.81337308883667 -F$8)</f>
        <v>0</v>
      </c>
      <c r="G212" t="str">
        <f>G$9 * (9.744211196899414 -G$8)</f>
        <v>0</v>
      </c>
    </row>
    <row r="213" spans="1:9">
      <c r="A213" t="str">
        <f>A$9 * (50.50022125244141 -A$8)</f>
        <v>0</v>
      </c>
      <c r="B213" t="str">
        <f>B$9 * (50.50022125244141 -B$8)</f>
        <v>0</v>
      </c>
      <c r="C213" t="str">
        <f>C$9 * (50.50022125244141 -C$8)</f>
        <v>0</v>
      </c>
      <c r="E213" t="str">
        <f>E$9 * (0.00983787328004837 -E$8)</f>
        <v>0</v>
      </c>
      <c r="F213" t="str">
        <f>F$9 * (4.81337308883667 -F$8)</f>
        <v>0</v>
      </c>
      <c r="G213" t="str">
        <f>G$9 * (9.744210243225098 -G$8)</f>
        <v>0</v>
      </c>
    </row>
    <row r="214" spans="1:9">
      <c r="A214" t="str">
        <f>A$9 * (50.75025177001953 -A$8)</f>
        <v>0</v>
      </c>
      <c r="B214" t="str">
        <f>B$9 * (50.75025177001953 -B$8)</f>
        <v>0</v>
      </c>
      <c r="C214" t="str">
        <f>C$9 * (50.75025177001953 -C$8)</f>
        <v>0</v>
      </c>
      <c r="E214" t="str">
        <f>E$9 * (0.009837872348725796 -E$8)</f>
        <v>0</v>
      </c>
      <c r="F214" t="str">
        <f>F$9 * (4.813371181488037 -F$8)</f>
        <v>0</v>
      </c>
      <c r="G214" t="str">
        <f>G$9 * (9.744210243225098 -G$8)</f>
        <v>0</v>
      </c>
    </row>
    <row r="215" spans="1:9">
      <c r="A215" t="str">
        <f>A$9 * (51.00027847290039 -A$8)</f>
        <v>0</v>
      </c>
      <c r="B215" t="str">
        <f>B$9 * (51.00027847290039 -B$8)</f>
        <v>0</v>
      </c>
      <c r="C215" t="str">
        <f>C$9 * (51.00027847290039 -C$8)</f>
        <v>0</v>
      </c>
      <c r="E215" t="str">
        <f>E$9 * (0.009837874211370945 -E$8)</f>
        <v>0</v>
      </c>
      <c r="F215" t="str">
        <f>F$9 * (4.813372135162354 -F$8)</f>
        <v>0</v>
      </c>
      <c r="G215" t="str">
        <f>G$9 * (9.744209289550781 -G$8)</f>
        <v>0</v>
      </c>
    </row>
    <row r="216" spans="1:9">
      <c r="A216" t="str">
        <f>A$9 * (51.25030517578125 -A$8)</f>
        <v>0</v>
      </c>
      <c r="B216" t="str">
        <f>B$9 * (51.25030517578125 -B$8)</f>
        <v>0</v>
      </c>
      <c r="C216" t="str">
        <f>C$9 * (51.25030517578125 -C$8)</f>
        <v>0</v>
      </c>
      <c r="E216" t="str">
        <f>E$9 * (0.009837872348725796 -E$8)</f>
        <v>0</v>
      </c>
      <c r="F216" t="str">
        <f>F$9 * (4.813371181488037 -F$8)</f>
        <v>0</v>
      </c>
      <c r="G216" t="str">
        <f>G$9 * (9.744209289550781 -G$8)</f>
        <v>0</v>
      </c>
    </row>
    <row r="217" spans="1:9">
      <c r="A217" t="str">
        <f>A$9 * (51.50033187866211 -A$8)</f>
        <v>0</v>
      </c>
      <c r="B217" t="str">
        <f>B$9 * (51.50033187866211 -B$8)</f>
        <v>0</v>
      </c>
      <c r="C217" t="str">
        <f>C$9 * (51.50033187866211 -C$8)</f>
        <v>0</v>
      </c>
      <c r="E217" t="str">
        <f>E$9 * (0.009837874211370945 -E$8)</f>
        <v>0</v>
      </c>
      <c r="F217" t="str">
        <f>F$9 * (4.813372135162354 -F$8)</f>
        <v>0</v>
      </c>
      <c r="G217" t="str">
        <f>G$9 * (9.744208335876465 -G$8)</f>
        <v>0</v>
      </c>
    </row>
    <row r="218" spans="1:9">
      <c r="A218" t="str">
        <f>A$9 * (51.75036239624023 -A$8)</f>
        <v>0</v>
      </c>
      <c r="B218" t="str">
        <f>B$9 * (51.75036239624023 -B$8)</f>
        <v>0</v>
      </c>
      <c r="C218" t="str">
        <f>C$9 * (51.75036239624023 -C$8)</f>
        <v>0</v>
      </c>
      <c r="E218" t="str">
        <f>E$9 * (0.00983787514269352 -E$8)</f>
        <v>0</v>
      </c>
      <c r="F218" t="str">
        <f>F$9 * (4.813372135162354 -F$8)</f>
        <v>0</v>
      </c>
      <c r="G218" t="str">
        <f>G$9 * (9.744207382202148 -G$8)</f>
        <v>0</v>
      </c>
    </row>
    <row r="219" spans="1:9">
      <c r="A219" t="str">
        <f>A$9 * (52 -A$8)</f>
        <v>0</v>
      </c>
      <c r="B219" t="str">
        <f>B$9 * (52 -B$8)</f>
        <v>0</v>
      </c>
      <c r="C219" t="str">
        <f>C$9 * (52 -C$8)</f>
        <v>0</v>
      </c>
      <c r="E219" t="str">
        <f>E$9 * (0.009837874211370945 -E$8)</f>
        <v>0</v>
      </c>
      <c r="F219" t="str">
        <f>F$9 * (4.813371181488037 -F$8)</f>
        <v>0</v>
      </c>
      <c r="G219" t="str">
        <f>G$9 * (9.744207382202148 -G$8)</f>
        <v>0</v>
      </c>
    </row>
    <row r="220" spans="1:9">
      <c r="A220" t="str">
        <f>A$9 * (52.25002670288086 -A$8)</f>
        <v>0</v>
      </c>
      <c r="B220" t="str">
        <f>B$9 * (52.25002670288086 -B$8)</f>
        <v>0</v>
      </c>
      <c r="C220" t="str">
        <f>C$9 * (52.25002670288086 -C$8)</f>
        <v>0</v>
      </c>
      <c r="E220" t="str">
        <f>E$9 * (0.009837872348725796 -E$8)</f>
        <v>0</v>
      </c>
      <c r="F220" t="str">
        <f>F$9 * (4.813370227813721 -F$8)</f>
        <v>0</v>
      </c>
      <c r="G220" t="str">
        <f>G$9 * (9.744206428527832 -G$8)</f>
        <v>0</v>
      </c>
    </row>
    <row r="221" spans="1:9">
      <c r="A221" t="str">
        <f>A$9 * (52.50005722045898 -A$8)</f>
        <v>0</v>
      </c>
      <c r="B221" t="str">
        <f>B$9 * (52.50005722045898 -B$8)</f>
        <v>0</v>
      </c>
      <c r="C221" t="str">
        <f>C$9 * (52.50005722045898 -C$8)</f>
        <v>0</v>
      </c>
      <c r="E221" t="str">
        <f>E$9 * (0.00983787514269352 -E$8)</f>
        <v>0</v>
      </c>
      <c r="F221" t="str">
        <f>F$9 * (4.813371181488037 -F$8)</f>
        <v>0</v>
      </c>
      <c r="G221" t="str">
        <f>G$9 * (9.744206428527832 -G$8)</f>
        <v>0</v>
      </c>
    </row>
    <row r="222" spans="1:9">
      <c r="A222" t="str">
        <f>A$9 * (52.75008392333984 -A$8)</f>
        <v>0</v>
      </c>
      <c r="B222" t="str">
        <f>B$9 * (52.75008392333984 -B$8)</f>
        <v>0</v>
      </c>
      <c r="C222" t="str">
        <f>C$9 * (52.75008392333984 -C$8)</f>
        <v>0</v>
      </c>
      <c r="E222" t="str">
        <f>E$9 * (0.009837872348725796 -E$8)</f>
        <v>0</v>
      </c>
      <c r="F222" t="str">
        <f>F$9 * (4.813368797302246 -F$8)</f>
        <v>0</v>
      </c>
      <c r="G222" t="str">
        <f>G$9 * (9.744205474853516 -G$8)</f>
        <v>0</v>
      </c>
    </row>
    <row r="223" spans="1:9">
      <c r="A223" t="str">
        <f>A$9 * (53.0001106262207 -A$8)</f>
        <v>0</v>
      </c>
      <c r="B223" t="str">
        <f>B$9 * (53.0001106262207 -B$8)</f>
        <v>0</v>
      </c>
      <c r="C223" t="str">
        <f>C$9 * (53.0001106262207 -C$8)</f>
        <v>0</v>
      </c>
      <c r="E223" t="str">
        <f>E$9 * (0.00983787514269352 -E$8)</f>
        <v>0</v>
      </c>
      <c r="F223" t="str">
        <f>F$9 * (4.813370227813721 -F$8)</f>
        <v>0</v>
      </c>
      <c r="G223" t="str">
        <f>G$9 * (9.744203567504883 -G$8)</f>
        <v>0</v>
      </c>
    </row>
    <row r="224" spans="1:9">
      <c r="A224" t="str">
        <f>A$9 * (53.25013732910156 -A$8)</f>
        <v>0</v>
      </c>
      <c r="B224" t="str">
        <f>B$9 * (53.25013732910156 -B$8)</f>
        <v>0</v>
      </c>
      <c r="C224" t="str">
        <f>C$9 * (53.25013732910156 -C$8)</f>
        <v>0</v>
      </c>
      <c r="E224" t="str">
        <f>E$9 * (0.00983787514269352 -E$8)</f>
        <v>0</v>
      </c>
      <c r="F224" t="str">
        <f>F$9 * (4.813370227813721 -F$8)</f>
        <v>0</v>
      </c>
      <c r="G224" t="str">
        <f>G$9 * (9.744203567504883 -G$8)</f>
        <v>0</v>
      </c>
    </row>
    <row r="225" spans="1:9">
      <c r="A225" t="str">
        <f>A$9 * (53.50016784667969 -A$8)</f>
        <v>0</v>
      </c>
      <c r="B225" t="str">
        <f>B$9 * (53.50016784667969 -B$8)</f>
        <v>0</v>
      </c>
      <c r="C225" t="str">
        <f>C$9 * (53.50016784667969 -C$8)</f>
        <v>0</v>
      </c>
      <c r="E225" t="str">
        <f>E$9 * (0.00983787514269352 -E$8)</f>
        <v>0</v>
      </c>
      <c r="F225" t="str">
        <f>F$9 * (4.813370227813721 -F$8)</f>
        <v>0</v>
      </c>
      <c r="G225" t="str">
        <f>G$9 * (9.744202613830566 -G$8)</f>
        <v>0</v>
      </c>
    </row>
    <row r="226" spans="1:9">
      <c r="A226" t="str">
        <f>A$9 * (53.75019454956055 -A$8)</f>
        <v>0</v>
      </c>
      <c r="B226" t="str">
        <f>B$9 * (53.75019454956055 -B$8)</f>
        <v>0</v>
      </c>
      <c r="C226" t="str">
        <f>C$9 * (53.75019454956055 -C$8)</f>
        <v>0</v>
      </c>
      <c r="E226" t="str">
        <f>E$9 * (0.009837874211370945 -E$8)</f>
        <v>0</v>
      </c>
      <c r="F226" t="str">
        <f>F$9 * (4.813368797302246 -F$8)</f>
        <v>0</v>
      </c>
      <c r="G226" t="str">
        <f>G$9 * (9.744202613830566 -G$8)</f>
        <v>0</v>
      </c>
    </row>
    <row r="227" spans="1:9">
      <c r="A227" t="str">
        <f>A$9 * (54.00022125244141 -A$8)</f>
        <v>0</v>
      </c>
      <c r="B227" t="str">
        <f>B$9 * (54.00022125244141 -B$8)</f>
        <v>0</v>
      </c>
      <c r="C227" t="str">
        <f>C$9 * (54.00022125244141 -C$8)</f>
        <v>0</v>
      </c>
      <c r="E227" t="str">
        <f>E$9 * (0.009837874211370945 -E$8)</f>
        <v>0</v>
      </c>
      <c r="F227" t="str">
        <f>F$9 * (4.81336784362793 -F$8)</f>
        <v>0</v>
      </c>
      <c r="G227" t="str">
        <f>G$9 * (9.74420166015625 -G$8)</f>
        <v>0</v>
      </c>
    </row>
    <row r="228" spans="1:9">
      <c r="A228" t="str">
        <f>A$9 * (54.25025177001953 -A$8)</f>
        <v>0</v>
      </c>
      <c r="B228" t="str">
        <f>B$9 * (54.25025177001953 -B$8)</f>
        <v>0</v>
      </c>
      <c r="C228" t="str">
        <f>C$9 * (54.25025177001953 -C$8)</f>
        <v>0</v>
      </c>
      <c r="E228" t="str">
        <f>E$9 * (0.00983787328004837 -E$8)</f>
        <v>0</v>
      </c>
      <c r="F228" t="str">
        <f>F$9 * (4.81336784362793 -F$8)</f>
        <v>0</v>
      </c>
      <c r="G228" t="str">
        <f>G$9 * (9.74420166015625 -G$8)</f>
        <v>0</v>
      </c>
    </row>
    <row r="229" spans="1:9">
      <c r="A229" t="str">
        <f>A$9 * (54.50027847290039 -A$8)</f>
        <v>0</v>
      </c>
      <c r="B229" t="str">
        <f>B$9 * (54.50027847290039 -B$8)</f>
        <v>0</v>
      </c>
      <c r="C229" t="str">
        <f>C$9 * (54.50027847290039 -C$8)</f>
        <v>0</v>
      </c>
      <c r="E229" t="str">
        <f>E$9 * (0.00983787328004837 -E$8)</f>
        <v>0</v>
      </c>
      <c r="F229" t="str">
        <f>F$9 * (4.813366889953613 -F$8)</f>
        <v>0</v>
      </c>
      <c r="G229" t="str">
        <f>G$9 * (9.744200706481934 -G$8)</f>
        <v>0</v>
      </c>
    </row>
    <row r="230" spans="1:9">
      <c r="A230" t="str">
        <f>A$9 * (54.75030517578125 -A$8)</f>
        <v>0</v>
      </c>
      <c r="B230" t="str">
        <f>B$9 * (54.75030517578125 -B$8)</f>
        <v>0</v>
      </c>
      <c r="C230" t="str">
        <f>C$9 * (54.75030517578125 -C$8)</f>
        <v>0</v>
      </c>
      <c r="E230" t="str">
        <f>E$9 * (0.009837874211370945 -E$8)</f>
        <v>0</v>
      </c>
      <c r="F230" t="str">
        <f>F$9 * (4.813366889953613 -F$8)</f>
        <v>0</v>
      </c>
      <c r="G230" t="str">
        <f>G$9 * (9.744200706481934 -G$8)</f>
        <v>0</v>
      </c>
    </row>
    <row r="231" spans="1:9">
      <c r="A231" t="str">
        <f>A$9 * (55.00033187866211 -A$8)</f>
        <v>0</v>
      </c>
      <c r="B231" t="str">
        <f>B$9 * (55.00033187866211 -B$8)</f>
        <v>0</v>
      </c>
      <c r="C231" t="str">
        <f>C$9 * (55.00033187866211 -C$8)</f>
        <v>0</v>
      </c>
      <c r="E231" t="str">
        <f>E$9 * (0.00983787514269352 -E$8)</f>
        <v>0</v>
      </c>
      <c r="F231" t="str">
        <f>F$9 * (4.813366889953613 -F$8)</f>
        <v>0</v>
      </c>
      <c r="G231" t="str">
        <f>G$9 * (9.744199752807617 -G$8)</f>
        <v>0</v>
      </c>
    </row>
    <row r="232" spans="1:9">
      <c r="A232" t="str">
        <f>A$9 * (55.25036239624023 -A$8)</f>
        <v>0</v>
      </c>
      <c r="B232" t="str">
        <f>B$9 * (55.25036239624023 -B$8)</f>
        <v>0</v>
      </c>
      <c r="C232" t="str">
        <f>C$9 * (55.25036239624023 -C$8)</f>
        <v>0</v>
      </c>
      <c r="E232" t="str">
        <f>E$9 * (0.00983787514269352 -E$8)</f>
        <v>0</v>
      </c>
      <c r="F232" t="str">
        <f>F$9 * (4.813366889953613 -F$8)</f>
        <v>0</v>
      </c>
      <c r="G232" t="str">
        <f>G$9 * (9.744199752807617 -G$8)</f>
        <v>0</v>
      </c>
    </row>
    <row r="233" spans="1:9">
      <c r="A233" t="str">
        <f>A$9 * (55.5 -A$8)</f>
        <v>0</v>
      </c>
      <c r="B233" t="str">
        <f>B$9 * (55.5 -B$8)</f>
        <v>0</v>
      </c>
      <c r="C233" t="str">
        <f>C$9 * (55.5 -C$8)</f>
        <v>0</v>
      </c>
      <c r="E233" t="str">
        <f>E$9 * (0.009837877936661243 -E$8)</f>
        <v>0</v>
      </c>
      <c r="F233" t="str">
        <f>F$9 * (4.81336784362793 -F$8)</f>
        <v>0</v>
      </c>
      <c r="G233" t="str">
        <f>G$9 * (9.744198799133301 -G$8)</f>
        <v>0</v>
      </c>
    </row>
    <row r="234" spans="1:9">
      <c r="A234" t="str">
        <f>A$9 * (55.75002670288086 -A$8)</f>
        <v>0</v>
      </c>
      <c r="B234" t="str">
        <f>B$9 * (55.75002670288086 -B$8)</f>
        <v>0</v>
      </c>
      <c r="C234" t="str">
        <f>C$9 * (55.75002670288086 -C$8)</f>
        <v>0</v>
      </c>
      <c r="E234" t="str">
        <f>E$9 * (0.009837877005338669 -E$8)</f>
        <v>0</v>
      </c>
      <c r="F234" t="str">
        <f>F$9 * (4.81336784362793 -F$8)</f>
        <v>0</v>
      </c>
      <c r="G234" t="str">
        <f>G$9 * (9.744198799133301 -G$8)</f>
        <v>0</v>
      </c>
    </row>
    <row r="235" spans="1:9">
      <c r="A235" t="str">
        <f>A$9 * (56.00005722045898 -A$8)</f>
        <v>0</v>
      </c>
      <c r="B235" t="str">
        <f>B$9 * (56.00005722045898 -B$8)</f>
        <v>0</v>
      </c>
      <c r="C235" t="str">
        <f>C$9 * (56.00005722045898 -C$8)</f>
        <v>0</v>
      </c>
      <c r="E235" t="str">
        <f>E$9 * (0.009837877936661243 -E$8)</f>
        <v>0</v>
      </c>
      <c r="F235" t="str">
        <f>F$9 * (4.81336784362793 -F$8)</f>
        <v>0</v>
      </c>
      <c r="G235" t="str">
        <f>G$9 * (9.744197845458984 -G$8)</f>
        <v>0</v>
      </c>
    </row>
    <row r="236" spans="1:9">
      <c r="A236" t="str">
        <f>A$9 * (56.25008392333984 -A$8)</f>
        <v>0</v>
      </c>
      <c r="B236" t="str">
        <f>B$9 * (56.25008392333984 -B$8)</f>
        <v>0</v>
      </c>
      <c r="C236" t="str">
        <f>C$9 * (56.25008392333984 -C$8)</f>
        <v>0</v>
      </c>
      <c r="E236" t="str">
        <f>E$9 * (0.009837877005338669 -E$8)</f>
        <v>0</v>
      </c>
      <c r="F236" t="str">
        <f>F$9 * (4.813366889953613 -F$8)</f>
        <v>0</v>
      </c>
      <c r="G236" t="str">
        <f>G$9 * (9.744196891784668 -G$8)</f>
        <v>0</v>
      </c>
    </row>
    <row r="237" spans="1:9">
      <c r="A237" t="str">
        <f>A$9 * (56.5001106262207 -A$8)</f>
        <v>0</v>
      </c>
      <c r="B237" t="str">
        <f>B$9 * (56.5001106262207 -B$8)</f>
        <v>0</v>
      </c>
      <c r="C237" t="str">
        <f>C$9 * (56.5001106262207 -C$8)</f>
        <v>0</v>
      </c>
      <c r="E237" t="str">
        <f>E$9 * (0.009837877005338669 -E$8)</f>
        <v>0</v>
      </c>
      <c r="F237" t="str">
        <f>F$9 * (4.813365936279297 -F$8)</f>
        <v>0</v>
      </c>
      <c r="G237" t="str">
        <f>G$9 * (9.744196891784668 -G$8)</f>
        <v>0</v>
      </c>
    </row>
    <row r="238" spans="1:9">
      <c r="A238" t="str">
        <f>A$9 * (56.75013732910156 -A$8)</f>
        <v>0</v>
      </c>
      <c r="B238" t="str">
        <f>B$9 * (56.75013732910156 -B$8)</f>
        <v>0</v>
      </c>
      <c r="C238" t="str">
        <f>C$9 * (56.75013732910156 -C$8)</f>
        <v>0</v>
      </c>
      <c r="E238" t="str">
        <f>E$9 * (0.00983787514269352 -E$8)</f>
        <v>0</v>
      </c>
      <c r="F238" t="str">
        <f>F$9 * (4.813365936279297 -F$8)</f>
        <v>0</v>
      </c>
      <c r="G238" t="str">
        <f>G$9 * (9.744196891784668 -G$8)</f>
        <v>0</v>
      </c>
    </row>
    <row r="239" spans="1:9">
      <c r="A239" t="str">
        <f>A$9 * (57.00016784667969 -A$8)</f>
        <v>0</v>
      </c>
      <c r="B239" t="str">
        <f>B$9 * (57.00016784667969 -B$8)</f>
        <v>0</v>
      </c>
      <c r="C239" t="str">
        <f>C$9 * (57.00016784667969 -C$8)</f>
        <v>0</v>
      </c>
      <c r="E239" t="str">
        <f>E$9 * (0.009837876074016094 -E$8)</f>
        <v>0</v>
      </c>
      <c r="F239" t="str">
        <f>F$9 * (4.813365936279297 -F$8)</f>
        <v>0</v>
      </c>
      <c r="G239" t="str">
        <f>G$9 * (9.744195938110352 -G$8)</f>
        <v>0</v>
      </c>
    </row>
    <row r="240" spans="1:9">
      <c r="A240" t="str">
        <f>A$9 * (57.25019454956055 -A$8)</f>
        <v>0</v>
      </c>
      <c r="B240" t="str">
        <f>B$9 * (57.25019454956055 -B$8)</f>
        <v>0</v>
      </c>
      <c r="C240" t="str">
        <f>C$9 * (57.25019454956055 -C$8)</f>
        <v>0</v>
      </c>
      <c r="E240" t="str">
        <f>E$9 * (0.009837877936661243 -E$8)</f>
        <v>0</v>
      </c>
      <c r="F240" t="str">
        <f>F$9 * (4.813365936279297 -F$8)</f>
        <v>0</v>
      </c>
      <c r="G240" t="str">
        <f>G$9 * (9.744194984436035 -G$8)</f>
        <v>0</v>
      </c>
    </row>
    <row r="241" spans="1:9">
      <c r="A241" t="str">
        <f>A$9 * (57.50022125244141 -A$8)</f>
        <v>0</v>
      </c>
      <c r="B241" t="str">
        <f>B$9 * (57.50022125244141 -B$8)</f>
        <v>0</v>
      </c>
      <c r="C241" t="str">
        <f>C$9 * (57.50022125244141 -C$8)</f>
        <v>0</v>
      </c>
      <c r="E241" t="str">
        <f>E$9 * (0.009837879799306393 -E$8)</f>
        <v>0</v>
      </c>
      <c r="F241" t="str">
        <f>F$9 * (4.813366889953613 -F$8)</f>
        <v>0</v>
      </c>
      <c r="G241" t="str">
        <f>G$9 * (9.744194984436035 -G$8)</f>
        <v>0</v>
      </c>
    </row>
    <row r="242" spans="1:9">
      <c r="A242" t="str">
        <f>A$9 * (57.75025177001953 -A$8)</f>
        <v>0</v>
      </c>
      <c r="B242" t="str">
        <f>B$9 * (57.75025177001953 -B$8)</f>
        <v>0</v>
      </c>
      <c r="C242" t="str">
        <f>C$9 * (57.75025177001953 -C$8)</f>
        <v>0</v>
      </c>
      <c r="E242" t="str">
        <f>E$9 * (0.009837878867983818 -E$8)</f>
        <v>0</v>
      </c>
      <c r="F242" t="str">
        <f>F$9 * (4.813365936279297 -F$8)</f>
        <v>0</v>
      </c>
      <c r="G242" t="str">
        <f>G$9 * (9.744194984436035 -G$8)</f>
        <v>0</v>
      </c>
    </row>
    <row r="243" spans="1:9">
      <c r="A243" t="str">
        <f>A$9 * (58.00027847290039 -A$8)</f>
        <v>0</v>
      </c>
      <c r="B243" t="str">
        <f>B$9 * (58.00027847290039 -B$8)</f>
        <v>0</v>
      </c>
      <c r="C243" t="str">
        <f>C$9 * (58.00027847290039 -C$8)</f>
        <v>0</v>
      </c>
      <c r="E243" t="str">
        <f>E$9 * (0.009837877936661243 -E$8)</f>
        <v>0</v>
      </c>
      <c r="F243" t="str">
        <f>F$9 * (4.813365936279297 -F$8)</f>
        <v>0</v>
      </c>
      <c r="G243" t="str">
        <f>G$9 * (9.744194030761719 -G$8)</f>
        <v>0</v>
      </c>
    </row>
    <row r="244" spans="1:9">
      <c r="A244" t="str">
        <f>A$9 * (58.25030517578125 -A$8)</f>
        <v>0</v>
      </c>
      <c r="B244" t="str">
        <f>B$9 * (58.25030517578125 -B$8)</f>
        <v>0</v>
      </c>
      <c r="C244" t="str">
        <f>C$9 * (58.25030517578125 -C$8)</f>
        <v>0</v>
      </c>
      <c r="E244" t="str">
        <f>E$9 * (0.009837879799306393 -E$8)</f>
        <v>0</v>
      </c>
      <c r="F244" t="str">
        <f>F$9 * (4.813365936279297 -F$8)</f>
        <v>0</v>
      </c>
      <c r="G244" t="str">
        <f>G$9 * (9.744194030761719 -G$8)</f>
        <v>0</v>
      </c>
    </row>
    <row r="245" spans="1:9">
      <c r="A245" t="str">
        <f>A$9 * (58.50033187866211 -A$8)</f>
        <v>0</v>
      </c>
      <c r="B245" t="str">
        <f>B$9 * (58.50033187866211 -B$8)</f>
        <v>0</v>
      </c>
      <c r="C245" t="str">
        <f>C$9 * (58.50033187866211 -C$8)</f>
        <v>0</v>
      </c>
      <c r="E245" t="str">
        <f>E$9 * (0.009837877936661243 -E$8)</f>
        <v>0</v>
      </c>
      <c r="F245" t="str">
        <f>F$9 * (4.81336498260498 -F$8)</f>
        <v>0</v>
      </c>
      <c r="G245" t="str">
        <f>G$9 * (9.744193077087402 -G$8)</f>
        <v>0</v>
      </c>
    </row>
    <row r="246" spans="1:9">
      <c r="A246" t="str">
        <f>A$9 * (58.75036239624023 -A$8)</f>
        <v>0</v>
      </c>
      <c r="B246" t="str">
        <f>B$9 * (58.75036239624023 -B$8)</f>
        <v>0</v>
      </c>
      <c r="C246" t="str">
        <f>C$9 * (58.75036239624023 -C$8)</f>
        <v>0</v>
      </c>
      <c r="E246" t="str">
        <f>E$9 * (0.009837877936661243 -E$8)</f>
        <v>0</v>
      </c>
      <c r="F246" t="str">
        <f>F$9 * (4.81336498260498 -F$8)</f>
        <v>0</v>
      </c>
      <c r="G246" t="str">
        <f>G$9 * (9.744193077087402 -G$8)</f>
        <v>0</v>
      </c>
    </row>
    <row r="247" spans="1:9">
      <c r="A247" t="str">
        <f>A$9 * (59 -A$8)</f>
        <v>0</v>
      </c>
      <c r="B247" t="str">
        <f>B$9 * (59 -B$8)</f>
        <v>0</v>
      </c>
      <c r="C247" t="str">
        <f>C$9 * (59 -C$8)</f>
        <v>0</v>
      </c>
      <c r="E247" t="str">
        <f>E$9 * (0.009837879799306393 -E$8)</f>
        <v>0</v>
      </c>
      <c r="F247" t="str">
        <f>F$9 * (4.813365936279297 -F$8)</f>
        <v>0</v>
      </c>
      <c r="G247" t="str">
        <f>G$9 * (9.744192123413086 -G$8)</f>
        <v>0</v>
      </c>
    </row>
    <row r="248" spans="1:9">
      <c r="A248" t="str">
        <f>A$9 * (59.25002670288086 -A$8)</f>
        <v>0</v>
      </c>
      <c r="B248" t="str">
        <f>B$9 * (59.25002670288086 -B$8)</f>
        <v>0</v>
      </c>
      <c r="C248" t="str">
        <f>C$9 * (59.25002670288086 -C$8)</f>
        <v>0</v>
      </c>
      <c r="E248" t="str">
        <f>E$9 * (0.009837877005338669 -E$8)</f>
        <v>0</v>
      </c>
      <c r="F248" t="str">
        <f>F$9 * (4.813364028930664 -F$8)</f>
        <v>0</v>
      </c>
      <c r="G248" t="str">
        <f>G$9 * (9.744192123413086 -G$8)</f>
        <v>0</v>
      </c>
    </row>
    <row r="249" spans="1:9">
      <c r="A249" t="str">
        <f>A$9 * (59.50005722045898 -A$8)</f>
        <v>0</v>
      </c>
      <c r="B249" t="str">
        <f>B$9 * (59.50005722045898 -B$8)</f>
        <v>0</v>
      </c>
      <c r="C249" t="str">
        <f>C$9 * (59.50005722045898 -C$8)</f>
        <v>0</v>
      </c>
      <c r="E249" t="str">
        <f>E$9 * (0.009837879799306393 -E$8)</f>
        <v>0</v>
      </c>
      <c r="F249" t="str">
        <f>F$9 * (4.81336498260498 -F$8)</f>
        <v>0</v>
      </c>
      <c r="G249" t="str">
        <f>G$9 * (9.74419116973877 -G$8)</f>
        <v>0</v>
      </c>
    </row>
    <row r="250" spans="1:9">
      <c r="A250" t="str">
        <f>A$9 * (59.75008392333984 -A$8)</f>
        <v>0</v>
      </c>
      <c r="B250" t="str">
        <f>B$9 * (59.75008392333984 -B$8)</f>
        <v>0</v>
      </c>
      <c r="C250" t="str">
        <f>C$9 * (59.75008392333984 -C$8)</f>
        <v>0</v>
      </c>
      <c r="E250" t="str">
        <f>E$9 * (0.009837878867983818 -E$8)</f>
        <v>0</v>
      </c>
      <c r="F250" t="str">
        <f>F$9 * (4.813364028930664 -F$8)</f>
        <v>0</v>
      </c>
      <c r="G250" t="str">
        <f>G$9 * (9.74419116973877 -G$8)</f>
        <v>0</v>
      </c>
    </row>
    <row r="251" spans="1:9">
      <c r="A251" t="str">
        <f>A$9 * (60.0001106262207 -A$8)</f>
        <v>0</v>
      </c>
      <c r="B251" t="str">
        <f>B$9 * (60.0001106262207 -B$8)</f>
        <v>0</v>
      </c>
      <c r="C251" t="str">
        <f>C$9 * (60.0001106262207 -C$8)</f>
        <v>0</v>
      </c>
      <c r="E251" t="str">
        <f>E$9 * (0.009837879799306393 -E$8)</f>
        <v>0</v>
      </c>
      <c r="F251" t="str">
        <f>F$9 * (4.81336498260498 -F$8)</f>
        <v>0</v>
      </c>
      <c r="G251" t="str">
        <f>G$9 * (9.74419116973877 -G$8)</f>
        <v>0</v>
      </c>
    </row>
    <row r="252" spans="1:9">
      <c r="A252" t="str">
        <f>A$9 * (60.25013732910156 -A$8)</f>
        <v>0</v>
      </c>
      <c r="B252" t="str">
        <f>B$9 * (60.25013732910156 -B$8)</f>
        <v>0</v>
      </c>
      <c r="C252" t="str">
        <f>C$9 * (60.25013732910156 -C$8)</f>
        <v>0</v>
      </c>
      <c r="E252" t="str">
        <f>E$9 * (0.009837879799306393 -E$8)</f>
        <v>0</v>
      </c>
      <c r="F252" t="str">
        <f>F$9 * (4.81336498260498 -F$8)</f>
        <v>0</v>
      </c>
      <c r="G252" t="str">
        <f>G$9 * (9.744190216064453 -G$8)</f>
        <v>0</v>
      </c>
    </row>
    <row r="253" spans="1:9">
      <c r="A253" t="str">
        <f>A$9 * (60.50016784667969 -A$8)</f>
        <v>0</v>
      </c>
      <c r="B253" t="str">
        <f>B$9 * (60.50016784667969 -B$8)</f>
        <v>0</v>
      </c>
      <c r="C253" t="str">
        <f>C$9 * (60.50016784667969 -C$8)</f>
        <v>0</v>
      </c>
      <c r="E253" t="str">
        <f>E$9 * (0.009837877936661243 -E$8)</f>
        <v>0</v>
      </c>
      <c r="F253" t="str">
        <f>F$9 * (4.813363075256348 -F$8)</f>
        <v>0</v>
      </c>
      <c r="G253" t="str">
        <f>G$9 * (9.744190216064453 -G$8)</f>
        <v>0</v>
      </c>
    </row>
    <row r="254" spans="1:9">
      <c r="A254" t="str">
        <f>A$9 * (60.75019454956055 -A$8)</f>
        <v>0</v>
      </c>
      <c r="B254" t="str">
        <f>B$9 * (60.75019454956055 -B$8)</f>
        <v>0</v>
      </c>
      <c r="C254" t="str">
        <f>C$9 * (60.75019454956055 -C$8)</f>
        <v>0</v>
      </c>
      <c r="E254" t="str">
        <f>E$9 * (0.009837879799306393 -E$8)</f>
        <v>0</v>
      </c>
      <c r="F254" t="str">
        <f>F$9 * (4.813364028930664 -F$8)</f>
        <v>0</v>
      </c>
      <c r="G254" t="str">
        <f>G$9 * (9.744189262390137 -G$8)</f>
        <v>0</v>
      </c>
    </row>
    <row r="255" spans="1:9">
      <c r="A255" t="str">
        <f>A$9 * (61.00022125244141 -A$8)</f>
        <v>0</v>
      </c>
      <c r="B255" t="str">
        <f>B$9 * (61.00022125244141 -B$8)</f>
        <v>0</v>
      </c>
      <c r="C255" t="str">
        <f>C$9 * (61.00022125244141 -C$8)</f>
        <v>0</v>
      </c>
      <c r="E255" t="str">
        <f>E$9 * (0.009837880730628967 -E$8)</f>
        <v>0</v>
      </c>
      <c r="F255" t="str">
        <f>F$9 * (4.813364028930664 -F$8)</f>
        <v>0</v>
      </c>
      <c r="G255" t="str">
        <f>G$9 * (9.744189262390137 -G$8)</f>
        <v>0</v>
      </c>
    </row>
    <row r="256" spans="1:9">
      <c r="A256" t="str">
        <f>A$9 * (61.25025177001953 -A$8)</f>
        <v>0</v>
      </c>
      <c r="B256" t="str">
        <f>B$9 * (61.25025177001953 -B$8)</f>
        <v>0</v>
      </c>
      <c r="C256" t="str">
        <f>C$9 * (61.25025177001953 -C$8)</f>
        <v>0</v>
      </c>
      <c r="E256" t="str">
        <f>E$9 * (0.009837880730628967 -E$8)</f>
        <v>0</v>
      </c>
      <c r="F256" t="str">
        <f>F$9 * (4.813364028930664 -F$8)</f>
        <v>0</v>
      </c>
      <c r="G256" t="str">
        <f>G$9 * (9.74418830871582 -G$8)</f>
        <v>0</v>
      </c>
    </row>
    <row r="257" spans="1:9">
      <c r="A257" t="str">
        <f>A$9 * (61.50027847290039 -A$8)</f>
        <v>0</v>
      </c>
      <c r="B257" t="str">
        <f>B$9 * (61.50027847290039 -B$8)</f>
        <v>0</v>
      </c>
      <c r="C257" t="str">
        <f>C$9 * (61.50027847290039 -C$8)</f>
        <v>0</v>
      </c>
      <c r="E257" t="str">
        <f>E$9 * (0.009837880730628967 -E$8)</f>
        <v>0</v>
      </c>
      <c r="F257" t="str">
        <f>F$9 * (4.813364028930664 -F$8)</f>
        <v>0</v>
      </c>
      <c r="G257" t="str">
        <f>G$9 * (9.74418830871582 -G$8)</f>
        <v>0</v>
      </c>
    </row>
    <row r="258" spans="1:9">
      <c r="A258" t="str">
        <f>A$9 * (61.75030517578125 -A$8)</f>
        <v>0</v>
      </c>
      <c r="B258" t="str">
        <f>B$9 * (61.75030517578125 -B$8)</f>
        <v>0</v>
      </c>
      <c r="C258" t="str">
        <f>C$9 * (61.75030517578125 -C$8)</f>
        <v>0</v>
      </c>
      <c r="E258" t="str">
        <f>E$9 * (0.009837881661951542 -E$8)</f>
        <v>0</v>
      </c>
      <c r="F258" t="str">
        <f>F$9 * (4.813364028930664 -F$8)</f>
        <v>0</v>
      </c>
      <c r="G258" t="str">
        <f>G$9 * (9.74418830871582 -G$8)</f>
        <v>0</v>
      </c>
    </row>
    <row r="259" spans="1:9">
      <c r="A259" t="str">
        <f>A$9 * (62.00033187866211 -A$8)</f>
        <v>0</v>
      </c>
      <c r="B259" t="str">
        <f>B$9 * (62.00033187866211 -B$8)</f>
        <v>0</v>
      </c>
      <c r="C259" t="str">
        <f>C$9 * (62.00033187866211 -C$8)</f>
        <v>0</v>
      </c>
      <c r="E259" t="str">
        <f>E$9 * (0.009837878867983818 -E$8)</f>
        <v>0</v>
      </c>
      <c r="F259" t="str">
        <f>F$9 * (4.813362121582031 -F$8)</f>
        <v>0</v>
      </c>
      <c r="G259" t="str">
        <f>G$9 * (9.74418830871582 -G$8)</f>
        <v>0</v>
      </c>
    </row>
    <row r="260" spans="1:9">
      <c r="A260" t="str">
        <f>A$9 * (62.25036239624023 -A$8)</f>
        <v>0</v>
      </c>
      <c r="B260" t="str">
        <f>B$9 * (62.25036239624023 -B$8)</f>
        <v>0</v>
      </c>
      <c r="C260" t="str">
        <f>C$9 * (62.25036239624023 -C$8)</f>
        <v>0</v>
      </c>
      <c r="E260" t="str">
        <f>E$9 * (0.009837880730628967 -E$8)</f>
        <v>0</v>
      </c>
      <c r="F260" t="str">
        <f>F$9 * (4.813363075256348 -F$8)</f>
        <v>0</v>
      </c>
      <c r="G260" t="str">
        <f>G$9 * (9.744187355041504 -G$8)</f>
        <v>0</v>
      </c>
    </row>
    <row r="261" spans="1:9">
      <c r="A261" t="str">
        <f>A$9 * (62.5 -A$8)</f>
        <v>0</v>
      </c>
      <c r="B261" t="str">
        <f>B$9 * (62.5 -B$8)</f>
        <v>0</v>
      </c>
      <c r="C261" t="str">
        <f>C$9 * (62.5 -C$8)</f>
        <v>0</v>
      </c>
      <c r="E261" t="str">
        <f>E$9 * (0.009837880730628967 -E$8)</f>
        <v>0</v>
      </c>
      <c r="F261" t="str">
        <f>F$9 * (4.813363075256348 -F$8)</f>
        <v>0</v>
      </c>
      <c r="G261" t="str">
        <f>G$9 * (9.744186401367188 -G$8)</f>
        <v>0</v>
      </c>
    </row>
    <row r="262" spans="1:9">
      <c r="A262" t="str">
        <f>A$9 * (62.75002670288086 -A$8)</f>
        <v>0</v>
      </c>
      <c r="B262" t="str">
        <f>B$9 * (62.75002670288086 -B$8)</f>
        <v>0</v>
      </c>
      <c r="C262" t="str">
        <f>C$9 * (62.75002670288086 -C$8)</f>
        <v>0</v>
      </c>
      <c r="E262" t="str">
        <f>E$9 * (0.009837879799306393 -E$8)</f>
        <v>0</v>
      </c>
      <c r="F262" t="str">
        <f>F$9 * (4.813362121582031 -F$8)</f>
        <v>0</v>
      </c>
      <c r="G262" t="str">
        <f>G$9 * (9.744186401367188 -G$8)</f>
        <v>0</v>
      </c>
    </row>
    <row r="263" spans="1:9">
      <c r="A263" t="str">
        <f>A$9 * (63.00005722045898 -A$8)</f>
        <v>0</v>
      </c>
      <c r="B263" t="str">
        <f>B$9 * (63.00005722045898 -B$8)</f>
        <v>0</v>
      </c>
      <c r="C263" t="str">
        <f>C$9 * (63.00005722045898 -C$8)</f>
        <v>0</v>
      </c>
      <c r="E263" t="str">
        <f>E$9 * (0.009837879799306393 -E$8)</f>
        <v>0</v>
      </c>
      <c r="F263" t="str">
        <f>F$9 * (4.813361167907715 -F$8)</f>
        <v>0</v>
      </c>
      <c r="G263" t="str">
        <f>G$9 * (9.744186401367188 -G$8)</f>
        <v>0</v>
      </c>
    </row>
    <row r="264" spans="1:9">
      <c r="A264" t="str">
        <f>A$9 * (63.25008392333984 -A$8)</f>
        <v>0</v>
      </c>
      <c r="B264" t="str">
        <f>B$9 * (63.25008392333984 -B$8)</f>
        <v>0</v>
      </c>
      <c r="C264" t="str">
        <f>C$9 * (63.25008392333984 -C$8)</f>
        <v>0</v>
      </c>
      <c r="E264" t="str">
        <f>E$9 * (0.009837879799306393 -E$8)</f>
        <v>0</v>
      </c>
      <c r="F264" t="str">
        <f>F$9 * (4.813362121582031 -F$8)</f>
        <v>0</v>
      </c>
      <c r="G264" t="str">
        <f>G$9 * (9.744185447692871 -G$8)</f>
        <v>0</v>
      </c>
    </row>
    <row r="265" spans="1:9">
      <c r="A265" t="str">
        <f>A$9 * (63.5001106262207 -A$8)</f>
        <v>0</v>
      </c>
      <c r="B265" t="str">
        <f>B$9 * (63.5001106262207 -B$8)</f>
        <v>0</v>
      </c>
      <c r="C265" t="str">
        <f>C$9 * (63.5001106262207 -C$8)</f>
        <v>0</v>
      </c>
      <c r="E265" t="str">
        <f>E$9 * (0.009837880730628967 -E$8)</f>
        <v>0</v>
      </c>
      <c r="F265" t="str">
        <f>F$9 * (4.813362121582031 -F$8)</f>
        <v>0</v>
      </c>
      <c r="G265" t="str">
        <f>G$9 * (9.744185447692871 -G$8)</f>
        <v>0</v>
      </c>
    </row>
    <row r="266" spans="1:9">
      <c r="A266" t="str">
        <f>A$9 * (63.75013732910156 -A$8)</f>
        <v>0</v>
      </c>
      <c r="B266" t="str">
        <f>B$9 * (63.75013732910156 -B$8)</f>
        <v>0</v>
      </c>
      <c r="C266" t="str">
        <f>C$9 * (63.75013732910156 -C$8)</f>
        <v>0</v>
      </c>
      <c r="E266" t="str">
        <f>E$9 * (0.009837881661951542 -E$8)</f>
        <v>0</v>
      </c>
      <c r="F266" t="str">
        <f>F$9 * (4.813362121582031 -F$8)</f>
        <v>0</v>
      </c>
      <c r="G266" t="str">
        <f>G$9 * (9.744183540344238 -G$8)</f>
        <v>0</v>
      </c>
    </row>
    <row r="267" spans="1:9">
      <c r="A267" t="str">
        <f>A$9 * (64.00016784667969 -A$8)</f>
        <v>0</v>
      </c>
      <c r="B267" t="str">
        <f>B$9 * (64.00016784667969 -B$8)</f>
        <v>0</v>
      </c>
      <c r="C267" t="str">
        <f>C$9 * (64.00016784667969 -C$8)</f>
        <v>0</v>
      </c>
      <c r="E267" t="str">
        <f>E$9 * (0.009837884455919266 -E$8)</f>
        <v>0</v>
      </c>
      <c r="F267" t="str">
        <f>F$9 * (4.813363075256348 -F$8)</f>
        <v>0</v>
      </c>
      <c r="G267" t="str">
        <f>G$9 * (9.744183540344238 -G$8)</f>
        <v>0</v>
      </c>
    </row>
    <row r="268" spans="1:9">
      <c r="A268" t="str">
        <f>A$9 * (64.25019073486328 -A$8)</f>
        <v>0</v>
      </c>
      <c r="B268" t="str">
        <f>B$9 * (64.25019073486328 -B$8)</f>
        <v>0</v>
      </c>
      <c r="C268" t="str">
        <f>C$9 * (64.25019073486328 -C$8)</f>
        <v>0</v>
      </c>
      <c r="E268" t="str">
        <f>E$9 * (0.009837880730628967 -E$8)</f>
        <v>0</v>
      </c>
      <c r="F268" t="str">
        <f>F$9 * (4.813361167907715 -F$8)</f>
        <v>0</v>
      </c>
      <c r="G268" t="str">
        <f>G$9 * (9.744183540344238 -G$8)</f>
        <v>0</v>
      </c>
    </row>
    <row r="269" spans="1:9">
      <c r="A269" t="str">
        <f>A$9 * (64.50022125244141 -A$8)</f>
        <v>0</v>
      </c>
      <c r="B269" t="str">
        <f>B$9 * (64.50022125244141 -B$8)</f>
        <v>0</v>
      </c>
      <c r="C269" t="str">
        <f>C$9 * (64.50022125244141 -C$8)</f>
        <v>0</v>
      </c>
      <c r="E269" t="str">
        <f>E$9 * (0.009837882593274117 -E$8)</f>
        <v>0</v>
      </c>
      <c r="F269" t="str">
        <f>F$9 * (4.813362121582031 -F$8)</f>
        <v>0</v>
      </c>
      <c r="G269" t="str">
        <f>G$9 * (9.744182586669922 -G$8)</f>
        <v>0</v>
      </c>
    </row>
    <row r="270" spans="1:9">
      <c r="A270" t="str">
        <f>A$9 * (64.75025177001953 -A$8)</f>
        <v>0</v>
      </c>
      <c r="B270" t="str">
        <f>B$9 * (64.75025177001953 -B$8)</f>
        <v>0</v>
      </c>
      <c r="C270" t="str">
        <f>C$9 * (64.75025177001953 -C$8)</f>
        <v>0</v>
      </c>
      <c r="E270" t="str">
        <f>E$9 * (0.009837881661951542 -E$8)</f>
        <v>0</v>
      </c>
      <c r="F270" t="str">
        <f>F$9 * (4.813361167907715 -F$8)</f>
        <v>0</v>
      </c>
      <c r="G270" t="str">
        <f>G$9 * (9.744182586669922 -G$8)</f>
        <v>0</v>
      </c>
    </row>
    <row r="271" spans="1:9">
      <c r="A271" t="str">
        <f>A$9 * (65.00027465820312 -A$8)</f>
        <v>0</v>
      </c>
      <c r="B271" t="str">
        <f>B$9 * (65.00027465820312 -B$8)</f>
        <v>0</v>
      </c>
      <c r="C271" t="str">
        <f>C$9 * (65.00027465820312 -C$8)</f>
        <v>0</v>
      </c>
      <c r="E271" t="str">
        <f>E$9 * (0.009837879799306393 -E$8)</f>
        <v>0</v>
      </c>
      <c r="F271" t="str">
        <f>F$9 * (4.813360214233398 -F$8)</f>
        <v>0</v>
      </c>
      <c r="G271" t="str">
        <f>G$9 * (9.744182586669922 -G$8)</f>
        <v>0</v>
      </c>
    </row>
    <row r="272" spans="1:9">
      <c r="A272" t="str">
        <f>A$9 * (65.25030517578125 -A$8)</f>
        <v>0</v>
      </c>
      <c r="B272" t="str">
        <f>B$9 * (65.25030517578125 -B$8)</f>
        <v>0</v>
      </c>
      <c r="C272" t="str">
        <f>C$9 * (65.25030517578125 -C$8)</f>
        <v>0</v>
      </c>
      <c r="E272" t="str">
        <f>E$9 * (0.009837881661951542 -E$8)</f>
        <v>0</v>
      </c>
      <c r="F272" t="str">
        <f>F$9 * (4.813361167907715 -F$8)</f>
        <v>0</v>
      </c>
      <c r="G272" t="str">
        <f>G$9 * (9.744182586669922 -G$8)</f>
        <v>0</v>
      </c>
    </row>
    <row r="273" spans="1:9">
      <c r="A273" t="str">
        <f>A$9 * (65.50033569335938 -A$8)</f>
        <v>0</v>
      </c>
      <c r="B273" t="str">
        <f>B$9 * (65.50033569335938 -B$8)</f>
        <v>0</v>
      </c>
      <c r="C273" t="str">
        <f>C$9 * (65.50033569335938 -C$8)</f>
        <v>0</v>
      </c>
      <c r="E273" t="str">
        <f>E$9 * (0.009837882593274117 -E$8)</f>
        <v>0</v>
      </c>
      <c r="F273" t="str">
        <f>F$9 * (4.813361167907715 -F$8)</f>
        <v>0</v>
      </c>
      <c r="G273" t="str">
        <f>G$9 * (9.744181632995605 -G$8)</f>
        <v>0</v>
      </c>
    </row>
    <row r="274" spans="1:9">
      <c r="A274" t="str">
        <f>A$9 * (65.75035858154297 -A$8)</f>
        <v>0</v>
      </c>
      <c r="B274" t="str">
        <f>B$9 * (65.75035858154297 -B$8)</f>
        <v>0</v>
      </c>
      <c r="C274" t="str">
        <f>C$9 * (65.75035858154297 -C$8)</f>
        <v>0</v>
      </c>
      <c r="E274" t="str">
        <f>E$9 * (0.009837882593274117 -E$8)</f>
        <v>0</v>
      </c>
      <c r="F274" t="str">
        <f>F$9 * (4.813361167907715 -F$8)</f>
        <v>0</v>
      </c>
      <c r="G274" t="str">
        <f>G$9 * (9.744181632995605 -G$8)</f>
        <v>0</v>
      </c>
    </row>
    <row r="275" spans="1:9">
      <c r="A275" t="str">
        <f>A$9 * (66 -A$8)</f>
        <v>0</v>
      </c>
      <c r="B275" t="str">
        <f>B$9 * (66 -B$8)</f>
        <v>0</v>
      </c>
      <c r="C275" t="str">
        <f>C$9 * (66 -C$8)</f>
        <v>0</v>
      </c>
      <c r="E275" t="str">
        <f>E$9 * (0.009837884455919266 -E$8)</f>
        <v>0</v>
      </c>
      <c r="F275" t="str">
        <f>F$9 * (4.813361167907715 -F$8)</f>
        <v>0</v>
      </c>
      <c r="G275" t="str">
        <f>G$9 * (9.744180679321289 -G$8)</f>
        <v>0</v>
      </c>
    </row>
    <row r="276" spans="1:9">
      <c r="A276" t="str">
        <f>A$9 * (66.25003051757812 -A$8)</f>
        <v>0</v>
      </c>
      <c r="B276" t="str">
        <f>B$9 * (66.25003051757812 -B$8)</f>
        <v>0</v>
      </c>
      <c r="C276" t="str">
        <f>C$9 * (66.25003051757812 -C$8)</f>
        <v>0</v>
      </c>
      <c r="E276" t="str">
        <f>E$9 * (0.009837880730628967 -E$8)</f>
        <v>0</v>
      </c>
      <c r="F276" t="str">
        <f>F$9 * (4.813360214233398 -F$8)</f>
        <v>0</v>
      </c>
      <c r="G276" t="str">
        <f>G$9 * (9.744180679321289 -G$8)</f>
        <v>0</v>
      </c>
    </row>
    <row r="277" spans="1:9">
      <c r="A277" t="str">
        <f>A$9 * (66.50005340576172 -A$8)</f>
        <v>0</v>
      </c>
      <c r="B277" t="str">
        <f>B$9 * (66.50005340576172 -B$8)</f>
        <v>0</v>
      </c>
      <c r="C277" t="str">
        <f>C$9 * (66.50005340576172 -C$8)</f>
        <v>0</v>
      </c>
      <c r="E277" t="str">
        <f>E$9 * (0.009837884455919266 -E$8)</f>
        <v>0</v>
      </c>
      <c r="F277" t="str">
        <f>F$9 * (4.813361167907715 -F$8)</f>
        <v>0</v>
      </c>
      <c r="G277" t="str">
        <f>G$9 * (9.744180679321289 -G$8)</f>
        <v>0</v>
      </c>
    </row>
    <row r="278" spans="1:9">
      <c r="A278" t="str">
        <f>A$9 * (66.75008392333984 -A$8)</f>
        <v>0</v>
      </c>
      <c r="B278" t="str">
        <f>B$9 * (66.75008392333984 -B$8)</f>
        <v>0</v>
      </c>
      <c r="C278" t="str">
        <f>C$9 * (66.75008392333984 -C$8)</f>
        <v>0</v>
      </c>
      <c r="E278" t="str">
        <f>E$9 * (0.009837880730628967 -E$8)</f>
        <v>0</v>
      </c>
      <c r="F278" t="str">
        <f>F$9 * (4.813358783721924 -F$8)</f>
        <v>0</v>
      </c>
      <c r="G278" t="str">
        <f>G$9 * (9.744179725646973 -G$8)</f>
        <v>0</v>
      </c>
    </row>
    <row r="279" spans="1:9">
      <c r="A279" t="str">
        <f>A$9 * (67.00011444091797 -A$8)</f>
        <v>0</v>
      </c>
      <c r="B279" t="str">
        <f>B$9 * (67.00011444091797 -B$8)</f>
        <v>0</v>
      </c>
      <c r="C279" t="str">
        <f>C$9 * (67.00011444091797 -C$8)</f>
        <v>0</v>
      </c>
      <c r="E279" t="str">
        <f>E$9 * (0.009837881661951542 -E$8)</f>
        <v>0</v>
      </c>
      <c r="F279" t="str">
        <f>F$9 * (4.813358783721924 -F$8)</f>
        <v>0</v>
      </c>
      <c r="G279" t="str">
        <f>G$9 * (9.744179725646973 -G$8)</f>
        <v>0</v>
      </c>
    </row>
    <row r="280" spans="1:9">
      <c r="A280" t="str">
        <f>A$9 * (67.25013732910156 -A$8)</f>
        <v>0</v>
      </c>
      <c r="B280" t="str">
        <f>B$9 * (67.25013732910156 -B$8)</f>
        <v>0</v>
      </c>
      <c r="C280" t="str">
        <f>C$9 * (67.25013732910156 -C$8)</f>
        <v>0</v>
      </c>
      <c r="E280" t="str">
        <f>E$9 * (0.009837880730628967 -E$8)</f>
        <v>0</v>
      </c>
      <c r="F280" t="str">
        <f>F$9 * (4.813358783721924 -F$8)</f>
        <v>0</v>
      </c>
      <c r="G280" t="str">
        <f>G$9 * (9.744179725646973 -G$8)</f>
        <v>0</v>
      </c>
    </row>
    <row r="281" spans="1:9">
      <c r="A281" t="str">
        <f>A$9 * (67.50016784667969 -A$8)</f>
        <v>0</v>
      </c>
      <c r="B281" t="str">
        <f>B$9 * (67.50016784667969 -B$8)</f>
        <v>0</v>
      </c>
      <c r="C281" t="str">
        <f>C$9 * (67.50016784667969 -C$8)</f>
        <v>0</v>
      </c>
      <c r="E281" t="str">
        <f>E$9 * (0.00983788538724184 -E$8)</f>
        <v>0</v>
      </c>
      <c r="F281" t="str">
        <f>F$9 * (4.813360214233398 -F$8)</f>
        <v>0</v>
      </c>
      <c r="G281" t="str">
        <f>G$9 * (9.744178771972656 -G$8)</f>
        <v>0</v>
      </c>
    </row>
    <row r="282" spans="1:9">
      <c r="A282" t="str">
        <f>A$9 * (67.75019073486328 -A$8)</f>
        <v>0</v>
      </c>
      <c r="B282" t="str">
        <f>B$9 * (67.75019073486328 -B$8)</f>
        <v>0</v>
      </c>
      <c r="C282" t="str">
        <f>C$9 * (67.75019073486328 -C$8)</f>
        <v>0</v>
      </c>
      <c r="E282" t="str">
        <f>E$9 * (0.009837882593274117 -E$8)</f>
        <v>0</v>
      </c>
      <c r="F282" t="str">
        <f>F$9 * (4.813360214233398 -F$8)</f>
        <v>0</v>
      </c>
      <c r="G282" t="str">
        <f>G$9 * (9.744178771972656 -G$8)</f>
        <v>0</v>
      </c>
    </row>
    <row r="283" spans="1:9">
      <c r="A283" t="str">
        <f>A$9 * (68.00022125244141 -A$8)</f>
        <v>0</v>
      </c>
      <c r="B283" t="str">
        <f>B$9 * (68.00022125244141 -B$8)</f>
        <v>0</v>
      </c>
      <c r="C283" t="str">
        <f>C$9 * (68.00022125244141 -C$8)</f>
        <v>0</v>
      </c>
      <c r="E283" t="str">
        <f>E$9 * (0.009837884455919266 -E$8)</f>
        <v>0</v>
      </c>
      <c r="F283" t="str">
        <f>F$9 * (4.813360214233398 -F$8)</f>
        <v>0</v>
      </c>
      <c r="G283" t="str">
        <f>G$9 * (9.74417781829834 -G$8)</f>
        <v>0</v>
      </c>
    </row>
    <row r="284" spans="1:9">
      <c r="A284" t="str">
        <f>A$9 * (68.25025177001953 -A$8)</f>
        <v>0</v>
      </c>
      <c r="B284" t="str">
        <f>B$9 * (68.25025177001953 -B$8)</f>
        <v>0</v>
      </c>
      <c r="C284" t="str">
        <f>C$9 * (68.25025177001953 -C$8)</f>
        <v>0</v>
      </c>
      <c r="E284" t="str">
        <f>E$9 * (0.009837882593274117 -E$8)</f>
        <v>0</v>
      </c>
      <c r="F284" t="str">
        <f>F$9 * (4.813358783721924 -F$8)</f>
        <v>0</v>
      </c>
      <c r="G284" t="str">
        <f>G$9 * (9.74417781829834 -G$8)</f>
        <v>0</v>
      </c>
    </row>
    <row r="285" spans="1:9">
      <c r="A285" t="str">
        <f>A$9 * (68.50027465820312 -A$8)</f>
        <v>0</v>
      </c>
      <c r="B285" t="str">
        <f>B$9 * (68.50027465820312 -B$8)</f>
        <v>0</v>
      </c>
      <c r="C285" t="str">
        <f>C$9 * (68.50027465820312 -C$8)</f>
        <v>0</v>
      </c>
      <c r="E285" t="str">
        <f>E$9 * (0.009837884455919266 -E$8)</f>
        <v>0</v>
      </c>
      <c r="F285" t="str">
        <f>F$9 * (4.813358783721924 -F$8)</f>
        <v>0</v>
      </c>
      <c r="G285" t="str">
        <f>G$9 * (9.74417781829834 -G$8)</f>
        <v>0</v>
      </c>
    </row>
    <row r="286" spans="1:9">
      <c r="A286" t="str">
        <f>A$9 * (68.75030517578125 -A$8)</f>
        <v>0</v>
      </c>
      <c r="B286" t="str">
        <f>B$9 * (68.75030517578125 -B$8)</f>
        <v>0</v>
      </c>
      <c r="C286" t="str">
        <f>C$9 * (68.75030517578125 -C$8)</f>
        <v>0</v>
      </c>
      <c r="E286" t="str">
        <f>E$9 * (0.009837882593274117 -E$8)</f>
        <v>0</v>
      </c>
      <c r="F286" t="str">
        <f>F$9 * (4.813357830047607 -F$8)</f>
        <v>0</v>
      </c>
      <c r="G286" t="str">
        <f>G$9 * (9.74417781829834 -G$8)</f>
        <v>0</v>
      </c>
    </row>
    <row r="287" spans="1:9">
      <c r="A287" t="str">
        <f>A$9 * (69.00033569335938 -A$8)</f>
        <v>0</v>
      </c>
      <c r="B287" t="str">
        <f>B$9 * (69.00033569335938 -B$8)</f>
        <v>0</v>
      </c>
      <c r="C287" t="str">
        <f>C$9 * (69.00033569335938 -C$8)</f>
        <v>0</v>
      </c>
      <c r="E287" t="str">
        <f>E$9 * (0.009837882593274117 -E$8)</f>
        <v>0</v>
      </c>
      <c r="F287" t="str">
        <f>F$9 * (4.813357830047607 -F$8)</f>
        <v>0</v>
      </c>
      <c r="G287" t="str">
        <f>G$9 * (9.744176864624023 -G$8)</f>
        <v>0</v>
      </c>
    </row>
    <row r="288" spans="1:9">
      <c r="A288" t="str">
        <f>A$9 * (69.25035858154297 -A$8)</f>
        <v>0</v>
      </c>
      <c r="B288" t="str">
        <f>B$9 * (69.25035858154297 -B$8)</f>
        <v>0</v>
      </c>
      <c r="C288" t="str">
        <f>C$9 * (69.25035858154297 -C$8)</f>
        <v>0</v>
      </c>
      <c r="E288" t="str">
        <f>E$9 * (0.009837882593274117 -E$8)</f>
        <v>0</v>
      </c>
      <c r="F288" t="str">
        <f>F$9 * (4.813357830047607 -F$8)</f>
        <v>0</v>
      </c>
      <c r="G288" t="str">
        <f>G$9 * (9.744176864624023 -G$8)</f>
        <v>0</v>
      </c>
    </row>
    <row r="289" spans="1:9">
      <c r="A289" t="str">
        <f>A$9 * (69.5 -A$8)</f>
        <v>0</v>
      </c>
      <c r="B289" t="str">
        <f>B$9 * (69.5 -B$8)</f>
        <v>0</v>
      </c>
      <c r="C289" t="str">
        <f>C$9 * (69.5 -C$8)</f>
        <v>0</v>
      </c>
      <c r="E289" t="str">
        <f>E$9 * (0.00983788538724184 -E$8)</f>
        <v>0</v>
      </c>
      <c r="F289" t="str">
        <f>F$9 * (4.813358783721924 -F$8)</f>
        <v>0</v>
      </c>
      <c r="G289" t="str">
        <f>G$9 * (9.744176864624023 -G$8)</f>
        <v>0</v>
      </c>
    </row>
    <row r="290" spans="1:9">
      <c r="A290" t="str">
        <f>A$9 * (69.75003051757812 -A$8)</f>
        <v>0</v>
      </c>
      <c r="B290" t="str">
        <f>B$9 * (69.75003051757812 -B$8)</f>
        <v>0</v>
      </c>
      <c r="C290" t="str">
        <f>C$9 * (69.75003051757812 -C$8)</f>
        <v>0</v>
      </c>
      <c r="E290" t="str">
        <f>E$9 * (0.009837881661951542 -E$8)</f>
        <v>0</v>
      </c>
      <c r="F290" t="str">
        <f>F$9 * (4.813357830047607 -F$8)</f>
        <v>0</v>
      </c>
      <c r="G290" t="str">
        <f>G$9 * (9.744175910949707 -G$8)</f>
        <v>0</v>
      </c>
    </row>
    <row r="291" spans="1:9">
      <c r="A291" t="str">
        <f>A$9 * (70.00005340576172 -A$8)</f>
        <v>0</v>
      </c>
      <c r="B291" t="str">
        <f>B$9 * (70.00005340576172 -B$8)</f>
        <v>0</v>
      </c>
      <c r="C291" t="str">
        <f>C$9 * (70.00005340576172 -C$8)</f>
        <v>0</v>
      </c>
      <c r="E291" t="str">
        <f>E$9 * (0.00983788538724184 -E$8)</f>
        <v>0</v>
      </c>
      <c r="F291" t="str">
        <f>F$9 * (4.813358783721924 -F$8)</f>
        <v>0</v>
      </c>
      <c r="G291" t="str">
        <f>G$9 * (9.744175910949707 -G$8)</f>
        <v>0</v>
      </c>
    </row>
    <row r="292" spans="1:9">
      <c r="A292" t="str">
        <f>A$9 * (70.25008392333984 -A$8)</f>
        <v>0</v>
      </c>
      <c r="B292" t="str">
        <f>B$9 * (70.25008392333984 -B$8)</f>
        <v>0</v>
      </c>
      <c r="C292" t="str">
        <f>C$9 * (70.25008392333984 -C$8)</f>
        <v>0</v>
      </c>
      <c r="E292" t="str">
        <f>E$9 * (0.009837881661951542 -E$8)</f>
        <v>0</v>
      </c>
      <c r="F292" t="str">
        <f>F$9 * (4.813356876373291 -F$8)</f>
        <v>0</v>
      </c>
      <c r="G292" t="str">
        <f>G$9 * (9.744175910949707 -G$8)</f>
        <v>0</v>
      </c>
    </row>
    <row r="293" spans="1:9">
      <c r="A293" t="str">
        <f>A$9 * (70.50011444091797 -A$8)</f>
        <v>0</v>
      </c>
      <c r="B293" t="str">
        <f>B$9 * (70.50011444091797 -B$8)</f>
        <v>0</v>
      </c>
      <c r="C293" t="str">
        <f>C$9 * (70.50011444091797 -C$8)</f>
        <v>0</v>
      </c>
      <c r="E293" t="str">
        <f>E$9 * (0.00983788538724184 -E$8)</f>
        <v>0</v>
      </c>
      <c r="F293" t="str">
        <f>F$9 * (4.813357830047607 -F$8)</f>
        <v>0</v>
      </c>
      <c r="G293" t="str">
        <f>G$9 * (9.744174957275391 -G$8)</f>
        <v>0</v>
      </c>
    </row>
    <row r="294" spans="1:9">
      <c r="A294" t="str">
        <f>A$9 * (70.75013732910156 -A$8)</f>
        <v>0</v>
      </c>
      <c r="B294" t="str">
        <f>B$9 * (70.75013732910156 -B$8)</f>
        <v>0</v>
      </c>
      <c r="C294" t="str">
        <f>C$9 * (70.75013732910156 -C$8)</f>
        <v>0</v>
      </c>
      <c r="E294" t="str">
        <f>E$9 * (0.00983788538724184 -E$8)</f>
        <v>0</v>
      </c>
      <c r="F294" t="str">
        <f>F$9 * (4.813357830047607 -F$8)</f>
        <v>0</v>
      </c>
      <c r="G294" t="str">
        <f>G$9 * (9.744174957275391 -G$8)</f>
        <v>0</v>
      </c>
    </row>
    <row r="295" spans="1:9">
      <c r="A295" t="str">
        <f>A$9 * (71.00016784667969 -A$8)</f>
        <v>0</v>
      </c>
      <c r="B295" t="str">
        <f>B$9 * (71.00016784667969 -B$8)</f>
        <v>0</v>
      </c>
      <c r="C295" t="str">
        <f>C$9 * (71.00016784667969 -C$8)</f>
        <v>0</v>
      </c>
      <c r="E295" t="str">
        <f>E$9 * (0.009837886318564415 -E$8)</f>
        <v>0</v>
      </c>
      <c r="F295" t="str">
        <f>F$9 * (4.813357830047607 -F$8)</f>
        <v>0</v>
      </c>
      <c r="G295" t="str">
        <f>G$9 * (9.744174957275391 -G$8)</f>
        <v>0</v>
      </c>
    </row>
    <row r="296" spans="1:9">
      <c r="A296" t="str">
        <f>A$9 * (71.25019073486328 -A$8)</f>
        <v>0</v>
      </c>
      <c r="B296" t="str">
        <f>B$9 * (71.25019073486328 -B$8)</f>
        <v>0</v>
      </c>
      <c r="C296" t="str">
        <f>C$9 * (71.25019073486328 -C$8)</f>
        <v>0</v>
      </c>
      <c r="E296" t="str">
        <f>E$9 * (0.00983788538724184 -E$8)</f>
        <v>0</v>
      </c>
      <c r="F296" t="str">
        <f>F$9 * (4.813357830047607 -F$8)</f>
        <v>0</v>
      </c>
      <c r="G296" t="str">
        <f>G$9 * (9.744174003601074 -G$8)</f>
        <v>0</v>
      </c>
    </row>
    <row r="297" spans="1:9">
      <c r="A297" t="str">
        <f>A$9 * (71.50022125244141 -A$8)</f>
        <v>0</v>
      </c>
      <c r="B297" t="str">
        <f>B$9 * (71.50022125244141 -B$8)</f>
        <v>0</v>
      </c>
      <c r="C297" t="str">
        <f>C$9 * (71.50022125244141 -C$8)</f>
        <v>0</v>
      </c>
      <c r="E297" t="str">
        <f>E$9 * (0.009837886318564415 -E$8)</f>
        <v>0</v>
      </c>
      <c r="F297" t="str">
        <f>F$9 * (4.813357830047607 -F$8)</f>
        <v>0</v>
      </c>
      <c r="G297" t="str">
        <f>G$9 * (9.744174003601074 -G$8)</f>
        <v>0</v>
      </c>
    </row>
    <row r="298" spans="1:9">
      <c r="A298" t="str">
        <f>A$9 * (71.75025177001953 -A$8)</f>
        <v>0</v>
      </c>
      <c r="B298" t="str">
        <f>B$9 * (71.75025177001953 -B$8)</f>
        <v>0</v>
      </c>
      <c r="C298" t="str">
        <f>C$9 * (71.75025177001953 -C$8)</f>
        <v>0</v>
      </c>
      <c r="E298" t="str">
        <f>E$9 * (0.009837886318564415 -E$8)</f>
        <v>0</v>
      </c>
      <c r="F298" t="str">
        <f>F$9 * (4.813357830047607 -F$8)</f>
        <v>0</v>
      </c>
      <c r="G298" t="str">
        <f>G$9 * (9.744174003601074 -G$8)</f>
        <v>0</v>
      </c>
    </row>
    <row r="299" spans="1:9">
      <c r="A299" t="str">
        <f>A$9 * (72.00027465820312 -A$8)</f>
        <v>0</v>
      </c>
      <c r="B299" t="str">
        <f>B$9 * (72.00027465820312 -B$8)</f>
        <v>0</v>
      </c>
      <c r="C299" t="str">
        <f>C$9 * (72.00027465820312 -C$8)</f>
        <v>0</v>
      </c>
      <c r="E299" t="str">
        <f>E$9 * (0.009837886318564415 -E$8)</f>
        <v>0</v>
      </c>
      <c r="F299" t="str">
        <f>F$9 * (4.813357830047607 -F$8)</f>
        <v>0</v>
      </c>
      <c r="G299" t="str">
        <f>G$9 * (9.744174003601074 -G$8)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99"/>
  <sheetViews>
    <sheetView tabSelected="0" workbookViewId="0" showGridLines="true" showRowColHeaders="1">
      <selection activeCell="G10" sqref="G10"/>
    </sheetView>
  </sheetViews>
  <sheetFormatPr defaultRowHeight="14.4" outlineLevelRow="0" outlineLevelCol="0"/>
  <sheetData>
    <row r="1" spans="1:9">
      <c r="A1" s="2" t="s">
        <v>8</v>
      </c>
      <c r="B1" s="2" t="s">
        <v>8</v>
      </c>
      <c r="C1" s="2" t="s">
        <v>8</v>
      </c>
      <c r="D1" s="1"/>
      <c r="E1" s="2" t="s">
        <v>9</v>
      </c>
      <c r="F1" s="2" t="s">
        <v>10</v>
      </c>
      <c r="G1" s="2" t="s">
        <v>10</v>
      </c>
    </row>
    <row r="2" spans="1:9">
      <c r="A2" s="1" t="s">
        <v>11</v>
      </c>
      <c r="B2" s="1" t="s">
        <v>12</v>
      </c>
      <c r="C2" s="1" t="s">
        <v>13</v>
      </c>
      <c r="D2" s="1"/>
      <c r="E2" s="1" t="str">
        <f>'Legends'!B2</f>
        <v>0</v>
      </c>
      <c r="F2" s="1" t="str">
        <f>'Legends'!B3</f>
        <v>0</v>
      </c>
      <c r="G2" s="1" t="str">
        <f>'Legends'!B4</f>
        <v>0</v>
      </c>
      <c r="I2" s="3" t="s">
        <v>21</v>
      </c>
    </row>
    <row r="3" spans="1:9">
      <c r="A3" t="str">
        <f>MIN($A$11:$A$299)</f>
        <v>0</v>
      </c>
      <c r="B3" t="str">
        <f>MIN($B$11:$B$299)</f>
        <v>0</v>
      </c>
      <c r="C3" t="str">
        <f>MIN($C$11:$C$299)</f>
        <v>0</v>
      </c>
      <c r="D3" s="1" t="s">
        <v>15</v>
      </c>
      <c r="E3" t="str">
        <f>MIN($E$11:$E$299)</f>
        <v>0</v>
      </c>
      <c r="F3" t="str">
        <f>MIN($F$11:$F$299)</f>
        <v>0</v>
      </c>
      <c r="G3" t="str">
        <f>MIN($G$11:$G$299)</f>
        <v>0</v>
      </c>
    </row>
    <row r="4" spans="1:9">
      <c r="A4" t="str">
        <f>MEDIAN($A$11:$A$299)</f>
        <v>0</v>
      </c>
      <c r="B4" t="str">
        <f>MEDIAN($B$11:$B$299)</f>
        <v>0</v>
      </c>
      <c r="C4" t="str">
        <f>MEDIAN($C$11:$C$299)</f>
        <v>0</v>
      </c>
      <c r="D4" s="1" t="s">
        <v>16</v>
      </c>
      <c r="E4" t="str">
        <f>MEDIAN($E$11:$E$299)</f>
        <v>0</v>
      </c>
      <c r="F4" t="str">
        <f>MEDIAN($F$11:$F$299)</f>
        <v>0</v>
      </c>
      <c r="G4" t="str">
        <f>MEDIAN($G$11:$G$299)</f>
        <v>0</v>
      </c>
    </row>
    <row r="5" spans="1:9">
      <c r="A5" t="str">
        <f>MAX($A$11:$A$299)</f>
        <v>0</v>
      </c>
      <c r="B5" t="str">
        <f>MAX($B$11:$B$299)</f>
        <v>0</v>
      </c>
      <c r="C5" t="str">
        <f>MAX($C$11:$C$299)</f>
        <v>0</v>
      </c>
      <c r="D5" s="1" t="s">
        <v>17</v>
      </c>
      <c r="E5" t="str">
        <f>MAX($E$11:$E$299)</f>
        <v>0</v>
      </c>
      <c r="F5" t="str">
        <f>MAX($F$11:$F$299)</f>
        <v>0</v>
      </c>
      <c r="G5" t="str">
        <f>MAX($G$11:$G$299)</f>
        <v>0</v>
      </c>
    </row>
    <row r="6" spans="1:9">
      <c r="A6" t="str">
        <f>$A5-$A3</f>
        <v>0</v>
      </c>
      <c r="B6" t="str">
        <f>$B5-$B3</f>
        <v>0</v>
      </c>
      <c r="C6" t="str">
        <f>$C5-$C3</f>
        <v>0</v>
      </c>
      <c r="D6" s="1" t="s">
        <v>18</v>
      </c>
      <c r="E6" t="str">
        <f>$E5-$E3</f>
        <v>0</v>
      </c>
      <c r="F6" t="str">
        <f>$F5-$F3</f>
        <v>0</v>
      </c>
      <c r="G6" t="str">
        <f>$G5-$G3</f>
        <v>0</v>
      </c>
    </row>
    <row r="7" spans="1:9">
      <c r="A7" s="2" t="s">
        <v>8</v>
      </c>
      <c r="B7" s="2" t="s">
        <v>8</v>
      </c>
      <c r="C7" s="2" t="s">
        <v>8</v>
      </c>
      <c r="D7" s="1"/>
      <c r="E7" s="2" t="s">
        <v>9</v>
      </c>
      <c r="F7" s="2" t="s">
        <v>10</v>
      </c>
      <c r="G7" s="2" t="s">
        <v>10</v>
      </c>
    </row>
    <row r="8" spans="1:9">
      <c r="A8">
        <v>0</v>
      </c>
      <c r="B8">
        <v>0</v>
      </c>
      <c r="C8">
        <v>0</v>
      </c>
      <c r="D8" s="1" t="s">
        <v>19</v>
      </c>
      <c r="E8">
        <v>0</v>
      </c>
      <c r="F8">
        <v>0</v>
      </c>
      <c r="G8">
        <v>0</v>
      </c>
    </row>
    <row r="9" spans="1:9">
      <c r="A9">
        <v>1</v>
      </c>
      <c r="B9">
        <v>1</v>
      </c>
      <c r="C9">
        <v>1</v>
      </c>
      <c r="D9" s="1" t="s">
        <v>20</v>
      </c>
      <c r="E9">
        <v>1</v>
      </c>
      <c r="F9">
        <v>1</v>
      </c>
      <c r="G9">
        <v>1</v>
      </c>
    </row>
    <row r="10" spans="1:9">
      <c r="A10" s="1" t="s">
        <v>11</v>
      </c>
      <c r="B10" s="1" t="s">
        <v>12</v>
      </c>
      <c r="C10" s="1" t="s">
        <v>13</v>
      </c>
      <c r="D10" s="1"/>
      <c r="E10" s="1" t="str">
        <f>'Legends'!B2</f>
        <v>0</v>
      </c>
      <c r="F10" s="1" t="str">
        <f>'Legends'!B3</f>
        <v>0</v>
      </c>
      <c r="G10" s="1" t="str">
        <f>'Legends'!B4</f>
        <v>0</v>
      </c>
    </row>
    <row r="11" spans="1:9">
      <c r="A11" t="str">
        <f>A$9 * (0 -A$8)</f>
        <v>0</v>
      </c>
      <c r="B11" t="str">
        <f>B$9 * (0 -B$8)</f>
        <v>0</v>
      </c>
      <c r="C11" t="str">
        <f>C$9 * (0 -C$8)</f>
        <v>0</v>
      </c>
      <c r="E11" t="str">
        <f>E$9 * (0.01899014040827751 -E$8)</f>
        <v>0</v>
      </c>
      <c r="F11" t="str">
        <f>F$9 * (6.976023197174072 -F$8)</f>
        <v>0</v>
      </c>
      <c r="G11" t="str">
        <f>G$9 * (9.87746524810791 -G$8)</f>
        <v>0</v>
      </c>
    </row>
    <row r="12" spans="1:9">
      <c r="A12" t="str">
        <f>A$9 * (0.2502377033233643 -A$8)</f>
        <v>0</v>
      </c>
      <c r="B12" t="str">
        <f>B$9 * (0.2502377033233643 -B$8)</f>
        <v>0</v>
      </c>
      <c r="C12" t="str">
        <f>C$9 * (0.2502377033233643 -C$8)</f>
        <v>0</v>
      </c>
      <c r="E12" t="str">
        <f>E$9 * (0.01325710956007242 -E$8)</f>
        <v>0</v>
      </c>
      <c r="F12" t="str">
        <f>F$9 * (6.133063793182373 -F$8)</f>
        <v>0</v>
      </c>
      <c r="G12" t="str">
        <f>G$9 * (10.41926002502441 -G$8)</f>
        <v>0</v>
      </c>
    </row>
    <row r="13" spans="1:9">
      <c r="A13" t="str">
        <f>A$9 * (0.5001344680786133 -A$8)</f>
        <v>0</v>
      </c>
      <c r="B13" t="str">
        <f>B$9 * (0.5001344680786133 -B$8)</f>
        <v>0</v>
      </c>
      <c r="C13" t="str">
        <f>C$9 * (0.5001344680786133 -C$8)</f>
        <v>0</v>
      </c>
      <c r="E13" t="str">
        <f>E$9 * (0.009549681097269058 -E$8)</f>
        <v>0</v>
      </c>
      <c r="F13" t="str">
        <f>F$9 * (4.365466117858887 -F$8)</f>
        <v>0</v>
      </c>
      <c r="G13" t="str">
        <f>G$9 * (8.80455207824707 -G$8)</f>
        <v>0</v>
      </c>
    </row>
    <row r="14" spans="1:9">
      <c r="A14" t="str">
        <f>A$9 * (0.7502166628837585 -A$8)</f>
        <v>0</v>
      </c>
      <c r="B14" t="str">
        <f>B$9 * (0.7502166628837585 -B$8)</f>
        <v>0</v>
      </c>
      <c r="C14" t="str">
        <f>C$9 * (0.7502166628837585 -C$8)</f>
        <v>0</v>
      </c>
      <c r="E14" t="str">
        <f>E$9 * (0.01315690018236637 -E$8)</f>
        <v>0</v>
      </c>
      <c r="F14" t="str">
        <f>F$9 * (5.038919925689697 -F$8)</f>
        <v>0</v>
      </c>
      <c r="G14" t="str">
        <f>G$9 * (8.427870750427246 -G$8)</f>
        <v>0</v>
      </c>
    </row>
    <row r="15" spans="1:9">
      <c r="A15" t="str">
        <f>A$9 * (1.000296950340271 -A$8)</f>
        <v>0</v>
      </c>
      <c r="B15" t="str">
        <f>B$9 * (1.000296950340271 -B$8)</f>
        <v>0</v>
      </c>
      <c r="C15" t="str">
        <f>C$9 * (1.000296950340271 -C$8)</f>
        <v>0</v>
      </c>
      <c r="E15" t="str">
        <f>E$9 * (0.009365567937493324 -E$8)</f>
        <v>0</v>
      </c>
      <c r="F15" t="str">
        <f>F$9 * (4.040027141571045 -F$8)</f>
        <v>0</v>
      </c>
      <c r="G15" t="str">
        <f>G$9 * (8.207898139953613 -G$8)</f>
        <v>0</v>
      </c>
    </row>
    <row r="16" spans="1:9">
      <c r="A16" t="str">
        <f>A$9 * (1.250070571899414 -A$8)</f>
        <v>0</v>
      </c>
      <c r="B16" t="str">
        <f>B$9 * (1.250070571899414 -B$8)</f>
        <v>0</v>
      </c>
      <c r="C16" t="str">
        <f>C$9 * (1.250070571899414 -C$8)</f>
        <v>0</v>
      </c>
      <c r="E16" t="str">
        <f>E$9 * (0.008319569751620293 -E$8)</f>
        <v>0</v>
      </c>
      <c r="F16" t="str">
        <f>F$9 * (3.141571044921875 -F$8)</f>
        <v>0</v>
      </c>
      <c r="G16" t="str">
        <f>G$9 * (6.773316860198975 -G$8)</f>
        <v>0</v>
      </c>
    </row>
    <row r="17" spans="1:9">
      <c r="A17" t="str">
        <f>A$9 * (1.500028848648071 -A$8)</f>
        <v>0</v>
      </c>
      <c r="B17" t="str">
        <f>B$9 * (1.500028848648071 -B$8)</f>
        <v>0</v>
      </c>
      <c r="C17" t="str">
        <f>C$9 * (1.500028848648071 -C$8)</f>
        <v>0</v>
      </c>
      <c r="E17" t="str">
        <f>E$9 * (0.009252616204321384 -E$8)</f>
        <v>0</v>
      </c>
      <c r="F17" t="str">
        <f>F$9 * (4.243772983551025 -F$8)</f>
        <v>0</v>
      </c>
      <c r="G17" t="str">
        <f>G$9 * (8.722887992858887 -G$8)</f>
        <v>0</v>
      </c>
    </row>
    <row r="18" spans="1:9">
      <c r="A18" t="str">
        <f>A$9 * (1.750007748603821 -A$8)</f>
        <v>0</v>
      </c>
      <c r="B18" t="str">
        <f>B$9 * (1.750007748603821 -B$8)</f>
        <v>0</v>
      </c>
      <c r="C18" t="str">
        <f>C$9 * (1.750007748603821 -C$8)</f>
        <v>0</v>
      </c>
      <c r="E18" t="str">
        <f>E$9 * (0.008697706274688244 -E$8)</f>
        <v>0</v>
      </c>
      <c r="F18" t="str">
        <f>F$9 * (3.681416034698486 -F$8)</f>
        <v>0</v>
      </c>
      <c r="G18" t="str">
        <f>G$9 * (7.795071125030518 -G$8)</f>
        <v>0</v>
      </c>
    </row>
    <row r="19" spans="1:9">
      <c r="A19" t="str">
        <f>A$9 * (2.00033164024353 -A$8)</f>
        <v>0</v>
      </c>
      <c r="B19" t="str">
        <f>B$9 * (2.00033164024353 -B$8)</f>
        <v>0</v>
      </c>
      <c r="C19" t="str">
        <f>C$9 * (2.00033164024353 -C$8)</f>
        <v>0</v>
      </c>
      <c r="E19" t="str">
        <f>E$9 * (0.01156174018979073 -E$8)</f>
        <v>0</v>
      </c>
      <c r="F19" t="str">
        <f>F$9 * (3.947942018508911 -F$8)</f>
        <v>0</v>
      </c>
      <c r="G19" t="str">
        <f>G$9 * (6.994433879852295 -G$8)</f>
        <v>0</v>
      </c>
    </row>
    <row r="20" spans="1:9">
      <c r="A20" t="str">
        <f>A$9 * (2.250254154205322 -A$8)</f>
        <v>0</v>
      </c>
      <c r="B20" t="str">
        <f>B$9 * (2.250254154205322 -B$8)</f>
        <v>0</v>
      </c>
      <c r="C20" t="str">
        <f>C$9 * (2.250254154205322 -C$8)</f>
        <v>0</v>
      </c>
      <c r="E20" t="str">
        <f>E$9 * (0.008207106031477451 -E$8)</f>
        <v>0</v>
      </c>
      <c r="F20" t="str">
        <f>F$9 * (3.780515909194946 -F$8)</f>
        <v>0</v>
      </c>
      <c r="G20" t="str">
        <f>G$9 * (8.353146553039551 -G$8)</f>
        <v>0</v>
      </c>
    </row>
    <row r="21" spans="1:9">
      <c r="A21" t="str">
        <f>A$9 * (2.500176668167114 -A$8)</f>
        <v>0</v>
      </c>
      <c r="B21" t="str">
        <f>B$9 * (2.500176668167114 -B$8)</f>
        <v>0</v>
      </c>
      <c r="C21" t="str">
        <f>C$9 * (2.500176668167114 -C$8)</f>
        <v>0</v>
      </c>
      <c r="E21" t="str">
        <f>E$9 * (0.008492790162563324 -E$8)</f>
        <v>0</v>
      </c>
      <c r="F21" t="str">
        <f>F$9 * (3.242907047271729 -F$8)</f>
        <v>0</v>
      </c>
      <c r="G21" t="str">
        <f>G$9 * (6.910186767578125 -G$8)</f>
        <v>0</v>
      </c>
    </row>
    <row r="22" spans="1:9">
      <c r="A22" t="str">
        <f>A$9 * (2.750099182128906 -A$8)</f>
        <v>0</v>
      </c>
      <c r="B22" t="str">
        <f>B$9 * (2.750099182128906 -B$8)</f>
        <v>0</v>
      </c>
      <c r="C22" t="str">
        <f>C$9 * (2.750099182128906 -C$8)</f>
        <v>0</v>
      </c>
      <c r="E22" t="str">
        <f>E$9 * (0.01046258956193924 -E$8)</f>
        <v>0</v>
      </c>
      <c r="F22" t="str">
        <f>F$9 * (4.545087814331055 -F$8)</f>
        <v>0</v>
      </c>
      <c r="G22" t="str">
        <f>G$9 * (8.672121047973633 -G$8)</f>
        <v>0</v>
      </c>
    </row>
    <row r="23" spans="1:9">
      <c r="A23" t="str">
        <f>A$9 * (3.000022172927856 -A$8)</f>
        <v>0</v>
      </c>
      <c r="B23" t="str">
        <f>B$9 * (3.000022172927856 -B$8)</f>
        <v>0</v>
      </c>
      <c r="C23" t="str">
        <f>C$9 * (3.000022172927856 -C$8)</f>
        <v>0</v>
      </c>
      <c r="E23" t="str">
        <f>E$9 * (0.008392437361180782 -E$8)</f>
        <v>0</v>
      </c>
      <c r="F23" t="str">
        <f>F$9 * (3.621102094650269 -F$8)</f>
        <v>0</v>
      </c>
      <c r="G23" t="str">
        <f>G$9 * (7.860945224761963 -G$8)</f>
        <v>0</v>
      </c>
    </row>
    <row r="24" spans="1:9">
      <c r="A24" t="str">
        <f>A$9 * (3.250344514846802 -A$8)</f>
        <v>0</v>
      </c>
      <c r="B24" t="str">
        <f>B$9 * (3.250344514846802 -B$8)</f>
        <v>0</v>
      </c>
      <c r="C24" t="str">
        <f>C$9 * (3.250344514846802 -C$8)</f>
        <v>0</v>
      </c>
      <c r="E24" t="str">
        <f>E$9 * (0.01151208020746708 -E$8)</f>
        <v>0</v>
      </c>
      <c r="F24" t="str">
        <f>F$9 * (3.504371881484985 -F$8)</f>
        <v>0</v>
      </c>
      <c r="G24" t="str">
        <f>G$9 * (6.193033218383789 -G$8)</f>
        <v>0</v>
      </c>
    </row>
    <row r="25" spans="1:9">
      <c r="A25" t="str">
        <f>A$9 * (3.500269412994385 -A$8)</f>
        <v>0</v>
      </c>
      <c r="B25" t="str">
        <f>B$9 * (3.500269412994385 -B$8)</f>
        <v>0</v>
      </c>
      <c r="C25" t="str">
        <f>C$9 * (3.500269412994385 -C$8)</f>
        <v>0</v>
      </c>
      <c r="E25" t="str">
        <f>E$9 * (0.008474365808069706 -E$8)</f>
        <v>0</v>
      </c>
      <c r="F25" t="str">
        <f>F$9 * (3.883497953414917 -F$8)</f>
        <v>0</v>
      </c>
      <c r="G25" t="str">
        <f>G$9 * (8.45409107208252 -G$8)</f>
        <v>0</v>
      </c>
    </row>
    <row r="26" spans="1:9">
      <c r="A26" t="str">
        <f>A$9 * (3.750191688537598 -A$8)</f>
        <v>0</v>
      </c>
      <c r="B26" t="str">
        <f>B$9 * (3.750191688537598 -B$8)</f>
        <v>0</v>
      </c>
      <c r="C26" t="str">
        <f>C$9 * (3.750191688537598 -C$8)</f>
        <v>0</v>
      </c>
      <c r="E26" t="str">
        <f>E$9 * (0.007510873954743147 -E$8)</f>
        <v>0</v>
      </c>
      <c r="F26" t="str">
        <f>F$9 * (2.901604890823364 -F$8)</f>
        <v>0</v>
      </c>
      <c r="G26" t="str">
        <f>G$9 * (6.720756053924561 -G$8)</f>
        <v>0</v>
      </c>
    </row>
    <row r="27" spans="1:9">
      <c r="A27" t="str">
        <f>A$9 * (4.000113964080811 -A$8)</f>
        <v>0</v>
      </c>
      <c r="B27" t="str">
        <f>B$9 * (4.000113964080811 -B$8)</f>
        <v>0</v>
      </c>
      <c r="C27" t="str">
        <f>C$9 * (4.000113964080811 -C$8)</f>
        <v>0</v>
      </c>
      <c r="E27" t="str">
        <f>E$9 * (0.01170090958476067 -E$8)</f>
        <v>0</v>
      </c>
      <c r="F27" t="str">
        <f>F$9 * (5.222056865692139 -F$8)</f>
        <v>0</v>
      </c>
      <c r="G27" t="str">
        <f>G$9 * (9.449234008789062 -G$8)</f>
        <v>0</v>
      </c>
    </row>
    <row r="28" spans="1:9">
      <c r="A28" t="str">
        <f>A$9 * (4.250036239624023 -A$8)</f>
        <v>0</v>
      </c>
      <c r="B28" t="str">
        <f>B$9 * (4.250036239624023 -B$8)</f>
        <v>0</v>
      </c>
      <c r="C28" t="str">
        <f>C$9 * (4.250036239624023 -C$8)</f>
        <v>0</v>
      </c>
      <c r="E28" t="str">
        <f>E$9 * (0.008261324837803841 -E$8)</f>
        <v>0</v>
      </c>
      <c r="F28" t="str">
        <f>F$9 * (3.666079998016357 -F$8)</f>
        <v>0</v>
      </c>
      <c r="G28" t="str">
        <f>G$9 * (8.094941139221191 -G$8)</f>
        <v>0</v>
      </c>
    </row>
    <row r="29" spans="1:9">
      <c r="A29" t="str">
        <f>A$9 * (4.500358104705811 -A$8)</f>
        <v>0</v>
      </c>
      <c r="B29" t="str">
        <f>B$9 * (4.500358104705811 -B$8)</f>
        <v>0</v>
      </c>
      <c r="C29" t="str">
        <f>C$9 * (4.500358104705811 -C$8)</f>
        <v>0</v>
      </c>
      <c r="E29" t="str">
        <f>E$9 * (0.009489740245044231 -E$8)</f>
        <v>0</v>
      </c>
      <c r="F29" t="str">
        <f>F$9 * (2.195451021194458 -F$8)</f>
        <v>0</v>
      </c>
      <c r="G29" t="str">
        <f>G$9 * (4.283183097839355 -G$8)</f>
        <v>0</v>
      </c>
    </row>
    <row r="30" spans="1:9">
      <c r="A30" t="str">
        <f>A$9 * (4.750305652618408 -A$8)</f>
        <v>0</v>
      </c>
      <c r="B30" t="str">
        <f>B$9 * (4.750305652618408 -B$8)</f>
        <v>0</v>
      </c>
      <c r="C30" t="str">
        <f>C$9 * (4.750305652618408 -C$8)</f>
        <v>0</v>
      </c>
      <c r="E30" t="str">
        <f>E$9 * (0.007197902072221041 -E$8)</f>
        <v>0</v>
      </c>
      <c r="F30" t="str">
        <f>F$9 * (3.686717987060547 -F$8)</f>
        <v>0</v>
      </c>
      <c r="G30" t="str">
        <f>G$9 * (9.038081169128418 -G$8)</f>
        <v>0</v>
      </c>
    </row>
    <row r="31" spans="1:9">
      <c r="A31" t="str">
        <f>A$9 * (5.00006103515625 -A$8)</f>
        <v>0</v>
      </c>
      <c r="B31" t="str">
        <f>B$9 * (5.00006103515625 -B$8)</f>
        <v>0</v>
      </c>
      <c r="C31" t="str">
        <f>C$9 * (5.00006103515625 -C$8)</f>
        <v>0</v>
      </c>
      <c r="E31" t="str">
        <f>E$9 * (0.00537472777068615 -E$8)</f>
        <v>0</v>
      </c>
      <c r="F31" t="str">
        <f>F$9 * (1.766379952430725 -F$8)</f>
        <v>0</v>
      </c>
      <c r="G31" t="str">
        <f>G$9 * (5.10724401473999 -G$8)</f>
        <v>0</v>
      </c>
    </row>
    <row r="32" spans="1:9">
      <c r="A32" t="str">
        <f>A$9 * (5.250485897064209 -A$8)</f>
        <v>0</v>
      </c>
      <c r="B32" t="str">
        <f>B$9 * (5.250485897064209 -B$8)</f>
        <v>0</v>
      </c>
      <c r="C32" t="str">
        <f>C$9 * (5.250485897064209 -C$8)</f>
        <v>0</v>
      </c>
      <c r="E32" t="str">
        <f>E$9 * (-0.002428255975246429 -E$8)</f>
        <v>0</v>
      </c>
      <c r="F32" t="str">
        <f>F$9 * (-2.114963054656982 -F$8)</f>
        <v>0</v>
      </c>
      <c r="G32" t="str">
        <f>G$9 * (0.5123434066772461 -G$8)</f>
        <v>0</v>
      </c>
    </row>
    <row r="33" spans="1:9">
      <c r="A33" t="str">
        <f>A$9 * (5.500458240509033 -A$8)</f>
        <v>0</v>
      </c>
      <c r="B33" t="str">
        <f>B$9 * (5.500458240509033 -B$8)</f>
        <v>0</v>
      </c>
      <c r="C33" t="str">
        <f>C$9 * (5.500458240509033 -C$8)</f>
        <v>0</v>
      </c>
      <c r="E33" t="str">
        <f>E$9 * (0.002065117936581373 -E$8)</f>
        <v>0</v>
      </c>
      <c r="F33" t="str">
        <f>F$9 * (-0.3621223866939545 -F$8)</f>
        <v>0</v>
      </c>
      <c r="G33" t="str">
        <f>G$9 * (2.059521913528442 -G$8)</f>
        <v>0</v>
      </c>
    </row>
    <row r="34" spans="1:9">
      <c r="A34" t="str">
        <f>A$9 * (5.750716686248779 -A$8)</f>
        <v>0</v>
      </c>
      <c r="B34" t="str">
        <f>B$9 * (5.750716686248779 -B$8)</f>
        <v>0</v>
      </c>
      <c r="C34" t="str">
        <f>C$9 * (5.750716686248779 -C$8)</f>
        <v>0</v>
      </c>
      <c r="E34" t="str">
        <f>E$9 * (0.002236966043710709 -E$8)</f>
        <v>0</v>
      </c>
      <c r="F34" t="str">
        <f>F$9 * (-2.568073034286499 -F$8)</f>
        <v>0</v>
      </c>
      <c r="G34" t="str">
        <f>G$9 * (1.244606018066406 -G$8)</f>
        <v>0</v>
      </c>
    </row>
    <row r="35" spans="1:9">
      <c r="A35" t="str">
        <f>A$9 * (6.000564098358154 -A$8)</f>
        <v>0</v>
      </c>
      <c r="B35" t="str">
        <f>B$9 * (6.000564098358154 -B$8)</f>
        <v>0</v>
      </c>
      <c r="C35" t="str">
        <f>C$9 * (6.000564098358154 -C$8)</f>
        <v>0</v>
      </c>
      <c r="E35" t="str">
        <f>E$9 * (0.003278614021837711 -E$8)</f>
        <v>0</v>
      </c>
      <c r="F35" t="str">
        <f>F$9 * (-0.08032719045877457 -F$8)</f>
        <v>0</v>
      </c>
      <c r="G35" t="str">
        <f>G$9 * (7.30388879776001 -G$8)</f>
        <v>0</v>
      </c>
    </row>
    <row r="36" spans="1:9">
      <c r="A36" t="str">
        <f>A$9 * (6.250602722167969 -A$8)</f>
        <v>0</v>
      </c>
      <c r="B36" t="str">
        <f>B$9 * (6.250602722167969 -B$8)</f>
        <v>0</v>
      </c>
      <c r="C36" t="str">
        <f>C$9 * (6.250602722167969 -C$8)</f>
        <v>0</v>
      </c>
      <c r="E36" t="str">
        <f>E$9 * (0.02540455013513565 -E$8)</f>
        <v>0</v>
      </c>
      <c r="F36" t="str">
        <f>F$9 * (2.690529108047485 -F$8)</f>
        <v>0</v>
      </c>
      <c r="G36" t="str">
        <f>G$9 * (3.070297002792358 -G$8)</f>
        <v>0</v>
      </c>
    </row>
    <row r="37" spans="1:9">
      <c r="A37" t="str">
        <f>A$9 * (6.500152587890625 -A$8)</f>
        <v>0</v>
      </c>
      <c r="B37" t="str">
        <f>B$9 * (6.500152587890625 -B$8)</f>
        <v>0</v>
      </c>
      <c r="C37" t="str">
        <f>C$9 * (6.500152587890625 -C$8)</f>
        <v>0</v>
      </c>
      <c r="E37" t="str">
        <f>E$9 * (0.01043733954429626 -E$8)</f>
        <v>0</v>
      </c>
      <c r="F37" t="str">
        <f>F$9 * (5.537818908691406 -F$8)</f>
        <v>0</v>
      </c>
      <c r="G37" t="str">
        <f>G$9 * (10.95543003082275 -G$8)</f>
        <v>0</v>
      </c>
    </row>
    <row r="38" spans="1:9">
      <c r="A38" t="str">
        <f>A$9 * (6.750202655792236 -A$8)</f>
        <v>0</v>
      </c>
      <c r="B38" t="str">
        <f>B$9 * (6.750202655792236 -B$8)</f>
        <v>0</v>
      </c>
      <c r="C38" t="str">
        <f>C$9 * (6.750202655792236 -C$8)</f>
        <v>0</v>
      </c>
      <c r="E38" t="str">
        <f>E$9 * (0.01910514943301678 -E$8)</f>
        <v>0</v>
      </c>
      <c r="F38" t="str">
        <f>F$9 * (7.105545043945312 -F$8)</f>
        <v>0</v>
      </c>
      <c r="G38" t="str">
        <f>G$9 * (10.11063957214355 -G$8)</f>
        <v>0</v>
      </c>
    </row>
    <row r="39" spans="1:9">
      <c r="A39" t="str">
        <f>A$9 * (7.000389099121094 -A$8)</f>
        <v>0</v>
      </c>
      <c r="B39" t="str">
        <f>B$9 * (7.000389099121094 -B$8)</f>
        <v>0</v>
      </c>
      <c r="C39" t="str">
        <f>C$9 * (7.000389099121094 -C$8)</f>
        <v>0</v>
      </c>
      <c r="E39" t="str">
        <f>E$9 * (0.007040968164801598 -E$8)</f>
        <v>0</v>
      </c>
      <c r="F39" t="str">
        <f>F$9 * (3.701052904129028 -F$8)</f>
        <v>0</v>
      </c>
      <c r="G39" t="str">
        <f>G$9 * (9.260794639587402 -G$8)</f>
        <v>0</v>
      </c>
    </row>
    <row r="40" spans="1:9">
      <c r="A40" t="str">
        <f>A$9 * (7.25005578994751 -A$8)</f>
        <v>0</v>
      </c>
      <c r="B40" t="str">
        <f>B$9 * (7.25005578994751 -B$8)</f>
        <v>0</v>
      </c>
      <c r="C40" t="str">
        <f>C$9 * (7.25005578994751 -C$8)</f>
        <v>0</v>
      </c>
      <c r="E40" t="str">
        <f>E$9 * (0.004246283788233995 -E$8)</f>
        <v>0</v>
      </c>
      <c r="F40" t="str">
        <f>F$9 * (1.365893006324768 -F$8)</f>
        <v>0</v>
      </c>
      <c r="G40" t="str">
        <f>G$9 * (4.740287780761719 -G$8)</f>
        <v>0</v>
      </c>
    </row>
    <row r="41" spans="1:9">
      <c r="A41" t="str">
        <f>A$9 * (7.500391483306885 -A$8)</f>
        <v>0</v>
      </c>
      <c r="B41" t="str">
        <f>B$9 * (7.500391483306885 -B$8)</f>
        <v>0</v>
      </c>
      <c r="C41" t="str">
        <f>C$9 * (7.500391483306885 -C$8)</f>
        <v>0</v>
      </c>
      <c r="E41" t="str">
        <f>E$9 * (0.01335537992417812 -E$8)</f>
        <v>0</v>
      </c>
      <c r="F41" t="str">
        <f>F$9 * (6.806849002838135 -F$8)</f>
        <v>0</v>
      </c>
      <c r="G41" t="str">
        <f>G$9 * (11.71786975860596 -G$8)</f>
        <v>0</v>
      </c>
    </row>
    <row r="42" spans="1:9">
      <c r="A42" t="str">
        <f>A$9 * (7.750247001647949 -A$8)</f>
        <v>0</v>
      </c>
      <c r="B42" t="str">
        <f>B$9 * (7.750247001647949 -B$8)</f>
        <v>0</v>
      </c>
      <c r="C42" t="str">
        <f>C$9 * (7.750247001647949 -C$8)</f>
        <v>0</v>
      </c>
      <c r="E42" t="str">
        <f>E$9 * (0.007323024794459343 -E$8)</f>
        <v>0</v>
      </c>
      <c r="F42" t="str">
        <f>F$9 * (3.298886060714722 -F$8)</f>
        <v>0</v>
      </c>
      <c r="G42" t="str">
        <f>G$9 * (7.909236907958984 -G$8)</f>
        <v>0</v>
      </c>
    </row>
    <row r="43" spans="1:9">
      <c r="A43" t="str">
        <f>A$9 * (8.000252723693848 -A$8)</f>
        <v>0</v>
      </c>
      <c r="B43" t="str">
        <f>B$9 * (8.000252723693848 -B$8)</f>
        <v>0</v>
      </c>
      <c r="C43" t="str">
        <f>C$9 * (8.000252723693848 -C$8)</f>
        <v>0</v>
      </c>
      <c r="E43" t="str">
        <f>E$9 * (-0.0002879094099625945 -E$8)</f>
        <v>0</v>
      </c>
      <c r="F43" t="str">
        <f>F$9 * (-0.484813392162323 -F$8)</f>
        <v>0</v>
      </c>
      <c r="G43" t="str">
        <f>G$9 * (0.8105617165565491 -G$8)</f>
        <v>0</v>
      </c>
    </row>
    <row r="44" spans="1:9">
      <c r="A44" t="str">
        <f>A$9 * (8.250082969665527 -A$8)</f>
        <v>0</v>
      </c>
      <c r="B44" t="str">
        <f>B$9 * (8.250082969665527 -B$8)</f>
        <v>0</v>
      </c>
      <c r="C44" t="str">
        <f>C$9 * (8.250082969665527 -C$8)</f>
        <v>0</v>
      </c>
      <c r="E44" t="str">
        <f>E$9 * (-0.004830320831388235 -E$8)</f>
        <v>0</v>
      </c>
      <c r="F44" t="str">
        <f>F$9 * (-0.574285626411438 -F$8)</f>
        <v>0</v>
      </c>
      <c r="G44" t="str">
        <f>G$9 * (-2.962373971939087 -G$8)</f>
        <v>0</v>
      </c>
    </row>
    <row r="45" spans="1:9">
      <c r="A45" t="str">
        <f>A$9 * (8.500566482543945 -A$8)</f>
        <v>0</v>
      </c>
      <c r="B45" t="str">
        <f>B$9 * (8.500566482543945 -B$8)</f>
        <v>0</v>
      </c>
      <c r="C45" t="str">
        <f>C$9 * (8.500566482543945 -C$8)</f>
        <v>0</v>
      </c>
      <c r="E45" t="str">
        <f>E$9 * (-0.001587159000337124 -E$8)</f>
        <v>0</v>
      </c>
      <c r="F45" t="str">
        <f>F$9 * (-1.07711398601532 -F$8)</f>
        <v>0</v>
      </c>
      <c r="G45" t="str">
        <f>G$9 * (-0.5833299160003662 -G$8)</f>
        <v>0</v>
      </c>
    </row>
    <row r="46" spans="1:9">
      <c r="A46" t="str">
        <f>A$9 * (8.750080108642578 -A$8)</f>
        <v>0</v>
      </c>
      <c r="B46" t="str">
        <f>B$9 * (8.750080108642578 -B$8)</f>
        <v>0</v>
      </c>
      <c r="C46" t="str">
        <f>C$9 * (8.750080108642578 -C$8)</f>
        <v>0</v>
      </c>
      <c r="E46" t="str">
        <f>E$9 * (0.1132778972387314 -E$8)</f>
        <v>0</v>
      </c>
      <c r="F46" t="str">
        <f>F$9 * (22.42683029174805 -F$8)</f>
        <v>0</v>
      </c>
      <c r="G46" t="str">
        <f>G$9 * (23.96202087402344 -G$8)</f>
        <v>0</v>
      </c>
    </row>
    <row r="47" spans="1:9">
      <c r="A47" t="str">
        <f>A$9 * (9.000374794006348 -A$8)</f>
        <v>0</v>
      </c>
      <c r="B47" t="str">
        <f>B$9 * (9.000374794006348 -B$8)</f>
        <v>0</v>
      </c>
      <c r="C47" t="str">
        <f>C$9 * (9.000374794006348 -C$8)</f>
        <v>0</v>
      </c>
      <c r="E47" t="str">
        <f>E$9 * (0.02444162033498287 -E$8)</f>
        <v>0</v>
      </c>
      <c r="F47" t="str">
        <f>F$9 * (3.616769075393677 -F$8)</f>
        <v>0</v>
      </c>
      <c r="G47" t="str">
        <f>G$9 * (4.312005996704102 -G$8)</f>
        <v>0</v>
      </c>
    </row>
    <row r="48" spans="1:9">
      <c r="A48" t="str">
        <f>A$9 * (9.250136375427246 -A$8)</f>
        <v>0</v>
      </c>
      <c r="B48" t="str">
        <f>B$9 * (9.250136375427246 -B$8)</f>
        <v>0</v>
      </c>
      <c r="C48" t="str">
        <f>C$9 * (9.250136375427246 -C$8)</f>
        <v>0</v>
      </c>
      <c r="E48" t="str">
        <f>E$9 * (0.01187967974692583 -E$8)</f>
        <v>0</v>
      </c>
      <c r="F48" t="str">
        <f>F$9 * (7.361727237701416 -F$8)</f>
        <v>0</v>
      </c>
      <c r="G48" t="str">
        <f>G$9 * (14.14066982269287 -G$8)</f>
        <v>0</v>
      </c>
    </row>
    <row r="49" spans="1:9">
      <c r="A49" t="str">
        <f>A$9 * (9.500344276428223 -A$8)</f>
        <v>0</v>
      </c>
      <c r="B49" t="str">
        <f>B$9 * (9.500344276428223 -B$8)</f>
        <v>0</v>
      </c>
      <c r="C49" t="str">
        <f>C$9 * (9.500344276428223 -C$8)</f>
        <v>0</v>
      </c>
      <c r="E49" t="str">
        <f>E$9 * (0.009411768056452274 -E$8)</f>
        <v>0</v>
      </c>
      <c r="F49" t="str">
        <f>F$9 * (3.453697919845581 -F$8)</f>
        <v>0</v>
      </c>
      <c r="G49" t="str">
        <f>G$9 * (6.976805210113525 -G$8)</f>
        <v>0</v>
      </c>
    </row>
    <row r="50" spans="1:9">
      <c r="A50" t="str">
        <f>A$9 * (9.750325202941895 -A$8)</f>
        <v>0</v>
      </c>
      <c r="B50" t="str">
        <f>B$9 * (9.750325202941895 -B$8)</f>
        <v>0</v>
      </c>
      <c r="C50" t="str">
        <f>C$9 * (9.750325202941895 -C$8)</f>
        <v>0</v>
      </c>
      <c r="E50" t="str">
        <f>E$9 * (0.008730955421924591 -E$8)</f>
        <v>0</v>
      </c>
      <c r="F50" t="str">
        <f>F$9 * (4.214012145996094 -F$8)</f>
        <v>0</v>
      </c>
      <c r="G50" t="str">
        <f>G$9 * (9.144564628601074 -G$8)</f>
        <v>0</v>
      </c>
    </row>
    <row r="51" spans="1:9">
      <c r="A51" t="str">
        <f>A$9 * (10.000319480896 -A$8)</f>
        <v>0</v>
      </c>
      <c r="B51" t="str">
        <f>B$9 * (10.000319480896 -B$8)</f>
        <v>0</v>
      </c>
      <c r="C51" t="str">
        <f>C$9 * (10.000319480896 -C$8)</f>
        <v>0</v>
      </c>
      <c r="E51" t="str">
        <f>E$9 * (0.005703756120055914 -E$8)</f>
        <v>0</v>
      </c>
      <c r="F51" t="str">
        <f>F$9 * (2.911990880966187 -F$8)</f>
        <v>0</v>
      </c>
      <c r="G51" t="str">
        <f>G$9 * (8.382319450378418 -G$8)</f>
        <v>0</v>
      </c>
    </row>
    <row r="52" spans="1:9">
      <c r="A52" t="str">
        <f>A$9 * (10.25020027160645 -A$8)</f>
        <v>0</v>
      </c>
      <c r="B52" t="str">
        <f>B$9 * (10.25020027160645 -B$8)</f>
        <v>0</v>
      </c>
      <c r="C52" t="str">
        <f>C$9 * (10.25020027160645 -C$8)</f>
        <v>0</v>
      </c>
      <c r="E52" t="str">
        <f>E$9 * (0.001471871044486761 -E$8)</f>
        <v>0</v>
      </c>
      <c r="F52" t="str">
        <f>F$9 * (0.2865928113460541 -F$8)</f>
        <v>0</v>
      </c>
      <c r="G52" t="str">
        <f>G$9 * (2.355725049972534 -G$8)</f>
        <v>0</v>
      </c>
    </row>
    <row r="53" spans="1:9">
      <c r="A53" t="str">
        <f>A$9 * (10.50003337860107 -A$8)</f>
        <v>0</v>
      </c>
      <c r="B53" t="str">
        <f>B$9 * (10.50003337860107 -B$8)</f>
        <v>0</v>
      </c>
      <c r="C53" t="str">
        <f>C$9 * (10.50003337860107 -C$8)</f>
        <v>0</v>
      </c>
      <c r="E53" t="str">
        <f>E$9 * (-0.001879138988442719 -E$8)</f>
        <v>0</v>
      </c>
      <c r="F53" t="str">
        <f>F$9 * (-1.931872010231018 -F$8)</f>
        <v>0</v>
      </c>
      <c r="G53" t="str">
        <f>G$9 * (0.6960685849189758 -G$8)</f>
        <v>0</v>
      </c>
    </row>
    <row r="54" spans="1:9">
      <c r="A54" t="str">
        <f>A$9 * (10.75012493133545 -A$8)</f>
        <v>0</v>
      </c>
      <c r="B54" t="str">
        <f>B$9 * (10.75012493133545 -B$8)</f>
        <v>0</v>
      </c>
      <c r="C54" t="str">
        <f>C$9 * (10.75012493133545 -C$8)</f>
        <v>0</v>
      </c>
      <c r="E54" t="str">
        <f>E$9 * (0.007769528776407242 -E$8)</f>
        <v>0</v>
      </c>
      <c r="F54" t="str">
        <f>F$9 * (-0.7052717804908752 -F$8)</f>
        <v>0</v>
      </c>
      <c r="G54" t="str">
        <f>G$9 * (1.838644027709961 -G$8)</f>
        <v>0</v>
      </c>
    </row>
    <row r="55" spans="1:9">
      <c r="A55" t="str">
        <f>A$9 * (11.00051116943359 -A$8)</f>
        <v>0</v>
      </c>
      <c r="B55" t="str">
        <f>B$9 * (11.00051116943359 -B$8)</f>
        <v>0</v>
      </c>
      <c r="C55" t="str">
        <f>C$9 * (11.00051116943359 -C$8)</f>
        <v>0</v>
      </c>
      <c r="E55" t="str">
        <f>E$9 * (0.002318559912964702 -E$8)</f>
        <v>0</v>
      </c>
      <c r="F55" t="str">
        <f>F$9 * (-0.05182993039488792 -F$8)</f>
        <v>0</v>
      </c>
      <c r="G55" t="str">
        <f>G$9 * (7.383876800537109 -G$8)</f>
        <v>0</v>
      </c>
    </row>
    <row r="56" spans="1:9">
      <c r="A56" t="str">
        <f>A$9 * (11.25047492980957 -A$8)</f>
        <v>0</v>
      </c>
      <c r="B56" t="str">
        <f>B$9 * (11.25047492980957 -B$8)</f>
        <v>0</v>
      </c>
      <c r="C56" t="str">
        <f>C$9 * (11.25047492980957 -C$8)</f>
        <v>0</v>
      </c>
      <c r="E56" t="str">
        <f>E$9 * (-0.001891687978059053 -E$8)</f>
        <v>0</v>
      </c>
      <c r="F56" t="str">
        <f>F$9 * (-0.6381052732467651 -F$8)</f>
        <v>0</v>
      </c>
      <c r="G56" t="str">
        <f>G$9 * (-0.6742815971374512 -G$8)</f>
        <v>0</v>
      </c>
    </row>
    <row r="57" spans="1:9">
      <c r="A57" t="str">
        <f>A$9 * (11.50014400482178 -A$8)</f>
        <v>0</v>
      </c>
      <c r="B57" t="str">
        <f>B$9 * (11.50014400482178 -B$8)</f>
        <v>0</v>
      </c>
      <c r="C57" t="str">
        <f>C$9 * (11.50014400482178 -C$8)</f>
        <v>0</v>
      </c>
      <c r="E57" t="str">
        <f>E$9 * (0.0004108118009753525 -E$8)</f>
        <v>0</v>
      </c>
      <c r="F57" t="str">
        <f>F$9 * (-0.3322088122367859 -F$8)</f>
        <v>0</v>
      </c>
      <c r="G57" t="str">
        <f>G$9 * (0.8219283223152161 -G$8)</f>
        <v>0</v>
      </c>
    </row>
    <row r="58" spans="1:9">
      <c r="A58" t="str">
        <f>A$9 * (11.75027465820312 -A$8)</f>
        <v>0</v>
      </c>
      <c r="B58" t="str">
        <f>B$9 * (11.75027465820312 -B$8)</f>
        <v>0</v>
      </c>
      <c r="C58" t="str">
        <f>C$9 * (11.75027465820312 -C$8)</f>
        <v>0</v>
      </c>
      <c r="E58" t="str">
        <f>E$9 * (-0.0006353915086947381 -E$8)</f>
        <v>0</v>
      </c>
      <c r="F58" t="str">
        <f>F$9 * (-0.1931892931461334 -F$8)</f>
        <v>0</v>
      </c>
      <c r="G58" t="str">
        <f>G$9 * (-0.1877589970827103 -G$8)</f>
        <v>0</v>
      </c>
    </row>
    <row r="59" spans="1:9">
      <c r="A59" t="str">
        <f>A$9 * (12.00003051757812 -A$8)</f>
        <v>0</v>
      </c>
      <c r="B59" t="str">
        <f>B$9 * (12.00003051757812 -B$8)</f>
        <v>0</v>
      </c>
      <c r="C59" t="str">
        <f>C$9 * (12.00003051757812 -C$8)</f>
        <v>0</v>
      </c>
      <c r="E59" t="str">
        <f>E$9 * (0.009010882116854191 -E$8)</f>
        <v>0</v>
      </c>
      <c r="F59" t="str">
        <f>F$9 * (0.2801696956157684 -F$8)</f>
        <v>0</v>
      </c>
      <c r="G59" t="str">
        <f>G$9 * (0.5178825855255127 -G$8)</f>
        <v>0</v>
      </c>
    </row>
    <row r="60" spans="1:9">
      <c r="A60" t="str">
        <f>A$9 * (12.25064182281494 -A$8)</f>
        <v>0</v>
      </c>
      <c r="B60" t="str">
        <f>B$9 * (12.25064182281494 -B$8)</f>
        <v>0</v>
      </c>
      <c r="C60" t="str">
        <f>C$9 * (12.25064182281494 -C$8)</f>
        <v>0</v>
      </c>
      <c r="E60" t="str">
        <f>E$9 * (0.003537937067449093 -E$8)</f>
        <v>0</v>
      </c>
      <c r="F60" t="str">
        <f>F$9 * (0.01267541013658047 -F$8)</f>
        <v>0</v>
      </c>
      <c r="G60" t="str">
        <f>G$9 * (7.955897808074951 -G$8)</f>
        <v>0</v>
      </c>
    </row>
    <row r="61" spans="1:9">
      <c r="A61" t="str">
        <f>A$9 * (12.50050258636475 -A$8)</f>
        <v>0</v>
      </c>
      <c r="B61" t="str">
        <f>B$9 * (12.50050258636475 -B$8)</f>
        <v>0</v>
      </c>
      <c r="C61" t="str">
        <f>C$9 * (12.50050258636475 -C$8)</f>
        <v>0</v>
      </c>
      <c r="E61" t="str">
        <f>E$9 * (0.01705810986459255 -E$8)</f>
        <v>0</v>
      </c>
      <c r="F61" t="str">
        <f>F$9 * (9.49567699432373 -F$8)</f>
        <v>0</v>
      </c>
      <c r="G61" t="str">
        <f>G$9 * (15.81995964050293 -G$8)</f>
        <v>0</v>
      </c>
    </row>
    <row r="62" spans="1:9">
      <c r="A62" t="str">
        <f>A$9 * (12.750319480896 -A$8)</f>
        <v>0</v>
      </c>
      <c r="B62" t="str">
        <f>B$9 * (12.750319480896 -B$8)</f>
        <v>0</v>
      </c>
      <c r="C62" t="str">
        <f>C$9 * (12.750319480896 -C$8)</f>
        <v>0</v>
      </c>
      <c r="E62" t="str">
        <f>E$9 * (0.006880003958940506 -E$8)</f>
        <v>0</v>
      </c>
      <c r="F62" t="str">
        <f>F$9 * (3.590584993362427 -F$8)</f>
        <v>0</v>
      </c>
      <c r="G62" t="str">
        <f>G$9 * (9.148945808410645 -G$8)</f>
        <v>0</v>
      </c>
    </row>
    <row r="63" spans="1:9">
      <c r="A63" t="str">
        <f>A$9 * (13.00034713745117 -A$8)</f>
        <v>0</v>
      </c>
      <c r="B63" t="str">
        <f>B$9 * (13.00034713745117 -B$8)</f>
        <v>0</v>
      </c>
      <c r="C63" t="str">
        <f>C$9 * (13.00034713745117 -C$8)</f>
        <v>0</v>
      </c>
      <c r="E63" t="str">
        <f>E$9 * (0.009999629110097885 -E$8)</f>
        <v>0</v>
      </c>
      <c r="F63" t="str">
        <f>F$9 * (4.479647159576416 -F$8)</f>
        <v>0</v>
      </c>
      <c r="G63" t="str">
        <f>G$9 * (8.930270195007324 -G$8)</f>
        <v>0</v>
      </c>
    </row>
    <row r="64" spans="1:9">
      <c r="A64" t="str">
        <f>A$9 * (13.25012493133545 -A$8)</f>
        <v>0</v>
      </c>
      <c r="B64" t="str">
        <f>B$9 * (13.25012493133545 -B$8)</f>
        <v>0</v>
      </c>
      <c r="C64" t="str">
        <f>C$9 * (13.25012493133545 -C$8)</f>
        <v>0</v>
      </c>
      <c r="E64" t="str">
        <f>E$9 * (0.006241896189749241 -E$8)</f>
        <v>0</v>
      </c>
      <c r="F64" t="str">
        <f>F$9 * (3.053674936294556 -F$8)</f>
        <v>0</v>
      </c>
      <c r="G64" t="str">
        <f>G$9 * (8.246096611022949 -G$8)</f>
        <v>0</v>
      </c>
    </row>
    <row r="65" spans="1:9">
      <c r="A65" t="str">
        <f>A$9 * (13.50023365020752 -A$8)</f>
        <v>0</v>
      </c>
      <c r="B65" t="str">
        <f>B$9 * (13.50023365020752 -B$8)</f>
        <v>0</v>
      </c>
      <c r="C65" t="str">
        <f>C$9 * (13.50023365020752 -C$8)</f>
        <v>0</v>
      </c>
      <c r="E65" t="str">
        <f>E$9 * (0.002702238038182259 -E$8)</f>
        <v>0</v>
      </c>
      <c r="F65" t="str">
        <f>F$9 * (0.6281920075416565 -F$8)</f>
        <v>0</v>
      </c>
      <c r="G65" t="str">
        <f>G$9 * (3.127161979675293 -G$8)</f>
        <v>0</v>
      </c>
    </row>
    <row r="66" spans="1:9">
      <c r="A66" t="str">
        <f>A$9 * (13.75005531311035 -A$8)</f>
        <v>0</v>
      </c>
      <c r="B66" t="str">
        <f>B$9 * (13.75005531311035 -B$8)</f>
        <v>0</v>
      </c>
      <c r="C66" t="str">
        <f>C$9 * (13.75005531311035 -C$8)</f>
        <v>0</v>
      </c>
      <c r="E66" t="str">
        <f>E$9 * (0.004694677889347076 -E$8)</f>
        <v>0</v>
      </c>
      <c r="F66" t="str">
        <f>F$9 * (0.6330963969230652 -F$8)</f>
        <v>0</v>
      </c>
      <c r="G66" t="str">
        <f>G$9 * (1.977808952331543 -G$8)</f>
        <v>0</v>
      </c>
    </row>
    <row r="67" spans="1:9">
      <c r="A67" t="str">
        <f>A$9 * (14.0003833770752 -A$8)</f>
        <v>0</v>
      </c>
      <c r="B67" t="str">
        <f>B$9 * (14.0003833770752 -B$8)</f>
        <v>0</v>
      </c>
      <c r="C67" t="str">
        <f>C$9 * (14.0003833770752 -C$8)</f>
        <v>0</v>
      </c>
      <c r="E67" t="str">
        <f>E$9 * (0.00228123995475471 -E$8)</f>
        <v>0</v>
      </c>
      <c r="F67" t="str">
        <f>F$9 * (1.776064991950989 -F$8)</f>
        <v>0</v>
      </c>
      <c r="G67" t="str">
        <f>G$9 * (10.9381103515625 -G$8)</f>
        <v>0</v>
      </c>
    </row>
    <row r="68" spans="1:9">
      <c r="A68" t="str">
        <f>A$9 * (14.25030040740967 -A$8)</f>
        <v>0</v>
      </c>
      <c r="B68" t="str">
        <f>B$9 * (14.25030040740967 -B$8)</f>
        <v>0</v>
      </c>
      <c r="C68" t="str">
        <f>C$9 * (14.25030040740967 -C$8)</f>
        <v>0</v>
      </c>
      <c r="E68" t="str">
        <f>E$9 * (0.0003553254064172506 -E$8)</f>
        <v>0</v>
      </c>
      <c r="F68" t="str">
        <f>F$9 * (-1.149710059165955 -F$8)</f>
        <v>0</v>
      </c>
      <c r="G68" t="str">
        <f>G$9 * (1.99179995059967 -G$8)</f>
        <v>0</v>
      </c>
    </row>
    <row r="69" spans="1:9">
      <c r="A69" t="str">
        <f>A$9 * (14.50048923492432 -A$8)</f>
        <v>0</v>
      </c>
      <c r="B69" t="str">
        <f>B$9 * (14.50048923492432 -B$8)</f>
        <v>0</v>
      </c>
      <c r="C69" t="str">
        <f>C$9 * (14.50048923492432 -C$8)</f>
        <v>0</v>
      </c>
      <c r="E69" t="str">
        <f>E$9 * (-0.0009296683128923178 -E$8)</f>
        <v>0</v>
      </c>
      <c r="F69" t="str">
        <f>F$9 * (-1.280588984489441 -F$8)</f>
        <v>0</v>
      </c>
      <c r="G69" t="str">
        <f>G$9 * (0.8470352292060852 -G$8)</f>
        <v>0</v>
      </c>
    </row>
    <row r="70" spans="1:9">
      <c r="A70" t="str">
        <f>A$9 * (14.75058078765869 -A$8)</f>
        <v>0</v>
      </c>
      <c r="B70" t="str">
        <f>B$9 * (14.75058078765869 -B$8)</f>
        <v>0</v>
      </c>
      <c r="C70" t="str">
        <f>C$9 * (14.75058078765869 -C$8)</f>
        <v>0</v>
      </c>
      <c r="E70" t="str">
        <f>E$9 * (0.0008332526194863021 -E$8)</f>
        <v>0</v>
      </c>
      <c r="F70" t="str">
        <f>F$9 * (-0.7592846751213074 -F$8)</f>
        <v>0</v>
      </c>
      <c r="G70" t="str">
        <f>G$9 * (2.540630102157593 -G$8)</f>
        <v>0</v>
      </c>
    </row>
    <row r="71" spans="1:9">
      <c r="A71" t="str">
        <f>A$9 * (15.00020599365234 -A$8)</f>
        <v>0</v>
      </c>
      <c r="B71" t="str">
        <f>B$9 * (15.00020599365234 -B$8)</f>
        <v>0</v>
      </c>
      <c r="C71" t="str">
        <f>C$9 * (15.00020599365234 -C$8)</f>
        <v>0</v>
      </c>
      <c r="E71" t="str">
        <f>E$9 * (-0.0004271359066478908 -E$8)</f>
        <v>0</v>
      </c>
      <c r="F71" t="str">
        <f>F$9 * (-0.7840473055839539 -F$8)</f>
        <v>0</v>
      </c>
      <c r="G71" t="str">
        <f>G$9 * (0.3295069932937622 -G$8)</f>
        <v>0</v>
      </c>
    </row>
    <row r="72" spans="1:9">
      <c r="A72" t="str">
        <f>A$9 * (15.25001907348633 -A$8)</f>
        <v>0</v>
      </c>
      <c r="B72" t="str">
        <f>B$9 * (15.25001907348633 -B$8)</f>
        <v>0</v>
      </c>
      <c r="C72" t="str">
        <f>C$9 * (15.25001907348633 -C$8)</f>
        <v>0</v>
      </c>
      <c r="E72" t="str">
        <f>E$9 * (0.002704313024878502 -E$8)</f>
        <v>0</v>
      </c>
      <c r="F72" t="str">
        <f>F$9 * (0.1444261074066162 -F$8)</f>
        <v>0</v>
      </c>
      <c r="G72" t="str">
        <f>G$9 * (27.23904037475586 -G$8)</f>
        <v>0</v>
      </c>
    </row>
    <row r="73" spans="1:9">
      <c r="A73" t="str">
        <f>A$9 * (15.50043869018555 -A$8)</f>
        <v>0</v>
      </c>
      <c r="B73" t="str">
        <f>B$9 * (15.50043869018555 -B$8)</f>
        <v>0</v>
      </c>
      <c r="C73" t="str">
        <f>C$9 * (15.50043869018555 -C$8)</f>
        <v>0</v>
      </c>
      <c r="E73" t="str">
        <f>E$9 * (0.0401204414665699 -E$8)</f>
        <v>0</v>
      </c>
      <c r="F73" t="str">
        <f>F$9 * (15.48042964935303 -F$8)</f>
        <v>0</v>
      </c>
      <c r="G73" t="str">
        <f>G$9 * (18.94208908081055 -G$8)</f>
        <v>0</v>
      </c>
    </row>
    <row r="74" spans="1:9">
      <c r="A74" t="str">
        <f>A$9 * (15.75009441375732 -A$8)</f>
        <v>0</v>
      </c>
      <c r="B74" t="str">
        <f>B$9 * (15.75009441375732 -B$8)</f>
        <v>0</v>
      </c>
      <c r="C74" t="str">
        <f>C$9 * (15.75009441375732 -C$8)</f>
        <v>0</v>
      </c>
      <c r="E74" t="str">
        <f>E$9 * (0.009638170711696148 -E$8)</f>
        <v>0</v>
      </c>
      <c r="F74" t="str">
        <f>F$9 * (5.815686225891113 -F$8)</f>
        <v>0</v>
      </c>
      <c r="G74" t="str">
        <f>G$9 * (12.22441005706787 -G$8)</f>
        <v>0</v>
      </c>
    </row>
    <row r="75" spans="1:9">
      <c r="A75" t="str">
        <f>A$9 * (16.00001907348633 -A$8)</f>
        <v>0</v>
      </c>
      <c r="B75" t="str">
        <f>B$9 * (16.00001907348633 -B$8)</f>
        <v>0</v>
      </c>
      <c r="C75" t="str">
        <f>C$9 * (16.00001907348633 -C$8)</f>
        <v>0</v>
      </c>
      <c r="E75" t="str">
        <f>E$9 * (0.01425531040877104 -E$8)</f>
        <v>0</v>
      </c>
      <c r="F75" t="str">
        <f>F$9 * (4.260873794555664 -F$8)</f>
        <v>0</v>
      </c>
      <c r="G75" t="str">
        <f>G$9 * (6.798157215118408 -G$8)</f>
        <v>0</v>
      </c>
    </row>
    <row r="76" spans="1:9">
      <c r="A76" t="str">
        <f>A$9 * (16.25009727478027 -A$8)</f>
        <v>0</v>
      </c>
      <c r="B76" t="str">
        <f>B$9 * (16.25009727478027 -B$8)</f>
        <v>0</v>
      </c>
      <c r="C76" t="str">
        <f>C$9 * (16.25009727478027 -C$8)</f>
        <v>0</v>
      </c>
      <c r="E76" t="str">
        <f>E$9 * (0.007095518056303263 -E$8)</f>
        <v>0</v>
      </c>
      <c r="F76" t="str">
        <f>F$9 * (3.484525918960571 -F$8)</f>
        <v>0</v>
      </c>
      <c r="G76" t="str">
        <f>G$9 * (8.65031623840332 -G$8)</f>
        <v>0</v>
      </c>
    </row>
    <row r="77" spans="1:9">
      <c r="A77" t="str">
        <f>A$9 * (16.5001335144043 -A$8)</f>
        <v>0</v>
      </c>
      <c r="B77" t="str">
        <f>B$9 * (16.5001335144043 -B$8)</f>
        <v>0</v>
      </c>
      <c r="C77" t="str">
        <f>C$9 * (16.5001335144043 -C$8)</f>
        <v>0</v>
      </c>
      <c r="E77" t="str">
        <f>E$9 * (0.004122194834053516 -E$8)</f>
        <v>0</v>
      </c>
      <c r="F77" t="str">
        <f>F$9 * (1.546372056007385 -F$8)</f>
        <v>0</v>
      </c>
      <c r="G77" t="str">
        <f>G$9 * (5.532604217529297 -G$8)</f>
        <v>0</v>
      </c>
    </row>
    <row r="78" spans="1:9">
      <c r="A78" t="str">
        <f>A$9 * (16.75020790100098 -A$8)</f>
        <v>0</v>
      </c>
      <c r="B78" t="str">
        <f>B$9 * (16.75020790100098 -B$8)</f>
        <v>0</v>
      </c>
      <c r="C78" t="str">
        <f>C$9 * (16.75020790100098 -C$8)</f>
        <v>0</v>
      </c>
      <c r="E78" t="str">
        <f>E$9 * (-0.002480061026290059 -E$8)</f>
        <v>0</v>
      </c>
      <c r="F78" t="str">
        <f>F$9 * (-0.533696174621582 -F$8)</f>
        <v>0</v>
      </c>
      <c r="G78" t="str">
        <f>G$9 * (1.359563946723938 -G$8)</f>
        <v>0</v>
      </c>
    </row>
    <row r="79" spans="1:9">
      <c r="A79" t="str">
        <f>A$9 * (17.00028800964355 -A$8)</f>
        <v>0</v>
      </c>
      <c r="B79" t="str">
        <f>B$9 * (17.00028800964355 -B$8)</f>
        <v>0</v>
      </c>
      <c r="C79" t="str">
        <f>C$9 * (17.00028800964355 -C$8)</f>
        <v>0</v>
      </c>
      <c r="E79" t="str">
        <f>E$9 * (-0.003361905924975872 -E$8)</f>
        <v>0</v>
      </c>
      <c r="F79" t="str">
        <f>F$9 * (-0.5073261260986328 -F$8)</f>
        <v>0</v>
      </c>
      <c r="G79" t="str">
        <f>G$9 * (-1.93887197971344 -G$8)</f>
        <v>0</v>
      </c>
    </row>
    <row r="80" spans="1:9">
      <c r="A80" t="str">
        <f>A$9 * (17.25015258789062 -A$8)</f>
        <v>0</v>
      </c>
      <c r="B80" t="str">
        <f>B$9 * (17.25015258789062 -B$8)</f>
        <v>0</v>
      </c>
      <c r="C80" t="str">
        <f>C$9 * (17.25015258789062 -C$8)</f>
        <v>0</v>
      </c>
      <c r="E80" t="str">
        <f>E$9 * (0.07478176802396774 -E$8)</f>
        <v>0</v>
      </c>
      <c r="F80" t="str">
        <f>F$9 * (3.28612208366394 -F$8)</f>
        <v>0</v>
      </c>
      <c r="G80" t="str">
        <f>G$9 * (3.448270082473755 -G$8)</f>
        <v>0</v>
      </c>
    </row>
    <row r="81" spans="1:9">
      <c r="A81" t="str">
        <f>A$9 * (17.5003662109375 -A$8)</f>
        <v>0</v>
      </c>
      <c r="B81" t="str">
        <f>B$9 * (17.5003662109375 -B$8)</f>
        <v>0</v>
      </c>
      <c r="C81" t="str">
        <f>C$9 * (17.5003662109375 -C$8)</f>
        <v>0</v>
      </c>
      <c r="E81" t="str">
        <f>E$9 * (0.008576785214245319 -E$8)</f>
        <v>0</v>
      </c>
      <c r="F81" t="str">
        <f>F$9 * (2.259155035018921 -F$8)</f>
        <v>0</v>
      </c>
      <c r="G81" t="str">
        <f>G$9 * (4.751506805419922 -G$8)</f>
        <v>0</v>
      </c>
    </row>
    <row r="82" spans="1:9">
      <c r="A82" t="str">
        <f>A$9 * (17.75002479553223 -A$8)</f>
        <v>0</v>
      </c>
      <c r="B82" t="str">
        <f>B$9 * (17.75002479553223 -B$8)</f>
        <v>0</v>
      </c>
      <c r="C82" t="str">
        <f>C$9 * (17.75002479553223 -C$8)</f>
        <v>0</v>
      </c>
      <c r="E82" t="str">
        <f>E$9 * (-0.0002847157884389162 -E$8)</f>
        <v>0</v>
      </c>
      <c r="F82" t="str">
        <f>F$9 * (-0.7710253000259399 -F$8)</f>
        <v>0</v>
      </c>
      <c r="G82" t="str">
        <f>G$9 * (1.358078956604004 -G$8)</f>
        <v>0</v>
      </c>
    </row>
    <row r="83" spans="1:9">
      <c r="A83" t="str">
        <f>A$9 * (18.00046730041504 -A$8)</f>
        <v>0</v>
      </c>
      <c r="B83" t="str">
        <f>B$9 * (18.00046730041504 -B$8)</f>
        <v>0</v>
      </c>
      <c r="C83" t="str">
        <f>C$9 * (18.00046730041504 -C$8)</f>
        <v>0</v>
      </c>
      <c r="E83" t="str">
        <f>E$9 * (-0.00106563197914511 -E$8)</f>
        <v>0</v>
      </c>
      <c r="F83" t="str">
        <f>F$9 * (-1.028013944625854 -F$8)</f>
        <v>0</v>
      </c>
      <c r="G83" t="str">
        <f>G$9 * (-0.2542335093021393 -G$8)</f>
        <v>0</v>
      </c>
    </row>
    <row r="84" spans="1:9">
      <c r="A84" t="str">
        <f>A$9 * (18.25059127807617 -A$8)</f>
        <v>0</v>
      </c>
      <c r="B84" t="str">
        <f>B$9 * (18.25059127807617 -B$8)</f>
        <v>0</v>
      </c>
      <c r="C84" t="str">
        <f>C$9 * (18.25059127807617 -C$8)</f>
        <v>0</v>
      </c>
      <c r="E84" t="str">
        <f>E$9 * (-7.884560181992128E-5 -E$8)</f>
        <v>0</v>
      </c>
      <c r="F84" t="str">
        <f>F$9 * (-0.5608513951301575 -F$8)</f>
        <v>0</v>
      </c>
      <c r="G84" t="str">
        <f>G$9 * (0.4069018959999084 -G$8)</f>
        <v>0</v>
      </c>
    </row>
    <row r="85" spans="1:9">
      <c r="A85" t="str">
        <f>A$9 * (18.50006294250488 -A$8)</f>
        <v>0</v>
      </c>
      <c r="B85" t="str">
        <f>B$9 * (18.50006294250488 -B$8)</f>
        <v>0</v>
      </c>
      <c r="C85" t="str">
        <f>C$9 * (18.50006294250488 -C$8)</f>
        <v>0</v>
      </c>
      <c r="E85" t="str">
        <f>E$9 * (0.1652635037899017 -E$8)</f>
        <v>0</v>
      </c>
      <c r="F85" t="str">
        <f>F$9 * (8.488191604614258 -F$8)</f>
        <v>0</v>
      </c>
      <c r="G85" t="str">
        <f>G$9 * (8.74162483215332 -G$8)</f>
        <v>0</v>
      </c>
    </row>
    <row r="86" spans="1:9">
      <c r="A86" t="str">
        <f>A$9 * (18.75009727478027 -A$8)</f>
        <v>0</v>
      </c>
      <c r="B86" t="str">
        <f>B$9 * (18.75009727478027 -B$8)</f>
        <v>0</v>
      </c>
      <c r="C86" t="str">
        <f>C$9 * (18.75009727478027 -C$8)</f>
        <v>0</v>
      </c>
      <c r="E86" t="str">
        <f>E$9 * (0.04286989942193031 -E$8)</f>
        <v>0</v>
      </c>
      <c r="F86" t="str">
        <f>F$9 * (6.657303810119629 -F$8)</f>
        <v>0</v>
      </c>
      <c r="G86" t="str">
        <f>G$9 * (7.088486194610596 -G$8)</f>
        <v>0</v>
      </c>
    </row>
    <row r="87" spans="1:9">
      <c r="A87" t="str">
        <f>A$9 * (19.00009727478027 -A$8)</f>
        <v>0</v>
      </c>
      <c r="B87" t="str">
        <f>B$9 * (19.00009727478027 -B$8)</f>
        <v>0</v>
      </c>
      <c r="C87" t="str">
        <f>C$9 * (19.00009727478027 -C$8)</f>
        <v>0</v>
      </c>
      <c r="E87" t="str">
        <f>E$9 * (0.01307772006839514 -E$8)</f>
        <v>0</v>
      </c>
      <c r="F87" t="str">
        <f>F$9 * (7.708340167999268 -F$8)</f>
        <v>0</v>
      </c>
      <c r="G87" t="str">
        <f>G$9 * (13.94209957122803 -G$8)</f>
        <v>0</v>
      </c>
    </row>
    <row r="88" spans="1:9">
      <c r="A88" t="str">
        <f>A$9 * (19.25011444091797 -A$8)</f>
        <v>0</v>
      </c>
      <c r="B88" t="str">
        <f>B$9 * (19.25011444091797 -B$8)</f>
        <v>0</v>
      </c>
      <c r="C88" t="str">
        <f>C$9 * (19.25011444091797 -C$8)</f>
        <v>0</v>
      </c>
      <c r="E88" t="str">
        <f>E$9 * (0.009605539962649345 -E$8)</f>
        <v>0</v>
      </c>
      <c r="F88" t="str">
        <f>F$9 * (3.372817993164062 -F$8)</f>
        <v>0</v>
      </c>
      <c r="G88" t="str">
        <f>G$9 * (6.742417812347412 -G$8)</f>
        <v>0</v>
      </c>
    </row>
    <row r="89" spans="1:9">
      <c r="A89" t="str">
        <f>A$9 * (19.5001277923584 -A$8)</f>
        <v>0</v>
      </c>
      <c r="B89" t="str">
        <f>B$9 * (19.5001277923584 -B$8)</f>
        <v>0</v>
      </c>
      <c r="C89" t="str">
        <f>C$9 * (19.5001277923584 -C$8)</f>
        <v>0</v>
      </c>
      <c r="E89" t="str">
        <f>E$9 * (0.008478402160108089 -E$8)</f>
        <v>0</v>
      </c>
      <c r="F89" t="str">
        <f>F$9 * (3.90983510017395 -F$8)</f>
        <v>0</v>
      </c>
      <c r="G89" t="str">
        <f>G$9 * (8.624566078186035 -G$8)</f>
        <v>0</v>
      </c>
    </row>
    <row r="90" spans="1:9">
      <c r="A90" t="str">
        <f>A$9 * (19.75029945373535 -A$8)</f>
        <v>0</v>
      </c>
      <c r="B90" t="str">
        <f>B$9 * (19.75029945373535 -B$8)</f>
        <v>0</v>
      </c>
      <c r="C90" t="str">
        <f>C$9 * (19.75029945373535 -C$8)</f>
        <v>0</v>
      </c>
      <c r="E90" t="str">
        <f>E$9 * (0.005913520231842995 -E$8)</f>
        <v>0</v>
      </c>
      <c r="F90" t="str">
        <f>F$9 * (2.881253004074097 -F$8)</f>
        <v>0</v>
      </c>
      <c r="G90" t="str">
        <f>G$9 * (8.065496444702148 -G$8)</f>
        <v>0</v>
      </c>
    </row>
    <row r="91" spans="1:9">
      <c r="A91" t="str">
        <f>A$9 * (20.00004959106445 -A$8)</f>
        <v>0</v>
      </c>
      <c r="B91" t="str">
        <f>B$9 * (20.00004959106445 -B$8)</f>
        <v>0</v>
      </c>
      <c r="C91" t="str">
        <f>C$9 * (20.00004959106445 -C$8)</f>
        <v>0</v>
      </c>
      <c r="E91" t="str">
        <f>E$9 * (0.001764341024681926 -E$8)</f>
        <v>0</v>
      </c>
      <c r="F91" t="str">
        <f>F$9 * (0.3437508046627045 -F$8)</f>
        <v>0</v>
      </c>
      <c r="G91" t="str">
        <f>G$9 * (2.417278051376343 -G$8)</f>
        <v>0</v>
      </c>
    </row>
    <row r="92" spans="1:9">
      <c r="A92" t="str">
        <f>A$9 * (20.25016593933105 -A$8)</f>
        <v>0</v>
      </c>
      <c r="B92" t="str">
        <f>B$9 * (20.25016593933105 -B$8)</f>
        <v>0</v>
      </c>
      <c r="C92" t="str">
        <f>C$9 * (20.25016593933105 -C$8)</f>
        <v>0</v>
      </c>
      <c r="E92" t="str">
        <f>E$9 * (0.0007191495969891548 -E$8)</f>
        <v>0</v>
      </c>
      <c r="F92" t="str">
        <f>F$9 * (-0.3246814012527466 -F$8)</f>
        <v>0</v>
      </c>
      <c r="G92" t="str">
        <f>G$9 * (0.6043732762336731 -G$8)</f>
        <v>0</v>
      </c>
    </row>
    <row r="93" spans="1:9">
      <c r="A93" t="str">
        <f>A$9 * (20.50030326843262 -A$8)</f>
        <v>0</v>
      </c>
      <c r="B93" t="str">
        <f>B$9 * (20.50030326843262 -B$8)</f>
        <v>0</v>
      </c>
      <c r="C93" t="str">
        <f>C$9 * (20.50030326843262 -C$8)</f>
        <v>0</v>
      </c>
      <c r="E93" t="str">
        <f>E$9 * (0.06410851329565048 -E$8)</f>
        <v>0</v>
      </c>
      <c r="F93" t="str">
        <f>F$9 * (3.620023965835571 -F$8)</f>
        <v>0</v>
      </c>
      <c r="G93" t="str">
        <f>G$9 * (3.790827035903931 -G$8)</f>
        <v>0</v>
      </c>
    </row>
    <row r="94" spans="1:9">
      <c r="A94" t="str">
        <f>A$9 * (20.75010871887207 -A$8)</f>
        <v>0</v>
      </c>
      <c r="B94" t="str">
        <f>B$9 * (20.75010871887207 -B$8)</f>
        <v>0</v>
      </c>
      <c r="C94" t="str">
        <f>C$9 * (20.75010871887207 -C$8)</f>
        <v>0</v>
      </c>
      <c r="E94" t="str">
        <f>E$9 * (0.003216454060748219 -E$8)</f>
        <v>0</v>
      </c>
      <c r="F94" t="str">
        <f>F$9 * (-0.307259202003479 -F$8)</f>
        <v>0</v>
      </c>
      <c r="G94" t="str">
        <f>G$9 * (5.605974197387695 -G$8)</f>
        <v>0</v>
      </c>
    </row>
    <row r="95" spans="1:9">
      <c r="A95" t="str">
        <f>A$9 * (21.0001277923584 -A$8)</f>
        <v>0</v>
      </c>
      <c r="B95" t="str">
        <f>B$9 * (21.0001277923584 -B$8)</f>
        <v>0</v>
      </c>
      <c r="C95" t="str">
        <f>C$9 * (21.0001277923584 -C$8)</f>
        <v>0</v>
      </c>
      <c r="E95" t="str">
        <f>E$9 * (-0.001727450056932867 -E$8)</f>
        <v>0</v>
      </c>
      <c r="F95" t="str">
        <f>F$9 * (-1.83051598072052 -F$8)</f>
        <v>0</v>
      </c>
      <c r="G95" t="str">
        <f>G$9 * (2.487571954727173 -G$8)</f>
        <v>0</v>
      </c>
    </row>
    <row r="96" spans="1:9">
      <c r="A96" t="str">
        <f>A$9 * (21.25024223327637 -A$8)</f>
        <v>0</v>
      </c>
      <c r="B96" t="str">
        <f>B$9 * (21.25024223327637 -B$8)</f>
        <v>0</v>
      </c>
      <c r="C96" t="str">
        <f>C$9 * (21.25024223327637 -C$8)</f>
        <v>0</v>
      </c>
      <c r="E96" t="str">
        <f>E$9 * (-0.0005156918196007609 -E$8)</f>
        <v>0</v>
      </c>
      <c r="F96" t="str">
        <f>F$9 * (-0.8570612072944641 -F$8)</f>
        <v>0</v>
      </c>
      <c r="G96" t="str">
        <f>G$9 * (0.2799755036830902 -G$8)</f>
        <v>0</v>
      </c>
    </row>
    <row r="97" spans="1:9">
      <c r="A97" t="str">
        <f>A$9 * (21.50033378601074 -A$8)</f>
        <v>0</v>
      </c>
      <c r="B97" t="str">
        <f>B$9 * (21.50033378601074 -B$8)</f>
        <v>0</v>
      </c>
      <c r="C97" t="str">
        <f>C$9 * (21.50033378601074 -C$8)</f>
        <v>0</v>
      </c>
      <c r="E97" t="str">
        <f>E$9 * (-0.0009114446002058685 -E$8)</f>
        <v>0</v>
      </c>
      <c r="F97" t="str">
        <f>F$9 * (-0.2926777005195618 -F$8)</f>
        <v>0</v>
      </c>
      <c r="G97" t="str">
        <f>G$9 * (-0.3619283139705658 -G$8)</f>
        <v>0</v>
      </c>
    </row>
    <row r="98" spans="1:9">
      <c r="A98" t="str">
        <f>A$9 * (21.75038909912109 -A$8)</f>
        <v>0</v>
      </c>
      <c r="B98" t="str">
        <f>B$9 * (21.75038909912109 -B$8)</f>
        <v>0</v>
      </c>
      <c r="C98" t="str">
        <f>C$9 * (21.75038909912109 -C$8)</f>
        <v>0</v>
      </c>
      <c r="E98" t="str">
        <f>E$9 * (0.009568990208208561 -E$8)</f>
        <v>0</v>
      </c>
      <c r="F98" t="str">
        <f>F$9 * (0.2993245124816895 -F$8)</f>
        <v>0</v>
      </c>
      <c r="G98" t="str">
        <f>G$9 * (0.380557507276535 -G$8)</f>
        <v>0</v>
      </c>
    </row>
    <row r="99" spans="1:9">
      <c r="A99" t="str">
        <f>A$9 * (22.0002384185791 -A$8)</f>
        <v>0</v>
      </c>
      <c r="B99" t="str">
        <f>B$9 * (22.0002384185791 -B$8)</f>
        <v>0</v>
      </c>
      <c r="C99" t="str">
        <f>C$9 * (22.0002384185791 -C$8)</f>
        <v>0</v>
      </c>
      <c r="E99" t="str">
        <f>E$9 * (0.003564103040844202 -E$8)</f>
        <v>0</v>
      </c>
      <c r="F99" t="str">
        <f>F$9 * (-0.002328034956008196 -F$8)</f>
        <v>0</v>
      </c>
      <c r="G99" t="str">
        <f>G$9 * (7.811957836151123 -G$8)</f>
        <v>0</v>
      </c>
    </row>
    <row r="100" spans="1:9">
      <c r="A100" t="str">
        <f>A$9 * (22.25003242492676 -A$8)</f>
        <v>0</v>
      </c>
      <c r="B100" t="str">
        <f>B$9 * (22.25003242492676 -B$8)</f>
        <v>0</v>
      </c>
      <c r="C100" t="str">
        <f>C$9 * (22.25003242492676 -C$8)</f>
        <v>0</v>
      </c>
      <c r="E100" t="str">
        <f>E$9 * (0.01710470952093601 -E$8)</f>
        <v>0</v>
      </c>
      <c r="F100" t="str">
        <f>F$9 * (9.518789291381836 -F$8)</f>
        <v>0</v>
      </c>
      <c r="G100" t="str">
        <f>G$9 * (15.85731983184814 -G$8)</f>
        <v>0</v>
      </c>
    </row>
    <row r="101" spans="1:9">
      <c r="A101" t="str">
        <f>A$9 * (22.50029373168945 -A$8)</f>
        <v>0</v>
      </c>
      <c r="B101" t="str">
        <f>B$9 * (22.50029373168945 -B$8)</f>
        <v>0</v>
      </c>
      <c r="C101" t="str">
        <f>C$9 * (22.50029373168945 -C$8)</f>
        <v>0</v>
      </c>
      <c r="E101" t="str">
        <f>E$9 * (0.007123642135411501 -E$8)</f>
        <v>0</v>
      </c>
      <c r="F101" t="str">
        <f>F$9 * (3.634254932403564 -F$8)</f>
        <v>0</v>
      </c>
      <c r="G101" t="str">
        <f>G$9 * (9.03498363494873 -G$8)</f>
        <v>0</v>
      </c>
    </row>
    <row r="102" spans="1:9">
      <c r="A102" t="str">
        <f>A$9 * (22.75035095214844 -A$8)</f>
        <v>0</v>
      </c>
      <c r="B102" t="str">
        <f>B$9 * (22.75035095214844 -B$8)</f>
        <v>0</v>
      </c>
      <c r="C102" t="str">
        <f>C$9 * (22.75035095214844 -C$8)</f>
        <v>0</v>
      </c>
      <c r="E102" t="str">
        <f>E$9 * (0.009899777360260487 -E$8)</f>
        <v>0</v>
      </c>
      <c r="F102" t="str">
        <f>F$9 * (4.443008899688721 -F$8)</f>
        <v>0</v>
      </c>
      <c r="G102" t="str">
        <f>G$9 * (8.91380786895752 -G$8)</f>
        <v>0</v>
      </c>
    </row>
    <row r="103" spans="1:9">
      <c r="A103" t="str">
        <f>A$9 * (23.00012016296387 -A$8)</f>
        <v>0</v>
      </c>
      <c r="B103" t="str">
        <f>B$9 * (23.00012016296387 -B$8)</f>
        <v>0</v>
      </c>
      <c r="C103" t="str">
        <f>C$9 * (23.00012016296387 -C$8)</f>
        <v>0</v>
      </c>
      <c r="E103" t="str">
        <f>E$9 * (0.006232419051229954 -E$8)</f>
        <v>0</v>
      </c>
      <c r="F103" t="str">
        <f>F$9 * (3.043174982070923 -F$8)</f>
        <v>0</v>
      </c>
      <c r="G103" t="str">
        <f>G$9 * (8.227372169494629 -G$8)</f>
        <v>0</v>
      </c>
    </row>
    <row r="104" spans="1:9">
      <c r="A104" t="str">
        <f>A$9 * (23.25015258789062 -A$8)</f>
        <v>0</v>
      </c>
      <c r="B104" t="str">
        <f>B$9 * (23.25015258789062 -B$8)</f>
        <v>0</v>
      </c>
      <c r="C104" t="str">
        <f>C$9 * (23.25015258789062 -C$8)</f>
        <v>0</v>
      </c>
      <c r="E104" t="str">
        <f>E$9 * (0.002692108973860741 -E$8)</f>
        <v>0</v>
      </c>
      <c r="F104" t="str">
        <f>F$9 * (0.6217378973960876 -F$8)</f>
        <v>0</v>
      </c>
      <c r="G104" t="str">
        <f>G$9 * (3.104639053344727 -G$8)</f>
        <v>0</v>
      </c>
    </row>
    <row r="105" spans="1:9">
      <c r="A105" t="str">
        <f>A$9 * (23.50027847290039 -A$8)</f>
        <v>0</v>
      </c>
      <c r="B105" t="str">
        <f>B$9 * (23.50027847290039 -B$8)</f>
        <v>0</v>
      </c>
      <c r="C105" t="str">
        <f>C$9 * (23.50027847290039 -C$8)</f>
        <v>0</v>
      </c>
      <c r="E105" t="str">
        <f>E$9 * (0.008030996657907963 -E$8)</f>
        <v>0</v>
      </c>
      <c r="F105" t="str">
        <f>F$9 * (1.093171000480652 -F$8)</f>
        <v>0</v>
      </c>
      <c r="G105" t="str">
        <f>G$9 * (2.327883958816528 -G$8)</f>
        <v>0</v>
      </c>
    </row>
    <row r="106" spans="1:9">
      <c r="A106" t="str">
        <f>A$9 * (23.75039482116699 -A$8)</f>
        <v>0</v>
      </c>
      <c r="B106" t="str">
        <f>B$9 * (23.75039482116699 -B$8)</f>
        <v>0</v>
      </c>
      <c r="C106" t="str">
        <f>C$9 * (23.75039482116699 -C$8)</f>
        <v>0</v>
      </c>
      <c r="E106" t="str">
        <f>E$9 * (0.001920094946399331 -E$8)</f>
        <v>0</v>
      </c>
      <c r="F106" t="str">
        <f>F$9 * (1.358736038208008 -F$8)</f>
        <v>0</v>
      </c>
      <c r="G106" t="str">
        <f>G$9 * (9.43757152557373 -G$8)</f>
        <v>0</v>
      </c>
    </row>
    <row r="107" spans="1:9">
      <c r="A107" t="str">
        <f>A$9 * (24.00031852722168 -A$8)</f>
        <v>0</v>
      </c>
      <c r="B107" t="str">
        <f>B$9 * (24.00031852722168 -B$8)</f>
        <v>0</v>
      </c>
      <c r="C107" t="str">
        <f>C$9 * (24.00031852722168 -C$8)</f>
        <v>0</v>
      </c>
      <c r="E107" t="str">
        <f>E$9 * (0.0008740060729905963 -E$8)</f>
        <v>0</v>
      </c>
      <c r="F107" t="str">
        <f>F$9 * (-0.8366295099258423 -F$8)</f>
        <v>0</v>
      </c>
      <c r="G107" t="str">
        <f>G$9 * (0.949629008769989 -G$8)</f>
        <v>0</v>
      </c>
    </row>
    <row r="108" spans="1:9">
      <c r="A108" t="str">
        <f>A$9 * (24.25011444091797 -A$8)</f>
        <v>0</v>
      </c>
      <c r="B108" t="str">
        <f>B$9 * (24.25011444091797 -B$8)</f>
        <v>0</v>
      </c>
      <c r="C108" t="str">
        <f>C$9 * (24.25011444091797 -C$8)</f>
        <v>0</v>
      </c>
      <c r="E108" t="str">
        <f>E$9 * (-0.003057186026126146 -E$8)</f>
        <v>0</v>
      </c>
      <c r="F108" t="str">
        <f>F$9 * (-0.4639303982257843 -F$8)</f>
        <v>0</v>
      </c>
      <c r="G108" t="str">
        <f>G$9 * (-2.512931108474731 -G$8)</f>
        <v>0</v>
      </c>
    </row>
    <row r="109" spans="1:9">
      <c r="A109" t="str">
        <f>A$9 * (24.50047302246094 -A$8)</f>
        <v>0</v>
      </c>
      <c r="B109" t="str">
        <f>B$9 * (24.50047302246094 -B$8)</f>
        <v>0</v>
      </c>
      <c r="C109" t="str">
        <f>C$9 * (24.50047302246094 -C$8)</f>
        <v>0</v>
      </c>
      <c r="E109" t="str">
        <f>E$9 * (-0.0006178462062962353 -E$8)</f>
        <v>0</v>
      </c>
      <c r="F109" t="str">
        <f>F$9 * (-1.079748034477234 -F$8)</f>
        <v>0</v>
      </c>
      <c r="G109" t="str">
        <f>G$9 * (0.9515712857246399 -G$8)</f>
        <v>0</v>
      </c>
    </row>
    <row r="110" spans="1:9">
      <c r="A110" t="str">
        <f>A$9 * (24.75012016296387 -A$8)</f>
        <v>0</v>
      </c>
      <c r="B110" t="str">
        <f>B$9 * (24.75012016296387 -B$8)</f>
        <v>0</v>
      </c>
      <c r="C110" t="str">
        <f>C$9 * (24.75012016296387 -C$8)</f>
        <v>0</v>
      </c>
      <c r="E110" t="str">
        <f>E$9 * (-0.0001887887046905234 -E$8)</f>
        <v>0</v>
      </c>
      <c r="F110" t="str">
        <f>F$9 * (-0.7502360939979553 -F$8)</f>
        <v>0</v>
      </c>
      <c r="G110" t="str">
        <f>G$9 * (0.4794048070907593 -G$8)</f>
        <v>0</v>
      </c>
    </row>
    <row r="111" spans="1:9">
      <c r="A111" t="str">
        <f>A$9 * (25.00012016296387 -A$8)</f>
        <v>0</v>
      </c>
      <c r="B111" t="str">
        <f>B$9 * (25.00012016296387 -B$8)</f>
        <v>0</v>
      </c>
      <c r="C111" t="str">
        <f>C$9 * (25.00012016296387 -C$8)</f>
        <v>0</v>
      </c>
      <c r="E111" t="str">
        <f>E$9 * (0.003967870958149433 -E$8)</f>
        <v>0</v>
      </c>
      <c r="F111" t="str">
        <f>F$9 * (0.1697108000516891 -F$8)</f>
        <v>0</v>
      </c>
      <c r="G111" t="str">
        <f>G$9 * (18.65088081359863 -G$8)</f>
        <v>0</v>
      </c>
    </row>
    <row r="112" spans="1:9">
      <c r="A112" t="str">
        <f>A$9 * (25.25008392333984 -A$8)</f>
        <v>0</v>
      </c>
      <c r="B112" t="str">
        <f>B$9 * (25.25008392333984 -B$8)</f>
        <v>0</v>
      </c>
      <c r="C112" t="str">
        <f>C$9 * (25.25008392333984 -C$8)</f>
        <v>0</v>
      </c>
      <c r="E112" t="str">
        <f>E$9 * (0.0261568296700716 -E$8)</f>
        <v>0</v>
      </c>
      <c r="F112" t="str">
        <f>F$9 * (12.19690036773682 -F$8)</f>
        <v>0</v>
      </c>
      <c r="G112" t="str">
        <f>G$9 * (17.21010971069336 -G$8)</f>
        <v>0</v>
      </c>
    </row>
    <row r="113" spans="1:9">
      <c r="A113" t="str">
        <f>A$9 * (25.5003833770752 -A$8)</f>
        <v>0</v>
      </c>
      <c r="B113" t="str">
        <f>B$9 * (25.5003833770752 -B$8)</f>
        <v>0</v>
      </c>
      <c r="C113" t="str">
        <f>C$9 * (25.5003833770752 -C$8)</f>
        <v>0</v>
      </c>
      <c r="E113" t="str">
        <f>E$9 * (0.008475697599351406 -E$8)</f>
        <v>0</v>
      </c>
      <c r="F113" t="str">
        <f>F$9 * (5.23698616027832 -F$8)</f>
        <v>0</v>
      </c>
      <c r="G113" t="str">
        <f>G$9 * (11.90929985046387 -G$8)</f>
        <v>0</v>
      </c>
    </row>
    <row r="114" spans="1:9">
      <c r="A114" t="str">
        <f>A$9 * (25.75029945373535 -A$8)</f>
        <v>0</v>
      </c>
      <c r="B114" t="str">
        <f>B$9 * (25.75029945373535 -B$8)</f>
        <v>0</v>
      </c>
      <c r="C114" t="str">
        <f>C$9 * (25.75029945373535 -C$8)</f>
        <v>0</v>
      </c>
      <c r="E114" t="str">
        <f>E$9 * (0.0153956301510334 -E$8)</f>
        <v>0</v>
      </c>
      <c r="F114" t="str">
        <f>F$9 * (4.921582221984863 -F$8)</f>
        <v>0</v>
      </c>
      <c r="G114" t="str">
        <f>G$9 * (7.606743812561035 -G$8)</f>
        <v>0</v>
      </c>
    </row>
    <row r="115" spans="1:9">
      <c r="A115" t="str">
        <f>A$9 * (26.00038528442383 -A$8)</f>
        <v>0</v>
      </c>
      <c r="B115" t="str">
        <f>B$9 * (26.00038528442383 -B$8)</f>
        <v>0</v>
      </c>
      <c r="C115" t="str">
        <f>C$9 * (26.00038528442383 -C$8)</f>
        <v>0</v>
      </c>
      <c r="E115" t="str">
        <f>E$9 * (0.006675408221781254 -E$8)</f>
        <v>0</v>
      </c>
      <c r="F115" t="str">
        <f>F$9 * (3.3225998878479 -F$8)</f>
        <v>0</v>
      </c>
      <c r="G115" t="str">
        <f>G$9 * (8.59801197052002 -G$8)</f>
        <v>0</v>
      </c>
    </row>
    <row r="116" spans="1:9">
      <c r="A116" t="str">
        <f>A$9 * (26.25018692016602 -A$8)</f>
        <v>0</v>
      </c>
      <c r="B116" t="str">
        <f>B$9 * (26.25018692016602 -B$8)</f>
        <v>0</v>
      </c>
      <c r="C116" t="str">
        <f>C$9 * (26.25018692016602 -C$8)</f>
        <v>0</v>
      </c>
      <c r="E116" t="str">
        <f>E$9 * (0.00345059297978878 -E$8)</f>
        <v>0</v>
      </c>
      <c r="F116" t="str">
        <f>F$9 * (1.098338961601257 -F$8)</f>
        <v>0</v>
      </c>
      <c r="G116" t="str">
        <f>G$9 * (4.495637893676758 -G$8)</f>
        <v>0</v>
      </c>
    </row>
    <row r="117" spans="1:9">
      <c r="A117" t="str">
        <f>A$9 * (26.50039672851562 -A$8)</f>
        <v>0</v>
      </c>
      <c r="B117" t="str">
        <f>B$9 * (26.50039672851562 -B$8)</f>
        <v>0</v>
      </c>
      <c r="C117" t="str">
        <f>C$9 * (26.50039672851562 -C$8)</f>
        <v>0</v>
      </c>
      <c r="E117" t="str">
        <f>E$9 * (-0.004072416108101606 -E$8)</f>
        <v>0</v>
      </c>
      <c r="F117" t="str">
        <f>F$9 * (-1.990157008171082 -F$8)</f>
        <v>0</v>
      </c>
      <c r="G117" t="str">
        <f>G$9 * (1.095322012901306 -G$8)</f>
        <v>0</v>
      </c>
    </row>
    <row r="118" spans="1:9">
      <c r="A118" t="str">
        <f>A$9 * (26.75045585632324 -A$8)</f>
        <v>0</v>
      </c>
      <c r="B118" t="str">
        <f>B$9 * (26.75045585632324 -B$8)</f>
        <v>0</v>
      </c>
      <c r="C118" t="str">
        <f>C$9 * (26.75045585632324 -C$8)</f>
        <v>0</v>
      </c>
      <c r="E118" t="str">
        <f>E$9 * (-4.487780097406358E-5 -E$8)</f>
        <v>0</v>
      </c>
      <c r="F118" t="str">
        <f>F$9 * (-1.261898994445801 -F$8)</f>
        <v>0</v>
      </c>
      <c r="G118" t="str">
        <f>G$9 * (2.077785015106201 -G$8)</f>
        <v>0</v>
      </c>
    </row>
    <row r="119" spans="1:9">
      <c r="A119" t="str">
        <f>A$9 * (27.00051307678223 -A$8)</f>
        <v>0</v>
      </c>
      <c r="B119" t="str">
        <f>B$9 * (27.00051307678223 -B$8)</f>
        <v>0</v>
      </c>
      <c r="C119" t="str">
        <f>C$9 * (27.00051307678223 -C$8)</f>
        <v>0</v>
      </c>
      <c r="E119" t="str">
        <f>E$9 * (0.1084365993738174 -E$8)</f>
        <v>0</v>
      </c>
      <c r="F119" t="str">
        <f>F$9 * (11.41347026824951 -F$8)</f>
        <v>0</v>
      </c>
      <c r="G119" t="str">
        <f>G$9 * (11.8790397644043 -G$8)</f>
        <v>0</v>
      </c>
    </row>
    <row r="120" spans="1:9">
      <c r="A120" t="str">
        <f>A$9 * (27.2500057220459 -A$8)</f>
        <v>0</v>
      </c>
      <c r="B120" t="str">
        <f>B$9 * (27.2500057220459 -B$8)</f>
        <v>0</v>
      </c>
      <c r="C120" t="str">
        <f>C$9 * (27.2500057220459 -C$8)</f>
        <v>0</v>
      </c>
      <c r="E120" t="str">
        <f>E$9 * (0.01107234973460436 -E$8)</f>
        <v>0</v>
      </c>
      <c r="F120" t="str">
        <f>F$9 * (2.138200044631958 -F$8)</f>
        <v>0</v>
      </c>
      <c r="G120" t="str">
        <f>G$9 * (3.7950599193573 -G$8)</f>
        <v>0</v>
      </c>
    </row>
    <row r="121" spans="1:9">
      <c r="A121" t="str">
        <f>A$9 * (27.50052261352539 -A$8)</f>
        <v>0</v>
      </c>
      <c r="B121" t="str">
        <f>B$9 * (27.50052261352539 -B$8)</f>
        <v>0</v>
      </c>
      <c r="C121" t="str">
        <f>C$9 * (27.50052261352539 -C$8)</f>
        <v>0</v>
      </c>
      <c r="E121" t="str">
        <f>E$9 * (-0.002383786952123046 -E$8)</f>
        <v>0</v>
      </c>
      <c r="F121" t="str">
        <f>F$9 * (-0.2499444931745529 -F$8)</f>
        <v>0</v>
      </c>
      <c r="G121" t="str">
        <f>G$9 * (-1.0746910572052 -G$8)</f>
        <v>0</v>
      </c>
    </row>
    <row r="122" spans="1:9">
      <c r="A122" t="str">
        <f>A$9 * (27.75006294250488 -A$8)</f>
        <v>0</v>
      </c>
      <c r="B122" t="str">
        <f>B$9 * (27.75006294250488 -B$8)</f>
        <v>0</v>
      </c>
      <c r="C122" t="str">
        <f>C$9 * (27.75006294250488 -C$8)</f>
        <v>0</v>
      </c>
      <c r="E122" t="str">
        <f>E$9 * (-0.00154419697355479 -E$8)</f>
        <v>0</v>
      </c>
      <c r="F122" t="str">
        <f>F$9 * (-0.3308633863925934 -F$8)</f>
        <v>0</v>
      </c>
      <c r="G122" t="str">
        <f>G$9 * (-0.9182785749435425 -G$8)</f>
        <v>0</v>
      </c>
    </row>
    <row r="123" spans="1:9">
      <c r="A123" t="str">
        <f>A$9 * (28.00033378601074 -A$8)</f>
        <v>0</v>
      </c>
      <c r="B123" t="str">
        <f>B$9 * (28.00033378601074 -B$8)</f>
        <v>0</v>
      </c>
      <c r="C123" t="str">
        <f>C$9 * (28.00033378601074 -C$8)</f>
        <v>0</v>
      </c>
      <c r="E123" t="str">
        <f>E$9 * (0.0003272971080150455 -E$8)</f>
        <v>0</v>
      </c>
      <c r="F123" t="str">
        <f>F$9 * (-0.7127491235733032 -F$8)</f>
        <v>0</v>
      </c>
      <c r="G123" t="str">
        <f>G$9 * (0.4533514082431793 -G$8)</f>
        <v>0</v>
      </c>
    </row>
    <row r="124" spans="1:9">
      <c r="A124" t="str">
        <f>A$9 * (28.2501392364502 -A$8)</f>
        <v>0</v>
      </c>
      <c r="B124" t="str">
        <f>B$9 * (28.2501392364502 -B$8)</f>
        <v>0</v>
      </c>
      <c r="C124" t="str">
        <f>C$9 * (28.2501392364502 -C$8)</f>
        <v>0</v>
      </c>
      <c r="E124" t="str">
        <f>E$9 * (0.2202243953943253 -E$8)</f>
        <v>0</v>
      </c>
      <c r="F124" t="str">
        <f>F$9 * (20.95293045043945 -F$8)</f>
        <v>0</v>
      </c>
      <c r="G124" t="str">
        <f>G$9 * (21.66604995727539 -G$8)</f>
        <v>0</v>
      </c>
    </row>
    <row r="125" spans="1:9">
      <c r="A125" t="str">
        <f>A$9 * (28.50002861022949 -A$8)</f>
        <v>0</v>
      </c>
      <c r="B125" t="str">
        <f>B$9 * (28.50002861022949 -B$8)</f>
        <v>0</v>
      </c>
      <c r="C125" t="str">
        <f>C$9 * (28.50002861022949 -C$8)</f>
        <v>0</v>
      </c>
      <c r="E125" t="str">
        <f>E$9 * (0.05438290908932686 -E$8)</f>
        <v>0</v>
      </c>
      <c r="F125" t="str">
        <f>F$9 * (7.581021785736084 -F$8)</f>
        <v>0</v>
      </c>
      <c r="G125" t="str">
        <f>G$9 * (8.01835823059082 -G$8)</f>
        <v>0</v>
      </c>
    </row>
    <row r="126" spans="1:9">
      <c r="A126" t="str">
        <f>A$9 * (28.7503604888916 -A$8)</f>
        <v>0</v>
      </c>
      <c r="B126" t="str">
        <f>B$9 * (28.7503604888916 -B$8)</f>
        <v>0</v>
      </c>
      <c r="C126" t="str">
        <f>C$9 * (28.7503604888916 -C$8)</f>
        <v>0</v>
      </c>
      <c r="E126" t="str">
        <f>E$9 * (0.01211696956306696 -E$8)</f>
        <v>0</v>
      </c>
      <c r="F126" t="str">
        <f>F$9 * (7.277379989624023 -F$8)</f>
        <v>0</v>
      </c>
      <c r="G126" t="str">
        <f>G$9 * (13.5349702835083 -G$8)</f>
        <v>0</v>
      </c>
    </row>
    <row r="127" spans="1:9">
      <c r="A127" t="str">
        <f>A$9 * (29.00033378601074 -A$8)</f>
        <v>0</v>
      </c>
      <c r="B127" t="str">
        <f>B$9 * (29.00033378601074 -B$8)</f>
        <v>0</v>
      </c>
      <c r="C127" t="str">
        <f>C$9 * (29.00033378601074 -C$8)</f>
        <v>0</v>
      </c>
      <c r="E127" t="str">
        <f>E$9 * (0.01071231998503208 -E$8)</f>
        <v>0</v>
      </c>
      <c r="F127" t="str">
        <f>F$9 * (3.467176914215088 -F$8)</f>
        <v>0</v>
      </c>
      <c r="G127" t="str">
        <f>G$9 * (6.473719120025635 -G$8)</f>
        <v>0</v>
      </c>
    </row>
    <row r="128" spans="1:9">
      <c r="A128" t="str">
        <f>A$9 * (29.25027847290039 -A$8)</f>
        <v>0</v>
      </c>
      <c r="B128" t="str">
        <f>B$9 * (29.25027847290039 -B$8)</f>
        <v>0</v>
      </c>
      <c r="C128" t="str">
        <f>C$9 * (29.25027847290039 -C$8)</f>
        <v>0</v>
      </c>
      <c r="E128" t="str">
        <f>E$9 * (0.008265570737421513 -E$8)</f>
        <v>0</v>
      </c>
      <c r="F128" t="str">
        <f>F$9 * (3.835999011993408 -F$8)</f>
        <v>0</v>
      </c>
      <c r="G128" t="str">
        <f>G$9 * (8.6007080078125 -G$8)</f>
        <v>0</v>
      </c>
    </row>
    <row r="129" spans="1:9">
      <c r="A129" t="str">
        <f>A$9 * (29.50022315979004 -A$8)</f>
        <v>0</v>
      </c>
      <c r="B129" t="str">
        <f>B$9 * (29.50022315979004 -B$8)</f>
        <v>0</v>
      </c>
      <c r="C129" t="str">
        <f>C$9 * (29.50022315979004 -C$8)</f>
        <v>0</v>
      </c>
      <c r="E129" t="str">
        <f>E$9 * (0.005674703046679497 -E$8)</f>
        <v>0</v>
      </c>
      <c r="F129" t="str">
        <f>F$9 * (2.751089096069336 -F$8)</f>
        <v>0</v>
      </c>
      <c r="G129" t="str">
        <f>G$9 * (7.918789863586426 -G$8)</f>
        <v>0</v>
      </c>
    </row>
    <row r="130" spans="1:9">
      <c r="A130" t="str">
        <f>A$9 * (29.75030517578125 -A$8)</f>
        <v>0</v>
      </c>
      <c r="B130" t="str">
        <f>B$9 * (29.75030517578125 -B$8)</f>
        <v>0</v>
      </c>
      <c r="C130" t="str">
        <f>C$9 * (29.75030517578125 -C$8)</f>
        <v>0</v>
      </c>
      <c r="E130" t="str">
        <f>E$9 * (0.001342543982900679 -E$8)</f>
        <v>0</v>
      </c>
      <c r="F130" t="str">
        <f>F$9 * (0.2497317939996719 -F$8)</f>
        <v>0</v>
      </c>
      <c r="G130" t="str">
        <f>G$9 * (2.222779035568237 -G$8)</f>
        <v>0</v>
      </c>
    </row>
    <row r="131" spans="1:9">
      <c r="A131" t="str">
        <f>A$9 * (30.00038909912109 -A$8)</f>
        <v>0</v>
      </c>
      <c r="B131" t="str">
        <f>B$9 * (30.00038909912109 -B$8)</f>
        <v>0</v>
      </c>
      <c r="C131" t="str">
        <f>C$9 * (30.00038909912109 -C$8)</f>
        <v>0</v>
      </c>
      <c r="E131" t="str">
        <f>E$9 * (-0.0008968838956207037 -E$8)</f>
        <v>0</v>
      </c>
      <c r="F131" t="str">
        <f>F$9 * (-0.6546025276184082 -F$8)</f>
        <v>0</v>
      </c>
      <c r="G131" t="str">
        <f>G$9 * (-1.103921055793762 -G$8)</f>
        <v>0</v>
      </c>
    </row>
    <row r="132" spans="1:9">
      <c r="A132" t="str">
        <f>A$9 * (30.25047302246094 -A$8)</f>
        <v>0</v>
      </c>
      <c r="B132" t="str">
        <f>B$9 * (30.25047302246094 -B$8)</f>
        <v>0</v>
      </c>
      <c r="C132" t="str">
        <f>C$9 * (30.25047302246094 -C$8)</f>
        <v>0</v>
      </c>
      <c r="E132" t="str">
        <f>E$9 * (0.005855408962816 -E$8)</f>
        <v>0</v>
      </c>
      <c r="F132" t="str">
        <f>F$9 * (-1.068622946739197 -F$8)</f>
        <v>0</v>
      </c>
      <c r="G132" t="str">
        <f>G$9 * (1.779850006103516 -G$8)</f>
        <v>0</v>
      </c>
    </row>
    <row r="133" spans="1:9">
      <c r="A133" t="str">
        <f>A$9 * (30.5 -A$8)</f>
        <v>0</v>
      </c>
      <c r="B133" t="str">
        <f>B$9 * (30.5 -B$8)</f>
        <v>0</v>
      </c>
      <c r="C133" t="str">
        <f>C$9 * (30.5 -C$8)</f>
        <v>0</v>
      </c>
      <c r="E133" t="str">
        <f>E$9 * (0.00231350096873939 -E$8)</f>
        <v>0</v>
      </c>
      <c r="F133" t="str">
        <f>F$9 * (-0.0993436872959137 -F$8)</f>
        <v>0</v>
      </c>
      <c r="G133" t="str">
        <f>G$9 * (6.675453186035156 -G$8)</f>
        <v>0</v>
      </c>
    </row>
    <row r="134" spans="1:9">
      <c r="A134" t="str">
        <f>A$9 * (30.75041580200195 -A$8)</f>
        <v>0</v>
      </c>
      <c r="B134" t="str">
        <f>B$9 * (30.75041580200195 -B$8)</f>
        <v>0</v>
      </c>
      <c r="C134" t="str">
        <f>C$9 * (30.75041580200195 -C$8)</f>
        <v>0</v>
      </c>
      <c r="E134" t="str">
        <f>E$9 * (-0.0007063206285238266 -E$8)</f>
        <v>0</v>
      </c>
      <c r="F134" t="str">
        <f>F$9 * (-1.884456992149353 -F$8)</f>
        <v>0</v>
      </c>
      <c r="G134" t="str">
        <f>G$9 * (1.826624035835266 -G$8)</f>
        <v>0</v>
      </c>
    </row>
    <row r="135" spans="1:9">
      <c r="A135" t="str">
        <f>A$9 * (31.00030517578125 -A$8)</f>
        <v>0</v>
      </c>
      <c r="B135" t="str">
        <f>B$9 * (31.00030517578125 -B$8)</f>
        <v>0</v>
      </c>
      <c r="C135" t="str">
        <f>C$9 * (31.00030517578125 -C$8)</f>
        <v>0</v>
      </c>
      <c r="E135" t="str">
        <f>E$9 * (-0.0002473435888532549 -E$8)</f>
        <v>0</v>
      </c>
      <c r="F135" t="str">
        <f>F$9 * (-1.264386057853699 -F$8)</f>
        <v>0</v>
      </c>
      <c r="G135" t="str">
        <f>G$9 * (0.7777583003044128 -G$8)</f>
        <v>0</v>
      </c>
    </row>
    <row r="136" spans="1:9">
      <c r="A136" t="str">
        <f>A$9 * (31.2506103515625 -A$8)</f>
        <v>0</v>
      </c>
      <c r="B136" t="str">
        <f>B$9 * (31.2506103515625 -B$8)</f>
        <v>0</v>
      </c>
      <c r="C136" t="str">
        <f>C$9 * (31.2506103515625 -C$8)</f>
        <v>0</v>
      </c>
      <c r="E136" t="str">
        <f>E$9 * (-0.0003686753916554153 -E$8)</f>
        <v>0</v>
      </c>
      <c r="F136" t="str">
        <f>F$9 * (-0.8236556053161621 -F$8)</f>
        <v>0</v>
      </c>
      <c r="G136" t="str">
        <f>G$9 * (0.3021728992462158 -G$8)</f>
        <v>0</v>
      </c>
    </row>
    <row r="137" spans="1:9">
      <c r="A137" t="str">
        <f>A$9 * (31.50069427490234 -A$8)</f>
        <v>0</v>
      </c>
      <c r="B137" t="str">
        <f>B$9 * (31.50069427490234 -B$8)</f>
        <v>0</v>
      </c>
      <c r="C137" t="str">
        <f>C$9 * (31.50069427490234 -C$8)</f>
        <v>0</v>
      </c>
      <c r="E137" t="str">
        <f>E$9 * (0.005944414064288139 -E$8)</f>
        <v>0</v>
      </c>
      <c r="F137" t="str">
        <f>F$9 * (0.1856482028961182 -F$8)</f>
        <v>0</v>
      </c>
      <c r="G137" t="str">
        <f>G$9 * (0.253744900226593 -G$8)</f>
        <v>0</v>
      </c>
    </row>
    <row r="138" spans="1:9">
      <c r="A138" t="str">
        <f>A$9 * (31.75019454956055 -A$8)</f>
        <v>0</v>
      </c>
      <c r="B138" t="str">
        <f>B$9 * (31.75019454956055 -B$8)</f>
        <v>0</v>
      </c>
      <c r="C138" t="str">
        <f>C$9 * (31.75019454956055 -C$8)</f>
        <v>0</v>
      </c>
      <c r="E138" t="str">
        <f>E$9 * (0.003457966959103942 -E$8)</f>
        <v>0</v>
      </c>
      <c r="F138" t="str">
        <f>F$9 * (0.05134125053882599 -F$8)</f>
        <v>0</v>
      </c>
      <c r="G138" t="str">
        <f>G$9 * (8.808355331420898 -G$8)</f>
        <v>0</v>
      </c>
    </row>
    <row r="139" spans="1:9">
      <c r="A139" t="str">
        <f>A$9 * (32.00047302246094 -A$8)</f>
        <v>0</v>
      </c>
      <c r="B139" t="str">
        <f>B$9 * (32.00047302246094 -B$8)</f>
        <v>0</v>
      </c>
      <c r="C139" t="str">
        <f>C$9 * (32.00047302246094 -C$8)</f>
        <v>0</v>
      </c>
      <c r="E139" t="str">
        <f>E$9 * (0.01728487946093082 -E$8)</f>
        <v>0</v>
      </c>
      <c r="F139" t="str">
        <f>F$9 * (9.607748985290527 -F$8)</f>
        <v>0</v>
      </c>
      <c r="G139" t="str">
        <f>G$9 * (15.97603034973145 -G$8)</f>
        <v>0</v>
      </c>
    </row>
    <row r="140" spans="1:9">
      <c r="A140" t="str">
        <f>A$9 * (32.25038909912109 -A$8)</f>
        <v>0</v>
      </c>
      <c r="B140" t="str">
        <f>B$9 * (32.25038909912109 -B$8)</f>
        <v>0</v>
      </c>
      <c r="C140" t="str">
        <f>C$9 * (32.25038909912109 -C$8)</f>
        <v>0</v>
      </c>
      <c r="E140" t="str">
        <f>E$9 * (0.006893739104270935 -E$8)</f>
        <v>0</v>
      </c>
      <c r="F140" t="str">
        <f>F$9 * (3.603080034255981 -F$8)</f>
        <v>0</v>
      </c>
      <c r="G140" t="str">
        <f>G$9 * (9.177010536193848 -G$8)</f>
        <v>0</v>
      </c>
    </row>
    <row r="141" spans="1:9">
      <c r="A141" t="str">
        <f>A$9 * (32.5 -A$8)</f>
        <v>0</v>
      </c>
      <c r="B141" t="str">
        <f>B$9 * (32.5 -B$8)</f>
        <v>0</v>
      </c>
      <c r="C141" t="str">
        <f>C$9 * (32.5 -C$8)</f>
        <v>0</v>
      </c>
      <c r="E141" t="str">
        <f>E$9 * (0.01000307034701109 -E$8)</f>
        <v>0</v>
      </c>
      <c r="F141" t="str">
        <f>F$9 * (4.470913887023926 -F$8)</f>
        <v>0</v>
      </c>
      <c r="G141" t="str">
        <f>G$9 * (8.912381172180176 -G$8)</f>
        <v>0</v>
      </c>
    </row>
    <row r="142" spans="1:9">
      <c r="A142" t="str">
        <f>A$9 * (32.75025177001953 -A$8)</f>
        <v>0</v>
      </c>
      <c r="B142" t="str">
        <f>B$9 * (32.75025177001953 -B$8)</f>
        <v>0</v>
      </c>
      <c r="C142" t="str">
        <f>C$9 * (32.75025177001953 -C$8)</f>
        <v>0</v>
      </c>
      <c r="E142" t="str">
        <f>E$9 * (0.00623127818107605 -E$8)</f>
        <v>0</v>
      </c>
      <c r="F142" t="str">
        <f>F$9 * (3.045651912689209 -F$8)</f>
        <v>0</v>
      </c>
      <c r="G142" t="str">
        <f>G$9 * (8.236239433288574 -G$8)</f>
        <v>0</v>
      </c>
    </row>
    <row r="143" spans="1:9">
      <c r="A143" t="str">
        <f>A$9 * (33.00027847290039 -A$8)</f>
        <v>0</v>
      </c>
      <c r="B143" t="str">
        <f>B$9 * (33.00027847290039 -B$8)</f>
        <v>0</v>
      </c>
      <c r="C143" t="str">
        <f>C$9 * (33.00027847290039 -C$8)</f>
        <v>0</v>
      </c>
      <c r="E143" t="str">
        <f>E$9 * (0.002736165886744857 -E$8)</f>
        <v>0</v>
      </c>
      <c r="F143" t="str">
        <f>F$9 * (0.6385974287986755 -F$8)</f>
        <v>0</v>
      </c>
      <c r="G143" t="str">
        <f>G$9 * (3.147496938705444 -G$8)</f>
        <v>0</v>
      </c>
    </row>
    <row r="144" spans="1:9">
      <c r="A144" t="str">
        <f>A$9 * (33.25002670288086 -A$8)</f>
        <v>0</v>
      </c>
      <c r="B144" t="str">
        <f>B$9 * (33.25002670288086 -B$8)</f>
        <v>0</v>
      </c>
      <c r="C144" t="str">
        <f>C$9 * (33.25002670288086 -C$8)</f>
        <v>0</v>
      </c>
      <c r="E144" t="str">
        <f>E$9 * (0.007867114618420601 -E$8)</f>
        <v>0</v>
      </c>
      <c r="F144" t="str">
        <f>F$9 * (1.07820999622345 -F$8)</f>
        <v>0</v>
      </c>
      <c r="G144" t="str">
        <f>G$9 * (2.328649997711182 -G$8)</f>
        <v>0</v>
      </c>
    </row>
    <row r="145" spans="1:9">
      <c r="A145" t="str">
        <f>A$9 * (33.50002670288086 -A$8)</f>
        <v>0</v>
      </c>
      <c r="B145" t="str">
        <f>B$9 * (33.50002670288086 -B$8)</f>
        <v>0</v>
      </c>
      <c r="C145" t="str">
        <f>C$9 * (33.50002670288086 -C$8)</f>
        <v>0</v>
      </c>
      <c r="E145" t="str">
        <f>E$9 * (0.001963972114026546 -E$8)</f>
        <v>0</v>
      </c>
      <c r="F145" t="str">
        <f>F$9 * (1.391515016555786 -F$8)</f>
        <v>0</v>
      </c>
      <c r="G145" t="str">
        <f>G$9 * (9.496709823608398 -G$8)</f>
        <v>0</v>
      </c>
    </row>
    <row r="146" spans="1:9">
      <c r="A146" t="str">
        <f>A$9 * (33.75005722045898 -A$8)</f>
        <v>0</v>
      </c>
      <c r="B146" t="str">
        <f>B$9 * (33.75005722045898 -B$8)</f>
        <v>0</v>
      </c>
      <c r="C146" t="str">
        <f>C$9 * (33.75005722045898 -C$8)</f>
        <v>0</v>
      </c>
      <c r="E146" t="str">
        <f>E$9 * (-0.003690799931064248 -E$8)</f>
        <v>0</v>
      </c>
      <c r="F146" t="str">
        <f>F$9 * (-0.3324711918830872 -F$8)</f>
        <v>0</v>
      </c>
      <c r="G146" t="str">
        <f>G$9 * (-2.376667976379395 -G$8)</f>
        <v>0</v>
      </c>
    </row>
    <row r="147" spans="1:9">
      <c r="A147" t="str">
        <f>A$9 * (34.00019454956055 -A$8)</f>
        <v>0</v>
      </c>
      <c r="B147" t="str">
        <f>B$9 * (34.00019454956055 -B$8)</f>
        <v>0</v>
      </c>
      <c r="C147" t="str">
        <f>C$9 * (34.00019454956055 -C$8)</f>
        <v>0</v>
      </c>
      <c r="E147" t="str">
        <f>E$9 * (0.001060324022546411 -E$8)</f>
        <v>0</v>
      </c>
      <c r="F147" t="str">
        <f>F$9 * (-1.149795055389404 -F$8)</f>
        <v>0</v>
      </c>
      <c r="G147" t="str">
        <f>G$9 * (3.94856595993042 -G$8)</f>
        <v>0</v>
      </c>
    </row>
    <row r="148" spans="1:9">
      <c r="A148" t="str">
        <f>A$9 * (34.25055694580078 -A$8)</f>
        <v>0</v>
      </c>
      <c r="B148" t="str">
        <f>B$9 * (34.25055694580078 -B$8)</f>
        <v>0</v>
      </c>
      <c r="C148" t="str">
        <f>C$9 * (34.25055694580078 -C$8)</f>
        <v>0</v>
      </c>
      <c r="E148" t="str">
        <f>E$9 * (-0.001041613053530455 -E$8)</f>
        <v>0</v>
      </c>
      <c r="F148" t="str">
        <f>F$9 * (-1.279459953308105 -F$8)</f>
        <v>0</v>
      </c>
      <c r="G148" t="str">
        <f>G$9 * (0.2602480947971344 -G$8)</f>
        <v>0</v>
      </c>
    </row>
    <row r="149" spans="1:9">
      <c r="A149" t="str">
        <f>A$9 * (34.50016784667969 -A$8)</f>
        <v>0</v>
      </c>
      <c r="B149" t="str">
        <f>B$9 * (34.50016784667969 -B$8)</f>
        <v>0</v>
      </c>
      <c r="C149" t="str">
        <f>C$9 * (34.50016784667969 -C$8)</f>
        <v>0</v>
      </c>
      <c r="E149" t="str">
        <f>E$9 * (-0.0001863981015048921 -E$8)</f>
        <v>0</v>
      </c>
      <c r="F149" t="str">
        <f>F$9 * (-0.2897520065307617 -F$8)</f>
        <v>0</v>
      </c>
      <c r="G149" t="str">
        <f>G$9 * (0.20640629529953 -G$8)</f>
        <v>0</v>
      </c>
    </row>
    <row r="150" spans="1:9">
      <c r="A150" t="str">
        <f>A$9 * (34.7501106262207 -A$8)</f>
        <v>0</v>
      </c>
      <c r="B150" t="str">
        <f>B$9 * (34.7501106262207 -B$8)</f>
        <v>0</v>
      </c>
      <c r="C150" t="str">
        <f>C$9 * (34.7501106262207 -C$8)</f>
        <v>0</v>
      </c>
      <c r="E150" t="str">
        <f>E$9 * (0.003261908888816833 -E$8)</f>
        <v>0</v>
      </c>
      <c r="F150" t="str">
        <f>F$9 * (0.1418938040733337 -F$8)</f>
        <v>0</v>
      </c>
      <c r="G150" t="str">
        <f>G$9 * (21.31669044494629 -G$8)</f>
        <v>0</v>
      </c>
    </row>
    <row r="151" spans="1:9">
      <c r="A151" t="str">
        <f>A$9 * (35.00033187866211 -A$8)</f>
        <v>0</v>
      </c>
      <c r="B151" t="str">
        <f>B$9 * (35.00033187866211 -B$8)</f>
        <v>0</v>
      </c>
      <c r="C151" t="str">
        <f>C$9 * (35.00033187866211 -C$8)</f>
        <v>0</v>
      </c>
      <c r="E151" t="str">
        <f>E$9 * (0.02833040058612823 -E$8)</f>
        <v>0</v>
      </c>
      <c r="F151" t="str">
        <f>F$9 * (13.07248020172119 -F$8)</f>
        <v>0</v>
      </c>
      <c r="G151" t="str">
        <f>G$9 * (18.21973037719727 -G$8)</f>
        <v>0</v>
      </c>
    </row>
    <row r="152" spans="1:9">
      <c r="A152" t="str">
        <f>A$9 * (35.25022125244141 -A$8)</f>
        <v>0</v>
      </c>
      <c r="B152" t="str">
        <f>B$9 * (35.25022125244141 -B$8)</f>
        <v>0</v>
      </c>
      <c r="C152" t="str">
        <f>C$9 * (35.25022125244141 -C$8)</f>
        <v>0</v>
      </c>
      <c r="E152" t="str">
        <f>E$9 * (0.008928191848099232 -E$8)</f>
        <v>0</v>
      </c>
      <c r="F152" t="str">
        <f>F$9 * (5.478999137878418 -F$8)</f>
        <v>0</v>
      </c>
      <c r="G152" t="str">
        <f>G$9 * (12.0685396194458 -G$8)</f>
        <v>0</v>
      </c>
    </row>
    <row r="153" spans="1:9">
      <c r="A153" t="str">
        <f>A$9 * (35.5001106262207 -A$8)</f>
        <v>0</v>
      </c>
      <c r="B153" t="str">
        <f>B$9 * (35.5001106262207 -B$8)</f>
        <v>0</v>
      </c>
      <c r="C153" t="str">
        <f>C$9 * (35.5001106262207 -C$8)</f>
        <v>0</v>
      </c>
      <c r="E153" t="str">
        <f>E$9 * (0.01518108975142241 -E$8)</f>
        <v>0</v>
      </c>
      <c r="F153" t="str">
        <f>F$9 * (4.758823871612549 -F$8)</f>
        <v>0</v>
      </c>
      <c r="G153" t="str">
        <f>G$9 * (7.391096115112305 -G$8)</f>
        <v>0</v>
      </c>
    </row>
    <row r="154" spans="1:9">
      <c r="A154" t="str">
        <f>A$9 * (35.7501106262207 -A$8)</f>
        <v>0</v>
      </c>
      <c r="B154" t="str">
        <f>B$9 * (35.7501106262207 -B$8)</f>
        <v>0</v>
      </c>
      <c r="C154" t="str">
        <f>C$9 * (35.7501106262207 -C$8)</f>
        <v>0</v>
      </c>
      <c r="E154" t="str">
        <f>E$9 * (0.006808135192841291 -E$8)</f>
        <v>0</v>
      </c>
      <c r="F154" t="str">
        <f>F$9 * (3.376883983612061 -F$8)</f>
        <v>0</v>
      </c>
      <c r="G154" t="str">
        <f>G$9 * (8.619895935058594 -G$8)</f>
        <v>0</v>
      </c>
    </row>
    <row r="155" spans="1:9">
      <c r="A155" t="str">
        <f>A$9 * (36.00008392333984 -A$8)</f>
        <v>0</v>
      </c>
      <c r="B155" t="str">
        <f>B$9 * (36.00008392333984 -B$8)</f>
        <v>0</v>
      </c>
      <c r="C155" t="str">
        <f>C$9 * (36.00008392333984 -C$8)</f>
        <v>0</v>
      </c>
      <c r="E155" t="str">
        <f>E$9 * (0.003677851986140013 -E$8)</f>
        <v>0</v>
      </c>
      <c r="F155" t="str">
        <f>F$9 * (1.234660029411316 -F$8)</f>
        <v>0</v>
      </c>
      <c r="G155" t="str">
        <f>G$9 * (4.809197902679443 -G$8)</f>
        <v>0</v>
      </c>
    </row>
    <row r="156" spans="1:9">
      <c r="A156" t="str">
        <f>A$9 * (36.25002670288086 -A$8)</f>
        <v>0</v>
      </c>
      <c r="B156" t="str">
        <f>B$9 * (36.25002670288086 -B$8)</f>
        <v>0</v>
      </c>
      <c r="C156" t="str">
        <f>C$9 * (36.25002670288086 -C$8)</f>
        <v>0</v>
      </c>
      <c r="E156" t="str">
        <f>E$9 * (7.936399924801663E-6 -E$8)</f>
        <v>0</v>
      </c>
      <c r="F156" t="str">
        <f>F$9 * (0.001406111987307668 -F$8)</f>
        <v>0</v>
      </c>
      <c r="G156" t="str">
        <f>G$9 * (1.337393999099731 -G$8)</f>
        <v>0</v>
      </c>
    </row>
    <row r="157" spans="1:9">
      <c r="A157" t="str">
        <f>A$9 * (36.50044631958008 -A$8)</f>
        <v>0</v>
      </c>
      <c r="B157" t="str">
        <f>B$9 * (36.50044631958008 -B$8)</f>
        <v>0</v>
      </c>
      <c r="C157" t="str">
        <f>C$9 * (36.50044631958008 -C$8)</f>
        <v>0</v>
      </c>
      <c r="E157" t="str">
        <f>E$9 * (-0.0004809393140021712 -E$8)</f>
        <v>0</v>
      </c>
      <c r="F157" t="str">
        <f>F$9 * (-1.31872296333313 -F$8)</f>
        <v>0</v>
      </c>
      <c r="G157" t="str">
        <f>G$9 * (1.22596001625061 -G$8)</f>
        <v>0</v>
      </c>
    </row>
    <row r="158" spans="1:9">
      <c r="A158" t="str">
        <f>A$9 * (36.75058364868164 -A$8)</f>
        <v>0</v>
      </c>
      <c r="B158" t="str">
        <f>B$9 * (36.75058364868164 -B$8)</f>
        <v>0</v>
      </c>
      <c r="C158" t="str">
        <f>C$9 * (36.75058364868164 -C$8)</f>
        <v>0</v>
      </c>
      <c r="E158" t="str">
        <f>E$9 * (0.100442998111248 -E$8)</f>
        <v>0</v>
      </c>
      <c r="F158" t="str">
        <f>F$9 * (12.38829040527344 -F$8)</f>
        <v>0</v>
      </c>
      <c r="G158" t="str">
        <f>G$9 * (12.96218013763428 -G$8)</f>
        <v>0</v>
      </c>
    </row>
    <row r="159" spans="1:9">
      <c r="A159" t="str">
        <f>A$9 * (37.00022125244141 -A$8)</f>
        <v>0</v>
      </c>
      <c r="B159" t="str">
        <f>B$9 * (37.00022125244141 -B$8)</f>
        <v>0</v>
      </c>
      <c r="C159" t="str">
        <f>C$9 * (37.00022125244141 -C$8)</f>
        <v>0</v>
      </c>
      <c r="E159" t="str">
        <f>E$9 * (0.0101530896499753 -E$8)</f>
        <v>0</v>
      </c>
      <c r="F159" t="str">
        <f>F$9 * (1.936640024185181 -F$8)</f>
        <v>0</v>
      </c>
      <c r="G159" t="str">
        <f>G$9 * (3.609347105026245 -G$8)</f>
        <v>0</v>
      </c>
    </row>
    <row r="160" spans="1:9">
      <c r="A160" t="str">
        <f>A$9 * (37.2504997253418 -A$8)</f>
        <v>0</v>
      </c>
      <c r="B160" t="str">
        <f>B$9 * (37.2504997253418 -B$8)</f>
        <v>0</v>
      </c>
      <c r="C160" t="str">
        <f>C$9 * (37.2504997253418 -C$8)</f>
        <v>0</v>
      </c>
      <c r="E160" t="str">
        <f>E$9 * (-0.002651171991601586 -E$8)</f>
        <v>0</v>
      </c>
      <c r="F160" t="str">
        <f>F$9 * (-0.5732120871543884 -F$8)</f>
        <v>0</v>
      </c>
      <c r="G160" t="str">
        <f>G$9 * (-1.511644005775452 -G$8)</f>
        <v>0</v>
      </c>
    </row>
    <row r="161" spans="1:9">
      <c r="A161" t="str">
        <f>A$9 * (37.50063705444336 -A$8)</f>
        <v>0</v>
      </c>
      <c r="B161" t="str">
        <f>B$9 * (37.50063705444336 -B$8)</f>
        <v>0</v>
      </c>
      <c r="C161" t="str">
        <f>C$9 * (37.50063705444336 -C$8)</f>
        <v>0</v>
      </c>
      <c r="E161" t="str">
        <f>E$9 * (-0.001143348054029047 -E$8)</f>
        <v>0</v>
      </c>
      <c r="F161" t="str">
        <f>F$9 * (-0.6421788930892944 -F$8)</f>
        <v>0</v>
      </c>
      <c r="G161" t="str">
        <f>G$9 * (-0.376103401184082 -G$8)</f>
        <v>0</v>
      </c>
    </row>
    <row r="162" spans="1:9">
      <c r="A162" t="str">
        <f>A$9 * (37.75002670288086 -A$8)</f>
        <v>0</v>
      </c>
      <c r="B162" t="str">
        <f>B$9 * (37.75002670288086 -B$8)</f>
        <v>0</v>
      </c>
      <c r="C162" t="str">
        <f>C$9 * (37.75002670288086 -C$8)</f>
        <v>0</v>
      </c>
      <c r="E162" t="str">
        <f>E$9 * (-0.001334239030256867 -E$8)</f>
        <v>0</v>
      </c>
      <c r="F162" t="str">
        <f>F$9 * (-1.108392953872681 -F$8)</f>
        <v>0</v>
      </c>
      <c r="G162" t="str">
        <f>G$9 * (0.4768890142440796 -G$8)</f>
        <v>0</v>
      </c>
    </row>
    <row r="163" spans="1:9">
      <c r="A163" t="str">
        <f>A$9 * (38.00036239624023 -A$8)</f>
        <v>0</v>
      </c>
      <c r="B163" t="str">
        <f>B$9 * (38.00036239624023 -B$8)</f>
        <v>0</v>
      </c>
      <c r="C163" t="str">
        <f>C$9 * (38.00036239624023 -C$8)</f>
        <v>0</v>
      </c>
      <c r="E163" t="str">
        <f>E$9 * (0.2286936044692993 -E$8)</f>
        <v>0</v>
      </c>
      <c r="F163" t="str">
        <f>F$9 * (17.08910942077637 -F$8)</f>
        <v>0</v>
      </c>
      <c r="G163" t="str">
        <f>G$9 * (17.59182929992676 -G$8)</f>
        <v>0</v>
      </c>
    </row>
    <row r="164" spans="1:9">
      <c r="A164" t="str">
        <f>A$9 * (38.25041580200195 -A$8)</f>
        <v>0</v>
      </c>
      <c r="B164" t="str">
        <f>B$9 * (38.25041580200195 -B$8)</f>
        <v>0</v>
      </c>
      <c r="C164" t="str">
        <f>C$9 * (38.25041580200195 -C$8)</f>
        <v>0</v>
      </c>
      <c r="E164" t="str">
        <f>E$9 * (0.05286369100213051 -E$8)</f>
        <v>0</v>
      </c>
      <c r="F164" t="str">
        <f>F$9 * (7.44865608215332 -F$8)</f>
        <v>0</v>
      </c>
      <c r="G164" t="str">
        <f>G$9 * (7.883796215057373 -G$8)</f>
        <v>0</v>
      </c>
    </row>
    <row r="165" spans="1:9">
      <c r="A165" t="str">
        <f>A$9 * (38.50044631958008 -A$8)</f>
        <v>0</v>
      </c>
      <c r="B165" t="str">
        <f>B$9 * (38.50044631958008 -B$8)</f>
        <v>0</v>
      </c>
      <c r="C165" t="str">
        <f>C$9 * (38.50044631958008 -C$8)</f>
        <v>0</v>
      </c>
      <c r="E165" t="str">
        <f>E$9 * (0.01230450998991728 -E$8)</f>
        <v>0</v>
      </c>
      <c r="F165" t="str">
        <f>F$9 * (7.362617015838623 -F$8)</f>
        <v>0</v>
      </c>
      <c r="G165" t="str">
        <f>G$9 * (13.61561965942383 -G$8)</f>
        <v>0</v>
      </c>
    </row>
    <row r="166" spans="1:9">
      <c r="A166" t="str">
        <f>A$9 * (38.75025177001953 -A$8)</f>
        <v>0</v>
      </c>
      <c r="B166" t="str">
        <f>B$9 * (38.75025177001953 -B$8)</f>
        <v>0</v>
      </c>
      <c r="C166" t="str">
        <f>C$9 * (38.75025177001953 -C$8)</f>
        <v>0</v>
      </c>
      <c r="E166" t="str">
        <f>E$9 * (0.01046761032193899 -E$8)</f>
        <v>0</v>
      </c>
      <c r="F166" t="str">
        <f>F$9 * (3.438045024871826 -F$8)</f>
        <v>0</v>
      </c>
      <c r="G166" t="str">
        <f>G$9 * (6.510660171508789 -G$8)</f>
        <v>0</v>
      </c>
    </row>
    <row r="167" spans="1:9">
      <c r="A167" t="str">
        <f>A$9 * (39.00019454956055 -A$8)</f>
        <v>0</v>
      </c>
      <c r="B167" t="str">
        <f>B$9 * (39.00019454956055 -B$8)</f>
        <v>0</v>
      </c>
      <c r="C167" t="str">
        <f>C$9 * (39.00019454956055 -C$8)</f>
        <v>0</v>
      </c>
      <c r="E167" t="str">
        <f>E$9 * (0.008313735015690327 -E$8)</f>
        <v>0</v>
      </c>
      <c r="F167" t="str">
        <f>F$9 * (3.850696086883545 -F$8)</f>
        <v>0</v>
      </c>
      <c r="G167" t="str">
        <f>G$9 * (8.601593017578125 -G$8)</f>
        <v>0</v>
      </c>
    </row>
    <row r="168" spans="1:9">
      <c r="A168" t="str">
        <f>A$9 * (39.25036239624023 -A$8)</f>
        <v>0</v>
      </c>
      <c r="B168" t="str">
        <f>B$9 * (39.25036239624023 -B$8)</f>
        <v>0</v>
      </c>
      <c r="C168" t="str">
        <f>C$9 * (39.25036239624023 -C$8)</f>
        <v>0</v>
      </c>
      <c r="E168" t="str">
        <f>E$9 * (0.005734032019972801 -E$8)</f>
        <v>0</v>
      </c>
      <c r="F168" t="str">
        <f>F$9 * (2.782923936843872 -F$8)</f>
        <v>0</v>
      </c>
      <c r="G168" t="str">
        <f>G$9 * (7.954203128814697 -G$8)</f>
        <v>0</v>
      </c>
    </row>
    <row r="169" spans="1:9">
      <c r="A169" t="str">
        <f>A$9 * (39.50008392333984 -A$8)</f>
        <v>0</v>
      </c>
      <c r="B169" t="str">
        <f>B$9 * (39.50008392333984 -B$8)</f>
        <v>0</v>
      </c>
      <c r="C169" t="str">
        <f>C$9 * (39.50008392333984 -C$8)</f>
        <v>0</v>
      </c>
      <c r="E169" t="str">
        <f>E$9 * (0.001457403996028006 -E$8)</f>
        <v>0</v>
      </c>
      <c r="F169" t="str">
        <f>F$9 * (0.2734712958335876 -F$8)</f>
        <v>0</v>
      </c>
      <c r="G169" t="str">
        <f>G$9 * (2.267174959182739 -G$8)</f>
        <v>0</v>
      </c>
    </row>
    <row r="170" spans="1:9">
      <c r="A170" t="str">
        <f>A$9 * (39.75038909912109 -A$8)</f>
        <v>0</v>
      </c>
      <c r="B170" t="str">
        <f>B$9 * (39.75038909912109 -B$8)</f>
        <v>0</v>
      </c>
      <c r="C170" t="str">
        <f>C$9 * (39.75038909912109 -C$8)</f>
        <v>0</v>
      </c>
      <c r="E170" t="str">
        <f>E$9 * (4.943969906889834E-5 -E$8)</f>
        <v>0</v>
      </c>
      <c r="F170" t="str">
        <f>F$9 * (-0.8269069194793701 -F$8)</f>
        <v>0</v>
      </c>
      <c r="G170" t="str">
        <f>G$9 * (1.098333954811096 -G$8)</f>
        <v>0</v>
      </c>
    </row>
    <row r="171" spans="1:9">
      <c r="A171" t="str">
        <f>A$9 * (40.00005722045898 -A$8)</f>
        <v>0</v>
      </c>
      <c r="B171" t="str">
        <f>B$9 * (40.00005722045898 -B$8)</f>
        <v>0</v>
      </c>
      <c r="C171" t="str">
        <f>C$9 * (40.00005722045898 -C$8)</f>
        <v>0</v>
      </c>
      <c r="E171" t="str">
        <f>E$9 * (0.0006749884923920035 -E$8)</f>
        <v>0</v>
      </c>
      <c r="F171" t="str">
        <f>F$9 * (-2.347187995910645 -F$8)</f>
        <v>0</v>
      </c>
      <c r="G171" t="str">
        <f>G$9 * (1.386075973510742 -G$8)</f>
        <v>0</v>
      </c>
    </row>
    <row r="172" spans="1:9">
      <c r="A172" t="str">
        <f>A$9 * (40.25030517578125 -A$8)</f>
        <v>0</v>
      </c>
      <c r="B172" t="str">
        <f>B$9 * (40.25030517578125 -B$8)</f>
        <v>0</v>
      </c>
      <c r="C172" t="str">
        <f>C$9 * (40.25030517578125 -C$8)</f>
        <v>0</v>
      </c>
      <c r="E172" t="str">
        <f>E$9 * (0.001582129974849522 -E$8)</f>
        <v>0</v>
      </c>
      <c r="F172" t="str">
        <f>F$9 * (0.0007151925237849355 -F$8)</f>
        <v>0</v>
      </c>
      <c r="G172" t="str">
        <f>G$9 * (8.519146919250488 -G$8)</f>
        <v>0</v>
      </c>
    </row>
    <row r="173" spans="1:9">
      <c r="A173" t="str">
        <f>A$9 * (40.50022125244141 -A$8)</f>
        <v>0</v>
      </c>
      <c r="B173" t="str">
        <f>B$9 * (40.50022125244141 -B$8)</f>
        <v>0</v>
      </c>
      <c r="C173" t="str">
        <f>C$9 * (40.50022125244141 -C$8)</f>
        <v>0</v>
      </c>
      <c r="E173" t="str">
        <f>E$9 * (-0.001290541957132518 -E$8)</f>
        <v>0</v>
      </c>
      <c r="F173" t="str">
        <f>F$9 * (-1.04833197593689 -F$8)</f>
        <v>0</v>
      </c>
      <c r="G173" t="str">
        <f>G$9 * (-0.220519095659256 -G$8)</f>
        <v>0</v>
      </c>
    </row>
    <row r="174" spans="1:9">
      <c r="A174" t="str">
        <f>A$9 * (40.75002670288086 -A$8)</f>
        <v>0</v>
      </c>
      <c r="B174" t="str">
        <f>B$9 * (40.75002670288086 -B$8)</f>
        <v>0</v>
      </c>
      <c r="C174" t="str">
        <f>C$9 * (40.75002670288086 -C$8)</f>
        <v>0</v>
      </c>
      <c r="E174" t="str">
        <f>E$9 * (-0.001002324977889657 -E$8)</f>
        <v>0</v>
      </c>
      <c r="F174" t="str">
        <f>F$9 * (-1.357974052429199 -F$8)</f>
        <v>0</v>
      </c>
      <c r="G174" t="str">
        <f>G$9 * (0.173305407166481 -G$8)</f>
        <v>0</v>
      </c>
    </row>
    <row r="175" spans="1:9">
      <c r="A175" t="str">
        <f>A$9 * (41.00025177001953 -A$8)</f>
        <v>0</v>
      </c>
      <c r="B175" t="str">
        <f>B$9 * (41.00025177001953 -B$8)</f>
        <v>0</v>
      </c>
      <c r="C175" t="str">
        <f>C$9 * (41.00025177001953 -C$8)</f>
        <v>0</v>
      </c>
      <c r="E175" t="str">
        <f>E$9 * (-0.0006504877819679677 -E$8)</f>
        <v>0</v>
      </c>
      <c r="F175" t="str">
        <f>F$9 * (-0.1030255034565926 -F$8)</f>
        <v>0</v>
      </c>
      <c r="G175" t="str">
        <f>G$9 * (-0.2799912989139557 -G$8)</f>
        <v>0</v>
      </c>
    </row>
    <row r="176" spans="1:9">
      <c r="A176" t="str">
        <f>A$9 * (41.25019454956055 -A$8)</f>
        <v>0</v>
      </c>
      <c r="B176" t="str">
        <f>B$9 * (41.25019454956055 -B$8)</f>
        <v>0</v>
      </c>
      <c r="C176" t="str">
        <f>C$9 * (41.25019454956055 -C$8)</f>
        <v>0</v>
      </c>
      <c r="E176" t="str">
        <f>E$9 * (0.008078563027083874 -E$8)</f>
        <v>0</v>
      </c>
      <c r="F176" t="str">
        <f>F$9 * (0.2507362961769104 -F$8)</f>
        <v>0</v>
      </c>
      <c r="G176" t="str">
        <f>G$9 * (0.5659483075141907 -G$8)</f>
        <v>0</v>
      </c>
    </row>
    <row r="177" spans="1:9">
      <c r="A177" t="str">
        <f>A$9 * (41.50063705444336 -A$8)</f>
        <v>0</v>
      </c>
      <c r="B177" t="str">
        <f>B$9 * (41.50063705444336 -B$8)</f>
        <v>0</v>
      </c>
      <c r="C177" t="str">
        <f>C$9 * (41.50063705444336 -C$8)</f>
        <v>0</v>
      </c>
      <c r="E177" t="str">
        <f>E$9 * (0.003719104919582605 -E$8)</f>
        <v>0</v>
      </c>
      <c r="F177" t="str">
        <f>F$9 * (0.06498163193464279 -F$8)</f>
        <v>0</v>
      </c>
      <c r="G177" t="str">
        <f>G$9 * (8.933833122253418 -G$8)</f>
        <v>0</v>
      </c>
    </row>
    <row r="178" spans="1:9">
      <c r="A178" t="str">
        <f>A$9 * (41.75019454956055 -A$8)</f>
        <v>0</v>
      </c>
      <c r="B178" t="str">
        <f>B$9 * (41.75019454956055 -B$8)</f>
        <v>0</v>
      </c>
      <c r="C178" t="str">
        <f>C$9 * (41.75019454956055 -C$8)</f>
        <v>0</v>
      </c>
      <c r="E178" t="str">
        <f>E$9 * (0.01721240021288395 -E$8)</f>
        <v>0</v>
      </c>
      <c r="F178" t="str">
        <f>F$9 * (9.538220405578613 -F$8)</f>
        <v>0</v>
      </c>
      <c r="G178" t="str">
        <f>G$9 * (15.82112979888916 -G$8)</f>
        <v>0</v>
      </c>
    </row>
    <row r="179" spans="1:9">
      <c r="A179" t="str">
        <f>A$9 * (42.00008392333984 -A$8)</f>
        <v>0</v>
      </c>
      <c r="B179" t="str">
        <f>B$9 * (42.00008392333984 -B$8)</f>
        <v>0</v>
      </c>
      <c r="C179" t="str">
        <f>C$9 * (42.00008392333984 -C$8)</f>
        <v>0</v>
      </c>
      <c r="E179" t="str">
        <f>E$9 * (0.006701371166855097 -E$8)</f>
        <v>0</v>
      </c>
      <c r="F179" t="str">
        <f>F$9 * (3.556015014648438 -F$8)</f>
        <v>0</v>
      </c>
      <c r="G179" t="str">
        <f>G$9 * (9.242738723754883 -G$8)</f>
        <v>0</v>
      </c>
    </row>
    <row r="180" spans="1:9">
      <c r="A180" t="str">
        <f>A$9 * (42.25 -A$8)</f>
        <v>0</v>
      </c>
      <c r="B180" t="str">
        <f>B$9 * (42.25 -B$8)</f>
        <v>0</v>
      </c>
      <c r="C180" t="str">
        <f>C$9 * (42.25 -C$8)</f>
        <v>0</v>
      </c>
      <c r="E180" t="str">
        <f>E$9 * (0.01014231983572245 -E$8)</f>
        <v>0</v>
      </c>
      <c r="F180" t="str">
        <f>F$9 * (4.527612209320068 -F$8)</f>
        <v>0</v>
      </c>
      <c r="G180" t="str">
        <f>G$9 * (8.95292854309082 -G$8)</f>
        <v>0</v>
      </c>
    </row>
    <row r="181" spans="1:9">
      <c r="A181" t="str">
        <f>A$9 * (42.50033187866211 -A$8)</f>
        <v>0</v>
      </c>
      <c r="B181" t="str">
        <f>B$9 * (42.50033187866211 -B$8)</f>
        <v>0</v>
      </c>
      <c r="C181" t="str">
        <f>C$9 * (42.50033187866211 -C$8)</f>
        <v>0</v>
      </c>
      <c r="E181" t="str">
        <f>E$9 * (0.006250509992241859 -E$8)</f>
        <v>0</v>
      </c>
      <c r="F181" t="str">
        <f>F$9 * (3.053704023361206 -F$8)</f>
        <v>0</v>
      </c>
      <c r="G181" t="str">
        <f>G$9 * (8.241073608398438 -G$8)</f>
        <v>0</v>
      </c>
    </row>
    <row r="182" spans="1:9">
      <c r="A182" t="str">
        <f>A$9 * (42.75013732910156 -A$8)</f>
        <v>0</v>
      </c>
      <c r="B182" t="str">
        <f>B$9 * (42.75013732910156 -B$8)</f>
        <v>0</v>
      </c>
      <c r="C182" t="str">
        <f>C$9 * (42.75013732910156 -C$8)</f>
        <v>0</v>
      </c>
      <c r="E182" t="str">
        <f>E$9 * (0.002531572943553329 -E$8)</f>
        <v>0</v>
      </c>
      <c r="F182" t="str">
        <f>F$9 * (0.5905086994171143 -F$8)</f>
        <v>0</v>
      </c>
      <c r="G182" t="str">
        <f>G$9 * (3.095400094985962 -G$8)</f>
        <v>0</v>
      </c>
    </row>
    <row r="183" spans="1:9">
      <c r="A183" t="str">
        <f>A$9 * (43.00047302246094 -A$8)</f>
        <v>0</v>
      </c>
      <c r="B183" t="str">
        <f>B$9 * (43.00047302246094 -B$8)</f>
        <v>0</v>
      </c>
      <c r="C183" t="str">
        <f>C$9 * (43.00047302246094 -C$8)</f>
        <v>0</v>
      </c>
      <c r="E183" t="str">
        <f>E$9 * (0.000225694093387574 -E$8)</f>
        <v>0</v>
      </c>
      <c r="F183" t="str">
        <f>F$9 * (0.03460875153541565 -F$8)</f>
        <v>0</v>
      </c>
      <c r="G183" t="str">
        <f>G$9 * (1.605914950370789 -G$8)</f>
        <v>0</v>
      </c>
    </row>
    <row r="184" spans="1:9">
      <c r="A184" t="str">
        <f>A$9 * (43.25047302246094 -A$8)</f>
        <v>0</v>
      </c>
      <c r="B184" t="str">
        <f>B$9 * (43.25047302246094 -B$8)</f>
        <v>0</v>
      </c>
      <c r="C184" t="str">
        <f>C$9 * (43.25047302246094 -C$8)</f>
        <v>0</v>
      </c>
      <c r="E184" t="str">
        <f>E$9 * (-2.984390084748156E-5 -E$8)</f>
        <v>0</v>
      </c>
      <c r="F184" t="str">
        <f>F$9 * (-0.9759504199028015 -F$8)</f>
        <v>0</v>
      </c>
      <c r="G184" t="str">
        <f>G$9 * (0.553440272808075 -G$8)</f>
        <v>0</v>
      </c>
    </row>
    <row r="185" spans="1:9">
      <c r="A185" t="str">
        <f>A$9 * (43.50002670288086 -A$8)</f>
        <v>0</v>
      </c>
      <c r="B185" t="str">
        <f>B$9 * (43.50002670288086 -B$8)</f>
        <v>0</v>
      </c>
      <c r="C185" t="str">
        <f>C$9 * (43.50002670288086 -C$8)</f>
        <v>0</v>
      </c>
      <c r="E185" t="str">
        <f>E$9 * (0.001471905037760735 -E$8)</f>
        <v>0</v>
      </c>
      <c r="F185" t="str">
        <f>F$9 * (0.0472269207239151 -F$8)</f>
        <v>0</v>
      </c>
      <c r="G185" t="str">
        <f>G$9 * (11.20740032196045 -G$8)</f>
        <v>0</v>
      </c>
    </row>
    <row r="186" spans="1:9">
      <c r="A186" t="str">
        <f>A$9 * (43.75038909912109 -A$8)</f>
        <v>0</v>
      </c>
      <c r="B186" t="str">
        <f>B$9 * (43.75038909912109 -B$8)</f>
        <v>0</v>
      </c>
      <c r="C186" t="str">
        <f>C$9 * (43.75038909912109 -C$8)</f>
        <v>0</v>
      </c>
      <c r="E186" t="str">
        <f>E$9 * (-0.0008435382042080164 -E$8)</f>
        <v>0</v>
      </c>
      <c r="F186" t="str">
        <f>F$9 * (-0.7863088250160217 -F$8)</f>
        <v>0</v>
      </c>
      <c r="G186" t="str">
        <f>G$9 * (-0.1169392988085747 -G$8)</f>
        <v>0</v>
      </c>
    </row>
    <row r="187" spans="1:9">
      <c r="A187" t="str">
        <f>A$9 * (44.00036239624023 -A$8)</f>
        <v>0</v>
      </c>
      <c r="B187" t="str">
        <f>B$9 * (44.00036239624023 -B$8)</f>
        <v>0</v>
      </c>
      <c r="C187" t="str">
        <f>C$9 * (44.00036239624023 -C$8)</f>
        <v>0</v>
      </c>
      <c r="E187" t="str">
        <f>E$9 * (-0.0009316371288150549 -E$8)</f>
        <v>0</v>
      </c>
      <c r="F187" t="str">
        <f>F$9 * (-1.185065984725952 -F$8)</f>
        <v>0</v>
      </c>
      <c r="G187" t="str">
        <f>G$9 * (1.034286022186279 -G$8)</f>
        <v>0</v>
      </c>
    </row>
    <row r="188" spans="1:9">
      <c r="A188" t="str">
        <f>A$9 * (44.25022125244141 -A$8)</f>
        <v>0</v>
      </c>
      <c r="B188" t="str">
        <f>B$9 * (44.25022125244141 -B$8)</f>
        <v>0</v>
      </c>
      <c r="C188" t="str">
        <f>C$9 * (44.25022125244141 -C$8)</f>
        <v>0</v>
      </c>
      <c r="E188" t="str">
        <f>E$9 * (-7.461410132236779E-5 -E$8)</f>
        <v>0</v>
      </c>
      <c r="F188" t="str">
        <f>F$9 * (-0.3409523069858551 -F$8)</f>
        <v>0</v>
      </c>
      <c r="G188" t="str">
        <f>G$9 * (0.302421510219574 -G$8)</f>
        <v>0</v>
      </c>
    </row>
    <row r="189" spans="1:9">
      <c r="A189" t="str">
        <f>A$9 * (44.50033187866211 -A$8)</f>
        <v>0</v>
      </c>
      <c r="B189" t="str">
        <f>B$9 * (44.50033187866211 -B$8)</f>
        <v>0</v>
      </c>
      <c r="C189" t="str">
        <f>C$9 * (44.50033187866211 -C$8)</f>
        <v>0</v>
      </c>
      <c r="E189" t="str">
        <f>E$9 * (0.001782514038495719 -E$8)</f>
        <v>0</v>
      </c>
      <c r="F189" t="str">
        <f>F$9 * (-1.89923095703125 -F$8)</f>
        <v>0</v>
      </c>
      <c r="G189" t="str">
        <f>G$9 * (0.878736674785614 -G$8)</f>
        <v>0</v>
      </c>
    </row>
    <row r="190" spans="1:9">
      <c r="A190" t="str">
        <f>A$9 * (44.75016784667969 -A$8)</f>
        <v>0</v>
      </c>
      <c r="B190" t="str">
        <f>B$9 * (44.75016784667969 -B$8)</f>
        <v>0</v>
      </c>
      <c r="C190" t="str">
        <f>C$9 * (44.75016784667969 -C$8)</f>
        <v>0</v>
      </c>
      <c r="E190" t="str">
        <f>E$9 * (0.00682175112888217 -E$8)</f>
        <v>0</v>
      </c>
      <c r="F190" t="str">
        <f>F$9 * (0.2795198857784271 -F$8)</f>
        <v>0</v>
      </c>
      <c r="G190" t="str">
        <f>G$9 * (19.84519958496094 -G$8)</f>
        <v>0</v>
      </c>
    </row>
    <row r="191" spans="1:9">
      <c r="A191" t="str">
        <f>A$9 * (45.0004997253418 -A$8)</f>
        <v>0</v>
      </c>
      <c r="B191" t="str">
        <f>B$9 * (45.0004997253418 -B$8)</f>
        <v>0</v>
      </c>
      <c r="C191" t="str">
        <f>C$9 * (45.0004997253418 -C$8)</f>
        <v>0</v>
      </c>
      <c r="E191" t="str">
        <f>E$9 * (0.02636032924056053 -E$8)</f>
        <v>0</v>
      </c>
      <c r="F191" t="str">
        <f>F$9 * (12.36131954193115 -F$8)</f>
        <v>0</v>
      </c>
      <c r="G191" t="str">
        <f>G$9 * (17.48024940490723 -G$8)</f>
        <v>0</v>
      </c>
    </row>
    <row r="192" spans="1:9">
      <c r="A192" t="str">
        <f>A$9 * (45.25036239624023 -A$8)</f>
        <v>0</v>
      </c>
      <c r="B192" t="str">
        <f>B$9 * (45.25036239624023 -B$8)</f>
        <v>0</v>
      </c>
      <c r="C192" t="str">
        <f>C$9 * (45.25036239624023 -C$8)</f>
        <v>0</v>
      </c>
      <c r="E192" t="str">
        <f>E$9 * (0.007297459058463573 -E$8)</f>
        <v>0</v>
      </c>
      <c r="F192" t="str">
        <f>F$9 * (4.758296012878418 -F$8)</f>
        <v>0</v>
      </c>
      <c r="G192" t="str">
        <f>G$9 * (11.98412990570068 -G$8)</f>
        <v>0</v>
      </c>
    </row>
    <row r="193" spans="1:9">
      <c r="A193" t="str">
        <f>A$9 * (45.50022125244141 -A$8)</f>
        <v>0</v>
      </c>
      <c r="B193" t="str">
        <f>B$9 * (45.50022125244141 -B$8)</f>
        <v>0</v>
      </c>
      <c r="C193" t="str">
        <f>C$9 * (45.50022125244141 -C$8)</f>
        <v>0</v>
      </c>
      <c r="E193" t="str">
        <f>E$9 * (0.01387418992817402 -E$8)</f>
        <v>0</v>
      </c>
      <c r="F193" t="str">
        <f>F$9 * (5.20487117767334 -F$8)</f>
        <v>0</v>
      </c>
      <c r="G193" t="str">
        <f>G$9 * (8.57013988494873 -G$8)</f>
        <v>0</v>
      </c>
    </row>
    <row r="194" spans="1:9">
      <c r="A194" t="str">
        <f>A$9 * (45.75005722045898 -A$8)</f>
        <v>0</v>
      </c>
      <c r="B194" t="str">
        <f>B$9 * (45.75005722045898 -B$8)</f>
        <v>0</v>
      </c>
      <c r="C194" t="str">
        <f>C$9 * (45.75005722045898 -C$8)</f>
        <v>0</v>
      </c>
      <c r="E194" t="str">
        <f>E$9 * (0.006463086232542992 -E$8)</f>
        <v>0</v>
      </c>
      <c r="F194" t="str">
        <f>F$9 * (3.195964097976685 -F$8)</f>
        <v>0</v>
      </c>
      <c r="G194" t="str">
        <f>G$9 * (8.446681976318359 -G$8)</f>
        <v>0</v>
      </c>
    </row>
    <row r="195" spans="1:9">
      <c r="A195" t="str">
        <f>A$9 * (46.00013732910156 -A$8)</f>
        <v>0</v>
      </c>
      <c r="B195" t="str">
        <f>B$9 * (46.00013732910156 -B$8)</f>
        <v>0</v>
      </c>
      <c r="C195" t="str">
        <f>C$9 * (46.00013732910156 -C$8)</f>
        <v>0</v>
      </c>
      <c r="E195" t="str">
        <f>E$9 * (0.003441951936110854 -E$8)</f>
        <v>0</v>
      </c>
      <c r="F195" t="str">
        <f>F$9 * (1.038131952285767 -F$8)</f>
        <v>0</v>
      </c>
      <c r="G195" t="str">
        <f>G$9 * (4.252179145812988 -G$8)</f>
        <v>0</v>
      </c>
    </row>
    <row r="196" spans="1:9">
      <c r="A196" t="str">
        <f>A$9 * (46.25041580200195 -A$8)</f>
        <v>0</v>
      </c>
      <c r="B196" t="str">
        <f>B$9 * (46.25041580200195 -B$8)</f>
        <v>0</v>
      </c>
      <c r="C196" t="str">
        <f>C$9 * (46.25041580200195 -C$8)</f>
        <v>0</v>
      </c>
      <c r="E196" t="str">
        <f>E$9 * (0.003323316108435392 -E$8)</f>
        <v>0</v>
      </c>
      <c r="F196" t="str">
        <f>F$9 * (0.4967884123325348 -F$8)</f>
        <v>0</v>
      </c>
      <c r="G196" t="str">
        <f>G$9 * (2.054096937179565 -G$8)</f>
        <v>0</v>
      </c>
    </row>
    <row r="197" spans="1:9">
      <c r="A197" t="str">
        <f>A$9 * (46.50027847290039 -A$8)</f>
        <v>0</v>
      </c>
      <c r="B197" t="str">
        <f>B$9 * (46.50027847290039 -B$8)</f>
        <v>0</v>
      </c>
      <c r="C197" t="str">
        <f>C$9 * (46.50027847290039 -C$8)</f>
        <v>0</v>
      </c>
      <c r="E197" t="str">
        <f>E$9 * (0.002865585964173079 -E$8)</f>
        <v>0</v>
      </c>
      <c r="F197" t="str">
        <f>F$9 * (2.324273109436035 -F$8)</f>
        <v>0</v>
      </c>
      <c r="G197" t="str">
        <f>G$9 * (12.04963970184326 -G$8)</f>
        <v>0</v>
      </c>
    </row>
    <row r="198" spans="1:9">
      <c r="A198" t="str">
        <f>A$9 * (46.75016784667969 -A$8)</f>
        <v>0</v>
      </c>
      <c r="B198" t="str">
        <f>B$9 * (46.75016784667969 -B$8)</f>
        <v>0</v>
      </c>
      <c r="C198" t="str">
        <f>C$9 * (46.75016784667969 -C$8)</f>
        <v>0</v>
      </c>
      <c r="E198" t="str">
        <f>E$9 * (-0.003014100948348641 -E$8)</f>
        <v>0</v>
      </c>
      <c r="F198" t="str">
        <f>F$9 * (-0.7511922717094421 -F$8)</f>
        <v>0</v>
      </c>
      <c r="G198" t="str">
        <f>G$9 * (1.301565051078796 -G$8)</f>
        <v>0</v>
      </c>
    </row>
    <row r="199" spans="1:9">
      <c r="A199" t="str">
        <f>A$9 * (47.00047302246094 -A$8)</f>
        <v>0</v>
      </c>
      <c r="B199" t="str">
        <f>B$9 * (47.00047302246094 -B$8)</f>
        <v>0</v>
      </c>
      <c r="C199" t="str">
        <f>C$9 * (47.00047302246094 -C$8)</f>
        <v>0</v>
      </c>
      <c r="E199" t="str">
        <f>E$9 * (0.0003650661965366453 -E$8)</f>
        <v>0</v>
      </c>
      <c r="F199" t="str">
        <f>F$9 * (-1.163799047470093 -F$8)</f>
        <v>0</v>
      </c>
      <c r="G199" t="str">
        <f>G$9 * (1.825464963912964 -G$8)</f>
        <v>0</v>
      </c>
    </row>
    <row r="200" spans="1:9">
      <c r="A200" t="str">
        <f>A$9 * (47.25044631958008 -A$8)</f>
        <v>0</v>
      </c>
      <c r="B200" t="str">
        <f>B$9 * (47.25044631958008 -B$8)</f>
        <v>0</v>
      </c>
      <c r="C200" t="str">
        <f>C$9 * (47.25044631958008 -C$8)</f>
        <v>0</v>
      </c>
      <c r="E200" t="str">
        <f>E$9 * (-0.001287971041165292 -E$8)</f>
        <v>0</v>
      </c>
      <c r="F200" t="str">
        <f>F$9 * (-1.427644968032837 -F$8)</f>
        <v>0</v>
      </c>
      <c r="G200" t="str">
        <f>G$9 * (-0.2885836064815521 -G$8)</f>
        <v>0</v>
      </c>
    </row>
    <row r="201" spans="1:9">
      <c r="A201" t="str">
        <f>A$9 * (47.50066757202148 -A$8)</f>
        <v>0</v>
      </c>
      <c r="B201" t="str">
        <f>B$9 * (47.50066757202148 -B$8)</f>
        <v>0</v>
      </c>
      <c r="C201" t="str">
        <f>C$9 * (47.50066757202148 -C$8)</f>
        <v>0</v>
      </c>
      <c r="E201" t="str">
        <f>E$9 * (-0.0006569619290530682 -E$8)</f>
        <v>0</v>
      </c>
      <c r="F201" t="str">
        <f>F$9 * (-0.4422002136707306 -F$8)</f>
        <v>0</v>
      </c>
      <c r="G201" t="str">
        <f>G$9 * (-0.06936351209878922 -G$8)</f>
        <v>0</v>
      </c>
    </row>
    <row r="202" spans="1:9">
      <c r="A202" t="str">
        <f>A$9 * (47.75 -A$8)</f>
        <v>0</v>
      </c>
      <c r="B202" t="str">
        <f>B$9 * (47.75 -B$8)</f>
        <v>0</v>
      </c>
      <c r="C202" t="str">
        <f>C$9 * (47.75 -C$8)</f>
        <v>0</v>
      </c>
      <c r="E202" t="str">
        <f>E$9 * (0.003547620959579945 -E$8)</f>
        <v>0</v>
      </c>
      <c r="F202" t="str">
        <f>F$9 * (0.2823792994022369 -F$8)</f>
        <v>0</v>
      </c>
      <c r="G202" t="str">
        <f>G$9 * (41.73886871337891 -G$8)</f>
        <v>0</v>
      </c>
    </row>
    <row r="203" spans="1:9">
      <c r="A203" t="str">
        <f>A$9 * (48.00027847290039 -A$8)</f>
        <v>0</v>
      </c>
      <c r="B203" t="str">
        <f>B$9 * (48.00027847290039 -B$8)</f>
        <v>0</v>
      </c>
      <c r="C203" t="str">
        <f>C$9 * (48.00027847290039 -C$8)</f>
        <v>0</v>
      </c>
      <c r="E203" t="str">
        <f>E$9 * (0.06353305280208588 -E$8)</f>
        <v>0</v>
      </c>
      <c r="F203" t="str">
        <f>F$9 * (9.600619316101074 -F$8)</f>
        <v>0</v>
      </c>
      <c r="G203" t="str">
        <f>G$9 * (10.16502952575684 -G$8)</f>
        <v>0</v>
      </c>
    </row>
    <row r="204" spans="1:9">
      <c r="A204" t="str">
        <f>A$9 * (48.2501106262207 -A$8)</f>
        <v>0</v>
      </c>
      <c r="B204" t="str">
        <f>B$9 * (48.2501106262207 -B$8)</f>
        <v>0</v>
      </c>
      <c r="C204" t="str">
        <f>C$9 * (48.2501106262207 -C$8)</f>
        <v>0</v>
      </c>
      <c r="E204" t="str">
        <f>E$9 * (0.0112127996981144 -E$8)</f>
        <v>0</v>
      </c>
      <c r="F204" t="str">
        <f>F$9 * (6.445943832397461 -F$8)</f>
        <v>0</v>
      </c>
      <c r="G204" t="str">
        <f>G$9 * (12.37992000579834 -G$8)</f>
        <v>0</v>
      </c>
    </row>
    <row r="205" spans="1:9">
      <c r="A205" t="str">
        <f>A$9 * (48.50036239624023 -A$8)</f>
        <v>0</v>
      </c>
      <c r="B205" t="str">
        <f>B$9 * (48.50036239624023 -B$8)</f>
        <v>0</v>
      </c>
      <c r="C205" t="str">
        <f>C$9 * (48.50036239624023 -C$8)</f>
        <v>0</v>
      </c>
      <c r="E205" t="str">
        <f>E$9 * (0.01202481985092163 -E$8)</f>
        <v>0</v>
      </c>
      <c r="F205" t="str">
        <f>F$9 * (3.517884969711304 -F$8)</f>
        <v>0</v>
      </c>
      <c r="G205" t="str">
        <f>G$9 * (6.118587017059326 -G$8)</f>
        <v>0</v>
      </c>
    </row>
    <row r="206" spans="1:9">
      <c r="A206" t="str">
        <f>A$9 * (48.75005722045898 -A$8)</f>
        <v>0</v>
      </c>
      <c r="B206" t="str">
        <f>B$9 * (48.75005722045898 -B$8)</f>
        <v>0</v>
      </c>
      <c r="C206" t="str">
        <f>C$9 * (48.75005722045898 -C$8)</f>
        <v>0</v>
      </c>
      <c r="E206" t="str">
        <f>E$9 * (0.007713860832154751 -E$8)</f>
        <v>0</v>
      </c>
      <c r="F206" t="str">
        <f>F$9 * (3.690119028091431 -F$8)</f>
        <v>0</v>
      </c>
      <c r="G206" t="str">
        <f>G$9 * (8.661272048950195 -G$8)</f>
        <v>0</v>
      </c>
    </row>
    <row r="207" spans="1:9">
      <c r="A207" t="str">
        <f>A$9 * (49.00016784667969 -A$8)</f>
        <v>0</v>
      </c>
      <c r="B207" t="str">
        <f>B$9 * (49.00016784667969 -B$8)</f>
        <v>0</v>
      </c>
      <c r="C207" t="str">
        <f>C$9 * (49.00016784667969 -C$8)</f>
        <v>0</v>
      </c>
      <c r="E207" t="str">
        <f>E$9 * (0.004963473882526159 -E$8)</f>
        <v>0</v>
      </c>
      <c r="F207" t="str">
        <f>F$9 * (2.233333110809326 -F$8)</f>
        <v>0</v>
      </c>
      <c r="G207" t="str">
        <f>G$9 * (7.027764797210693 -G$8)</f>
        <v>0</v>
      </c>
    </row>
    <row r="208" spans="1:9">
      <c r="A208" t="str">
        <f>A$9 * (49.25027847290039 -A$8)</f>
        <v>0</v>
      </c>
      <c r="B208" t="str">
        <f>B$9 * (49.25027847290039 -B$8)</f>
        <v>0</v>
      </c>
      <c r="C208" t="str">
        <f>C$9 * (49.25027847290039 -C$8)</f>
        <v>0</v>
      </c>
      <c r="E208" t="str">
        <f>E$9 * (-0.001245763967745006 -E$8)</f>
        <v>0</v>
      </c>
      <c r="F208" t="str">
        <f>F$9 * (-0.2448678016662598 -F$8)</f>
        <v>0</v>
      </c>
      <c r="G208" t="str">
        <f>G$9 * (1.626256942749023 -G$8)</f>
        <v>0</v>
      </c>
    </row>
    <row r="209" spans="1:9">
      <c r="A209" t="str">
        <f>A$9 * (49.50016784667969 -A$8)</f>
        <v>0</v>
      </c>
      <c r="B209" t="str">
        <f>B$9 * (49.50016784667969 -B$8)</f>
        <v>0</v>
      </c>
      <c r="C209" t="str">
        <f>C$9 * (49.50016784667969 -C$8)</f>
        <v>0</v>
      </c>
      <c r="E209" t="str">
        <f>E$9 * (-0.001680786954239011 -E$8)</f>
        <v>0</v>
      </c>
      <c r="F209" t="str">
        <f>F$9 * (-0.7533227205276489 -F$8)</f>
        <v>0</v>
      </c>
      <c r="G209" t="str">
        <f>G$9 * (-0.498811811208725 -G$8)</f>
        <v>0</v>
      </c>
    </row>
    <row r="210" spans="1:9">
      <c r="A210" t="str">
        <f>A$9 * (49.75047302246094 -A$8)</f>
        <v>0</v>
      </c>
      <c r="B210" t="str">
        <f>B$9 * (49.75047302246094 -B$8)</f>
        <v>0</v>
      </c>
      <c r="C210" t="str">
        <f>C$9 * (49.75047302246094 -C$8)</f>
        <v>0</v>
      </c>
      <c r="E210" t="str">
        <f>E$9 * (4.325689951656386E-5 -E$8)</f>
        <v>0</v>
      </c>
      <c r="F210" t="str">
        <f>F$9 * (-1.44014298915863 -F$8)</f>
        <v>0</v>
      </c>
      <c r="G210" t="str">
        <f>G$9 * (0.8022444248199463 -G$8)</f>
        <v>0</v>
      </c>
    </row>
    <row r="211" spans="1:9">
      <c r="A211" t="str">
        <f>A$9 * (50.00019454956055 -A$8)</f>
        <v>0</v>
      </c>
      <c r="B211" t="str">
        <f>B$9 * (50.00019454956055 -B$8)</f>
        <v>0</v>
      </c>
      <c r="C211" t="str">
        <f>C$9 * (50.00019454956055 -C$8)</f>
        <v>0</v>
      </c>
      <c r="E211" t="str">
        <f>E$9 * (0.001592539018020034 -E$8)</f>
        <v>0</v>
      </c>
      <c r="F211" t="str">
        <f>F$9 * (0.01917397975921631 -F$8)</f>
        <v>0</v>
      </c>
      <c r="G211" t="str">
        <f>G$9 * (9.098187446594238 -G$8)</f>
        <v>0</v>
      </c>
    </row>
    <row r="212" spans="1:9">
      <c r="A212" t="str">
        <f>A$9 * (50.25019454956055 -A$8)</f>
        <v>0</v>
      </c>
      <c r="B212" t="str">
        <f>B$9 * (50.25019454956055 -B$8)</f>
        <v>0</v>
      </c>
      <c r="C212" t="str">
        <f>C$9 * (50.25019454956055 -C$8)</f>
        <v>0</v>
      </c>
      <c r="E212" t="str">
        <f>E$9 * (-0.0008976606768555939 -E$8)</f>
        <v>0</v>
      </c>
      <c r="F212" t="str">
        <f>F$9 * (-0.1099226996302605 -F$8)</f>
        <v>0</v>
      </c>
      <c r="G212" t="str">
        <f>G$9 * (-0.4447552859783173 -G$8)</f>
        <v>0</v>
      </c>
    </row>
    <row r="213" spans="1:9">
      <c r="A213" t="str">
        <f>A$9 * (50.50022125244141 -A$8)</f>
        <v>0</v>
      </c>
      <c r="B213" t="str">
        <f>B$9 * (50.50022125244141 -B$8)</f>
        <v>0</v>
      </c>
      <c r="C213" t="str">
        <f>C$9 * (50.50022125244141 -C$8)</f>
        <v>0</v>
      </c>
      <c r="E213" t="str">
        <f>E$9 * (-0.0005262987106107175 -E$8)</f>
        <v>0</v>
      </c>
      <c r="F213" t="str">
        <f>F$9 * (-0.8064659237861633 -F$8)</f>
        <v>0</v>
      </c>
      <c r="G213" t="str">
        <f>G$9 * (0.6851266026496887 -G$8)</f>
        <v>0</v>
      </c>
    </row>
    <row r="214" spans="1:9">
      <c r="A214" t="str">
        <f>A$9 * (50.75052642822266 -A$8)</f>
        <v>0</v>
      </c>
      <c r="B214" t="str">
        <f>B$9 * (50.75052642822266 -B$8)</f>
        <v>0</v>
      </c>
      <c r="C214" t="str">
        <f>C$9 * (50.75052642822266 -C$8)</f>
        <v>0</v>
      </c>
      <c r="E214" t="str">
        <f>E$9 * (-0.0006016133120283484 -E$8)</f>
        <v>0</v>
      </c>
      <c r="F214" t="str">
        <f>F$9 * (-0.4003821015357971 -F$8)</f>
        <v>0</v>
      </c>
      <c r="G214" t="str">
        <f>G$9 * (-0.09403596073389053 -G$8)</f>
        <v>0</v>
      </c>
    </row>
    <row r="215" spans="1:9">
      <c r="A215" t="str">
        <f>A$9 * (51.00022125244141 -A$8)</f>
        <v>0</v>
      </c>
      <c r="B215" t="str">
        <f>B$9 * (51.00022125244141 -B$8)</f>
        <v>0</v>
      </c>
      <c r="C215" t="str">
        <f>C$9 * (51.00022125244141 -C$8)</f>
        <v>0</v>
      </c>
      <c r="E215" t="str">
        <f>E$9 * (0.01089122984558344 -E$8)</f>
        <v>0</v>
      </c>
      <c r="F215" t="str">
        <f>F$9 * (0.3501656949520111 -F$8)</f>
        <v>0</v>
      </c>
      <c r="G215" t="str">
        <f>G$9 * (0.4436933100223541 -G$8)</f>
        <v>0</v>
      </c>
    </row>
    <row r="216" spans="1:9">
      <c r="A216" t="str">
        <f>A$9 * (51.2501106262207 -A$8)</f>
        <v>0</v>
      </c>
      <c r="B216" t="str">
        <f>B$9 * (51.2501106262207 -B$8)</f>
        <v>0</v>
      </c>
      <c r="C216" t="str">
        <f>C$9 * (51.2501106262207 -C$8)</f>
        <v>0</v>
      </c>
      <c r="E216" t="str">
        <f>E$9 * (0.01502352021634579 -E$8)</f>
        <v>0</v>
      </c>
      <c r="F216" t="str">
        <f>F$9 * (4.61096715927124 -F$8)</f>
        <v>0</v>
      </c>
      <c r="G216" t="str">
        <f>G$9 * (7.316048145294189 -G$8)</f>
        <v>0</v>
      </c>
    </row>
    <row r="217" spans="1:9">
      <c r="A217" t="str">
        <f>A$9 * (51.50008392333984 -A$8)</f>
        <v>0</v>
      </c>
      <c r="B217" t="str">
        <f>B$9 * (51.50008392333984 -B$8)</f>
        <v>0</v>
      </c>
      <c r="C217" t="str">
        <f>C$9 * (51.50008392333984 -C$8)</f>
        <v>0</v>
      </c>
      <c r="E217" t="str">
        <f>E$9 * (0.01543970033526421 -E$8)</f>
        <v>0</v>
      </c>
      <c r="F217" t="str">
        <f>F$9 * (8.785582542419434 -F$8)</f>
        <v>0</v>
      </c>
      <c r="G217" t="str">
        <f>G$9 * (15.09134006500244 -G$8)</f>
        <v>0</v>
      </c>
    </row>
    <row r="218" spans="1:9">
      <c r="A218" t="str">
        <f>A$9 * (51.75041580200195 -A$8)</f>
        <v>0</v>
      </c>
      <c r="B218" t="str">
        <f>B$9 * (51.75041580200195 -B$8)</f>
        <v>0</v>
      </c>
      <c r="C218" t="str">
        <f>C$9 * (51.75041580200195 -C$8)</f>
        <v>0</v>
      </c>
      <c r="E218" t="str">
        <f>E$9 * (0.007463867776095867 -E$8)</f>
        <v>0</v>
      </c>
      <c r="F218" t="str">
        <f>F$9 * (3.475842952728271 -F$8)</f>
        <v>0</v>
      </c>
      <c r="G218" t="str">
        <f>G$9 * (8.296501159667969 -G$8)</f>
        <v>0</v>
      </c>
    </row>
    <row r="219" spans="1:9">
      <c r="A219" t="str">
        <f>A$9 * (52.00019454956055 -A$8)</f>
        <v>0</v>
      </c>
      <c r="B219" t="str">
        <f>B$9 * (52.00019454956055 -B$8)</f>
        <v>0</v>
      </c>
      <c r="C219" t="str">
        <f>C$9 * (52.00019454956055 -C$8)</f>
        <v>0</v>
      </c>
      <c r="E219" t="str">
        <f>E$9 * (0.00935037899762392 -E$8)</f>
        <v>0</v>
      </c>
      <c r="F219" t="str">
        <f>F$9 * (4.250104904174805 -F$8)</f>
        <v>0</v>
      </c>
      <c r="G219" t="str">
        <f>G$9 * (8.824775695800781 -G$8)</f>
        <v>0</v>
      </c>
    </row>
    <row r="220" spans="1:9">
      <c r="A220" t="str">
        <f>A$9 * (52.25038909912109 -A$8)</f>
        <v>0</v>
      </c>
      <c r="B220" t="str">
        <f>B$9 * (52.25038909912109 -B$8)</f>
        <v>0</v>
      </c>
      <c r="C220" t="str">
        <f>C$9 * (52.25038909912109 -C$8)</f>
        <v>0</v>
      </c>
      <c r="E220" t="str">
        <f>E$9 * (0.006184414960443974 -E$8)</f>
        <v>0</v>
      </c>
      <c r="F220" t="str">
        <f>F$9 * (3.013300895690918 -F$8)</f>
        <v>0</v>
      </c>
      <c r="G220" t="str">
        <f>G$9 * (8.185871124267578 -G$8)</f>
        <v>0</v>
      </c>
    </row>
    <row r="221" spans="1:9">
      <c r="A221" t="str">
        <f>A$9 * (52.50027847290039 -A$8)</f>
        <v>0</v>
      </c>
      <c r="B221" t="str">
        <f>B$9 * (52.50027847290039 -B$8)</f>
        <v>0</v>
      </c>
      <c r="C221" t="str">
        <f>C$9 * (52.50027847290039 -C$8)</f>
        <v>0</v>
      </c>
      <c r="E221" t="str">
        <f>E$9 * (0.002229738049209118 -E$8)</f>
        <v>0</v>
      </c>
      <c r="F221" t="str">
        <f>F$9 * (0.4909087121486664 -F$8)</f>
        <v>0</v>
      </c>
      <c r="G221" t="str">
        <f>G$9 * (2.846436977386475 -G$8)</f>
        <v>0</v>
      </c>
    </row>
    <row r="222" spans="1:9">
      <c r="A222" t="str">
        <f>A$9 * (52.75027847290039 -A$8)</f>
        <v>0</v>
      </c>
      <c r="B222" t="str">
        <f>B$9 * (52.75027847290039 -B$8)</f>
        <v>0</v>
      </c>
      <c r="C222" t="str">
        <f>C$9 * (52.75027847290039 -C$8)</f>
        <v>0</v>
      </c>
      <c r="E222" t="str">
        <f>E$9 * (-0.0003149936092086136 -E$8)</f>
        <v>0</v>
      </c>
      <c r="F222" t="str">
        <f>F$9 * (-1.290742039680481 -F$8)</f>
        <v>0</v>
      </c>
      <c r="G222" t="str">
        <f>G$9 * (1.19061803817749 -G$8)</f>
        <v>0</v>
      </c>
    </row>
    <row r="223" spans="1:9">
      <c r="A223" t="str">
        <f>A$9 * (53.00027847290039 -A$8)</f>
        <v>0</v>
      </c>
      <c r="B223" t="str">
        <f>B$9 * (53.00027847290039 -B$8)</f>
        <v>0</v>
      </c>
      <c r="C223" t="str">
        <f>C$9 * (53.00027847290039 -C$8)</f>
        <v>0</v>
      </c>
      <c r="E223" t="str">
        <f>E$9 * (-0.0001510904985480011 -E$8)</f>
        <v>0</v>
      </c>
      <c r="F223" t="str">
        <f>F$9 * (-2.09953498840332 -F$8)</f>
        <v>0</v>
      </c>
      <c r="G223" t="str">
        <f>G$9 * (0.8433114290237427 -G$8)</f>
        <v>0</v>
      </c>
    </row>
    <row r="224" spans="1:9">
      <c r="A224" t="str">
        <f>A$9 * (53.25052642822266 -A$8)</f>
        <v>0</v>
      </c>
      <c r="B224" t="str">
        <f>B$9 * (53.25052642822266 -B$8)</f>
        <v>0</v>
      </c>
      <c r="C224" t="str">
        <f>C$9 * (53.25052642822266 -C$8)</f>
        <v>0</v>
      </c>
      <c r="E224" t="str">
        <f>E$9 * (0.001434537000022829 -E$8)</f>
        <v>0</v>
      </c>
      <c r="F224" t="str">
        <f>F$9 * (0.02102434076368809 -F$8)</f>
        <v>0</v>
      </c>
      <c r="G224" t="str">
        <f>G$9 * (9.513184547424316 -G$8)</f>
        <v>0</v>
      </c>
    </row>
    <row r="225" spans="1:9">
      <c r="A225" t="str">
        <f>A$9 * (53.50036239624023 -A$8)</f>
        <v>0</v>
      </c>
      <c r="B225" t="str">
        <f>B$9 * (53.50036239624023 -B$8)</f>
        <v>0</v>
      </c>
      <c r="C225" t="str">
        <f>C$9 * (53.50036239624023 -C$8)</f>
        <v>0</v>
      </c>
      <c r="E225" t="str">
        <f>E$9 * (0.0006504423799924552 -E$8)</f>
        <v>0</v>
      </c>
      <c r="F225" t="str">
        <f>F$9 * (-1.15739905834198 -F$8)</f>
        <v>0</v>
      </c>
      <c r="G225" t="str">
        <f>G$9 * (0.7723609805107117 -G$8)</f>
        <v>0</v>
      </c>
    </row>
    <row r="226" spans="1:9">
      <c r="A226" t="str">
        <f>A$9 * (53.75038909912109 -A$8)</f>
        <v>0</v>
      </c>
      <c r="B226" t="str">
        <f>B$9 * (53.75038909912109 -B$8)</f>
        <v>0</v>
      </c>
      <c r="C226" t="str">
        <f>C$9 * (53.75038909912109 -C$8)</f>
        <v>0</v>
      </c>
      <c r="E226" t="str">
        <f>E$9 * (-0.001396195031702518 -E$8)</f>
        <v>0</v>
      </c>
      <c r="F226" t="str">
        <f>F$9 * (-1.65706205368042 -F$8)</f>
        <v>0</v>
      </c>
      <c r="G226" t="str">
        <f>G$9 * (0.8225427865982056 -G$8)</f>
        <v>0</v>
      </c>
    </row>
    <row r="227" spans="1:9">
      <c r="A227" t="str">
        <f>A$9 * (54.00016784667969 -A$8)</f>
        <v>0</v>
      </c>
      <c r="B227" t="str">
        <f>B$9 * (54.00016784667969 -B$8)</f>
        <v>0</v>
      </c>
      <c r="C227" t="str">
        <f>C$9 * (54.00016784667969 -C$8)</f>
        <v>0</v>
      </c>
      <c r="E227" t="str">
        <f>E$9 * (-0.0004012832941953093 -E$8)</f>
        <v>0</v>
      </c>
      <c r="F227" t="str">
        <f>F$9 * (-0.9163442850112915 -F$8)</f>
        <v>0</v>
      </c>
      <c r="G227" t="str">
        <f>G$9 * (0.3443416953086853 -G$8)</f>
        <v>0</v>
      </c>
    </row>
    <row r="228" spans="1:9">
      <c r="A228" t="str">
        <f>A$9 * (54.25025177001953 -A$8)</f>
        <v>0</v>
      </c>
      <c r="B228" t="str">
        <f>B$9 * (54.25025177001953 -B$8)</f>
        <v>0</v>
      </c>
      <c r="C228" t="str">
        <f>C$9 * (54.25025177001953 -C$8)</f>
        <v>0</v>
      </c>
      <c r="E228" t="str">
        <f>E$9 * (-0.003062570933252573 -E$8)</f>
        <v>0</v>
      </c>
      <c r="F228" t="str">
        <f>F$9 * (-4.6925950050354 -F$8)</f>
        <v>0</v>
      </c>
      <c r="G228" t="str">
        <f>G$9 * (2.995807886123657 -G$8)</f>
        <v>0</v>
      </c>
    </row>
    <row r="229" spans="1:9">
      <c r="A229" t="str">
        <f>A$9 * (54.50016784667969 -A$8)</f>
        <v>0</v>
      </c>
      <c r="B229" t="str">
        <f>B$9 * (54.50016784667969 -B$8)</f>
        <v>0</v>
      </c>
      <c r="C229" t="str">
        <f>C$9 * (54.50016784667969 -C$8)</f>
        <v>0</v>
      </c>
      <c r="E229" t="str">
        <f>E$9 * (0.007104568183422089 -E$8)</f>
        <v>0</v>
      </c>
      <c r="F229" t="str">
        <f>F$9 * (0.3227308988571167 -F$8)</f>
        <v>0</v>
      </c>
      <c r="G229" t="str">
        <f>G$9 * (17.06826019287109 -G$8)</f>
        <v>0</v>
      </c>
    </row>
    <row r="230" spans="1:9">
      <c r="A230" t="str">
        <f>A$9 * (54.75058364868164 -A$8)</f>
        <v>0</v>
      </c>
      <c r="B230" t="str">
        <f>B$9 * (54.75058364868164 -B$8)</f>
        <v>0</v>
      </c>
      <c r="C230" t="str">
        <f>C$9 * (54.75058364868164 -C$8)</f>
        <v>0</v>
      </c>
      <c r="E230" t="str">
        <f>E$9 * (0.0241665206849575 -E$8)</f>
        <v>0</v>
      </c>
      <c r="F230" t="str">
        <f>F$9 * (11.79736042022705 -F$8)</f>
        <v>0</v>
      </c>
      <c r="G230" t="str">
        <f>G$9 * (17.22927093505859 -G$8)</f>
        <v>0</v>
      </c>
    </row>
    <row r="231" spans="1:9">
      <c r="A231" t="str">
        <f>A$9 * (55.00030517578125 -A$8)</f>
        <v>0</v>
      </c>
      <c r="B231" t="str">
        <f>B$9 * (55.00030517578125 -B$8)</f>
        <v>0</v>
      </c>
      <c r="C231" t="str">
        <f>C$9 * (55.00030517578125 -C$8)</f>
        <v>0</v>
      </c>
      <c r="E231" t="str">
        <f>E$9 * (0.006781695876270533 -E$8)</f>
        <v>0</v>
      </c>
      <c r="F231" t="str">
        <f>F$9 * (4.405086040496826 -F$8)</f>
        <v>0</v>
      </c>
      <c r="G231" t="str">
        <f>G$9 * (11.62646961212158 -G$8)</f>
        <v>0</v>
      </c>
    </row>
    <row r="232" spans="1:9">
      <c r="A232" t="str">
        <f>A$9 * (55.25036239624023 -A$8)</f>
        <v>0</v>
      </c>
      <c r="B232" t="str">
        <f>B$9 * (55.25036239624023 -B$8)</f>
        <v>0</v>
      </c>
      <c r="C232" t="str">
        <f>C$9 * (55.25036239624023 -C$8)</f>
        <v>0</v>
      </c>
      <c r="E232" t="str">
        <f>E$9 * (0.01297647971659899 -E$8)</f>
        <v>0</v>
      </c>
      <c r="F232" t="str">
        <f>F$9 * (5.153687000274658 -F$8)</f>
        <v>0</v>
      </c>
      <c r="G232" t="str">
        <f>G$9 * (8.821006774902344 -G$8)</f>
        <v>0</v>
      </c>
    </row>
    <row r="233" spans="1:9">
      <c r="A233" t="str">
        <f>A$9 * (55.50008392333984 -A$8)</f>
        <v>0</v>
      </c>
      <c r="B233" t="str">
        <f>B$9 * (55.50008392333984 -B$8)</f>
        <v>0</v>
      </c>
      <c r="C233" t="str">
        <f>C$9 * (55.50008392333984 -C$8)</f>
        <v>0</v>
      </c>
      <c r="E233" t="str">
        <f>E$9 * (0.006355855148285627 -E$8)</f>
        <v>0</v>
      </c>
      <c r="F233" t="str">
        <f>F$9 * (3.135441064834595 -F$8)</f>
        <v>0</v>
      </c>
      <c r="G233" t="str">
        <f>G$9 * (8.378043174743652 -G$8)</f>
        <v>0</v>
      </c>
    </row>
    <row r="234" spans="1:9">
      <c r="A234" t="str">
        <f>A$9 * (55.75008392333984 -A$8)</f>
        <v>0</v>
      </c>
      <c r="B234" t="str">
        <f>B$9 * (55.75008392333984 -B$8)</f>
        <v>0</v>
      </c>
      <c r="C234" t="str">
        <f>C$9 * (55.75008392333984 -C$8)</f>
        <v>0</v>
      </c>
      <c r="E234" t="str">
        <f>E$9 * (0.0033269920386374 -E$8)</f>
        <v>0</v>
      </c>
      <c r="F234" t="str">
        <f>F$9 * (0.9379022121429443 -F$8)</f>
        <v>0</v>
      </c>
      <c r="G234" t="str">
        <f>G$9 * (3.942853927612305 -G$8)</f>
        <v>0</v>
      </c>
    </row>
    <row r="235" spans="1:9">
      <c r="A235" t="str">
        <f>A$9 * (56.00044631958008 -A$8)</f>
        <v>0</v>
      </c>
      <c r="B235" t="str">
        <f>B$9 * (56.00044631958008 -B$8)</f>
        <v>0</v>
      </c>
      <c r="C235" t="str">
        <f>C$9 * (56.00044631958008 -C$8)</f>
        <v>0</v>
      </c>
      <c r="E235" t="str">
        <f>E$9 * (0.004457623232156038 -E$8)</f>
        <v>0</v>
      </c>
      <c r="F235" t="str">
        <f>F$9 * (0.654410719871521 -F$8)</f>
        <v>0</v>
      </c>
      <c r="G235" t="str">
        <f>G$9 * (2.136255979537964 -G$8)</f>
        <v>0</v>
      </c>
    </row>
    <row r="236" spans="1:9">
      <c r="A236" t="str">
        <f>A$9 * (56.25030517578125 -A$8)</f>
        <v>0</v>
      </c>
      <c r="B236" t="str">
        <f>B$9 * (56.25030517578125 -B$8)</f>
        <v>0</v>
      </c>
      <c r="C236" t="str">
        <f>C$9 * (56.25030517578125 -C$8)</f>
        <v>0</v>
      </c>
      <c r="E236" t="str">
        <f>E$9 * (0.002757237991318107 -E$8)</f>
        <v>0</v>
      </c>
      <c r="F236" t="str">
        <f>F$9 * (2.09102201461792 -F$8)</f>
        <v>0</v>
      </c>
      <c r="G236" t="str">
        <f>G$9 * (11.05840015411377 -G$8)</f>
        <v>0</v>
      </c>
    </row>
    <row r="237" spans="1:9">
      <c r="A237" t="str">
        <f>A$9 * (56.50030517578125 -A$8)</f>
        <v>0</v>
      </c>
      <c r="B237" t="str">
        <f>B$9 * (56.50030517578125 -B$8)</f>
        <v>0</v>
      </c>
      <c r="C237" t="str">
        <f>C$9 * (56.50030517578125 -C$8)</f>
        <v>0</v>
      </c>
      <c r="E237" t="str">
        <f>E$9 * (-0.0007721161819063127 -E$8)</f>
        <v>0</v>
      </c>
      <c r="F237" t="str">
        <f>F$9 * (-0.3434627950191498 -F$8)</f>
        <v>0</v>
      </c>
      <c r="G237" t="str">
        <f>G$9 * (-0.08689639717340469 -G$8)</f>
        <v>0</v>
      </c>
    </row>
    <row r="238" spans="1:9">
      <c r="A238" t="str">
        <f>A$9 * (56.75027847290039 -A$8)</f>
        <v>0</v>
      </c>
      <c r="B238" t="str">
        <f>B$9 * (56.75027847290039 -B$8)</f>
        <v>0</v>
      </c>
      <c r="C238" t="str">
        <f>C$9 * (56.75027847290039 -C$8)</f>
        <v>0</v>
      </c>
      <c r="E238" t="str">
        <f>E$9 * (1.884579978650436E-5 -E$8)</f>
        <v>0</v>
      </c>
      <c r="F238" t="str">
        <f>F$9 * (-1.067270994186401 -F$8)</f>
        <v>0</v>
      </c>
      <c r="G238" t="str">
        <f>G$9 * (1.868427991867065 -G$8)</f>
        <v>0</v>
      </c>
    </row>
    <row r="239" spans="1:9">
      <c r="A239" t="str">
        <f>A$9 * (57.00047302246094 -A$8)</f>
        <v>0</v>
      </c>
      <c r="B239" t="str">
        <f>B$9 * (57.00047302246094 -B$8)</f>
        <v>0</v>
      </c>
      <c r="C239" t="str">
        <f>C$9 * (57.00047302246094 -C$8)</f>
        <v>0</v>
      </c>
      <c r="E239" t="str">
        <f>E$9 * (-0.004423188045620918 -E$8)</f>
        <v>0</v>
      </c>
      <c r="F239" t="str">
        <f>F$9 * (-0.272304892539978 -F$8)</f>
        <v>0</v>
      </c>
      <c r="G239" t="str">
        <f>G$9 * (-2.975481986999512 -G$8)</f>
        <v>0</v>
      </c>
    </row>
    <row r="240" spans="1:9">
      <c r="A240" t="str">
        <f>A$9 * (57.25083160400391 -A$8)</f>
        <v>0</v>
      </c>
      <c r="B240" t="str">
        <f>B$9 * (57.25083160400391 -B$8)</f>
        <v>0</v>
      </c>
      <c r="C240" t="str">
        <f>C$9 * (57.25083160400391 -C$8)</f>
        <v>0</v>
      </c>
      <c r="E240" t="str">
        <f>E$9 * (-0.0006617527105845511 -E$8)</f>
        <v>0</v>
      </c>
      <c r="F240" t="str">
        <f>F$9 * (-0.2172618061304092 -F$8)</f>
        <v>0</v>
      </c>
      <c r="G240" t="str">
        <f>G$9 * (-0.1025506034493446 -G$8)</f>
        <v>0</v>
      </c>
    </row>
    <row r="241" spans="1:9">
      <c r="A241" t="str">
        <f>A$9 * (57.50002670288086 -A$8)</f>
        <v>0</v>
      </c>
      <c r="B241" t="str">
        <f>B$9 * (57.50002670288086 -B$8)</f>
        <v>0</v>
      </c>
      <c r="C241" t="str">
        <f>C$9 * (57.50002670288086 -C$8)</f>
        <v>0</v>
      </c>
      <c r="E241" t="str">
        <f>E$9 * (0.002536216052249074 -E$8)</f>
        <v>0</v>
      </c>
      <c r="F241" t="str">
        <f>F$9 * (0.1644622981548309 -F$8)</f>
        <v>0</v>
      </c>
      <c r="G241" t="str">
        <f>G$9 * (31.26083946228027 -G$8)</f>
        <v>0</v>
      </c>
    </row>
    <row r="242" spans="1:9">
      <c r="A242" t="str">
        <f>A$9 * (57.75005722045898 -A$8)</f>
        <v>0</v>
      </c>
      <c r="B242" t="str">
        <f>B$9 * (57.75005722045898 -B$8)</f>
        <v>0</v>
      </c>
      <c r="C242" t="str">
        <f>C$9 * (57.75005722045898 -C$8)</f>
        <v>0</v>
      </c>
      <c r="E242" t="str">
        <f>E$9 * (0.05963559821248055 -E$8)</f>
        <v>0</v>
      </c>
      <c r="F242" t="str">
        <f>F$9 * (14.15415000915527 -F$8)</f>
        <v>0</v>
      </c>
      <c r="G242" t="str">
        <f>G$9 * (15.36135005950928 -G$8)</f>
        <v>0</v>
      </c>
    </row>
    <row r="243" spans="1:9">
      <c r="A243" t="str">
        <f>A$9 * (58.0001106262207 -A$8)</f>
        <v>0</v>
      </c>
      <c r="B243" t="str">
        <f>B$9 * (58.0001106262207 -B$8)</f>
        <v>0</v>
      </c>
      <c r="C243" t="str">
        <f>C$9 * (58.0001106262207 -C$8)</f>
        <v>0</v>
      </c>
      <c r="E243" t="str">
        <f>E$9 * (0.01040249969810247 -E$8)</f>
        <v>0</v>
      </c>
      <c r="F243" t="str">
        <f>F$9 * (6.091187000274658 -F$8)</f>
        <v>0</v>
      </c>
      <c r="G243" t="str">
        <f>G$9 * (12.21648979187012 -G$8)</f>
        <v>0</v>
      </c>
    </row>
    <row r="244" spans="1:9">
      <c r="A244" t="str">
        <f>A$9 * (58.25041580200195 -A$8)</f>
        <v>0</v>
      </c>
      <c r="B244" t="str">
        <f>B$9 * (58.25041580200195 -B$8)</f>
        <v>0</v>
      </c>
      <c r="C244" t="str">
        <f>C$9 * (58.25041580200195 -C$8)</f>
        <v>0</v>
      </c>
      <c r="E244" t="str">
        <f>E$9 * (0.0134428795427084 -E$8)</f>
        <v>0</v>
      </c>
      <c r="F244" t="str">
        <f>F$9 * (3.909430980682373 -F$8)</f>
        <v>0</v>
      </c>
      <c r="G244" t="str">
        <f>G$9 * (6.409931182861328 -G$8)</f>
        <v>0</v>
      </c>
    </row>
    <row r="245" spans="1:9">
      <c r="A245" t="str">
        <f>A$9 * (58.50030517578125 -A$8)</f>
        <v>0</v>
      </c>
      <c r="B245" t="str">
        <f>B$9 * (58.50030517578125 -B$8)</f>
        <v>0</v>
      </c>
      <c r="C245" t="str">
        <f>C$9 * (58.50030517578125 -C$8)</f>
        <v>0</v>
      </c>
      <c r="E245" t="str">
        <f>E$9 * (0.00733196409419179 -E$8)</f>
        <v>0</v>
      </c>
      <c r="F245" t="str">
        <f>F$9 * (3.570843935012817 -F$8)</f>
        <v>0</v>
      </c>
      <c r="G245" t="str">
        <f>G$9 * (8.669472694396973 -G$8)</f>
        <v>0</v>
      </c>
    </row>
    <row r="246" spans="1:9">
      <c r="A246" t="str">
        <f>A$9 * (58.75036239624023 -A$8)</f>
        <v>0</v>
      </c>
      <c r="B246" t="str">
        <f>B$9 * (58.75036239624023 -B$8)</f>
        <v>0</v>
      </c>
      <c r="C246" t="str">
        <f>C$9 * (58.75036239624023 -C$8)</f>
        <v>0</v>
      </c>
      <c r="E246" t="str">
        <f>E$9 * (0.004416907206177711 -E$8)</f>
        <v>0</v>
      </c>
      <c r="F246" t="str">
        <f>F$9 * (1.783514976501465 -F$8)</f>
        <v>0</v>
      </c>
      <c r="G246" t="str">
        <f>G$9 * (6.075493812561035 -G$8)</f>
        <v>0</v>
      </c>
    </row>
    <row r="247" spans="1:9">
      <c r="A247" t="str">
        <f>A$9 * (59 -A$8)</f>
        <v>0</v>
      </c>
      <c r="B247" t="str">
        <f>B$9 * (59 -B$8)</f>
        <v>0</v>
      </c>
      <c r="C247" t="str">
        <f>C$9 * (59 -C$8)</f>
        <v>0</v>
      </c>
      <c r="E247" t="str">
        <f>E$9 * (-0.002338510937988758 -E$8)</f>
        <v>0</v>
      </c>
      <c r="F247" t="str">
        <f>F$9 * (-0.5020133852958679 -F$8)</f>
        <v>0</v>
      </c>
      <c r="G247" t="str">
        <f>G$9 * (1.415102005004883 -G$8)</f>
        <v>0</v>
      </c>
    </row>
    <row r="248" spans="1:9">
      <c r="A248" t="str">
        <f>A$9 * (59.25041580200195 -A$8)</f>
        <v>0</v>
      </c>
      <c r="B248" t="str">
        <f>B$9 * (59.25041580200195 -B$8)</f>
        <v>0</v>
      </c>
      <c r="C248" t="str">
        <f>C$9 * (59.25041580200195 -C$8)</f>
        <v>0</v>
      </c>
      <c r="E248" t="str">
        <f>E$9 * (-0.001150093972682953 -E$8)</f>
        <v>0</v>
      </c>
      <c r="F248" t="str">
        <f>F$9 * (-0.9156064987182617 -F$8)</f>
        <v>0</v>
      </c>
      <c r="G248" t="str">
        <f>G$9 * (-0.1777458041906357 -G$8)</f>
        <v>0</v>
      </c>
    </row>
    <row r="249" spans="1:9">
      <c r="A249" t="str">
        <f>A$9 * (59.50027847290039 -A$8)</f>
        <v>0</v>
      </c>
      <c r="B249" t="str">
        <f>B$9 * (59.50027847290039 -B$8)</f>
        <v>0</v>
      </c>
      <c r="C249" t="str">
        <f>C$9 * (59.50027847290039 -C$8)</f>
        <v>0</v>
      </c>
      <c r="E249" t="str">
        <f>E$9 * (0.003690196899697185 -E$8)</f>
        <v>0</v>
      </c>
      <c r="F249" t="str">
        <f>F$9 * (-2.465105056762695 -F$8)</f>
        <v>0</v>
      </c>
      <c r="G249" t="str">
        <f>G$9 * (1.483948945999146 -G$8)</f>
        <v>0</v>
      </c>
    </row>
    <row r="250" spans="1:9">
      <c r="A250" t="str">
        <f>A$9 * (59.75041580200195 -A$8)</f>
        <v>0</v>
      </c>
      <c r="B250" t="str">
        <f>B$9 * (59.75041580200195 -B$8)</f>
        <v>0</v>
      </c>
      <c r="C250" t="str">
        <f>C$9 * (59.75041580200195 -C$8)</f>
        <v>0</v>
      </c>
      <c r="E250" t="str">
        <f>E$9 * (0.002496486064046621 -E$8)</f>
        <v>0</v>
      </c>
      <c r="F250" t="str">
        <f>F$9 * (-0.07087021321058273 -F$8)</f>
        <v>0</v>
      </c>
      <c r="G250" t="str">
        <f>G$9 * (7.059772968292236 -G$8)</f>
        <v>0</v>
      </c>
    </row>
    <row r="251" spans="1:9">
      <c r="A251" t="str">
        <f>A$9 * (60.00033187866211 -A$8)</f>
        <v>0</v>
      </c>
      <c r="B251" t="str">
        <f>B$9 * (60.00033187866211 -B$8)</f>
        <v>0</v>
      </c>
      <c r="C251" t="str">
        <f>C$9 * (60.00033187866211 -C$8)</f>
        <v>0</v>
      </c>
      <c r="E251" t="str">
        <f>E$9 * (0.000181909097591415 -E$8)</f>
        <v>0</v>
      </c>
      <c r="F251" t="str">
        <f>F$9 * (-0.7272171974182129 -F$8)</f>
        <v>0</v>
      </c>
      <c r="G251" t="str">
        <f>G$9 * (1.304708003997803 -G$8)</f>
        <v>0</v>
      </c>
    </row>
    <row r="252" spans="1:9">
      <c r="A252" t="str">
        <f>A$9 * (60.2506103515625 -A$8)</f>
        <v>0</v>
      </c>
      <c r="B252" t="str">
        <f>B$9 * (60.2506103515625 -B$8)</f>
        <v>0</v>
      </c>
      <c r="C252" t="str">
        <f>C$9 * (60.2506103515625 -C$8)</f>
        <v>0</v>
      </c>
      <c r="E252" t="str">
        <f>E$9 * (-0.000196221997612156 -E$8)</f>
        <v>0</v>
      </c>
      <c r="F252" t="str">
        <f>F$9 * (-0.8943905234336853 -F$8)</f>
        <v>0</v>
      </c>
      <c r="G252" t="str">
        <f>G$9 * (0.8477131724357605 -G$8)</f>
        <v>0</v>
      </c>
    </row>
    <row r="253" spans="1:9">
      <c r="A253" t="str">
        <f>A$9 * (60.50041580200195 -A$8)</f>
        <v>0</v>
      </c>
      <c r="B253" t="str">
        <f>B$9 * (60.50041580200195 -B$8)</f>
        <v>0</v>
      </c>
      <c r="C253" t="str">
        <f>C$9 * (60.50041580200195 -C$8)</f>
        <v>0</v>
      </c>
      <c r="E253" t="str">
        <f>E$9 * (-9.89737018244341E-5 -E$8)</f>
        <v>0</v>
      </c>
      <c r="F253" t="str">
        <f>F$9 * (-0.2198961973190308 -F$8)</f>
        <v>0</v>
      </c>
      <c r="G253" t="str">
        <f>G$9 * (0.3429327011108398 -G$8)</f>
        <v>0</v>
      </c>
    </row>
    <row r="254" spans="1:9">
      <c r="A254" t="str">
        <f>A$9 * (60.7504997253418 -A$8)</f>
        <v>0</v>
      </c>
      <c r="B254" t="str">
        <f>B$9 * (60.7504997253418 -B$8)</f>
        <v>0</v>
      </c>
      <c r="C254" t="str">
        <f>C$9 * (60.7504997253418 -C$8)</f>
        <v>0</v>
      </c>
      <c r="E254" t="str">
        <f>E$9 * (0.04827439039945602 -E$8)</f>
        <v>0</v>
      </c>
      <c r="F254" t="str">
        <f>F$9 * (1.623540997505188 -F$8)</f>
        <v>0</v>
      </c>
      <c r="G254" t="str">
        <f>G$9 * (1.768915057182312 -G$8)</f>
        <v>0</v>
      </c>
    </row>
    <row r="255" spans="1:9">
      <c r="A255" t="str">
        <f>A$9 * (61.00027847290039 -A$8)</f>
        <v>0</v>
      </c>
      <c r="B255" t="str">
        <f>B$9 * (61.00027847290039 -B$8)</f>
        <v>0</v>
      </c>
      <c r="C255" t="str">
        <f>C$9 * (61.00027847290039 -C$8)</f>
        <v>0</v>
      </c>
      <c r="E255" t="str">
        <f>E$9 * (0.03121479041874409 -E$8)</f>
        <v>0</v>
      </c>
      <c r="F255" t="str">
        <f>F$9 * (6.028986930847168 -F$8)</f>
        <v>0</v>
      </c>
      <c r="G255" t="str">
        <f>G$9 * (6.87212085723877 -G$8)</f>
        <v>0</v>
      </c>
    </row>
    <row r="256" spans="1:9">
      <c r="A256" t="str">
        <f>A$9 * (61.25 -A$8)</f>
        <v>0</v>
      </c>
      <c r="B256" t="str">
        <f>B$9 * (61.25 -B$8)</f>
        <v>0</v>
      </c>
      <c r="C256" t="str">
        <f>C$9 * (61.25 -C$8)</f>
        <v>0</v>
      </c>
      <c r="E256" t="str">
        <f>E$9 * (0.01429121010005474 -E$8)</f>
        <v>0</v>
      </c>
      <c r="F256" t="str">
        <f>F$9 * (8.272680282592773 -F$8)</f>
        <v>0</v>
      </c>
      <c r="G256" t="str">
        <f>G$9 * (14.55694007873535 -G$8)</f>
        <v>0</v>
      </c>
    </row>
    <row r="257" spans="1:9">
      <c r="A257" t="str">
        <f>A$9 * (61.50038909912109 -A$8)</f>
        <v>0</v>
      </c>
      <c r="B257" t="str">
        <f>B$9 * (61.50038909912109 -B$8)</f>
        <v>0</v>
      </c>
      <c r="C257" t="str">
        <f>C$9 * (61.50038909912109 -C$8)</f>
        <v>0</v>
      </c>
      <c r="E257" t="str">
        <f>E$9 * (0.008356969803571701 -E$8)</f>
        <v>0</v>
      </c>
      <c r="F257" t="str">
        <f>F$9 * (3.374552965164185 -F$8)</f>
        <v>0</v>
      </c>
      <c r="G257" t="str">
        <f>G$9 * (7.415554046630859 -G$8)</f>
        <v>0</v>
      </c>
    </row>
    <row r="258" spans="1:9">
      <c r="A258" t="str">
        <f>A$9 * (61.75 -A$8)</f>
        <v>0</v>
      </c>
      <c r="B258" t="str">
        <f>B$9 * (61.75 -B$8)</f>
        <v>0</v>
      </c>
      <c r="C258" t="str">
        <f>C$9 * (61.75 -C$8)</f>
        <v>0</v>
      </c>
      <c r="E258" t="str">
        <f>E$9 * (0.008859287947416306 -E$8)</f>
        <v>0</v>
      </c>
      <c r="F258" t="str">
        <f>F$9 * (4.055098056793213 -F$8)</f>
        <v>0</v>
      </c>
      <c r="G258" t="str">
        <f>G$9 * (8.705714225769043 -G$8)</f>
        <v>0</v>
      </c>
    </row>
    <row r="259" spans="1:9">
      <c r="A259" t="str">
        <f>A$9 * (62.00019454956055 -A$8)</f>
        <v>0</v>
      </c>
      <c r="B259" t="str">
        <f>B$9 * (62.00019454956055 -B$8)</f>
        <v>0</v>
      </c>
      <c r="C259" t="str">
        <f>C$9 * (62.00019454956055 -C$8)</f>
        <v>0</v>
      </c>
      <c r="E259" t="str">
        <f>E$9 * (0.006094108801335096 -E$8)</f>
        <v>0</v>
      </c>
      <c r="F259" t="str">
        <f>F$9 * (2.968224048614502 -F$8)</f>
        <v>0</v>
      </c>
      <c r="G259" t="str">
        <f>G$9 * (8.144322395324707 -G$8)</f>
        <v>0</v>
      </c>
    </row>
    <row r="260" spans="1:9">
      <c r="A260" t="str">
        <f>A$9 * (62.25025177001953 -A$8)</f>
        <v>0</v>
      </c>
      <c r="B260" t="str">
        <f>B$9 * (62.25025177001953 -B$8)</f>
        <v>0</v>
      </c>
      <c r="C260" t="str">
        <f>C$9 * (62.25025177001953 -C$8)</f>
        <v>0</v>
      </c>
      <c r="E260" t="str">
        <f>E$9 * (0.00202850392088294 -E$8)</f>
        <v>0</v>
      </c>
      <c r="F260" t="str">
        <f>F$9 * (0.4201126992702484 -F$8)</f>
        <v>0</v>
      </c>
      <c r="G260" t="str">
        <f>G$9 * (2.630429983139038 -G$8)</f>
        <v>0</v>
      </c>
    </row>
    <row r="261" spans="1:9">
      <c r="A261" t="str">
        <f>A$9 * (62.5004997253418 -A$8)</f>
        <v>0</v>
      </c>
      <c r="B261" t="str">
        <f>B$9 * (62.5004997253418 -B$8)</f>
        <v>0</v>
      </c>
      <c r="C261" t="str">
        <f>C$9 * (62.5004997253418 -C$8)</f>
        <v>0</v>
      </c>
      <c r="E261" t="str">
        <f>E$9 * (-0.001878733979538083 -E$8)</f>
        <v>0</v>
      </c>
      <c r="F261" t="str">
        <f>F$9 * (-1.602241992950439 -F$8)</f>
        <v>0</v>
      </c>
      <c r="G261" t="str">
        <f>G$9 * (-0.1554224044084549 -G$8)</f>
        <v>0</v>
      </c>
    </row>
    <row r="262" spans="1:9">
      <c r="A262" t="str">
        <f>A$9 * (62.75002670288086 -A$8)</f>
        <v>0</v>
      </c>
      <c r="B262" t="str">
        <f>B$9 * (62.75002670288086 -B$8)</f>
        <v>0</v>
      </c>
      <c r="C262" t="str">
        <f>C$9 * (62.75002670288086 -C$8)</f>
        <v>0</v>
      </c>
      <c r="E262" t="str">
        <f>E$9 * (0.000125046499306336 -E$8)</f>
        <v>0</v>
      </c>
      <c r="F262" t="str">
        <f>F$9 * (-0.263139396905899 -F$8)</f>
        <v>0</v>
      </c>
      <c r="G262" t="str">
        <f>G$9 * (0.3706951141357422 -G$8)</f>
        <v>0</v>
      </c>
    </row>
    <row r="263" spans="1:9">
      <c r="A263" t="str">
        <f>A$9 * (63.00044631958008 -A$8)</f>
        <v>0</v>
      </c>
      <c r="B263" t="str">
        <f>B$9 * (63.00044631958008 -B$8)</f>
        <v>0</v>
      </c>
      <c r="C263" t="str">
        <f>C$9 * (63.00044631958008 -C$8)</f>
        <v>0</v>
      </c>
      <c r="E263" t="str">
        <f>E$9 * (0.001503665000200272 -E$8)</f>
        <v>0</v>
      </c>
      <c r="F263" t="str">
        <f>F$9 * (0.03274447843432426 -F$8)</f>
        <v>0</v>
      </c>
      <c r="G263" t="str">
        <f>G$9 * (9.9893798828125 -G$8)</f>
        <v>0</v>
      </c>
    </row>
    <row r="264" spans="1:9">
      <c r="A264" t="str">
        <f>A$9 * (63.25002670288086 -A$8)</f>
        <v>0</v>
      </c>
      <c r="B264" t="str">
        <f>B$9 * (63.25002670288086 -B$8)</f>
        <v>0</v>
      </c>
      <c r="C264" t="str">
        <f>C$9 * (63.25002670288086 -C$8)</f>
        <v>0</v>
      </c>
      <c r="E264" t="str">
        <f>E$9 * (-0.001169478986412287 -E$8)</f>
        <v>0</v>
      </c>
      <c r="F264" t="str">
        <f>F$9 * (-0.5894783139228821 -F$8)</f>
        <v>0</v>
      </c>
      <c r="G264" t="str">
        <f>G$9 * (-0.2523840963840485 -G$8)</f>
        <v>0</v>
      </c>
    </row>
    <row r="265" spans="1:9">
      <c r="A265" t="str">
        <f>A$9 * (63.5006103515625 -A$8)</f>
        <v>0</v>
      </c>
      <c r="B265" t="str">
        <f>B$9 * (63.5006103515625 -B$8)</f>
        <v>0</v>
      </c>
      <c r="C265" t="str">
        <f>C$9 * (63.5006103515625 -C$8)</f>
        <v>0</v>
      </c>
      <c r="E265" t="str">
        <f>E$9 * (-0.001008774968795478 -E$8)</f>
        <v>0</v>
      </c>
      <c r="F265" t="str">
        <f>F$9 * (-1.104590058326721 -F$8)</f>
        <v>0</v>
      </c>
      <c r="G265" t="str">
        <f>G$9 * (-0.2776275873184204 -G$8)</f>
        <v>0</v>
      </c>
    </row>
    <row r="266" spans="1:9">
      <c r="A266" t="str">
        <f>A$9 * (63.75044631958008 -A$8)</f>
        <v>0</v>
      </c>
      <c r="B266" t="str">
        <f>B$9 * (63.75044631958008 -B$8)</f>
        <v>0</v>
      </c>
      <c r="C266" t="str">
        <f>C$9 * (63.75044631958008 -C$8)</f>
        <v>0</v>
      </c>
      <c r="E266" t="str">
        <f>E$9 * (-0.001004619989544153 -E$8)</f>
        <v>0</v>
      </c>
      <c r="F266" t="str">
        <f>F$9 * (-0.2141796052455902 -F$8)</f>
        <v>0</v>
      </c>
      <c r="G266" t="str">
        <f>G$9 * (-0.2976445853710175 -G$8)</f>
        <v>0</v>
      </c>
    </row>
    <row r="267" spans="1:9">
      <c r="A267" t="str">
        <f>A$9 * (64.00083160400391 -A$8)</f>
        <v>0</v>
      </c>
      <c r="B267" t="str">
        <f>B$9 * (64.00083160400391 -B$8)</f>
        <v>0</v>
      </c>
      <c r="C267" t="str">
        <f>C$9 * (64.00083160400391 -C$8)</f>
        <v>0</v>
      </c>
      <c r="E267" t="str">
        <f>E$9 * (-0.001613365020602942 -E$8)</f>
        <v>0</v>
      </c>
      <c r="F267" t="str">
        <f>F$9 * (-2.639106035232544 -F$8)</f>
        <v>0</v>
      </c>
      <c r="G267" t="str">
        <f>G$9 * (2.369399070739746 -G$8)</f>
        <v>0</v>
      </c>
    </row>
    <row r="268" spans="1:9">
      <c r="A268" t="str">
        <f>A$9 * (64.25019073486328 -A$8)</f>
        <v>0</v>
      </c>
      <c r="B268" t="str">
        <f>B$9 * (64.25019073486328 -B$8)</f>
        <v>0</v>
      </c>
      <c r="C268" t="str">
        <f>C$9 * (64.25019073486328 -C$8)</f>
        <v>0</v>
      </c>
      <c r="E268" t="str">
        <f>E$9 * (0.006926923990249634 -E$8)</f>
        <v>0</v>
      </c>
      <c r="F268" t="str">
        <f>F$9 * (0.3426300883293152 -F$8)</f>
        <v>0</v>
      </c>
      <c r="G268" t="str">
        <f>G$9 * (15.09593963623047 -G$8)</f>
        <v>0</v>
      </c>
    </row>
    <row r="269" spans="1:9">
      <c r="A269" t="str">
        <f>A$9 * (64.50041961669922 -A$8)</f>
        <v>0</v>
      </c>
      <c r="B269" t="str">
        <f>B$9 * (64.50041961669922 -B$8)</f>
        <v>0</v>
      </c>
      <c r="C269" t="str">
        <f>C$9 * (64.50041961669922 -C$8)</f>
        <v>0</v>
      </c>
      <c r="E269" t="str">
        <f>E$9 * (0.02197184972465038 -E$8)</f>
        <v>0</v>
      </c>
      <c r="F269" t="str">
        <f>F$9 * (11.17553997039795 -F$8)</f>
        <v>0</v>
      </c>
      <c r="G269" t="str">
        <f>G$9 * (16.92667961120605 -G$8)</f>
        <v>0</v>
      </c>
    </row>
    <row r="270" spans="1:9">
      <c r="A270" t="str">
        <f>A$9 * (64.75005340576172 -A$8)</f>
        <v>0</v>
      </c>
      <c r="B270" t="str">
        <f>B$9 * (64.75005340576172 -B$8)</f>
        <v>0</v>
      </c>
      <c r="C270" t="str">
        <f>C$9 * (64.75005340576172 -C$8)</f>
        <v>0</v>
      </c>
      <c r="E270" t="str">
        <f>E$9 * (0.006430640816688538 -E$8)</f>
        <v>0</v>
      </c>
      <c r="F270" t="str">
        <f>F$9 * (4.090611934661865 -F$8)</f>
        <v>0</v>
      </c>
      <c r="G270" t="str">
        <f>G$9 * (11.15147018432617 -G$8)</f>
        <v>0</v>
      </c>
    </row>
    <row r="271" spans="1:9">
      <c r="A271" t="str">
        <f>A$9 * (65.00033569335938 -A$8)</f>
        <v>0</v>
      </c>
      <c r="B271" t="str">
        <f>B$9 * (65.00033569335938 -B$8)</f>
        <v>0</v>
      </c>
      <c r="C271" t="str">
        <f>C$9 * (65.00033569335938 -C$8)</f>
        <v>0</v>
      </c>
      <c r="E271" t="str">
        <f>E$9 * (0.01229969970881939 -E$8)</f>
        <v>0</v>
      </c>
      <c r="F271" t="str">
        <f>F$9 * (5.102237224578857 -F$8)</f>
        <v>0</v>
      </c>
      <c r="G271" t="str">
        <f>G$9 * (9.014277458190918 -G$8)</f>
        <v>0</v>
      </c>
    </row>
    <row r="272" spans="1:9">
      <c r="A272" t="str">
        <f>A$9 * (65.25011444091797 -A$8)</f>
        <v>0</v>
      </c>
      <c r="B272" t="str">
        <f>B$9 * (65.25011444091797 -B$8)</f>
        <v>0</v>
      </c>
      <c r="C272" t="str">
        <f>C$9 * (65.25011444091797 -C$8)</f>
        <v>0</v>
      </c>
      <c r="E272" t="str">
        <f>E$9 * (0.006330367177724838 -E$8)</f>
        <v>0</v>
      </c>
      <c r="F272" t="str">
        <f>F$9 * (3.118789911270142 -F$8)</f>
        <v>0</v>
      </c>
      <c r="G272" t="str">
        <f>G$9 * (8.355713844299316 -G$8)</f>
        <v>0</v>
      </c>
    </row>
    <row r="273" spans="1:9">
      <c r="A273" t="str">
        <f>A$9 * (65.50033569335938 -A$8)</f>
        <v>0</v>
      </c>
      <c r="B273" t="str">
        <f>B$9 * (65.50033569335938 -B$8)</f>
        <v>0</v>
      </c>
      <c r="C273" t="str">
        <f>C$9 * (65.50033569335938 -C$8)</f>
        <v>0</v>
      </c>
      <c r="E273" t="str">
        <f>E$9 * (0.003156719962134957 -E$8)</f>
        <v>0</v>
      </c>
      <c r="F273" t="str">
        <f>F$9 * (0.8391067981719971 -F$8)</f>
        <v>0</v>
      </c>
      <c r="G273" t="str">
        <f>G$9 * (3.678674936294556 -G$8)</f>
        <v>0</v>
      </c>
    </row>
    <row r="274" spans="1:9">
      <c r="A274" t="str">
        <f>A$9 * (65.75033569335938 -A$8)</f>
        <v>0</v>
      </c>
      <c r="B274" t="str">
        <f>B$9 * (65.75033569335938 -B$8)</f>
        <v>0</v>
      </c>
      <c r="C274" t="str">
        <f>C$9 * (65.75033569335938 -C$8)</f>
        <v>0</v>
      </c>
      <c r="E274" t="str">
        <f>E$9 * (0.0008816570043563843 -E$8)</f>
        <v>0</v>
      </c>
      <c r="F274" t="str">
        <f>F$9 * (0.1248248964548111 -F$8)</f>
        <v>0</v>
      </c>
      <c r="G274" t="str">
        <f>G$9 * (1.611415982246399 -G$8)</f>
        <v>0</v>
      </c>
    </row>
    <row r="275" spans="1:9">
      <c r="A275" t="str">
        <f>A$9 * (66.00008392333984 -A$8)</f>
        <v>0</v>
      </c>
      <c r="B275" t="str">
        <f>B$9 * (66.00008392333984 -B$8)</f>
        <v>0</v>
      </c>
      <c r="C275" t="str">
        <f>C$9 * (66.00008392333984 -C$8)</f>
        <v>0</v>
      </c>
      <c r="E275" t="str">
        <f>E$9 * (0.004650107119232416 -E$8)</f>
        <v>0</v>
      </c>
      <c r="F275" t="str">
        <f>F$9 * (4.145503997802734 -F$8)</f>
        <v>0</v>
      </c>
      <c r="G275" t="str">
        <f>G$9 * (18.44318962097168 -G$8)</f>
        <v>0</v>
      </c>
    </row>
    <row r="276" spans="1:9">
      <c r="A276" t="str">
        <f>A$9 * (66.25041961669922 -A$8)</f>
        <v>0</v>
      </c>
      <c r="B276" t="str">
        <f>B$9 * (66.25041961669922 -B$8)</f>
        <v>0</v>
      </c>
      <c r="C276" t="str">
        <f>C$9 * (66.25041961669922 -C$8)</f>
        <v>0</v>
      </c>
      <c r="E276" t="str">
        <f>E$9 * (0.000695298018399626 -E$8)</f>
        <v>0</v>
      </c>
      <c r="F276" t="str">
        <f>F$9 * (0.1380961984395981 -F$8)</f>
        <v>0</v>
      </c>
      <c r="G276" t="str">
        <f>G$9 * (2.216191053390503 -G$8)</f>
        <v>0</v>
      </c>
    </row>
    <row r="277" spans="1:9">
      <c r="A277" t="str">
        <f>A$9 * (66.50003051757812 -A$8)</f>
        <v>0</v>
      </c>
      <c r="B277" t="str">
        <f>B$9 * (66.50003051757812 -B$8)</f>
        <v>0</v>
      </c>
      <c r="C277" t="str">
        <f>C$9 * (66.50003051757812 -C$8)</f>
        <v>0</v>
      </c>
      <c r="E277" t="str">
        <f>E$9 * (-0.001513591036200523 -E$8)</f>
        <v>0</v>
      </c>
      <c r="F277" t="str">
        <f>F$9 * (-1.435575008392334 -F$8)</f>
        <v>0</v>
      </c>
      <c r="G277" t="str">
        <f>G$9 * (-0.04424265027046204 -G$8)</f>
        <v>0</v>
      </c>
    </row>
    <row r="278" spans="1:9">
      <c r="A278" t="str">
        <f>A$9 * (66.75038909912109 -A$8)</f>
        <v>0</v>
      </c>
      <c r="B278" t="str">
        <f>B$9 * (66.75038909912109 -B$8)</f>
        <v>0</v>
      </c>
      <c r="C278" t="str">
        <f>C$9 * (66.75038909912109 -C$8)</f>
        <v>0</v>
      </c>
      <c r="E278" t="str">
        <f>E$9 * (-0.00116810598410666 -E$8)</f>
        <v>0</v>
      </c>
      <c r="F278" t="str">
        <f>F$9 * (-1.119218945503235 -F$8)</f>
        <v>0</v>
      </c>
      <c r="G278" t="str">
        <f>G$9 * (-0.312252402305603 -G$8)</f>
        <v>0</v>
      </c>
    </row>
    <row r="279" spans="1:9">
      <c r="A279" t="str">
        <f>A$9 * (67.00077819824219 -A$8)</f>
        <v>0</v>
      </c>
      <c r="B279" t="str">
        <f>B$9 * (67.00077819824219 -B$8)</f>
        <v>0</v>
      </c>
      <c r="C279" t="str">
        <f>C$9 * (67.00077819824219 -C$8)</f>
        <v>0</v>
      </c>
      <c r="E279" t="str">
        <f>E$9 * (-0.0007443936192430556 -E$8)</f>
        <v>0</v>
      </c>
      <c r="F279" t="str">
        <f>F$9 * (-0.6885913014411926 -F$8)</f>
        <v>0</v>
      </c>
      <c r="G279" t="str">
        <f>G$9 * (0.08160561323165894 -G$8)</f>
        <v>0</v>
      </c>
    </row>
    <row r="280" spans="1:9">
      <c r="A280" t="str">
        <f>A$9 * (67.25044250488281 -A$8)</f>
        <v>0</v>
      </c>
      <c r="B280" t="str">
        <f>B$9 * (67.25044250488281 -B$8)</f>
        <v>0</v>
      </c>
      <c r="C280" t="str">
        <f>C$9 * (67.25044250488281 -C$8)</f>
        <v>0</v>
      </c>
      <c r="E280" t="str">
        <f>E$9 * (0.2057622969150543 -E$8)</f>
        <v>0</v>
      </c>
      <c r="F280" t="str">
        <f>F$9 * (17.91333961486816 -F$8)</f>
        <v>0</v>
      </c>
      <c r="G280" t="str">
        <f>G$9 * (18.49894905090332 -G$8)</f>
        <v>0</v>
      </c>
    </row>
    <row r="281" spans="1:9">
      <c r="A281" t="str">
        <f>A$9 * (67.50013732910156 -A$8)</f>
        <v>0</v>
      </c>
      <c r="B281" t="str">
        <f>B$9 * (67.50013732910156 -B$8)</f>
        <v>0</v>
      </c>
      <c r="C281" t="str">
        <f>C$9 * (67.50013732910156 -C$8)</f>
        <v>0</v>
      </c>
      <c r="E281" t="str">
        <f>E$9 * (0.04334181174635887 -E$8)</f>
        <v>0</v>
      </c>
      <c r="F281" t="str">
        <f>F$9 * (6.201857089996338 -F$8)</f>
        <v>0</v>
      </c>
      <c r="G281" t="str">
        <f>G$9 * (6.580580234527588 -G$8)</f>
        <v>0</v>
      </c>
    </row>
    <row r="282" spans="1:9">
      <c r="A282" t="str">
        <f>A$9 * (67.75030517578125 -A$8)</f>
        <v>0</v>
      </c>
      <c r="B282" t="str">
        <f>B$9 * (67.75030517578125 -B$8)</f>
        <v>0</v>
      </c>
      <c r="C282" t="str">
        <f>C$9 * (67.75030517578125 -C$8)</f>
        <v>0</v>
      </c>
      <c r="E282" t="str">
        <f>E$9 * (0.01272801961749792 -E$8)</f>
        <v>0</v>
      </c>
      <c r="F282" t="str">
        <f>F$9 * (7.37197208404541 -F$8)</f>
        <v>0</v>
      </c>
      <c r="G282" t="str">
        <f>G$9 * (13.28372955322266 -G$8)</f>
        <v>0</v>
      </c>
    </row>
    <row r="283" spans="1:9">
      <c r="A283" t="str">
        <f>A$9 * (68.00022125244141 -A$8)</f>
        <v>0</v>
      </c>
      <c r="B283" t="str">
        <f>B$9 * (68.00022125244141 -B$8)</f>
        <v>0</v>
      </c>
      <c r="C283" t="str">
        <f>C$9 * (68.00022125244141 -C$8)</f>
        <v>0</v>
      </c>
      <c r="E283" t="str">
        <f>E$9 * (0.009764665737748146 -E$8)</f>
        <v>0</v>
      </c>
      <c r="F283" t="str">
        <f>F$9 * (3.269283056259155 -F$8)</f>
        <v>0</v>
      </c>
      <c r="G283" t="str">
        <f>G$9 * (6.449410915374756 -G$8)</f>
        <v>0</v>
      </c>
    </row>
    <row r="284" spans="1:9">
      <c r="A284" t="str">
        <f>A$9 * (68.25003051757812 -A$8)</f>
        <v>0</v>
      </c>
      <c r="B284" t="str">
        <f>B$9 * (68.25003051757812 -B$8)</f>
        <v>0</v>
      </c>
      <c r="C284" t="str">
        <f>C$9 * (68.25003051757812 -C$8)</f>
        <v>0</v>
      </c>
      <c r="E284" t="str">
        <f>E$9 * (0.008288418874144554 -E$8)</f>
        <v>0</v>
      </c>
      <c r="F284" t="str">
        <f>F$9 * (3.854433059692383 -F$8)</f>
        <v>0</v>
      </c>
      <c r="G284" t="str">
        <f>G$9 * (8.62880802154541 -G$8)</f>
        <v>0</v>
      </c>
    </row>
    <row r="285" spans="1:9">
      <c r="A285" t="str">
        <f>A$9 * (68.5 -A$8)</f>
        <v>0</v>
      </c>
      <c r="B285" t="str">
        <f>B$9 * (68.5 -B$8)</f>
        <v>0</v>
      </c>
      <c r="C285" t="str">
        <f>C$9 * (68.5 -C$8)</f>
        <v>0</v>
      </c>
      <c r="E285" t="str">
        <f>E$9 * (0.005821398925036192 -E$8)</f>
        <v>0</v>
      </c>
      <c r="F285" t="str">
        <f>F$9 * (2.835771083831787 -F$8)</f>
        <v>0</v>
      </c>
      <c r="G285" t="str">
        <f>G$9 * (8.02541446685791 -G$8)</f>
        <v>0</v>
      </c>
    </row>
    <row r="286" spans="1:9">
      <c r="A286" t="str">
        <f>A$9 * (68.75033569335938 -A$8)</f>
        <v>0</v>
      </c>
      <c r="B286" t="str">
        <f>B$9 * (68.75033569335938 -B$8)</f>
        <v>0</v>
      </c>
      <c r="C286" t="str">
        <f>C$9 * (68.75033569335938 -C$8)</f>
        <v>0</v>
      </c>
      <c r="E286" t="str">
        <f>E$9 * (0.0009196111932396889 -E$8)</f>
        <v>0</v>
      </c>
      <c r="F286" t="str">
        <f>F$9 * (0.1736927032470703 -F$8)</f>
        <v>0</v>
      </c>
      <c r="G286" t="str">
        <f>G$9 * (2.166899919509888 -G$8)</f>
        <v>0</v>
      </c>
    </row>
    <row r="287" spans="1:9">
      <c r="A287" t="str">
        <f>A$9 * (69.00008392333984 -A$8)</f>
        <v>0</v>
      </c>
      <c r="B287" t="str">
        <f>B$9 * (69.00008392333984 -B$8)</f>
        <v>0</v>
      </c>
      <c r="C287" t="str">
        <f>C$9 * (69.00008392333984 -C$8)</f>
        <v>0</v>
      </c>
      <c r="E287" t="str">
        <f>E$9 * (-8.910270116757601E-5 -E$8)</f>
        <v>0</v>
      </c>
      <c r="F287" t="str">
        <f>F$9 * (-1.341088056564331 -F$8)</f>
        <v>0</v>
      </c>
      <c r="G287" t="str">
        <f>G$9 * (1.985702991485596 -G$8)</f>
        <v>0</v>
      </c>
    </row>
    <row r="288" spans="1:9">
      <c r="A288" t="str">
        <f>A$9 * (69.25022125244141 -A$8)</f>
        <v>0</v>
      </c>
      <c r="B288" t="str">
        <f>B$9 * (69.25022125244141 -B$8)</f>
        <v>0</v>
      </c>
      <c r="C288" t="str">
        <f>C$9 * (69.25022125244141 -C$8)</f>
        <v>0</v>
      </c>
      <c r="E288" t="str">
        <f>E$9 * (-0.0001647395984036848 -E$8)</f>
        <v>0</v>
      </c>
      <c r="F288" t="str">
        <f>F$9 * (-0.9955341219902039 -F$8)</f>
        <v>0</v>
      </c>
      <c r="G288" t="str">
        <f>G$9 * (0.4825195074081421 -G$8)</f>
        <v>0</v>
      </c>
    </row>
    <row r="289" spans="1:9">
      <c r="A289" t="str">
        <f>A$9 * (69.50008392333984 -A$8)</f>
        <v>0</v>
      </c>
      <c r="B289" t="str">
        <f>B$9 * (69.50008392333984 -B$8)</f>
        <v>0</v>
      </c>
      <c r="C289" t="str">
        <f>C$9 * (69.50008392333984 -C$8)</f>
        <v>0</v>
      </c>
      <c r="E289" t="str">
        <f>E$9 * (0.001507985987700522 -E$8)</f>
        <v>0</v>
      </c>
      <c r="F289" t="str">
        <f>F$9 * (0.03203187882900238 -F$8)</f>
        <v>0</v>
      </c>
      <c r="G289" t="str">
        <f>G$9 * (9.930739402770996 -G$8)</f>
        <v>0</v>
      </c>
    </row>
    <row r="290" spans="1:9">
      <c r="A290" t="str">
        <f>A$9 * (69.75050354003906 -A$8)</f>
        <v>0</v>
      </c>
      <c r="B290" t="str">
        <f>B$9 * (69.75050354003906 -B$8)</f>
        <v>0</v>
      </c>
      <c r="C290" t="str">
        <f>C$9 * (69.75050354003906 -C$8)</f>
        <v>0</v>
      </c>
      <c r="E290" t="str">
        <f>E$9 * (-0.002710269996896386 -E$8)</f>
        <v>0</v>
      </c>
      <c r="F290" t="str">
        <f>F$9 * (-1.904595017433167 -F$8)</f>
        <v>0</v>
      </c>
      <c r="G290" t="str">
        <f>G$9 * (0.4101802110671997 -G$8)</f>
        <v>0</v>
      </c>
    </row>
    <row r="291" spans="1:9">
      <c r="A291" t="str">
        <f>A$9 * (70.00052642822266 -A$8)</f>
        <v>0</v>
      </c>
      <c r="B291" t="str">
        <f>B$9 * (70.00052642822266 -B$8)</f>
        <v>0</v>
      </c>
      <c r="C291" t="str">
        <f>C$9 * (70.00052642822266 -C$8)</f>
        <v>0</v>
      </c>
      <c r="E291" t="str">
        <f>E$9 * (-0.000763875781558454 -E$8)</f>
        <v>0</v>
      </c>
      <c r="F291" t="str">
        <f>F$9 * (-0.2229093015193939 -F$8)</f>
        <v>0</v>
      </c>
      <c r="G291" t="str">
        <f>G$9 * (-0.168119803071022 -G$8)</f>
        <v>0</v>
      </c>
    </row>
    <row r="292" spans="1:9">
      <c r="A292" t="str">
        <f>A$9 * (70.2506103515625 -A$8)</f>
        <v>0</v>
      </c>
      <c r="B292" t="str">
        <f>B$9 * (70.2506103515625 -B$8)</f>
        <v>0</v>
      </c>
      <c r="C292" t="str">
        <f>C$9 * (70.2506103515625 -C$8)</f>
        <v>0</v>
      </c>
      <c r="E292" t="str">
        <f>E$9 * (-0.000989904860034585 -E$8)</f>
        <v>0</v>
      </c>
      <c r="F292" t="str">
        <f>F$9 * (-0.3299016952514648 -F$8)</f>
        <v>0</v>
      </c>
      <c r="G292" t="str">
        <f>G$9 * (-0.3854599893093109 -G$8)</f>
        <v>0</v>
      </c>
    </row>
    <row r="293" spans="1:9">
      <c r="A293" t="str">
        <f>A$9 * (70.5006103515625 -A$8)</f>
        <v>0</v>
      </c>
      <c r="B293" t="str">
        <f>B$9 * (70.5006103515625 -B$8)</f>
        <v>0</v>
      </c>
      <c r="C293" t="str">
        <f>C$9 * (70.5006103515625 -C$8)</f>
        <v>0</v>
      </c>
      <c r="E293" t="str">
        <f>E$9 * (-0.0001466949033783749 -E$8)</f>
        <v>0</v>
      </c>
      <c r="F293" t="str">
        <f>F$9 * (-0.4490058124065399 -F$8)</f>
        <v>0</v>
      </c>
      <c r="G293" t="str">
        <f>G$9 * (3.033950090408325 -G$8)</f>
        <v>0</v>
      </c>
    </row>
    <row r="294" spans="1:9">
      <c r="A294" t="str">
        <f>A$9 * (70.75035858154297 -A$8)</f>
        <v>0</v>
      </c>
      <c r="B294" t="str">
        <f>B$9 * (70.75035858154297 -B$8)</f>
        <v>0</v>
      </c>
      <c r="C294" t="str">
        <f>C$9 * (70.75035858154297 -C$8)</f>
        <v>0</v>
      </c>
      <c r="E294" t="str">
        <f>E$9 * (0.005023024044930935 -E$8)</f>
        <v>0</v>
      </c>
      <c r="F294" t="str">
        <f>F$9 * (0.2365529984235764 -F$8)</f>
        <v>0</v>
      </c>
      <c r="G294" t="str">
        <f>G$9 * (11.35599040985107 -G$8)</f>
        <v>0</v>
      </c>
    </row>
    <row r="295" spans="1:9">
      <c r="A295" t="str">
        <f>A$9 * (71.00038909912109 -A$8)</f>
        <v>0</v>
      </c>
      <c r="B295" t="str">
        <f>B$9 * (71.00038909912109 -B$8)</f>
        <v>0</v>
      </c>
      <c r="C295" t="str">
        <f>C$9 * (71.00038909912109 -C$8)</f>
        <v>0</v>
      </c>
      <c r="E295" t="str">
        <f>E$9 * (0.01920223049819469 -E$8)</f>
        <v>0</v>
      </c>
      <c r="F295" t="str">
        <f>F$9 * (10.29298973083496 -F$8)</f>
        <v>0</v>
      </c>
      <c r="G295" t="str">
        <f>G$9 * (16.42929077148438 -G$8)</f>
        <v>0</v>
      </c>
    </row>
    <row r="296" spans="1:9">
      <c r="A296" t="str">
        <f>A$9 * (71.25008392333984 -A$8)</f>
        <v>0</v>
      </c>
      <c r="B296" t="str">
        <f>B$9 * (71.25008392333984 -B$8)</f>
        <v>0</v>
      </c>
      <c r="C296" t="str">
        <f>C$9 * (71.25008392333984 -C$8)</f>
        <v>0</v>
      </c>
      <c r="E296" t="str">
        <f>E$9 * (0.00620569009333849 -E$8)</f>
        <v>0</v>
      </c>
      <c r="F296" t="str">
        <f>F$9 * (3.684981107711792 -F$8)</f>
        <v>0</v>
      </c>
      <c r="G296" t="str">
        <f>G$9 * (10.19721031188965 -G$8)</f>
        <v>0</v>
      </c>
    </row>
    <row r="297" spans="1:9">
      <c r="A297" t="str">
        <f>A$9 * (71.50003051757812 -A$8)</f>
        <v>0</v>
      </c>
      <c r="B297" t="str">
        <f>B$9 * (71.50003051757812 -B$8)</f>
        <v>0</v>
      </c>
      <c r="C297" t="str">
        <f>C$9 * (71.50003051757812 -C$8)</f>
        <v>0</v>
      </c>
      <c r="E297" t="str">
        <f>E$9 * (0.01099127996712923 -E$8)</f>
        <v>0</v>
      </c>
      <c r="F297" t="str">
        <f>F$9 * (4.778924942016602 -F$8)</f>
        <v>0</v>
      </c>
      <c r="G297" t="str">
        <f>G$9 * (9.009823799133301 -G$8)</f>
        <v>0</v>
      </c>
    </row>
    <row r="298" spans="1:9">
      <c r="A298" t="str">
        <f>A$9 * (71.75022125244141 -A$8)</f>
        <v>0</v>
      </c>
      <c r="B298" t="str">
        <f>B$9 * (71.75022125244141 -B$8)</f>
        <v>0</v>
      </c>
      <c r="C298" t="str">
        <f>C$9 * (71.75022125244141 -C$8)</f>
        <v>0</v>
      </c>
      <c r="E298" t="str">
        <f>E$9 * (0.006286309100687504 -E$8)</f>
        <v>0</v>
      </c>
      <c r="F298" t="str">
        <f>F$9 * (3.079123020172119 -F$8)</f>
        <v>0</v>
      </c>
      <c r="G298" t="str">
        <f>G$9 * (8.281826972961426 -G$8)</f>
        <v>0</v>
      </c>
    </row>
    <row r="299" spans="1:9">
      <c r="A299" t="str">
        <f>A$9 * (72.00033569335938 -A$8)</f>
        <v>0</v>
      </c>
      <c r="B299" t="str">
        <f>B$9 * (72.00033569335938 -B$8)</f>
        <v>0</v>
      </c>
      <c r="C299" t="str">
        <f>C$9 * (72.00033569335938 -C$8)</f>
        <v>0</v>
      </c>
      <c r="E299" t="str">
        <f>E$9 * (0.002844450064003468 -E$8)</f>
        <v>0</v>
      </c>
      <c r="F299" t="str">
        <f>F$9 * (0.7049733996391296 -F$8)</f>
        <v>0</v>
      </c>
      <c r="G299" t="str">
        <f>G$9 * (3.365780115127563 -G$8)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99"/>
  <sheetViews>
    <sheetView tabSelected="0" workbookViewId="0" showGridLines="true" showRowColHeaders="1">
      <selection activeCell="G10" sqref="G10"/>
    </sheetView>
  </sheetViews>
  <sheetFormatPr defaultRowHeight="14.4" outlineLevelRow="0" outlineLevelCol="0"/>
  <sheetData>
    <row r="1" spans="1:9">
      <c r="A1" s="2" t="s">
        <v>8</v>
      </c>
      <c r="B1" s="2" t="s">
        <v>8</v>
      </c>
      <c r="C1" s="2" t="s">
        <v>8</v>
      </c>
      <c r="D1" s="1"/>
      <c r="E1" s="2" t="s">
        <v>9</v>
      </c>
      <c r="F1" s="2" t="s">
        <v>10</v>
      </c>
      <c r="G1" s="2" t="s">
        <v>10</v>
      </c>
    </row>
    <row r="2" spans="1:9">
      <c r="A2" s="1" t="s">
        <v>11</v>
      </c>
      <c r="B2" s="1" t="s">
        <v>12</v>
      </c>
      <c r="C2" s="1" t="s">
        <v>13</v>
      </c>
      <c r="D2" s="1"/>
      <c r="E2" s="1" t="str">
        <f>'Legends'!B2</f>
        <v>0</v>
      </c>
      <c r="F2" s="1" t="str">
        <f>'Legends'!B3</f>
        <v>0</v>
      </c>
      <c r="G2" s="1" t="str">
        <f>'Legends'!B4</f>
        <v>0</v>
      </c>
      <c r="I2" s="3" t="s">
        <v>22</v>
      </c>
    </row>
    <row r="3" spans="1:9">
      <c r="A3" t="str">
        <f>MIN($A$11:$A$299)</f>
        <v>0</v>
      </c>
      <c r="B3" t="str">
        <f>MIN($B$11:$B$299)</f>
        <v>0</v>
      </c>
      <c r="C3" t="str">
        <f>MIN($C$11:$C$299)</f>
        <v>0</v>
      </c>
      <c r="D3" s="1" t="s">
        <v>15</v>
      </c>
      <c r="E3" t="str">
        <f>MIN($E$11:$E$299)</f>
        <v>0</v>
      </c>
      <c r="F3" t="str">
        <f>MIN($F$11:$F$299)</f>
        <v>0</v>
      </c>
      <c r="G3" t="str">
        <f>MIN($G$11:$G$299)</f>
        <v>0</v>
      </c>
    </row>
    <row r="4" spans="1:9">
      <c r="A4" t="str">
        <f>MEDIAN($A$11:$A$299)</f>
        <v>0</v>
      </c>
      <c r="B4" t="str">
        <f>MEDIAN($B$11:$B$299)</f>
        <v>0</v>
      </c>
      <c r="C4" t="str">
        <f>MEDIAN($C$11:$C$299)</f>
        <v>0</v>
      </c>
      <c r="D4" s="1" t="s">
        <v>16</v>
      </c>
      <c r="E4" t="str">
        <f>MEDIAN($E$11:$E$299)</f>
        <v>0</v>
      </c>
      <c r="F4" t="str">
        <f>MEDIAN($F$11:$F$299)</f>
        <v>0</v>
      </c>
      <c r="G4" t="str">
        <f>MEDIAN($G$11:$G$299)</f>
        <v>0</v>
      </c>
    </row>
    <row r="5" spans="1:9">
      <c r="A5" t="str">
        <f>MAX($A$11:$A$299)</f>
        <v>0</v>
      </c>
      <c r="B5" t="str">
        <f>MAX($B$11:$B$299)</f>
        <v>0</v>
      </c>
      <c r="C5" t="str">
        <f>MAX($C$11:$C$299)</f>
        <v>0</v>
      </c>
      <c r="D5" s="1" t="s">
        <v>17</v>
      </c>
      <c r="E5" t="str">
        <f>MAX($E$11:$E$299)</f>
        <v>0</v>
      </c>
      <c r="F5" t="str">
        <f>MAX($F$11:$F$299)</f>
        <v>0</v>
      </c>
      <c r="G5" t="str">
        <f>MAX($G$11:$G$299)</f>
        <v>0</v>
      </c>
    </row>
    <row r="6" spans="1:9">
      <c r="A6" t="str">
        <f>$A5-$A3</f>
        <v>0</v>
      </c>
      <c r="B6" t="str">
        <f>$B5-$B3</f>
        <v>0</v>
      </c>
      <c r="C6" t="str">
        <f>$C5-$C3</f>
        <v>0</v>
      </c>
      <c r="D6" s="1" t="s">
        <v>18</v>
      </c>
      <c r="E6" t="str">
        <f>$E5-$E3</f>
        <v>0</v>
      </c>
      <c r="F6" t="str">
        <f>$F5-$F3</f>
        <v>0</v>
      </c>
      <c r="G6" t="str">
        <f>$G5-$G3</f>
        <v>0</v>
      </c>
    </row>
    <row r="7" spans="1:9">
      <c r="A7" s="2" t="s">
        <v>8</v>
      </c>
      <c r="B7" s="2" t="s">
        <v>8</v>
      </c>
      <c r="C7" s="2" t="s">
        <v>8</v>
      </c>
      <c r="D7" s="1"/>
      <c r="E7" s="2" t="s">
        <v>9</v>
      </c>
      <c r="F7" s="2" t="s">
        <v>10</v>
      </c>
      <c r="G7" s="2" t="s">
        <v>10</v>
      </c>
    </row>
    <row r="8" spans="1:9">
      <c r="A8">
        <v>0</v>
      </c>
      <c r="B8">
        <v>0</v>
      </c>
      <c r="C8">
        <v>0</v>
      </c>
      <c r="D8" s="1" t="s">
        <v>19</v>
      </c>
      <c r="E8">
        <v>0</v>
      </c>
      <c r="F8">
        <v>0</v>
      </c>
      <c r="G8">
        <v>0</v>
      </c>
    </row>
    <row r="9" spans="1:9">
      <c r="A9">
        <v>1</v>
      </c>
      <c r="B9">
        <v>1</v>
      </c>
      <c r="C9">
        <v>1</v>
      </c>
      <c r="D9" s="1" t="s">
        <v>20</v>
      </c>
      <c r="E9">
        <v>1</v>
      </c>
      <c r="F9">
        <v>1</v>
      </c>
      <c r="G9">
        <v>1</v>
      </c>
    </row>
    <row r="10" spans="1:9">
      <c r="A10" s="1" t="s">
        <v>11</v>
      </c>
      <c r="B10" s="1" t="s">
        <v>12</v>
      </c>
      <c r="C10" s="1" t="s">
        <v>13</v>
      </c>
      <c r="D10" s="1"/>
      <c r="E10" s="1" t="str">
        <f>'Legends'!B2</f>
        <v>0</v>
      </c>
      <c r="F10" s="1" t="str">
        <f>'Legends'!B3</f>
        <v>0</v>
      </c>
      <c r="G10" s="1" t="str">
        <f>'Legends'!B4</f>
        <v>0</v>
      </c>
    </row>
    <row r="11" spans="1:9">
      <c r="A11" t="str">
        <f>A$9 * (0 -A$8)</f>
        <v>0</v>
      </c>
      <c r="B11" t="str">
        <f>B$9 * (0 -B$8)</f>
        <v>0</v>
      </c>
      <c r="C11" t="str">
        <f>C$9 * (0 -C$8)</f>
        <v>0</v>
      </c>
      <c r="E11" t="str">
        <f>E$9 * (0.01899014040827751 -E$8)</f>
        <v>0</v>
      </c>
      <c r="F11" t="str">
        <f>F$9 * (6.976023197174072 -F$8)</f>
        <v>0</v>
      </c>
      <c r="G11" t="str">
        <f>G$9 * (9.87746524810791 -G$8)</f>
        <v>0</v>
      </c>
    </row>
    <row r="12" spans="1:9">
      <c r="A12" t="str">
        <f>A$9 * (0.2500112354755402 -A$8)</f>
        <v>0</v>
      </c>
      <c r="B12" t="str">
        <f>B$9 * (0.2500112354755402 -B$8)</f>
        <v>0</v>
      </c>
      <c r="C12" t="str">
        <f>C$9 * (0.2500112354755402 -C$8)</f>
        <v>0</v>
      </c>
      <c r="E12" t="str">
        <f>E$9 * (0.01325295027345419 -E$8)</f>
        <v>0</v>
      </c>
      <c r="F12" t="str">
        <f>F$9 * (4.242303848266602 -F$8)</f>
        <v>0</v>
      </c>
      <c r="G12" t="str">
        <f>G$9 * (6.967663764953613 -G$8)</f>
        <v>0</v>
      </c>
    </row>
    <row r="13" spans="1:9">
      <c r="A13" t="str">
        <f>A$9 * (0.5001211166381836 -A$8)</f>
        <v>0</v>
      </c>
      <c r="B13" t="str">
        <f>B$9 * (0.5001211166381836 -B$8)</f>
        <v>0</v>
      </c>
      <c r="C13" t="str">
        <f>C$9 * (0.5001211166381836 -C$8)</f>
        <v>0</v>
      </c>
      <c r="E13" t="str">
        <f>E$9 * (0.009234599769115448 -E$8)</f>
        <v>0</v>
      </c>
      <c r="F13" t="str">
        <f>F$9 * (2.912945032119751 -F$8)</f>
        <v>0</v>
      </c>
      <c r="G13" t="str">
        <f>G$9 * (5.829698085784912 -G$8)</f>
        <v>0</v>
      </c>
    </row>
    <row r="14" spans="1:9">
      <c r="A14" t="str">
        <f>A$9 * (0.7500610947608948 -A$8)</f>
        <v>0</v>
      </c>
      <c r="B14" t="str">
        <f>B$9 * (0.7500610947608948 -B$8)</f>
        <v>0</v>
      </c>
      <c r="C14" t="str">
        <f>C$9 * (0.7500610947608948 -C$8)</f>
        <v>0</v>
      </c>
      <c r="E14" t="str">
        <f>E$9 * (0.005029994994401932 -E$8)</f>
        <v>0</v>
      </c>
      <c r="F14" t="str">
        <f>F$9 * (1.130789995193481 -F$8)</f>
        <v>0</v>
      </c>
      <c r="G14" t="str">
        <f>G$9 * (3.361793041229248 -G$8)</f>
        <v>0</v>
      </c>
    </row>
    <row r="15" spans="1:9">
      <c r="A15" t="str">
        <f>A$9 * (1.000138640403748 -A$8)</f>
        <v>0</v>
      </c>
      <c r="B15" t="str">
        <f>B$9 * (1.000138640403748 -B$8)</f>
        <v>0</v>
      </c>
      <c r="C15" t="str">
        <f>C$9 * (1.000138640403748 -C$8)</f>
        <v>0</v>
      </c>
      <c r="E15" t="str">
        <f>E$9 * (-0.001605786033906043 -E$8)</f>
        <v>0</v>
      </c>
      <c r="F15" t="str">
        <f>F$9 * (-1.595832943916321 -F$8)</f>
        <v>0</v>
      </c>
      <c r="G15" t="str">
        <f>G$9 * (0.28751140832901 -G$8)</f>
        <v>0</v>
      </c>
    </row>
    <row r="16" spans="1:9">
      <c r="A16" t="str">
        <f>A$9 * (1.25046443939209 -A$8)</f>
        <v>0</v>
      </c>
      <c r="B16" t="str">
        <f>B$9 * (1.25046443939209 -B$8)</f>
        <v>0</v>
      </c>
      <c r="C16" t="str">
        <f>C$9 * (1.25046443939209 -C$8)</f>
        <v>0</v>
      </c>
      <c r="E16" t="str">
        <f>E$9 * (-0.0006059535080567002 -E$8)</f>
        <v>0</v>
      </c>
      <c r="F16" t="str">
        <f>F$9 * (-0.6819136142730713 -F$8)</f>
        <v>0</v>
      </c>
      <c r="G16" t="str">
        <f>G$9 * (0.2123174965381622 -G$8)</f>
        <v>0</v>
      </c>
    </row>
    <row r="17" spans="1:9">
      <c r="A17" t="str">
        <f>A$9 * (1.500494718551636 -A$8)</f>
        <v>0</v>
      </c>
      <c r="B17" t="str">
        <f>B$9 * (1.500494718551636 -B$8)</f>
        <v>0</v>
      </c>
      <c r="C17" t="str">
        <f>C$9 * (1.500494718551636 -C$8)</f>
        <v>0</v>
      </c>
      <c r="E17" t="str">
        <f>E$9 * (-0.001401726040057838 -E$8)</f>
        <v>0</v>
      </c>
      <c r="F17" t="str">
        <f>F$9 * (-1.419749021530151 -F$8)</f>
        <v>0</v>
      </c>
      <c r="G17" t="str">
        <f>G$9 * (0.1466632932424545 -G$8)</f>
        <v>0</v>
      </c>
    </row>
    <row r="18" spans="1:9">
      <c r="A18" t="str">
        <f>A$9 * (1.750004172325134 -A$8)</f>
        <v>0</v>
      </c>
      <c r="B18" t="str">
        <f>B$9 * (1.750004172325134 -B$8)</f>
        <v>0</v>
      </c>
      <c r="C18" t="str">
        <f>C$9 * (1.750004172325134 -C$8)</f>
        <v>0</v>
      </c>
      <c r="E18" t="str">
        <f>E$9 * (-0.0001914673048304394 -E$8)</f>
        <v>0</v>
      </c>
      <c r="F18" t="str">
        <f>F$9 * (-0.7674710154533386 -F$8)</f>
        <v>0</v>
      </c>
      <c r="G18" t="str">
        <f>G$9 * (0.6117944717407227 -G$8)</f>
        <v>0</v>
      </c>
    </row>
    <row r="19" spans="1:9">
      <c r="A19" t="str">
        <f>A$9 * (2.000420570373535 -A$8)</f>
        <v>0</v>
      </c>
      <c r="B19" t="str">
        <f>B$9 * (2.000420570373535 -B$8)</f>
        <v>0</v>
      </c>
      <c r="C19" t="str">
        <f>C$9 * (2.000420570373535 -C$8)</f>
        <v>0</v>
      </c>
      <c r="E19" t="str">
        <f>E$9 * (-0.0008314211736433208 -E$8)</f>
        <v>0</v>
      </c>
      <c r="F19" t="str">
        <f>F$9 * (-0.9107096195220947 -F$8)</f>
        <v>0</v>
      </c>
      <c r="G19" t="str">
        <f>G$9 * (-0.1550046056509018 -G$8)</f>
        <v>0</v>
      </c>
    </row>
    <row r="20" spans="1:9">
      <c r="A20" t="str">
        <f>A$9 * (2.250224113464355 -A$8)</f>
        <v>0</v>
      </c>
      <c r="B20" t="str">
        <f>B$9 * (2.250224113464355 -B$8)</f>
        <v>0</v>
      </c>
      <c r="C20" t="str">
        <f>C$9 * (2.250224113464355 -C$8)</f>
        <v>0</v>
      </c>
      <c r="E20" t="str">
        <f>E$9 * (0.0009498466970399022 -E$8)</f>
        <v>0</v>
      </c>
      <c r="F20" t="str">
        <f>F$9 * (-0.8200296759605408 -F$8)</f>
        <v>0</v>
      </c>
      <c r="G20" t="str">
        <f>G$9 * (0.3807440102100372 -G$8)</f>
        <v>0</v>
      </c>
    </row>
    <row r="21" spans="1:9">
      <c r="A21" t="str">
        <f>A$9 * (2.500369071960449 -A$8)</f>
        <v>0</v>
      </c>
      <c r="B21" t="str">
        <f>B$9 * (2.500369071960449 -B$8)</f>
        <v>0</v>
      </c>
      <c r="C21" t="str">
        <f>C$9 * (2.500369071960449 -C$8)</f>
        <v>0</v>
      </c>
      <c r="E21" t="str">
        <f>E$9 * (0.03375799953937531 -E$8)</f>
        <v>0</v>
      </c>
      <c r="F21" t="str">
        <f>F$9 * (11.16559982299805 -F$8)</f>
        <v>0</v>
      </c>
      <c r="G21" t="str">
        <f>G$9 * (13.01156997680664 -G$8)</f>
        <v>0</v>
      </c>
    </row>
    <row r="22" spans="1:9">
      <c r="A22" t="str">
        <f>A$9 * (2.750024080276489 -A$8)</f>
        <v>0</v>
      </c>
      <c r="B22" t="str">
        <f>B$9 * (2.750024080276489 -B$8)</f>
        <v>0</v>
      </c>
      <c r="C22" t="str">
        <f>C$9 * (2.750024080276489 -C$8)</f>
        <v>0</v>
      </c>
      <c r="E22" t="str">
        <f>E$9 * (0.03092280030250549 -E$8)</f>
        <v>0</v>
      </c>
      <c r="F22" t="str">
        <f>F$9 * (12.60305023193359 -F$8)</f>
        <v>0</v>
      </c>
      <c r="G22" t="str">
        <f>G$9 * (16.15007972717285 -G$8)</f>
        <v>0</v>
      </c>
    </row>
    <row r="23" spans="1:9">
      <c r="A23" t="str">
        <f>A$9 * (3.000208377838135 -A$8)</f>
        <v>0</v>
      </c>
      <c r="B23" t="str">
        <f>B$9 * (3.000208377838135 -B$8)</f>
        <v>0</v>
      </c>
      <c r="C23" t="str">
        <f>C$9 * (3.000208377838135 -C$8)</f>
        <v>0</v>
      </c>
      <c r="E23" t="str">
        <f>E$9 * (0.007981591857969761 -E$8)</f>
        <v>0</v>
      </c>
      <c r="F23" t="str">
        <f>F$9 * (4.464561939239502 -F$8)</f>
        <v>0</v>
      </c>
      <c r="G23" t="str">
        <f>G$9 * (10.29673004150391 -G$8)</f>
        <v>0</v>
      </c>
    </row>
    <row r="24" spans="1:9">
      <c r="A24" t="str">
        <f>A$9 * (3.250113964080811 -A$8)</f>
        <v>0</v>
      </c>
      <c r="B24" t="str">
        <f>B$9 * (3.250113964080811 -B$8)</f>
        <v>0</v>
      </c>
      <c r="C24" t="str">
        <f>C$9 * (3.250113964080811 -C$8)</f>
        <v>0</v>
      </c>
      <c r="E24" t="str">
        <f>E$9 * (-0.002657023025676608 -E$8)</f>
        <v>0</v>
      </c>
      <c r="F24" t="str">
        <f>F$9 * (-0.6809154152870178 -F$8)</f>
        <v>0</v>
      </c>
      <c r="G24" t="str">
        <f>G$9 * (1.283489942550659 -G$8)</f>
        <v>0</v>
      </c>
    </row>
    <row r="25" spans="1:9">
      <c r="A25" t="str">
        <f>A$9 * (3.500452756881714 -A$8)</f>
        <v>0</v>
      </c>
      <c r="B25" t="str">
        <f>B$9 * (3.500452756881714 -B$8)</f>
        <v>0</v>
      </c>
      <c r="C25" t="str">
        <f>C$9 * (3.500452756881714 -C$8)</f>
        <v>0</v>
      </c>
      <c r="E25" t="str">
        <f>E$9 * (-0.003872086061164737 -E$8)</f>
        <v>0</v>
      </c>
      <c r="F25" t="str">
        <f>F$9 * (-1.171179056167603 -F$8)</f>
        <v>0</v>
      </c>
      <c r="G25" t="str">
        <f>G$9 * (-3.11378002166748 -G$8)</f>
        <v>0</v>
      </c>
    </row>
    <row r="26" spans="1:9">
      <c r="A26" t="str">
        <f>A$9 * (3.750383377075195 -A$8)</f>
        <v>0</v>
      </c>
      <c r="B26" t="str">
        <f>B$9 * (3.750383377075195 -B$8)</f>
        <v>0</v>
      </c>
      <c r="C26" t="str">
        <f>C$9 * (3.750383377075195 -C$8)</f>
        <v>0</v>
      </c>
      <c r="E26" t="str">
        <f>E$9 * (-0.0005111981881782413 -E$8)</f>
        <v>0</v>
      </c>
      <c r="F26" t="str">
        <f>F$9 * (-0.7079771161079407 -F$8)</f>
        <v>0</v>
      </c>
      <c r="G26" t="str">
        <f>G$9 * (0.5570847988128662 -G$8)</f>
        <v>0</v>
      </c>
    </row>
    <row r="27" spans="1:9">
      <c r="A27" t="str">
        <f>A$9 * (4.000344276428223 -A$8)</f>
        <v>0</v>
      </c>
      <c r="B27" t="str">
        <f>B$9 * (4.000344276428223 -B$8)</f>
        <v>0</v>
      </c>
      <c r="C27" t="str">
        <f>C$9 * (4.000344276428223 -C$8)</f>
        <v>0</v>
      </c>
      <c r="E27" t="str">
        <f>E$9 * (0.0002108947956003249 -E$8)</f>
        <v>0</v>
      </c>
      <c r="F27" t="str">
        <f>F$9 * (-1.096295952796936 -F$8)</f>
        <v>0</v>
      </c>
      <c r="G27" t="str">
        <f>G$9 * (2.51476001739502 -G$8)</f>
        <v>0</v>
      </c>
    </row>
    <row r="28" spans="1:9">
      <c r="A28" t="str">
        <f>A$9 * (4.250494480133057 -A$8)</f>
        <v>0</v>
      </c>
      <c r="B28" t="str">
        <f>B$9 * (4.250494480133057 -B$8)</f>
        <v>0</v>
      </c>
      <c r="C28" t="str">
        <f>C$9 * (4.250494480133057 -C$8)</f>
        <v>0</v>
      </c>
      <c r="E28" t="str">
        <f>E$9 * (-0.0009959570597857237 -E$8)</f>
        <v>0</v>
      </c>
      <c r="F28" t="str">
        <f>F$9 * (-0.9517791271209717 -F$8)</f>
        <v>0</v>
      </c>
      <c r="G28" t="str">
        <f>G$9 * (-0.2452594935894012 -G$8)</f>
        <v>0</v>
      </c>
    </row>
    <row r="29" spans="1:9">
      <c r="A29" t="str">
        <f>A$9 * (4.500461101531982 -A$8)</f>
        <v>0</v>
      </c>
      <c r="B29" t="str">
        <f>B$9 * (4.500461101531982 -B$8)</f>
        <v>0</v>
      </c>
      <c r="C29" t="str">
        <f>C$9 * (4.500461101531982 -C$8)</f>
        <v>0</v>
      </c>
      <c r="E29" t="str">
        <f>E$9 * (-0.0002507099998183548 -E$8)</f>
        <v>0</v>
      </c>
      <c r="F29" t="str">
        <f>F$9 * (-1.097759008407593 -F$8)</f>
        <v>0</v>
      </c>
      <c r="G29" t="str">
        <f>G$9 * (0.398908406496048 -G$8)</f>
        <v>0</v>
      </c>
    </row>
    <row r="30" spans="1:9">
      <c r="A30" t="str">
        <f>A$9 * (4.750263690948486 -A$8)</f>
        <v>0</v>
      </c>
      <c r="B30" t="str">
        <f>B$9 * (4.750263690948486 -B$8)</f>
        <v>0</v>
      </c>
      <c r="C30" t="str">
        <f>C$9 * (4.750263690948486 -C$8)</f>
        <v>0</v>
      </c>
      <c r="E30" t="str">
        <f>E$9 * (0.002192992949858308 -E$8)</f>
        <v>0</v>
      </c>
      <c r="F30" t="str">
        <f>F$9 * (0.05927617847919464 -F$8)</f>
        <v>0</v>
      </c>
      <c r="G30" t="str">
        <f>G$9 * (9.970287322998047 -G$8)</f>
        <v>0</v>
      </c>
    </row>
    <row r="31" spans="1:9">
      <c r="A31" t="str">
        <f>A$9 * (5.00053071975708 -A$8)</f>
        <v>0</v>
      </c>
      <c r="B31" t="str">
        <f>B$9 * (5.00053071975708 -B$8)</f>
        <v>0</v>
      </c>
      <c r="C31" t="str">
        <f>C$9 * (5.00053071975708 -C$8)</f>
        <v>0</v>
      </c>
      <c r="E31" t="str">
        <f>E$9 * (0.03571724891662598 -E$8)</f>
        <v>0</v>
      </c>
      <c r="F31" t="str">
        <f>F$9 * (13.40221977233887 -F$8)</f>
        <v>0</v>
      </c>
      <c r="G31" t="str">
        <f>G$9 * (16.29467010498047 -G$8)</f>
        <v>0</v>
      </c>
    </row>
    <row r="32" spans="1:9">
      <c r="A32" t="str">
        <f>A$9 * (5.250083446502686 -A$8)</f>
        <v>0</v>
      </c>
      <c r="B32" t="str">
        <f>B$9 * (5.250083446502686 -B$8)</f>
        <v>0</v>
      </c>
      <c r="C32" t="str">
        <f>C$9 * (5.250083446502686 -C$8)</f>
        <v>0</v>
      </c>
      <c r="E32" t="str">
        <f>E$9 * (0.009636894799768925 -E$8)</f>
        <v>0</v>
      </c>
      <c r="F32" t="str">
        <f>F$9 * (4.985125064849854 -F$8)</f>
        <v>0</v>
      </c>
      <c r="G32" t="str">
        <f>G$9 * (10.19309043884277 -G$8)</f>
        <v>0</v>
      </c>
    </row>
    <row r="33" spans="1:9">
      <c r="A33" t="str">
        <f>A$9 * (5.500141620635986 -A$8)</f>
        <v>0</v>
      </c>
      <c r="B33" t="str">
        <f>B$9 * (5.500141620635986 -B$8)</f>
        <v>0</v>
      </c>
      <c r="C33" t="str">
        <f>C$9 * (5.500141620635986 -C$8)</f>
        <v>0</v>
      </c>
      <c r="E33" t="str">
        <f>E$9 * (-0.0001963086979230866 -E$8)</f>
        <v>0</v>
      </c>
      <c r="F33" t="str">
        <f>F$9 * (-1.031733989715576 -F$8)</f>
        <v>0</v>
      </c>
      <c r="G33" t="str">
        <f>G$9 * (1.143684029579163 -G$8)</f>
        <v>0</v>
      </c>
    </row>
    <row r="34" spans="1:9">
      <c r="A34" t="str">
        <f>A$9 * (5.750216484069824 -A$8)</f>
        <v>0</v>
      </c>
      <c r="B34" t="str">
        <f>B$9 * (5.750216484069824 -B$8)</f>
        <v>0</v>
      </c>
      <c r="C34" t="str">
        <f>C$9 * (5.750216484069824 -C$8)</f>
        <v>0</v>
      </c>
      <c r="E34" t="str">
        <f>E$9 * (-0.002130030887201428 -E$8)</f>
        <v>0</v>
      </c>
      <c r="F34" t="str">
        <f>F$9 * (-1.032536029815674 -F$8)</f>
        <v>0</v>
      </c>
      <c r="G34" t="str">
        <f>G$9 * (-0.8067687749862671 -G$8)</f>
        <v>0</v>
      </c>
    </row>
    <row r="35" spans="1:9">
      <c r="A35" t="str">
        <f>A$9 * (6.000549793243408 -A$8)</f>
        <v>0</v>
      </c>
      <c r="B35" t="str">
        <f>B$9 * (6.000549793243408 -B$8)</f>
        <v>0</v>
      </c>
      <c r="C35" t="str">
        <f>C$9 * (6.000549793243408 -C$8)</f>
        <v>0</v>
      </c>
      <c r="E35" t="str">
        <f>E$9 * (-0.004873230122029781 -E$8)</f>
        <v>0</v>
      </c>
      <c r="F35" t="str">
        <f>F$9 * (-0.2461369931697845 -F$8)</f>
        <v>0</v>
      </c>
      <c r="G35" t="str">
        <f>G$9 * (-3.361999034881592 -G$8)</f>
        <v>0</v>
      </c>
    </row>
    <row r="36" spans="1:9">
      <c r="A36" t="str">
        <f>A$9 * (6.250091552734375 -A$8)</f>
        <v>0</v>
      </c>
      <c r="B36" t="str">
        <f>B$9 * (6.250091552734375 -B$8)</f>
        <v>0</v>
      </c>
      <c r="C36" t="str">
        <f>C$9 * (6.250091552734375 -C$8)</f>
        <v>0</v>
      </c>
      <c r="E36" t="str">
        <f>E$9 * (-0.00118114601355046 -E$8)</f>
        <v>0</v>
      </c>
      <c r="F36" t="str">
        <f>F$9 * (-1.076241970062256 -F$8)</f>
        <v>0</v>
      </c>
      <c r="G36" t="str">
        <f>G$9 * (-0.3041419088840485 -G$8)</f>
        <v>0</v>
      </c>
    </row>
    <row r="37" spans="1:9">
      <c r="A37" t="str">
        <f>A$9 * (6.500341892242432 -A$8)</f>
        <v>0</v>
      </c>
      <c r="B37" t="str">
        <f>B$9 * (6.500341892242432 -B$8)</f>
        <v>0</v>
      </c>
      <c r="C37" t="str">
        <f>C$9 * (6.500341892242432 -C$8)</f>
        <v>0</v>
      </c>
      <c r="E37" t="str">
        <f>E$9 * (-0.000840449589304626 -E$8)</f>
        <v>0</v>
      </c>
      <c r="F37" t="str">
        <f>F$9 * (-0.8284202814102173 -F$8)</f>
        <v>0</v>
      </c>
      <c r="G37" t="str">
        <f>G$9 * (0.301072895526886 -G$8)</f>
        <v>0</v>
      </c>
    </row>
    <row r="38" spans="1:9">
      <c r="A38" t="str">
        <f>A$9 * (6.75011682510376 -A$8)</f>
        <v>0</v>
      </c>
      <c r="B38" t="str">
        <f>B$9 * (6.75011682510376 -B$8)</f>
        <v>0</v>
      </c>
      <c r="C38" t="str">
        <f>C$9 * (6.75011682510376 -C$8)</f>
        <v>0</v>
      </c>
      <c r="E38" t="str">
        <f>E$9 * (-0.0008777469047345221 -E$8)</f>
        <v>0</v>
      </c>
      <c r="F38" t="str">
        <f>F$9 * (-0.3064115941524506 -F$8)</f>
        <v>0</v>
      </c>
      <c r="G38" t="str">
        <f>G$9 * (-0.2956759035587311 -G$8)</f>
        <v>0</v>
      </c>
    </row>
    <row r="39" spans="1:9">
      <c r="A39" t="str">
        <f>A$9 * (7.000205516815186 -A$8)</f>
        <v>0</v>
      </c>
      <c r="B39" t="str">
        <f>B$9 * (7.000205516815186 -B$8)</f>
        <v>0</v>
      </c>
      <c r="C39" t="str">
        <f>C$9 * (7.000205516815186 -C$8)</f>
        <v>0</v>
      </c>
      <c r="E39" t="str">
        <f>E$9 * (0.1952133029699326 -E$8)</f>
        <v>0</v>
      </c>
      <c r="F39" t="str">
        <f>F$9 * (13.67689037322998 -F$8)</f>
        <v>0</v>
      </c>
      <c r="G39" t="str">
        <f>G$9 * (14.08092021942139 -G$8)</f>
        <v>0</v>
      </c>
    </row>
    <row r="40" spans="1:9">
      <c r="A40" t="str">
        <f>A$9 * (7.250244617462158 -A$8)</f>
        <v>0</v>
      </c>
      <c r="B40" t="str">
        <f>B$9 * (7.250244617462158 -B$8)</f>
        <v>0</v>
      </c>
      <c r="C40" t="str">
        <f>C$9 * (7.250244617462158 -C$8)</f>
        <v>0</v>
      </c>
      <c r="E40" t="str">
        <f>E$9 * (0.04559443891048431 -E$8)</f>
        <v>0</v>
      </c>
      <c r="F40" t="str">
        <f>F$9 * (6.837777137756348 -F$8)</f>
        <v>0</v>
      </c>
      <c r="G40" t="str">
        <f>G$9 * (7.262814044952393 -G$8)</f>
        <v>0</v>
      </c>
    </row>
    <row r="41" spans="1:9">
      <c r="A41" t="str">
        <f>A$9 * (7.500135898590088 -A$8)</f>
        <v>0</v>
      </c>
      <c r="B41" t="str">
        <f>B$9 * (7.500135898590088 -B$8)</f>
        <v>0</v>
      </c>
      <c r="C41" t="str">
        <f>C$9 * (7.500135898590088 -C$8)</f>
        <v>0</v>
      </c>
      <c r="E41" t="str">
        <f>E$9 * (0.01482293009757996 -E$8)</f>
        <v>0</v>
      </c>
      <c r="F41" t="str">
        <f>F$9 * (7.346356868743896 -F$8)</f>
        <v>0</v>
      </c>
      <c r="G41" t="str">
        <f>G$9 * (11.98878955841064 -G$8)</f>
        <v>0</v>
      </c>
    </row>
    <row r="42" spans="1:9">
      <c r="A42" t="str">
        <f>A$9 * (7.750339031219482 -A$8)</f>
        <v>0</v>
      </c>
      <c r="B42" t="str">
        <f>B$9 * (7.750339031219482 -B$8)</f>
        <v>0</v>
      </c>
      <c r="C42" t="str">
        <f>C$9 * (7.750339031219482 -C$8)</f>
        <v>0</v>
      </c>
      <c r="E42" t="str">
        <f>E$9 * (0.002556109102442861 -E$8)</f>
        <v>0</v>
      </c>
      <c r="F42" t="str">
        <f>F$9 * (0.7375826835632324 -F$8)</f>
        <v>0</v>
      </c>
      <c r="G42" t="str">
        <f>G$9 * (3.844223022460938 -G$8)</f>
        <v>0</v>
      </c>
    </row>
    <row r="43" spans="1:9">
      <c r="A43" t="str">
        <f>A$9 * (8.000338554382324 -A$8)</f>
        <v>0</v>
      </c>
      <c r="B43" t="str">
        <f>B$9 * (8.000338554382324 -B$8)</f>
        <v>0</v>
      </c>
      <c r="C43" t="str">
        <f>C$9 * (8.000338554382324 -C$8)</f>
        <v>0</v>
      </c>
      <c r="E43" t="str">
        <f>E$9 * (-0.001433436991646886 -E$8)</f>
        <v>0</v>
      </c>
      <c r="F43" t="str">
        <f>F$9 * (-1.645491003990173 -F$8)</f>
        <v>0</v>
      </c>
      <c r="G43" t="str">
        <f>G$9 * (0.9509580731391907 -G$8)</f>
        <v>0</v>
      </c>
    </row>
    <row r="44" spans="1:9">
      <c r="A44" t="str">
        <f>A$9 * (8.250455856323242 -A$8)</f>
        <v>0</v>
      </c>
      <c r="B44" t="str">
        <f>B$9 * (8.250455856323242 -B$8)</f>
        <v>0</v>
      </c>
      <c r="C44" t="str">
        <f>C$9 * (8.250455856323242 -C$8)</f>
        <v>0</v>
      </c>
      <c r="E44" t="str">
        <f>E$9 * (-0.005485817790031433 -E$8)</f>
        <v>0</v>
      </c>
      <c r="F44" t="str">
        <f>F$9 * (-0.552581787109375 -F$8)</f>
        <v>0</v>
      </c>
      <c r="G44" t="str">
        <f>G$9 * (-4.08223819732666 -G$8)</f>
        <v>0</v>
      </c>
    </row>
    <row r="45" spans="1:9">
      <c r="A45" t="str">
        <f>A$9 * (8.500544548034668 -A$8)</f>
        <v>0</v>
      </c>
      <c r="B45" t="str">
        <f>B$9 * (8.500544548034668 -B$8)</f>
        <v>0</v>
      </c>
      <c r="C45" t="str">
        <f>C$9 * (8.500544548034668 -C$8)</f>
        <v>0</v>
      </c>
      <c r="E45" t="str">
        <f>E$9 * (-0.001115818042308092 -E$8)</f>
        <v>0</v>
      </c>
      <c r="F45" t="str">
        <f>F$9 * (-1.173614025115967 -F$8)</f>
        <v>0</v>
      </c>
      <c r="G45" t="str">
        <f>G$9 * (-0.1289671957492828 -G$8)</f>
        <v>0</v>
      </c>
    </row>
    <row r="46" spans="1:9">
      <c r="A46" t="str">
        <f>A$9 * (8.75 -A$8)</f>
        <v>0</v>
      </c>
      <c r="B46" t="str">
        <f>B$9 * (8.75 -B$8)</f>
        <v>0</v>
      </c>
      <c r="C46" t="str">
        <f>C$9 * (8.75 -C$8)</f>
        <v>0</v>
      </c>
      <c r="E46" t="str">
        <f>E$9 * (-0.001420867047272623 -E$8)</f>
        <v>0</v>
      </c>
      <c r="F46" t="str">
        <f>F$9 * (-1.425438046455383 -F$8)</f>
        <v>0</v>
      </c>
      <c r="G46" t="str">
        <f>G$9 * (0.5069530010223389 -G$8)</f>
        <v>0</v>
      </c>
    </row>
    <row r="47" spans="1:9">
      <c r="A47" t="str">
        <f>A$9 * (9.000472068786621 -A$8)</f>
        <v>0</v>
      </c>
      <c r="B47" t="str">
        <f>B$9 * (9.000472068786621 -B$8)</f>
        <v>0</v>
      </c>
      <c r="C47" t="str">
        <f>C$9 * (9.000472068786621 -C$8)</f>
        <v>0</v>
      </c>
      <c r="E47" t="str">
        <f>E$9 * (-0.001441714004613459 -E$8)</f>
        <v>0</v>
      </c>
      <c r="F47" t="str">
        <f>F$9 * (-0.2357669025659561 -F$8)</f>
        <v>0</v>
      </c>
      <c r="G47" t="str">
        <f>G$9 * (-0.7537171840667725 -G$8)</f>
        <v>0</v>
      </c>
    </row>
    <row r="48" spans="1:9">
      <c r="A48" t="str">
        <f>A$9 * (9.25011157989502 -A$8)</f>
        <v>0</v>
      </c>
      <c r="B48" t="str">
        <f>B$9 * (9.25011157989502 -B$8)</f>
        <v>0</v>
      </c>
      <c r="C48" t="str">
        <f>C$9 * (9.25011157989502 -C$8)</f>
        <v>0</v>
      </c>
      <c r="E48" t="str">
        <f>E$9 * (-0.0002476951922290027 -E$8)</f>
        <v>0</v>
      </c>
      <c r="F48" t="str">
        <f>F$9 * (-0.6121916174888611 -F$8)</f>
        <v>0</v>
      </c>
      <c r="G48" t="str">
        <f>G$9 * (0.2485211938619614 -G$8)</f>
        <v>0</v>
      </c>
    </row>
    <row r="49" spans="1:9">
      <c r="A49" t="str">
        <f>A$9 * (9.500683784484863 -A$8)</f>
        <v>0</v>
      </c>
      <c r="B49" t="str">
        <f>B$9 * (9.500683784484863 -B$8)</f>
        <v>0</v>
      </c>
      <c r="C49" t="str">
        <f>C$9 * (9.500683784484863 -C$8)</f>
        <v>0</v>
      </c>
      <c r="E49" t="str">
        <f>E$9 * (0.02837006933987141 -E$8)</f>
        <v>0</v>
      </c>
      <c r="F49" t="str">
        <f>F$9 * (9.430706977844238 -F$8)</f>
        <v>0</v>
      </c>
      <c r="G49" t="str">
        <f>G$9 * (11.56567001342773 -G$8)</f>
        <v>0</v>
      </c>
    </row>
    <row r="50" spans="1:9">
      <c r="A50" t="str">
        <f>A$9 * (9.750430107116699 -A$8)</f>
        <v>0</v>
      </c>
      <c r="B50" t="str">
        <f>B$9 * (9.750430107116699 -B$8)</f>
        <v>0</v>
      </c>
      <c r="C50" t="str">
        <f>C$9 * (9.750430107116699 -C$8)</f>
        <v>0</v>
      </c>
      <c r="E50" t="str">
        <f>E$9 * (0.03050190955400467 -E$8)</f>
        <v>0</v>
      </c>
      <c r="F50" t="str">
        <f>F$9 * (12.58953952789307 -F$8)</f>
        <v>0</v>
      </c>
      <c r="G50" t="str">
        <f>G$9 * (16.2893009185791 -G$8)</f>
        <v>0</v>
      </c>
    </row>
    <row r="51" spans="1:9">
      <c r="A51" t="str">
        <f>A$9 * (10.00016403198242 -A$8)</f>
        <v>0</v>
      </c>
      <c r="B51" t="str">
        <f>B$9 * (10.00016403198242 -B$8)</f>
        <v>0</v>
      </c>
      <c r="C51" t="str">
        <f>C$9 * (10.00016403198242 -C$8)</f>
        <v>0</v>
      </c>
      <c r="E51" t="str">
        <f>E$9 * (0.008823305368423462 -E$8)</f>
        <v>0</v>
      </c>
      <c r="F51" t="str">
        <f>F$9 * (4.695287227630615 -F$8)</f>
        <v>0</v>
      </c>
      <c r="G51" t="str">
        <f>G$9 * (10.17430019378662 -G$8)</f>
        <v>0</v>
      </c>
    </row>
    <row r="52" spans="1:9">
      <c r="A52" t="str">
        <f>A$9 * (10.2501277923584 -A$8)</f>
        <v>0</v>
      </c>
      <c r="B52" t="str">
        <f>B$9 * (10.2501277923584 -B$8)</f>
        <v>0</v>
      </c>
      <c r="C52" t="str">
        <f>C$9 * (10.2501277923584 -C$8)</f>
        <v>0</v>
      </c>
      <c r="E52" t="str">
        <f>E$9 * (-0.005426417104899883 -E$8)</f>
        <v>0</v>
      </c>
      <c r="F52" t="str">
        <f>F$9 * (-1.82552695274353 -F$8)</f>
        <v>0</v>
      </c>
      <c r="G52" t="str">
        <f>G$9 * (-4.080149173736572 -G$8)</f>
        <v>0</v>
      </c>
    </row>
    <row r="53" spans="1:9">
      <c r="A53" t="str">
        <f>A$9 * (10.50033569335938 -A$8)</f>
        <v>0</v>
      </c>
      <c r="B53" t="str">
        <f>B$9 * (10.50033569335938 -B$8)</f>
        <v>0</v>
      </c>
      <c r="C53" t="str">
        <f>C$9 * (10.50033569335938 -C$8)</f>
        <v>0</v>
      </c>
      <c r="E53" t="str">
        <f>E$9 * (-0.001508450950495899 -E$8)</f>
        <v>0</v>
      </c>
      <c r="F53" t="str">
        <f>F$9 * (-1.426532983779907 -F$8)</f>
        <v>0</v>
      </c>
      <c r="G53" t="str">
        <f>G$9 * (-0.07952968776226044 -G$8)</f>
        <v>0</v>
      </c>
    </row>
    <row r="54" spans="1:9">
      <c r="A54" t="str">
        <f>A$9 * (10.75016117095947 -A$8)</f>
        <v>0</v>
      </c>
      <c r="B54" t="str">
        <f>B$9 * (10.75016117095947 -B$8)</f>
        <v>0</v>
      </c>
      <c r="C54" t="str">
        <f>C$9 * (10.75016117095947 -C$8)</f>
        <v>0</v>
      </c>
      <c r="E54" t="str">
        <f>E$9 * (-0.003217926947399974 -E$8)</f>
        <v>0</v>
      </c>
      <c r="F54" t="str">
        <f>F$9 * (-1.39007294178009 -F$8)</f>
        <v>0</v>
      </c>
      <c r="G54" t="str">
        <f>G$9 * (-1.546779036521912 -G$8)</f>
        <v>0</v>
      </c>
    </row>
    <row r="55" spans="1:9">
      <c r="A55" t="str">
        <f>A$9 * (11.00027179718018 -A$8)</f>
        <v>0</v>
      </c>
      <c r="B55" t="str">
        <f>B$9 * (11.00027179718018 -B$8)</f>
        <v>0</v>
      </c>
      <c r="C55" t="str">
        <f>C$9 * (11.00027179718018 -C$8)</f>
        <v>0</v>
      </c>
      <c r="E55" t="str">
        <f>E$9 * (-0.001409983960911632 -E$8)</f>
        <v>0</v>
      </c>
      <c r="F55" t="str">
        <f>F$9 * (-0.1526912003755569 -F$8)</f>
        <v>0</v>
      </c>
      <c r="G55" t="str">
        <f>G$9 * (-0.80257248878479 -G$8)</f>
        <v>0</v>
      </c>
    </row>
    <row r="56" spans="1:9">
      <c r="A56" t="str">
        <f>A$9 * (11.25069999694824 -A$8)</f>
        <v>0</v>
      </c>
      <c r="B56" t="str">
        <f>B$9 * (11.25069999694824 -B$8)</f>
        <v>0</v>
      </c>
      <c r="C56" t="str">
        <f>C$9 * (11.25069999694824 -C$8)</f>
        <v>0</v>
      </c>
      <c r="E56" t="str">
        <f>E$9 * (-0.0009542786283418536 -E$8)</f>
        <v>0</v>
      </c>
      <c r="F56" t="str">
        <f>F$9 * (-0.8187534213066101 -F$8)</f>
        <v>0</v>
      </c>
      <c r="G56" t="str">
        <f>G$9 * (-0.03334593027830124 -G$8)</f>
        <v>0</v>
      </c>
    </row>
    <row r="57" spans="1:9">
      <c r="A57" t="str">
        <f>A$9 * (11.50054168701172 -A$8)</f>
        <v>0</v>
      </c>
      <c r="B57" t="str">
        <f>B$9 * (11.50054168701172 -B$8)</f>
        <v>0</v>
      </c>
      <c r="C57" t="str">
        <f>C$9 * (11.50054168701172 -C$8)</f>
        <v>0</v>
      </c>
      <c r="E57" t="str">
        <f>E$9 * (-0.0001834499998949468 -E$8)</f>
        <v>0</v>
      </c>
      <c r="F57" t="str">
        <f>F$9 * (-0.8090245723724365 -F$8)</f>
        <v>0</v>
      </c>
      <c r="G57" t="str">
        <f>G$9 * (0.4441036880016327 -G$8)</f>
        <v>0</v>
      </c>
    </row>
    <row r="58" spans="1:9">
      <c r="A58" t="str">
        <f>A$9 * (11.75013065338135 -A$8)</f>
        <v>0</v>
      </c>
      <c r="B58" t="str">
        <f>B$9 * (11.75013065338135 -B$8)</f>
        <v>0</v>
      </c>
      <c r="C58" t="str">
        <f>C$9 * (11.75013065338135 -C$8)</f>
        <v>0</v>
      </c>
      <c r="E58" t="str">
        <f>E$9 * (0.1697621941566467 -E$8)</f>
        <v>0</v>
      </c>
      <c r="F58" t="str">
        <f>F$9 * (23.51704025268555 -F$8)</f>
        <v>0</v>
      </c>
      <c r="G58" t="str">
        <f>G$9 * (24.63624954223633 -G$8)</f>
        <v>0</v>
      </c>
    </row>
    <row r="59" spans="1:9">
      <c r="A59" t="str">
        <f>A$9 * (12.0003023147583 -A$8)</f>
        <v>0</v>
      </c>
      <c r="B59" t="str">
        <f>B$9 * (12.0003023147583 -B$8)</f>
        <v>0</v>
      </c>
      <c r="C59" t="str">
        <f>C$9 * (12.0003023147583 -C$8)</f>
        <v>0</v>
      </c>
      <c r="E59" t="str">
        <f>E$9 * (0.04596247896552086 -E$8)</f>
        <v>0</v>
      </c>
      <c r="F59" t="str">
        <f>F$9 * (6.524848937988281 -F$8)</f>
        <v>0</v>
      </c>
      <c r="G59" t="str">
        <f>G$9 * (6.915584087371826 -G$8)</f>
        <v>0</v>
      </c>
    </row>
    <row r="60" spans="1:9">
      <c r="A60" t="str">
        <f>A$9 * (12.25020313262939 -A$8)</f>
        <v>0</v>
      </c>
      <c r="B60" t="str">
        <f>B$9 * (12.25020313262939 -B$8)</f>
        <v>0</v>
      </c>
      <c r="C60" t="str">
        <f>C$9 * (12.25020313262939 -C$8)</f>
        <v>0</v>
      </c>
      <c r="E60" t="str">
        <f>E$9 * (0.01417719013988972 -E$8)</f>
        <v>0</v>
      </c>
      <c r="F60" t="str">
        <f>F$9 * (6.988165855407715 -F$8)</f>
        <v>0</v>
      </c>
      <c r="G60" t="str">
        <f>G$9 * (11.64840984344482 -G$8)</f>
        <v>0</v>
      </c>
    </row>
    <row r="61" spans="1:9">
      <c r="A61" t="str">
        <f>A$9 * (12.50034141540527 -A$8)</f>
        <v>0</v>
      </c>
      <c r="B61" t="str">
        <f>B$9 * (12.50034141540527 -B$8)</f>
        <v>0</v>
      </c>
      <c r="C61" t="str">
        <f>C$9 * (12.50034141540527 -C$8)</f>
        <v>0</v>
      </c>
      <c r="E61" t="str">
        <f>E$9 * (0.001714598038233817 -E$8)</f>
        <v>0</v>
      </c>
      <c r="F61" t="str">
        <f>F$9 * (0.4628688097000122 -F$8)</f>
        <v>0</v>
      </c>
      <c r="G61" t="str">
        <f>G$9 * (3.349845886230469 -G$8)</f>
        <v>0</v>
      </c>
    </row>
    <row r="62" spans="1:9">
      <c r="A62" t="str">
        <f>A$9 * (12.75021648406982 -A$8)</f>
        <v>0</v>
      </c>
      <c r="B62" t="str">
        <f>B$9 * (12.75021648406982 -B$8)</f>
        <v>0</v>
      </c>
      <c r="C62" t="str">
        <f>C$9 * (12.75021648406982 -C$8)</f>
        <v>0</v>
      </c>
      <c r="E62" t="str">
        <f>E$9 * (2.92053991870489E-5 -E$8)</f>
        <v>0</v>
      </c>
      <c r="F62" t="str">
        <f>F$9 * (-0.9589515924453735 -F$8)</f>
        <v>0</v>
      </c>
      <c r="G62" t="str">
        <f>G$9 * (1.950693011283875 -G$8)</f>
        <v>0</v>
      </c>
    </row>
    <row r="63" spans="1:9">
      <c r="A63" t="str">
        <f>A$9 * (13.00022792816162 -A$8)</f>
        <v>0</v>
      </c>
      <c r="B63" t="str">
        <f>B$9 * (13.00022792816162 -B$8)</f>
        <v>0</v>
      </c>
      <c r="C63" t="str">
        <f>C$9 * (13.00022792816162 -C$8)</f>
        <v>0</v>
      </c>
      <c r="E63" t="str">
        <f>E$9 * (-0.0006770677282474935 -E$8)</f>
        <v>0</v>
      </c>
      <c r="F63" t="str">
        <f>F$9 * (-1.444342017173767 -F$8)</f>
        <v>0</v>
      </c>
      <c r="G63" t="str">
        <f>G$9 * (1.775686979293823 -G$8)</f>
        <v>0</v>
      </c>
    </row>
    <row r="64" spans="1:9">
      <c r="A64" t="str">
        <f>A$9 * (13.25059413909912 -A$8)</f>
        <v>0</v>
      </c>
      <c r="B64" t="str">
        <f>B$9 * (13.25059413909912 -B$8)</f>
        <v>0</v>
      </c>
      <c r="C64" t="str">
        <f>C$9 * (13.25059413909912 -C$8)</f>
        <v>0</v>
      </c>
      <c r="E64" t="str">
        <f>E$9 * (0.0005102480063214898 -E$8)</f>
        <v>0</v>
      </c>
      <c r="F64" t="str">
        <f>F$9 * (-1.062476992607117 -F$8)</f>
        <v>0</v>
      </c>
      <c r="G64" t="str">
        <f>G$9 * (2.647059917449951 -G$8)</f>
        <v>0</v>
      </c>
    </row>
    <row r="65" spans="1:9">
      <c r="A65" t="str">
        <f>A$9 * (13.50055027008057 -A$8)</f>
        <v>0</v>
      </c>
      <c r="B65" t="str">
        <f>B$9 * (13.50055027008057 -B$8)</f>
        <v>0</v>
      </c>
      <c r="C65" t="str">
        <f>C$9 * (13.50055027008057 -C$8)</f>
        <v>0</v>
      </c>
      <c r="E65" t="str">
        <f>E$9 * (-0.001607652055099607 -E$8)</f>
        <v>0</v>
      </c>
      <c r="F65" t="str">
        <f>F$9 * (-0.7992194294929504 -F$8)</f>
        <v>0</v>
      </c>
      <c r="G65" t="str">
        <f>G$9 * (-0.7031360864639282 -G$8)</f>
        <v>0</v>
      </c>
    </row>
    <row r="66" spans="1:9">
      <c r="A66" t="str">
        <f>A$9 * (13.7501220703125 -A$8)</f>
        <v>0</v>
      </c>
      <c r="B66" t="str">
        <f>B$9 * (13.7501220703125 -B$8)</f>
        <v>0</v>
      </c>
      <c r="C66" t="str">
        <f>C$9 * (13.7501220703125 -C$8)</f>
        <v>0</v>
      </c>
      <c r="E66" t="str">
        <f>E$9 * (-0.0007996595231816173 -E$8)</f>
        <v>0</v>
      </c>
      <c r="F66" t="str">
        <f>F$9 * (-0.2219285070896149 -F$8)</f>
        <v>0</v>
      </c>
      <c r="G66" t="str">
        <f>G$9 * (-0.1710522025823593 -G$8)</f>
        <v>0</v>
      </c>
    </row>
    <row r="67" spans="1:9">
      <c r="A67" t="str">
        <f>A$9 * (14.00006675720215 -A$8)</f>
        <v>0</v>
      </c>
      <c r="B67" t="str">
        <f>B$9 * (14.00006675720215 -B$8)</f>
        <v>0</v>
      </c>
      <c r="C67" t="str">
        <f>C$9 * (14.00006675720215 -C$8)</f>
        <v>0</v>
      </c>
      <c r="E67" t="str">
        <f>E$9 * (0.04056784138083458 -E$8)</f>
        <v>0</v>
      </c>
      <c r="F67" t="str">
        <f>F$9 * (1.379286050796509 -F$8)</f>
        <v>0</v>
      </c>
      <c r="G67" t="str">
        <f>G$9 * (1.51946496963501 -G$8)</f>
        <v>0</v>
      </c>
    </row>
    <row r="68" spans="1:9">
      <c r="A68" t="str">
        <f>A$9 * (14.25055599212646 -A$8)</f>
        <v>0</v>
      </c>
      <c r="B68" t="str">
        <f>B$9 * (14.25055599212646 -B$8)</f>
        <v>0</v>
      </c>
      <c r="C68" t="str">
        <f>C$9 * (14.25055599212646 -C$8)</f>
        <v>0</v>
      </c>
      <c r="E68" t="str">
        <f>E$9 * (0.0353233702480793 -E$8)</f>
        <v>0</v>
      </c>
      <c r="F68" t="str">
        <f>F$9 * (6.798878192901611 -F$8)</f>
        <v>0</v>
      </c>
      <c r="G68" t="str">
        <f>G$9 * (7.411953926086426 -G$8)</f>
        <v>0</v>
      </c>
    </row>
    <row r="69" spans="1:9">
      <c r="A69" t="str">
        <f>A$9 * (14.50046348571777 -A$8)</f>
        <v>0</v>
      </c>
      <c r="B69" t="str">
        <f>B$9 * (14.50046348571777 -B$8)</f>
        <v>0</v>
      </c>
      <c r="C69" t="str">
        <f>C$9 * (14.50046348571777 -C$8)</f>
        <v>0</v>
      </c>
      <c r="E69" t="str">
        <f>E$9 * (0.01810006983578205 -E$8)</f>
        <v>0</v>
      </c>
      <c r="F69" t="str">
        <f>F$9 * (8.525787353515625 -F$8)</f>
        <v>0</v>
      </c>
      <c r="G69" t="str">
        <f>G$9 * (12.69307041168213 -G$8)</f>
        <v>0</v>
      </c>
    </row>
    <row r="70" spans="1:9">
      <c r="A70" t="str">
        <f>A$9 * (14.75028038024902 -A$8)</f>
        <v>0</v>
      </c>
      <c r="B70" t="str">
        <f>B$9 * (14.75028038024902 -B$8)</f>
        <v>0</v>
      </c>
      <c r="C70" t="str">
        <f>C$9 * (14.75028038024902 -C$8)</f>
        <v>0</v>
      </c>
      <c r="E70" t="str">
        <f>E$9 * (0.004483443219214678 -E$8)</f>
        <v>0</v>
      </c>
      <c r="F70" t="str">
        <f>F$9 * (1.698940992355347 -F$8)</f>
        <v>0</v>
      </c>
      <c r="G70" t="str">
        <f>G$9 * (5.675685882568359 -G$8)</f>
        <v>0</v>
      </c>
    </row>
    <row r="71" spans="1:9">
      <c r="A71" t="str">
        <f>A$9 * (15.00006103515625 -A$8)</f>
        <v>0</v>
      </c>
      <c r="B71" t="str">
        <f>B$9 * (15.00006103515625 -B$8)</f>
        <v>0</v>
      </c>
      <c r="C71" t="str">
        <f>C$9 * (15.00006103515625 -C$8)</f>
        <v>0</v>
      </c>
      <c r="E71" t="str">
        <f>E$9 * (-0.006040272768586874 -E$8)</f>
        <v>0</v>
      </c>
      <c r="F71" t="str">
        <f>F$9 * (-0.2899576127529144 -F$8)</f>
        <v>0</v>
      </c>
      <c r="G71" t="str">
        <f>G$9 * (-4.067665100097656 -G$8)</f>
        <v>0</v>
      </c>
    </row>
    <row r="72" spans="1:9">
      <c r="A72" t="str">
        <f>A$9 * (15.25045299530029 -A$8)</f>
        <v>0</v>
      </c>
      <c r="B72" t="str">
        <f>B$9 * (15.25045299530029 -B$8)</f>
        <v>0</v>
      </c>
      <c r="C72" t="str">
        <f>C$9 * (15.25045299530029 -C$8)</f>
        <v>0</v>
      </c>
      <c r="E72" t="str">
        <f>E$9 * (-0.000916527584195137 -E$8)</f>
        <v>0</v>
      </c>
      <c r="F72" t="str">
        <f>F$9 * (-1.521108031272888 -F$8)</f>
        <v>0</v>
      </c>
      <c r="G72" t="str">
        <f>G$9 * (1.645830035209656 -G$8)</f>
        <v>0</v>
      </c>
    </row>
    <row r="73" spans="1:9">
      <c r="A73" t="str">
        <f>A$9 * (15.50001621246338 -A$8)</f>
        <v>0</v>
      </c>
      <c r="B73" t="str">
        <f>B$9 * (15.50001621246338 -B$8)</f>
        <v>0</v>
      </c>
      <c r="C73" t="str">
        <f>C$9 * (15.50001621246338 -C$8)</f>
        <v>0</v>
      </c>
      <c r="E73" t="str">
        <f>E$9 * (-0.002050403039902449 -E$8)</f>
        <v>0</v>
      </c>
      <c r="F73" t="str">
        <f>F$9 * (-0.6993427276611328 -F$8)</f>
        <v>0</v>
      </c>
      <c r="G73" t="str">
        <f>G$9 * (-1.245200991630554 -G$8)</f>
        <v>0</v>
      </c>
    </row>
    <row r="74" spans="1:9">
      <c r="A74" t="str">
        <f>A$9 * (15.75035858154297 -A$8)</f>
        <v>0</v>
      </c>
      <c r="B74" t="str">
        <f>B$9 * (15.75035858154297 -B$8)</f>
        <v>0</v>
      </c>
      <c r="C74" t="str">
        <f>C$9 * (15.75035858154297 -C$8)</f>
        <v>0</v>
      </c>
      <c r="E74" t="str">
        <f>E$9 * (-0.00118992303032428 -E$8)</f>
        <v>0</v>
      </c>
      <c r="F74" t="str">
        <f>F$9 * (-1.113250970840454 -F$8)</f>
        <v>0</v>
      </c>
      <c r="G74" t="str">
        <f>G$9 * (-0.3740977048873901 -G$8)</f>
        <v>0</v>
      </c>
    </row>
    <row r="75" spans="1:9">
      <c r="A75" t="str">
        <f>A$9 * (16.0000057220459 -A$8)</f>
        <v>0</v>
      </c>
      <c r="B75" t="str">
        <f>B$9 * (16.0000057220459 -B$8)</f>
        <v>0</v>
      </c>
      <c r="C75" t="str">
        <f>C$9 * (16.0000057220459 -C$8)</f>
        <v>0</v>
      </c>
      <c r="E75" t="str">
        <f>E$9 * (-0.0006913617835380137 -E$8)</f>
        <v>0</v>
      </c>
      <c r="F75" t="str">
        <f>F$9 * (-1.112228989601135 -F$8)</f>
        <v>0</v>
      </c>
      <c r="G75" t="str">
        <f>G$9 * (1.060400009155273 -G$8)</f>
        <v>0</v>
      </c>
    </row>
    <row r="76" spans="1:9">
      <c r="A76" t="str">
        <f>A$9 * (16.25017166137695 -A$8)</f>
        <v>0</v>
      </c>
      <c r="B76" t="str">
        <f>B$9 * (16.25017166137695 -B$8)</f>
        <v>0</v>
      </c>
      <c r="C76" t="str">
        <f>C$9 * (16.25017166137695 -C$8)</f>
        <v>0</v>
      </c>
      <c r="E76" t="str">
        <f>E$9 * (-0.0008166641928255558 -E$8)</f>
        <v>0</v>
      </c>
      <c r="F76" t="str">
        <f>F$9 * (-0.2576727867126465 -F$8)</f>
        <v>0</v>
      </c>
      <c r="G76" t="str">
        <f>G$9 * (-0.1548085957765579 -G$8)</f>
        <v>0</v>
      </c>
    </row>
    <row r="77" spans="1:9">
      <c r="A77" t="str">
        <f>A$9 * (16.50028038024902 -A$8)</f>
        <v>0</v>
      </c>
      <c r="B77" t="str">
        <f>B$9 * (16.50028038024902 -B$8)</f>
        <v>0</v>
      </c>
      <c r="C77" t="str">
        <f>C$9 * (16.50028038024902 -C$8)</f>
        <v>0</v>
      </c>
      <c r="E77" t="str">
        <f>E$9 * (0.003023687051609159 -E$8)</f>
        <v>0</v>
      </c>
      <c r="F77" t="str">
        <f>F$9 * (0.1521696001291275 -F$8)</f>
        <v>0</v>
      </c>
      <c r="G77" t="str">
        <f>G$9 * (24.39170074462891 -G$8)</f>
        <v>0</v>
      </c>
    </row>
    <row r="78" spans="1:9">
      <c r="A78" t="str">
        <f>A$9 * (16.75034141540527 -A$8)</f>
        <v>0</v>
      </c>
      <c r="B78" t="str">
        <f>B$9 * (16.75034141540527 -B$8)</f>
        <v>0</v>
      </c>
      <c r="C78" t="str">
        <f>C$9 * (16.75034141540527 -C$8)</f>
        <v>0</v>
      </c>
      <c r="E78" t="str">
        <f>E$9 * (0.06466545164585114 -E$8)</f>
        <v>0</v>
      </c>
      <c r="F78" t="str">
        <f>F$9 * (10.99627017974854 -F$8)</f>
        <v>0</v>
      </c>
      <c r="G78" t="str">
        <f>G$9 * (11.69948959350586 -G$8)</f>
        <v>0</v>
      </c>
    </row>
    <row r="79" spans="1:9">
      <c r="A79" t="str">
        <f>A$9 * (17.00038146972656 -A$8)</f>
        <v>0</v>
      </c>
      <c r="B79" t="str">
        <f>B$9 * (17.00038146972656 -B$8)</f>
        <v>0</v>
      </c>
      <c r="C79" t="str">
        <f>C$9 * (17.00038146972656 -C$8)</f>
        <v>0</v>
      </c>
      <c r="E79" t="str">
        <f>E$9 * (0.01120907999575138 -E$8)</f>
        <v>0</v>
      </c>
      <c r="F79" t="str">
        <f>F$9 * (5.621076107025146 -F$8)</f>
        <v>0</v>
      </c>
      <c r="G79" t="str">
        <f>G$9 * (10.57968044281006 -G$8)</f>
        <v>0</v>
      </c>
    </row>
    <row r="80" spans="1:9">
      <c r="A80" t="str">
        <f>A$9 * (17.25022315979004 -A$8)</f>
        <v>0</v>
      </c>
      <c r="B80" t="str">
        <f>B$9 * (17.25022315979004 -B$8)</f>
        <v>0</v>
      </c>
      <c r="C80" t="str">
        <f>C$9 * (17.25022315979004 -C$8)</f>
        <v>0</v>
      </c>
      <c r="E80" t="str">
        <f>E$9 * (-0.002862852066755295 -E$8)</f>
        <v>0</v>
      </c>
      <c r="F80" t="str">
        <f>F$9 * (-0.786094605922699 -F$8)</f>
        <v>0</v>
      </c>
      <c r="G80" t="str">
        <f>G$9 * (1.640534996986389 -G$8)</f>
        <v>0</v>
      </c>
    </row>
    <row r="81" spans="1:9">
      <c r="A81" t="str">
        <f>A$9 * (17.50027847290039 -A$8)</f>
        <v>0</v>
      </c>
      <c r="B81" t="str">
        <f>B$9 * (17.50027847290039 -B$8)</f>
        <v>0</v>
      </c>
      <c r="C81" t="str">
        <f>C$9 * (17.50027847290039 -C$8)</f>
        <v>0</v>
      </c>
      <c r="E81" t="str">
        <f>E$9 * (-0.005667218938469887 -E$8)</f>
        <v>0</v>
      </c>
      <c r="F81" t="str">
        <f>F$9 * (-0.540069580078125 -F$8)</f>
        <v>0</v>
      </c>
      <c r="G81" t="str">
        <f>G$9 * (-4.615928173065186 -G$8)</f>
        <v>0</v>
      </c>
    </row>
    <row r="82" spans="1:9">
      <c r="A82" t="str">
        <f>A$9 * (17.75018310546875 -A$8)</f>
        <v>0</v>
      </c>
      <c r="B82" t="str">
        <f>B$9 * (17.75018310546875 -B$8)</f>
        <v>0</v>
      </c>
      <c r="C82" t="str">
        <f>C$9 * (17.75018310546875 -C$8)</f>
        <v>0</v>
      </c>
      <c r="E82" t="str">
        <f>E$9 * (-0.001577712944708765 -E$8)</f>
        <v>0</v>
      </c>
      <c r="F82" t="str">
        <f>F$9 * (-1.589077949523926 -F$8)</f>
        <v>0</v>
      </c>
      <c r="G82" t="str">
        <f>G$9 * (-0.04872098937630653 -G$8)</f>
        <v>0</v>
      </c>
    </row>
    <row r="83" spans="1:9">
      <c r="A83" t="str">
        <f>A$9 * (18.00062561035156 -A$8)</f>
        <v>0</v>
      </c>
      <c r="B83" t="str">
        <f>B$9 * (18.00062561035156 -B$8)</f>
        <v>0</v>
      </c>
      <c r="C83" t="str">
        <f>C$9 * (18.00062561035156 -C$8)</f>
        <v>0</v>
      </c>
      <c r="E83" t="str">
        <f>E$9 * (-0.001659407978877425 -E$8)</f>
        <v>0</v>
      </c>
      <c r="F83" t="str">
        <f>F$9 * (-1.444530010223389 -F$8)</f>
        <v>0</v>
      </c>
      <c r="G83" t="str">
        <f>G$9 * (-0.492988109588623 -G$8)</f>
        <v>0</v>
      </c>
    </row>
    <row r="84" spans="1:9">
      <c r="A84" t="str">
        <f>A$9 * (18.25037574768066 -A$8)</f>
        <v>0</v>
      </c>
      <c r="B84" t="str">
        <f>B$9 * (18.25037574768066 -B$8)</f>
        <v>0</v>
      </c>
      <c r="C84" t="str">
        <f>C$9 * (18.25037574768066 -C$8)</f>
        <v>0</v>
      </c>
      <c r="E84" t="str">
        <f>E$9 * (-0.001017833012156188 -E$8)</f>
        <v>0</v>
      </c>
      <c r="F84" t="str">
        <f>F$9 * (-0.1382323950529099 -F$8)</f>
        <v>0</v>
      </c>
      <c r="G84" t="str">
        <f>G$9 * (-0.5548855066299438 -G$8)</f>
        <v>0</v>
      </c>
    </row>
    <row r="85" spans="1:9">
      <c r="A85" t="str">
        <f>A$9 * (18.50007438659668 -A$8)</f>
        <v>0</v>
      </c>
      <c r="B85" t="str">
        <f>B$9 * (18.50007438659668 -B$8)</f>
        <v>0</v>
      </c>
      <c r="C85" t="str">
        <f>C$9 * (18.50007438659668 -C$8)</f>
        <v>0</v>
      </c>
      <c r="E85" t="str">
        <f>E$9 * (-0.0007439738838002086 -E$8)</f>
        <v>0</v>
      </c>
      <c r="F85" t="str">
        <f>F$9 * (-0.5982772707939148 -F$8)</f>
        <v>0</v>
      </c>
      <c r="G85" t="str">
        <f>G$9 * (0.1322733014822006 -G$8)</f>
        <v>0</v>
      </c>
    </row>
    <row r="86" spans="1:9">
      <c r="A86" t="str">
        <f>A$9 * (18.75033950805664 -A$8)</f>
        <v>0</v>
      </c>
      <c r="B86" t="str">
        <f>B$9 * (18.75033950805664 -B$8)</f>
        <v>0</v>
      </c>
      <c r="C86" t="str">
        <f>C$9 * (18.75033950805664 -C$8)</f>
        <v>0</v>
      </c>
      <c r="E86" t="str">
        <f>E$9 * (0.01007908023893833 -E$8)</f>
        <v>0</v>
      </c>
      <c r="F86" t="str">
        <f>F$9 * (0.3179543018341064 -F$8)</f>
        <v>0</v>
      </c>
      <c r="G86" t="str">
        <f>G$9 * (0.4260993003845215 -G$8)</f>
        <v>0</v>
      </c>
    </row>
    <row r="87" spans="1:9">
      <c r="A87" t="str">
        <f>A$9 * (19.00041389465332 -A$8)</f>
        <v>0</v>
      </c>
      <c r="B87" t="str">
        <f>B$9 * (19.00041389465332 -B$8)</f>
        <v>0</v>
      </c>
      <c r="C87" t="str">
        <f>C$9 * (19.00041389465332 -C$8)</f>
        <v>0</v>
      </c>
      <c r="E87" t="str">
        <f>E$9 * (0.02978698909282684 -E$8)</f>
        <v>0</v>
      </c>
      <c r="F87" t="str">
        <f>F$9 * (7.558266162872314 -F$8)</f>
        <v>0</v>
      </c>
      <c r="G87" t="str">
        <f>G$9 * (8.881482124328613 -G$8)</f>
        <v>0</v>
      </c>
    </row>
    <row r="88" spans="1:9">
      <c r="A88" t="str">
        <f>A$9 * (19.25008964538574 -A$8)</f>
        <v>0</v>
      </c>
      <c r="B88" t="str">
        <f>B$9 * (19.25008964538574 -B$8)</f>
        <v>0</v>
      </c>
      <c r="C88" t="str">
        <f>C$9 * (19.25008964538574 -C$8)</f>
        <v>0</v>
      </c>
      <c r="E88" t="str">
        <f>E$9 * (0.0213183406740427 -E$8)</f>
        <v>0</v>
      </c>
      <c r="F88" t="str">
        <f>F$9 * (9.834551811218262 -F$8)</f>
        <v>0</v>
      </c>
      <c r="G88" t="str">
        <f>G$9 * (13.85861968994141 -G$8)</f>
        <v>0</v>
      </c>
    </row>
    <row r="89" spans="1:9">
      <c r="A89" t="str">
        <f>A$9 * (19.50041198730469 -A$8)</f>
        <v>0</v>
      </c>
      <c r="B89" t="str">
        <f>B$9 * (19.50041198730469 -B$8)</f>
        <v>0</v>
      </c>
      <c r="C89" t="str">
        <f>C$9 * (19.50041198730469 -C$8)</f>
        <v>0</v>
      </c>
      <c r="E89" t="str">
        <f>E$9 * (0.00566771999001503 -E$8)</f>
        <v>0</v>
      </c>
      <c r="F89" t="str">
        <f>F$9 * (2.515446901321411 -F$8)</f>
        <v>0</v>
      </c>
      <c r="G89" t="str">
        <f>G$9 * (7.155293941497803 -G$8)</f>
        <v>0</v>
      </c>
    </row>
    <row r="90" spans="1:9">
      <c r="A90" t="str">
        <f>A$9 * (19.75034141540527 -A$8)</f>
        <v>0</v>
      </c>
      <c r="B90" t="str">
        <f>B$9 * (19.75034141540527 -B$8)</f>
        <v>0</v>
      </c>
      <c r="C90" t="str">
        <f>C$9 * (19.75034141540527 -C$8)</f>
        <v>0</v>
      </c>
      <c r="E90" t="str">
        <f>E$9 * (-0.004905269015580416 -E$8)</f>
        <v>0</v>
      </c>
      <c r="F90" t="str">
        <f>F$9 * (-0.753879189491272 -F$8)</f>
        <v>0</v>
      </c>
      <c r="G90" t="str">
        <f>G$9 * (-3.706149101257324 -G$8)</f>
        <v>0</v>
      </c>
    </row>
    <row r="91" spans="1:9">
      <c r="A91" t="str">
        <f>A$9 * (20.00035858154297 -A$8)</f>
        <v>0</v>
      </c>
      <c r="B91" t="str">
        <f>B$9 * (20.00035858154297 -B$8)</f>
        <v>0</v>
      </c>
      <c r="C91" t="str">
        <f>C$9 * (20.00035858154297 -C$8)</f>
        <v>0</v>
      </c>
      <c r="E91" t="str">
        <f>E$9 * (-0.005687500815838575 -E$8)</f>
        <v>0</v>
      </c>
      <c r="F91" t="str">
        <f>F$9 * (-0.5014141798019409 -F$8)</f>
        <v>0</v>
      </c>
      <c r="G91" t="str">
        <f>G$9 * (-4.512141227722168 -G$8)</f>
        <v>0</v>
      </c>
    </row>
    <row r="92" spans="1:9">
      <c r="A92" t="str">
        <f>A$9 * (20.25011444091797 -A$8)</f>
        <v>0</v>
      </c>
      <c r="B92" t="str">
        <f>B$9 * (20.25011444091797 -B$8)</f>
        <v>0</v>
      </c>
      <c r="C92" t="str">
        <f>C$9 * (20.25011444091797 -C$8)</f>
        <v>0</v>
      </c>
      <c r="E92" t="str">
        <f>E$9 * (-0.0008474215865135193 -E$8)</f>
        <v>0</v>
      </c>
      <c r="F92" t="str">
        <f>F$9 * (-1.128594994544983 -F$8)</f>
        <v>0</v>
      </c>
      <c r="G92" t="str">
        <f>G$9 * (0.8077563047409058 -G$8)</f>
        <v>0</v>
      </c>
    </row>
    <row r="93" spans="1:9">
      <c r="A93" t="str">
        <f>A$9 * (20.50053977966309 -A$8)</f>
        <v>0</v>
      </c>
      <c r="B93" t="str">
        <f>B$9 * (20.50053977966309 -B$8)</f>
        <v>0</v>
      </c>
      <c r="C93" t="str">
        <f>C$9 * (20.50053977966309 -C$8)</f>
        <v>0</v>
      </c>
      <c r="E93" t="str">
        <f>E$9 * (-0.001200792961753905 -E$8)</f>
        <v>0</v>
      </c>
      <c r="F93" t="str">
        <f>F$9 * (-1.293583989143372 -F$8)</f>
        <v>0</v>
      </c>
      <c r="G93" t="str">
        <f>G$9 * (0.07401987910270691 -G$8)</f>
        <v>0</v>
      </c>
    </row>
    <row r="94" spans="1:9">
      <c r="A94" t="str">
        <f>A$9 * (20.75032806396484 -A$8)</f>
        <v>0</v>
      </c>
      <c r="B94" t="str">
        <f>B$9 * (20.75032806396484 -B$8)</f>
        <v>0</v>
      </c>
      <c r="C94" t="str">
        <f>C$9 * (20.75032806396484 -C$8)</f>
        <v>0</v>
      </c>
      <c r="E94" t="str">
        <f>E$9 * (-0.001172379008494318 -E$8)</f>
        <v>0</v>
      </c>
      <c r="F94" t="str">
        <f>F$9 * (-1.021013021469116 -F$8)</f>
        <v>0</v>
      </c>
      <c r="G94" t="str">
        <f>G$9 * (0.2191724926233292 -G$8)</f>
        <v>0</v>
      </c>
    </row>
    <row r="95" spans="1:9">
      <c r="A95" t="str">
        <f>A$9 * (21.00030517578125 -A$8)</f>
        <v>0</v>
      </c>
      <c r="B95" t="str">
        <f>B$9 * (21.00030517578125 -B$8)</f>
        <v>0</v>
      </c>
      <c r="C95" t="str">
        <f>C$9 * (21.00030517578125 -C$8)</f>
        <v>0</v>
      </c>
      <c r="E95" t="str">
        <f>E$9 * (-0.001481003011576831 -E$8)</f>
        <v>0</v>
      </c>
      <c r="F95" t="str">
        <f>F$9 * (-0.5829471945762634 -F$8)</f>
        <v>0</v>
      </c>
      <c r="G95" t="str">
        <f>G$9 * (-0.2495934963226318 -G$8)</f>
        <v>0</v>
      </c>
    </row>
    <row r="96" spans="1:9">
      <c r="A96" t="str">
        <f>A$9 * (21.25016975402832 -A$8)</f>
        <v>0</v>
      </c>
      <c r="B96" t="str">
        <f>B$9 * (21.25016975402832 -B$8)</f>
        <v>0</v>
      </c>
      <c r="C96" t="str">
        <f>C$9 * (21.25016975402832 -C$8)</f>
        <v>0</v>
      </c>
      <c r="E96" t="str">
        <f>E$9 * (0.003448182949796319 -E$8)</f>
        <v>0</v>
      </c>
      <c r="F96" t="str">
        <f>F$9 * (0.1877776980400085 -F$8)</f>
        <v>0</v>
      </c>
      <c r="G96" t="str">
        <f>G$9 * (29.15361022949219 -G$8)</f>
        <v>0</v>
      </c>
    </row>
    <row r="97" spans="1:9">
      <c r="A97" t="str">
        <f>A$9 * (21.50005531311035 -A$8)</f>
        <v>0</v>
      </c>
      <c r="B97" t="str">
        <f>B$9 * (21.50005531311035 -B$8)</f>
        <v>0</v>
      </c>
      <c r="C97" t="str">
        <f>C$9 * (21.50005531311035 -C$8)</f>
        <v>0</v>
      </c>
      <c r="E97" t="str">
        <f>E$9 * (0.06325572729110718 -E$8)</f>
        <v>0</v>
      </c>
      <c r="F97" t="str">
        <f>F$9 * (10.05395984649658 -F$8)</f>
        <v>0</v>
      </c>
      <c r="G97" t="str">
        <f>G$9 * (10.66697025299072 -G$8)</f>
        <v>0</v>
      </c>
    </row>
    <row r="98" spans="1:9">
      <c r="A98" t="str">
        <f>A$9 * (21.75035285949707 -A$8)</f>
        <v>0</v>
      </c>
      <c r="B98" t="str">
        <f>B$9 * (21.75035285949707 -B$8)</f>
        <v>0</v>
      </c>
      <c r="C98" t="str">
        <f>C$9 * (21.75035285949707 -C$8)</f>
        <v>0</v>
      </c>
      <c r="E98" t="str">
        <f>E$9 * (0.01145908981561661 -E$8)</f>
        <v>0</v>
      </c>
      <c r="F98" t="str">
        <f>F$9 * (5.686669826507568 -F$8)</f>
        <v>0</v>
      </c>
      <c r="G98" t="str">
        <f>G$9 * (10.56437969207764 -G$8)</f>
        <v>0</v>
      </c>
    </row>
    <row r="99" spans="1:9">
      <c r="A99" t="str">
        <f>A$9 * (22.00033950805664 -A$8)</f>
        <v>0</v>
      </c>
      <c r="B99" t="str">
        <f>B$9 * (22.00033950805664 -B$8)</f>
        <v>0</v>
      </c>
      <c r="C99" t="str">
        <f>C$9 * (22.00033950805664 -C$8)</f>
        <v>0</v>
      </c>
      <c r="E99" t="str">
        <f>E$9 * (-0.002617716090753675 -E$8)</f>
        <v>0</v>
      </c>
      <c r="F99" t="str">
        <f>F$9 * (-0.7013269066810608 -F$8)</f>
        <v>0</v>
      </c>
      <c r="G99" t="str">
        <f>G$9 * (1.872331976890564 -G$8)</f>
        <v>0</v>
      </c>
    </row>
    <row r="100" spans="1:9">
      <c r="A100" t="str">
        <f>A$9 * (22.25032806396484 -A$8)</f>
        <v>0</v>
      </c>
      <c r="B100" t="str">
        <f>B$9 * (22.25032806396484 -B$8)</f>
        <v>0</v>
      </c>
      <c r="C100" t="str">
        <f>C$9 * (22.25032806396484 -C$8)</f>
        <v>0</v>
      </c>
      <c r="E100" t="str">
        <f>E$9 * (0.001712171011604369 -E$8)</f>
        <v>0</v>
      </c>
      <c r="F100" t="str">
        <f>F$9 * (-0.7672542929649353 -F$8)</f>
        <v>0</v>
      </c>
      <c r="G100" t="str">
        <f>G$9 * (1.500540971755981 -G$8)</f>
        <v>0</v>
      </c>
    </row>
    <row r="101" spans="1:9">
      <c r="A101" t="str">
        <f>A$9 * (22.50010871887207 -A$8)</f>
        <v>0</v>
      </c>
      <c r="B101" t="str">
        <f>B$9 * (22.50010871887207 -B$8)</f>
        <v>0</v>
      </c>
      <c r="C101" t="str">
        <f>C$9 * (22.50010871887207 -C$8)</f>
        <v>0</v>
      </c>
      <c r="E101" t="str">
        <f>E$9 * (-0.001880872994661331 -E$8)</f>
        <v>0</v>
      </c>
      <c r="F101" t="str">
        <f>F$9 * (-1.716060996055603 -F$8)</f>
        <v>0</v>
      </c>
      <c r="G101" t="str">
        <f>G$9 * (0.2749434113502502 -G$8)</f>
        <v>0</v>
      </c>
    </row>
    <row r="102" spans="1:9">
      <c r="A102" t="str">
        <f>A$9 * (22.75060272216797 -A$8)</f>
        <v>0</v>
      </c>
      <c r="B102" t="str">
        <f>B$9 * (22.75060272216797 -B$8)</f>
        <v>0</v>
      </c>
      <c r="C102" t="str">
        <f>C$9 * (22.75060272216797 -C$8)</f>
        <v>0</v>
      </c>
      <c r="E102" t="str">
        <f>E$9 * (-0.0001765503984643146 -E$8)</f>
        <v>0</v>
      </c>
      <c r="F102" t="str">
        <f>F$9 * (-1.269173979759216 -F$8)</f>
        <v>0</v>
      </c>
      <c r="G102" t="str">
        <f>G$9 * (2.095808982849121 -G$8)</f>
        <v>0</v>
      </c>
    </row>
    <row r="103" spans="1:9">
      <c r="A103" t="str">
        <f>A$9 * (23.00004959106445 -A$8)</f>
        <v>0</v>
      </c>
      <c r="B103" t="str">
        <f>B$9 * (23.00004959106445 -B$8)</f>
        <v>0</v>
      </c>
      <c r="C103" t="str">
        <f>C$9 * (23.00004959106445 -C$8)</f>
        <v>0</v>
      </c>
      <c r="E103" t="str">
        <f>E$9 * (-0.0003572744026314467 -E$8)</f>
        <v>0</v>
      </c>
      <c r="F103" t="str">
        <f>F$9 * (-0.4158096015453339 -F$8)</f>
        <v>0</v>
      </c>
      <c r="G103" t="str">
        <f>G$9 * (0.324131190776825 -G$8)</f>
        <v>0</v>
      </c>
    </row>
    <row r="104" spans="1:9">
      <c r="A104" t="str">
        <f>A$9 * (23.25018119812012 -A$8)</f>
        <v>0</v>
      </c>
      <c r="B104" t="str">
        <f>B$9 * (23.25018119812012 -B$8)</f>
        <v>0</v>
      </c>
      <c r="C104" t="str">
        <f>C$9 * (23.25018119812012 -C$8)</f>
        <v>0</v>
      </c>
      <c r="E104" t="str">
        <f>E$9 * (-0.0006206450052559376 -E$8)</f>
        <v>0</v>
      </c>
      <c r="F104" t="str">
        <f>F$9 * (-0.5034540891647339 -F$8)</f>
        <v>0</v>
      </c>
      <c r="G104" t="str">
        <f>G$9 * (0.09494958072900772 -G$8)</f>
        <v>0</v>
      </c>
    </row>
    <row r="105" spans="1:9">
      <c r="A105" t="str">
        <f>A$9 * (23.50004196166992 -A$8)</f>
        <v>0</v>
      </c>
      <c r="B105" t="str">
        <f>B$9 * (23.50004196166992 -B$8)</f>
        <v>0</v>
      </c>
      <c r="C105" t="str">
        <f>C$9 * (23.50004196166992 -C$8)</f>
        <v>0</v>
      </c>
      <c r="E105" t="str">
        <f>E$9 * (0.003174686105921865 -E$8)</f>
        <v>0</v>
      </c>
      <c r="F105" t="str">
        <f>F$9 * (0.09811046719551086 -F$8)</f>
        <v>0</v>
      </c>
      <c r="G105" t="str">
        <f>G$9 * (0.6205319762229919 -G$8)</f>
        <v>0</v>
      </c>
    </row>
    <row r="106" spans="1:9">
      <c r="A106" t="str">
        <f>A$9 * (23.7502613067627 -A$8)</f>
        <v>0</v>
      </c>
      <c r="B106" t="str">
        <f>B$9 * (23.7502613067627 -B$8)</f>
        <v>0</v>
      </c>
      <c r="C106" t="str">
        <f>C$9 * (23.7502613067627 -C$8)</f>
        <v>0</v>
      </c>
      <c r="E106" t="str">
        <f>E$9 * (0.02886861935257912 -E$8)</f>
        <v>0</v>
      </c>
      <c r="F106" t="str">
        <f>F$9 * (7.979113101959229 -F$8)</f>
        <v>0</v>
      </c>
      <c r="G106" t="str">
        <f>G$9 * (9.533979415893555 -G$8)</f>
        <v>0</v>
      </c>
    </row>
    <row r="107" spans="1:9">
      <c r="A107" t="str">
        <f>A$9 * (24.00009155273438 -A$8)</f>
        <v>0</v>
      </c>
      <c r="B107" t="str">
        <f>B$9 * (24.00009155273438 -B$8)</f>
        <v>0</v>
      </c>
      <c r="C107" t="str">
        <f>C$9 * (24.00009155273438 -C$8)</f>
        <v>0</v>
      </c>
      <c r="E107" t="str">
        <f>E$9 * (0.0224011093378067 -E$8)</f>
        <v>0</v>
      </c>
      <c r="F107" t="str">
        <f>F$9 * (10.12312984466553 -F$8)</f>
        <v>0</v>
      </c>
      <c r="G107" t="str">
        <f>G$9 * (14.03223991394043 -G$8)</f>
        <v>0</v>
      </c>
    </row>
    <row r="108" spans="1:9">
      <c r="A108" t="str">
        <f>A$9 * (24.2501163482666 -A$8)</f>
        <v>0</v>
      </c>
      <c r="B108" t="str">
        <f>B$9 * (24.2501163482666 -B$8)</f>
        <v>0</v>
      </c>
      <c r="C108" t="str">
        <f>C$9 * (24.2501163482666 -C$8)</f>
        <v>0</v>
      </c>
      <c r="E108" t="str">
        <f>E$9 * (0.005971722770482302 -E$8)</f>
        <v>0</v>
      </c>
      <c r="F108" t="str">
        <f>F$9 * (2.804313898086548 -F$8)</f>
        <v>0</v>
      </c>
      <c r="G108" t="str">
        <f>G$9 * (7.725797176361084 -G$8)</f>
        <v>0</v>
      </c>
    </row>
    <row r="109" spans="1:9">
      <c r="A109" t="str">
        <f>A$9 * (24.50030899047852 -A$8)</f>
        <v>0</v>
      </c>
      <c r="B109" t="str">
        <f>B$9 * (24.50030899047852 -B$8)</f>
        <v>0</v>
      </c>
      <c r="C109" t="str">
        <f>C$9 * (24.50030899047852 -C$8)</f>
        <v>0</v>
      </c>
      <c r="E109" t="str">
        <f>E$9 * (-0.001167580019682646 -E$8)</f>
        <v>0</v>
      </c>
      <c r="F109" t="str">
        <f>F$9 * (-1.348260045051575 -F$8)</f>
        <v>0</v>
      </c>
      <c r="G109" t="str">
        <f>G$9 * (0.5942698121070862 -G$8)</f>
        <v>0</v>
      </c>
    </row>
    <row r="110" spans="1:9">
      <c r="A110" t="str">
        <f>A$9 * (24.75033569335938 -A$8)</f>
        <v>0</v>
      </c>
      <c r="B110" t="str">
        <f>B$9 * (24.75033569335938 -B$8)</f>
        <v>0</v>
      </c>
      <c r="C110" t="str">
        <f>C$9 * (24.75033569335938 -C$8)</f>
        <v>0</v>
      </c>
      <c r="E110" t="str">
        <f>E$9 * (-0.002325158100575209 -E$8)</f>
        <v>0</v>
      </c>
      <c r="F110" t="str">
        <f>F$9 * (-1.674358010292053 -F$8)</f>
        <v>0</v>
      </c>
      <c r="G110" t="str">
        <f>G$9 * (0.3480257987976074 -G$8)</f>
        <v>0</v>
      </c>
    </row>
    <row r="111" spans="1:9">
      <c r="A111" t="str">
        <f>A$9 * (25.00015830993652 -A$8)</f>
        <v>0</v>
      </c>
      <c r="B111" t="str">
        <f>B$9 * (25.00015830993652 -B$8)</f>
        <v>0</v>
      </c>
      <c r="C111" t="str">
        <f>C$9 * (25.00015830993652 -C$8)</f>
        <v>0</v>
      </c>
      <c r="E111" t="str">
        <f>E$9 * (-0.003792514093220234 -E$8)</f>
        <v>0</v>
      </c>
      <c r="F111" t="str">
        <f>F$9 * (-0.8231964111328125 -F$8)</f>
        <v>0</v>
      </c>
      <c r="G111" t="str">
        <f>G$9 * (-2.677639961242676 -G$8)</f>
        <v>0</v>
      </c>
    </row>
    <row r="112" spans="1:9">
      <c r="A112" t="str">
        <f>A$9 * (25.25021743774414 -A$8)</f>
        <v>0</v>
      </c>
      <c r="B112" t="str">
        <f>B$9 * (25.25021743774414 -B$8)</f>
        <v>0</v>
      </c>
      <c r="C112" t="str">
        <f>C$9 * (25.25021743774414 -C$8)</f>
        <v>0</v>
      </c>
      <c r="E112" t="str">
        <f>E$9 * (-0.002984869061037898 -E$8)</f>
        <v>0</v>
      </c>
      <c r="F112" t="str">
        <f>F$9 * (-0.2544651031494141 -F$8)</f>
        <v>0</v>
      </c>
      <c r="G112" t="str">
        <f>G$9 * (-2.073636054992676 -G$8)</f>
        <v>0</v>
      </c>
    </row>
    <row r="113" spans="1:9">
      <c r="A113" t="str">
        <f>A$9 * (25.5007381439209 -A$8)</f>
        <v>0</v>
      </c>
      <c r="B113" t="str">
        <f>B$9 * (25.5007381439209 -B$8)</f>
        <v>0</v>
      </c>
      <c r="C113" t="str">
        <f>C$9 * (25.5007381439209 -C$8)</f>
        <v>0</v>
      </c>
      <c r="E113" t="str">
        <f>E$9 * (-0.0006243670941330492 -E$8)</f>
        <v>0</v>
      </c>
      <c r="F113" t="str">
        <f>F$9 * (-0.6597768068313599 -F$8)</f>
        <v>0</v>
      </c>
      <c r="G113" t="str">
        <f>G$9 * (0.2792189121246338 -G$8)</f>
        <v>0</v>
      </c>
    </row>
    <row r="114" spans="1:9">
      <c r="A114" t="str">
        <f>A$9 * (25.75076866149902 -A$8)</f>
        <v>0</v>
      </c>
      <c r="B114" t="str">
        <f>B$9 * (25.75076866149902 -B$8)</f>
        <v>0</v>
      </c>
      <c r="C114" t="str">
        <f>C$9 * (25.75076866149902 -C$8)</f>
        <v>0</v>
      </c>
      <c r="E114" t="str">
        <f>E$9 * (-0.0005491290939971805 -E$8)</f>
        <v>0</v>
      </c>
      <c r="F114" t="str">
        <f>F$9 * (-0.1947060972452164 -F$8)</f>
        <v>0</v>
      </c>
      <c r="G114" t="str">
        <f>G$9 * (-0.08684456348419189 -G$8)</f>
        <v>0</v>
      </c>
    </row>
    <row r="115" spans="1:9">
      <c r="A115" t="str">
        <f>A$9 * (26.00023651123047 -A$8)</f>
        <v>0</v>
      </c>
      <c r="B115" t="str">
        <f>B$9 * (26.00023651123047 -B$8)</f>
        <v>0</v>
      </c>
      <c r="C115" t="str">
        <f>C$9 * (26.00023651123047 -C$8)</f>
        <v>0</v>
      </c>
      <c r="E115" t="str">
        <f>E$9 * (0.006896665785461664 -E$8)</f>
        <v>0</v>
      </c>
      <c r="F115" t="str">
        <f>F$9 * (2.687577962875366 -F$8)</f>
        <v>0</v>
      </c>
      <c r="G115" t="str">
        <f>G$9 * (38.32917022705078 -G$8)</f>
        <v>0</v>
      </c>
    </row>
    <row r="116" spans="1:9">
      <c r="A116" t="str">
        <f>A$9 * (26.25028038024902 -A$8)</f>
        <v>0</v>
      </c>
      <c r="B116" t="str">
        <f>B$9 * (26.25028038024902 -B$8)</f>
        <v>0</v>
      </c>
      <c r="C116" t="str">
        <f>C$9 * (26.25028038024902 -C$8)</f>
        <v>0</v>
      </c>
      <c r="E116" t="str">
        <f>E$9 * (0.05640850961208344 -E$8)</f>
        <v>0</v>
      </c>
      <c r="F116" t="str">
        <f>F$9 * (7.761826992034912 -F$8)</f>
        <v>0</v>
      </c>
      <c r="G116" t="str">
        <f>G$9 * (8.199463844299316 -G$8)</f>
        <v>0</v>
      </c>
    </row>
    <row r="117" spans="1:9">
      <c r="A117" t="str">
        <f>A$9 * (26.50044250488281 -A$8)</f>
        <v>0</v>
      </c>
      <c r="B117" t="str">
        <f>B$9 * (26.50044250488281 -B$8)</f>
        <v>0</v>
      </c>
      <c r="C117" t="str">
        <f>C$9 * (26.50044250488281 -C$8)</f>
        <v>0</v>
      </c>
      <c r="E117" t="str">
        <f>E$9 * (0.01243714988231659 -E$8)</f>
        <v>0</v>
      </c>
      <c r="F117" t="str">
        <f>F$9 * (6.173491954803467 -F$8)</f>
        <v>0</v>
      </c>
      <c r="G117" t="str">
        <f>G$9 * (10.98775959014893 -G$8)</f>
        <v>0</v>
      </c>
    </row>
    <row r="118" spans="1:9">
      <c r="A118" t="str">
        <f>A$9 * (26.75016975402832 -A$8)</f>
        <v>0</v>
      </c>
      <c r="B118" t="str">
        <f>B$9 * (26.75016975402832 -B$8)</f>
        <v>0</v>
      </c>
      <c r="C118" t="str">
        <f>C$9 * (26.75016975402832 -C$8)</f>
        <v>0</v>
      </c>
      <c r="E118" t="str">
        <f>E$9 * (-1.87206005648477E-5 -E$8)</f>
        <v>0</v>
      </c>
      <c r="F118" t="str">
        <f>F$9 * (-0.004646407905966043 -F$8)</f>
        <v>0</v>
      </c>
      <c r="G118" t="str">
        <f>G$9 * (2.417079925537109 -G$8)</f>
        <v>0</v>
      </c>
    </row>
    <row r="119" spans="1:9">
      <c r="A119" t="str">
        <f>A$9 * (27.00003242492676 -A$8)</f>
        <v>0</v>
      </c>
      <c r="B119" t="str">
        <f>B$9 * (27.00003242492676 -B$8)</f>
        <v>0</v>
      </c>
      <c r="C119" t="str">
        <f>C$9 * (27.00003242492676 -C$8)</f>
        <v>0</v>
      </c>
      <c r="E119" t="str">
        <f>E$9 * (-0.003329495899379253 -E$8)</f>
        <v>0</v>
      </c>
      <c r="F119" t="str">
        <f>F$9 * (-0.6225814819335938 -F$8)</f>
        <v>0</v>
      </c>
      <c r="G119" t="str">
        <f>G$9 * (-2.937283039093018 -G$8)</f>
        <v>0</v>
      </c>
    </row>
    <row r="120" spans="1:9">
      <c r="A120" t="str">
        <f>A$9 * (27.25041389465332 -A$8)</f>
        <v>0</v>
      </c>
      <c r="B120" t="str">
        <f>B$9 * (27.25041389465332 -B$8)</f>
        <v>0</v>
      </c>
      <c r="C120" t="str">
        <f>C$9 * (27.25041389465332 -C$8)</f>
        <v>0</v>
      </c>
      <c r="E120" t="str">
        <f>E$9 * (-0.001248287968337536 -E$8)</f>
        <v>0</v>
      </c>
      <c r="F120" t="str">
        <f>F$9 * (-1.267084956169128 -F$8)</f>
        <v>0</v>
      </c>
      <c r="G120" t="str">
        <f>G$9 * (-0.2453386932611465 -G$8)</f>
        <v>0</v>
      </c>
    </row>
    <row r="121" spans="1:9">
      <c r="A121" t="str">
        <f>A$9 * (27.50036430358887 -A$8)</f>
        <v>0</v>
      </c>
      <c r="B121" t="str">
        <f>B$9 * (27.50036430358887 -B$8)</f>
        <v>0</v>
      </c>
      <c r="C121" t="str">
        <f>C$9 * (27.50036430358887 -C$8)</f>
        <v>0</v>
      </c>
      <c r="E121" t="str">
        <f>E$9 * (-0.001570440013892949 -E$8)</f>
        <v>0</v>
      </c>
      <c r="F121" t="str">
        <f>F$9 * (-1.434777975082397 -F$8)</f>
        <v>0</v>
      </c>
      <c r="G121" t="str">
        <f>G$9 * (-0.5173032879829407 -G$8)</f>
        <v>0</v>
      </c>
    </row>
    <row r="122" spans="1:9">
      <c r="A122" t="str">
        <f>A$9 * (27.75016593933105 -A$8)</f>
        <v>0</v>
      </c>
      <c r="B122" t="str">
        <f>B$9 * (27.75016593933105 -B$8)</f>
        <v>0</v>
      </c>
      <c r="C122" t="str">
        <f>C$9 * (27.75016593933105 -C$8)</f>
        <v>0</v>
      </c>
      <c r="E122" t="str">
        <f>E$9 * (-0.0002459796087350696 -E$8)</f>
        <v>0</v>
      </c>
      <c r="F122" t="str">
        <f>F$9 * (-1.37518298625946 -F$8)</f>
        <v>0</v>
      </c>
      <c r="G122" t="str">
        <f>G$9 * (2.683252096176147 -G$8)</f>
        <v>0</v>
      </c>
    </row>
    <row r="123" spans="1:9">
      <c r="A123" t="str">
        <f>A$9 * (28.00069427490234 -A$8)</f>
        <v>0</v>
      </c>
      <c r="B123" t="str">
        <f>B$9 * (28.00069427490234 -B$8)</f>
        <v>0</v>
      </c>
      <c r="C123" t="str">
        <f>C$9 * (28.00069427490234 -C$8)</f>
        <v>0</v>
      </c>
      <c r="E123" t="str">
        <f>E$9 * (-0.0005740271881222725 -E$8)</f>
        <v>0</v>
      </c>
      <c r="F123" t="str">
        <f>F$9 * (-0.6008580923080444 -F$8)</f>
        <v>0</v>
      </c>
      <c r="G123" t="str">
        <f>G$9 * (-0.02282338030636311 -G$8)</f>
        <v>0</v>
      </c>
    </row>
    <row r="124" spans="1:9">
      <c r="A124" t="str">
        <f>A$9 * (28.2506103515625 -A$8)</f>
        <v>0</v>
      </c>
      <c r="B124" t="str">
        <f>B$9 * (28.2506103515625 -B$8)</f>
        <v>0</v>
      </c>
      <c r="C124" t="str">
        <f>C$9 * (28.2506103515625 -C$8)</f>
        <v>0</v>
      </c>
      <c r="E124" t="str">
        <f>E$9 * (0.000941423699259758 -E$8)</f>
        <v>0</v>
      </c>
      <c r="F124" t="str">
        <f>F$9 * (-4.106536865234375 -F$8)</f>
        <v>0</v>
      </c>
      <c r="G124" t="str">
        <f>G$9 * (1.071107983589172 -G$8)</f>
        <v>0</v>
      </c>
    </row>
    <row r="125" spans="1:9">
      <c r="A125" t="str">
        <f>A$9 * (28.50008392333984 -A$8)</f>
        <v>0</v>
      </c>
      <c r="B125" t="str">
        <f>B$9 * (28.50008392333984 -B$8)</f>
        <v>0</v>
      </c>
      <c r="C125" t="str">
        <f>C$9 * (28.50008392333984 -C$8)</f>
        <v>0</v>
      </c>
      <c r="E125" t="str">
        <f>E$9 * (0.02924072928726673 -E$8)</f>
        <v>0</v>
      </c>
      <c r="F125" t="str">
        <f>F$9 * (9.622700691223145 -F$8)</f>
        <v>0</v>
      </c>
      <c r="G125" t="str">
        <f>G$9 * (11.63945007324219 -G$8)</f>
        <v>0</v>
      </c>
    </row>
    <row r="126" spans="1:9">
      <c r="A126" t="str">
        <f>A$9 * (28.75055503845215 -A$8)</f>
        <v>0</v>
      </c>
      <c r="B126" t="str">
        <f>B$9 * (28.75055503845215 -B$8)</f>
        <v>0</v>
      </c>
      <c r="C126" t="str">
        <f>C$9 * (28.75055503845215 -C$8)</f>
        <v>0</v>
      </c>
      <c r="E126" t="str">
        <f>E$9 * (0.02587771974503994 -E$8)</f>
        <v>0</v>
      </c>
      <c r="F126" t="str">
        <f>F$9 * (11.04623985290527 -F$8)</f>
        <v>0</v>
      </c>
      <c r="G126" t="str">
        <f>G$9 * (14.68115997314453 -G$8)</f>
        <v>0</v>
      </c>
    </row>
    <row r="127" spans="1:9">
      <c r="A127" t="str">
        <f>A$9 * (29.0001392364502 -A$8)</f>
        <v>0</v>
      </c>
      <c r="B127" t="str">
        <f>B$9 * (29.0001392364502 -B$8)</f>
        <v>0</v>
      </c>
      <c r="C127" t="str">
        <f>C$9 * (29.0001392364502 -C$8)</f>
        <v>0</v>
      </c>
      <c r="E127" t="str">
        <f>E$9 * (0.007188507821410894 -E$8)</f>
        <v>0</v>
      </c>
      <c r="F127" t="str">
        <f>F$9 * (3.765919923782349 -F$8)</f>
        <v>0</v>
      </c>
      <c r="G127" t="str">
        <f>G$9 * (9.262799263000488 -G$8)</f>
        <v>0</v>
      </c>
    </row>
    <row r="128" spans="1:9">
      <c r="A128" t="str">
        <f>A$9 * (29.25019454956055 -A$8)</f>
        <v>0</v>
      </c>
      <c r="B128" t="str">
        <f>B$9 * (29.25019454956055 -B$8)</f>
        <v>0</v>
      </c>
      <c r="C128" t="str">
        <f>C$9 * (29.25019454956055 -C$8)</f>
        <v>0</v>
      </c>
      <c r="E128" t="str">
        <f>E$9 * (-0.003676421009004116 -E$8)</f>
        <v>0</v>
      </c>
      <c r="F128" t="str">
        <f>F$9 * (-0.5592495203018188 -F$8)</f>
        <v>0</v>
      </c>
      <c r="G128" t="str">
        <f>G$9 * (-2.456499099731445 -G$8)</f>
        <v>0</v>
      </c>
    </row>
    <row r="129" spans="1:9">
      <c r="A129" t="str">
        <f>A$9 * (29.50019454956055 -A$8)</f>
        <v>0</v>
      </c>
      <c r="B129" t="str">
        <f>B$9 * (29.50019454956055 -B$8)</f>
        <v>0</v>
      </c>
      <c r="C129" t="str">
        <f>C$9 * (29.50019454956055 -C$8)</f>
        <v>0</v>
      </c>
      <c r="E129" t="str">
        <f>E$9 * (-0.003143955022096634 -E$8)</f>
        <v>0</v>
      </c>
      <c r="F129" t="str">
        <f>F$9 * (-1.59313702583313 -F$8)</f>
        <v>0</v>
      </c>
      <c r="G129" t="str">
        <f>G$9 * (-1.123618006706238 -G$8)</f>
        <v>0</v>
      </c>
    </row>
    <row r="130" spans="1:9">
      <c r="A130" t="str">
        <f>A$9 * (29.75038909912109 -A$8)</f>
        <v>0</v>
      </c>
      <c r="B130" t="str">
        <f>B$9 * (29.75038909912109 -B$8)</f>
        <v>0</v>
      </c>
      <c r="C130" t="str">
        <f>C$9 * (29.75038909912109 -C$8)</f>
        <v>0</v>
      </c>
      <c r="E130" t="str">
        <f>E$9 * (-0.003484946908429265 -E$8)</f>
        <v>0</v>
      </c>
      <c r="F130" t="str">
        <f>F$9 * (-0.2828378081321716 -F$8)</f>
        <v>0</v>
      </c>
      <c r="G130" t="str">
        <f>G$9 * (-2.423218011856079 -G$8)</f>
        <v>0</v>
      </c>
    </row>
    <row r="131" spans="1:9">
      <c r="A131" t="str">
        <f>A$9 * (30.00022315979004 -A$8)</f>
        <v>0</v>
      </c>
      <c r="B131" t="str">
        <f>B$9 * (30.00022315979004 -B$8)</f>
        <v>0</v>
      </c>
      <c r="C131" t="str">
        <f>C$9 * (30.00022315979004 -C$8)</f>
        <v>0</v>
      </c>
      <c r="E131" t="str">
        <f>E$9 * (-0.0009886628249660134 -E$8)</f>
        <v>0</v>
      </c>
      <c r="F131" t="str">
        <f>F$9 * (-1.442914962768555 -F$8)</f>
        <v>0</v>
      </c>
      <c r="G131" t="str">
        <f>G$9 * (1.452538013458252 -G$8)</f>
        <v>0</v>
      </c>
    </row>
    <row r="132" spans="1:9">
      <c r="A132" t="str">
        <f>A$9 * (30.25030517578125 -A$8)</f>
        <v>0</v>
      </c>
      <c r="B132" t="str">
        <f>B$9 * (30.25030517578125 -B$8)</f>
        <v>0</v>
      </c>
      <c r="C132" t="str">
        <f>C$9 * (30.25030517578125 -C$8)</f>
        <v>0</v>
      </c>
      <c r="E132" t="str">
        <f>E$9 * (-0.0004701257857959718 -E$8)</f>
        <v>0</v>
      </c>
      <c r="F132" t="str">
        <f>F$9 * (-1.076388001441956 -F$8)</f>
        <v>0</v>
      </c>
      <c r="G132" t="str">
        <f>G$9 * (0.6296256184577942 -G$8)</f>
        <v>0</v>
      </c>
    </row>
    <row r="133" spans="1:9">
      <c r="A133" t="str">
        <f>A$9 * (30.50077819824219 -A$8)</f>
        <v>0</v>
      </c>
      <c r="B133" t="str">
        <f>B$9 * (30.50077819824219 -B$8)</f>
        <v>0</v>
      </c>
      <c r="C133" t="str">
        <f>C$9 * (30.50077819824219 -C$8)</f>
        <v>0</v>
      </c>
      <c r="E133" t="str">
        <f>E$9 * (1.629449980100617E-5 -E$8)</f>
        <v>0</v>
      </c>
      <c r="F133" t="str">
        <f>F$9 * (-0.8410698175430298 -F$8)</f>
        <v>0</v>
      </c>
      <c r="G133" t="str">
        <f>G$9 * (0.5699645280838013 -G$8)</f>
        <v>0</v>
      </c>
    </row>
    <row r="134" spans="1:9">
      <c r="A134" t="str">
        <f>A$9 * (30.75030517578125 -A$8)</f>
        <v>0</v>
      </c>
      <c r="B134" t="str">
        <f>B$9 * (30.75030517578125 -B$8)</f>
        <v>0</v>
      </c>
      <c r="C134" t="str">
        <f>C$9 * (30.75030517578125 -C$8)</f>
        <v>0</v>
      </c>
      <c r="E134" t="str">
        <f>E$9 * (0.001955301035195589 -E$8)</f>
        <v>0</v>
      </c>
      <c r="F134" t="str">
        <f>F$9 * (0.0761416032910347 -F$8)</f>
        <v>0</v>
      </c>
      <c r="G134" t="str">
        <f>G$9 * (13.60225009918213 -G$8)</f>
        <v>0</v>
      </c>
    </row>
    <row r="135" spans="1:9">
      <c r="A135" t="str">
        <f>A$9 * (31.0001106262207 -A$8)</f>
        <v>0</v>
      </c>
      <c r="B135" t="str">
        <f>B$9 * (31.0001106262207 -B$8)</f>
        <v>0</v>
      </c>
      <c r="C135" t="str">
        <f>C$9 * (31.0001106262207 -C$8)</f>
        <v>0</v>
      </c>
      <c r="E135" t="str">
        <f>E$9 * (0.05719149112701416 -E$8)</f>
        <v>0</v>
      </c>
      <c r="F135" t="str">
        <f>F$9 * (12.52618026733398 -F$8)</f>
        <v>0</v>
      </c>
      <c r="G135" t="str">
        <f>G$9 * (13.5283203125 -G$8)</f>
        <v>0</v>
      </c>
    </row>
    <row r="136" spans="1:9">
      <c r="A136" t="str">
        <f>A$9 * (31.25022315979004 -A$8)</f>
        <v>0</v>
      </c>
      <c r="B136" t="str">
        <f>B$9 * (31.25022315979004 -B$8)</f>
        <v>0</v>
      </c>
      <c r="C136" t="str">
        <f>C$9 * (31.25022315979004 -C$8)</f>
        <v>0</v>
      </c>
      <c r="E136" t="str">
        <f>E$9 * (0.0107126897200942 -E$8)</f>
        <v>0</v>
      </c>
      <c r="F136" t="str">
        <f>F$9 * (5.288066864013672 -F$8)</f>
        <v>0</v>
      </c>
      <c r="G136" t="str">
        <f>G$9 * (10.17889976501465 -G$8)</f>
        <v>0</v>
      </c>
    </row>
    <row r="137" spans="1:9">
      <c r="A137" t="str">
        <f>A$9 * (31.5001392364502 -A$8)</f>
        <v>0</v>
      </c>
      <c r="B137" t="str">
        <f>B$9 * (31.5001392364502 -B$8)</f>
        <v>0</v>
      </c>
      <c r="C137" t="str">
        <f>C$9 * (31.5001392364502 -C$8)</f>
        <v>0</v>
      </c>
      <c r="E137" t="str">
        <f>E$9 * (-0.0003678927896544337 -E$8)</f>
        <v>0</v>
      </c>
      <c r="F137" t="str">
        <f>F$9 * (-1.136423945426941 -F$8)</f>
        <v>0</v>
      </c>
      <c r="G137" t="str">
        <f>G$9 * (1.142784953117371 -G$8)</f>
        <v>0</v>
      </c>
    </row>
    <row r="138" spans="1:9">
      <c r="A138" t="str">
        <f>A$9 * (31.75002861022949 -A$8)</f>
        <v>0</v>
      </c>
      <c r="B138" t="str">
        <f>B$9 * (31.75002861022949 -B$8)</f>
        <v>0</v>
      </c>
      <c r="C138" t="str">
        <f>C$9 * (31.75002861022949 -C$8)</f>
        <v>0</v>
      </c>
      <c r="E138" t="str">
        <f>E$9 * (-0.007013313006609678 -E$8)</f>
        <v>0</v>
      </c>
      <c r="F138" t="str">
        <f>F$9 * (-0.1652005016803741 -F$8)</f>
        <v>0</v>
      </c>
      <c r="G138" t="str">
        <f>G$9 * (-4.684876918792725 -G$8)</f>
        <v>0</v>
      </c>
    </row>
    <row r="139" spans="1:9">
      <c r="A139" t="str">
        <f>A$9 * (32.00055694580078 -A$8)</f>
        <v>0</v>
      </c>
      <c r="B139" t="str">
        <f>B$9 * (32.00055694580078 -B$8)</f>
        <v>0</v>
      </c>
      <c r="C139" t="str">
        <f>C$9 * (32.00055694580078 -C$8)</f>
        <v>0</v>
      </c>
      <c r="E139" t="str">
        <f>E$9 * (-0.003932780120521784 -E$8)</f>
        <v>0</v>
      </c>
      <c r="F139" t="str">
        <f>F$9 * (-0.5053871273994446 -F$8)</f>
        <v>0</v>
      </c>
      <c r="G139" t="str">
        <f>G$9 * (-2.632333040237427 -G$8)</f>
        <v>0</v>
      </c>
    </row>
    <row r="140" spans="1:9">
      <c r="A140" t="str">
        <f>A$9 * (32.25033187866211 -A$8)</f>
        <v>0</v>
      </c>
      <c r="B140" t="str">
        <f>B$9 * (32.25033187866211 -B$8)</f>
        <v>0</v>
      </c>
      <c r="C140" t="str">
        <f>C$9 * (32.25033187866211 -C$8)</f>
        <v>0</v>
      </c>
      <c r="E140" t="str">
        <f>E$9 * (-0.001599455950781703 -E$8)</f>
        <v>0</v>
      </c>
      <c r="F140" t="str">
        <f>F$9 * (-1.495990991592407 -F$8)</f>
        <v>0</v>
      </c>
      <c r="G140" t="str">
        <f>G$9 * (0.4006760120391846 -G$8)</f>
        <v>0</v>
      </c>
    </row>
    <row r="141" spans="1:9">
      <c r="A141" t="str">
        <f>A$9 * (32.50038909912109 -A$8)</f>
        <v>0</v>
      </c>
      <c r="B141" t="str">
        <f>B$9 * (32.50038909912109 -B$8)</f>
        <v>0</v>
      </c>
      <c r="C141" t="str">
        <f>C$9 * (32.50038909912109 -C$8)</f>
        <v>0</v>
      </c>
      <c r="E141" t="str">
        <f>E$9 * (-0.000235859100939706 -E$8)</f>
        <v>0</v>
      </c>
      <c r="F141" t="str">
        <f>F$9 * (-1.023689031600952 -F$8)</f>
        <v>0</v>
      </c>
      <c r="G141" t="str">
        <f>G$9 * (0.6666867136955261 -G$8)</f>
        <v>0</v>
      </c>
    </row>
    <row r="142" spans="1:9">
      <c r="A142" t="str">
        <f>A$9 * (32.75019454956055 -A$8)</f>
        <v>0</v>
      </c>
      <c r="B142" t="str">
        <f>B$9 * (32.75019454956055 -B$8)</f>
        <v>0</v>
      </c>
      <c r="C142" t="str">
        <f>C$9 * (32.75019454956055 -C$8)</f>
        <v>0</v>
      </c>
      <c r="E142" t="str">
        <f>E$9 * (-0.001068542012944818 -E$8)</f>
        <v>0</v>
      </c>
      <c r="F142" t="str">
        <f>F$9 * (-0.8066114783287048 -F$8)</f>
        <v>0</v>
      </c>
      <c r="G142" t="str">
        <f>G$9 * (0.1773238927125931 -G$8)</f>
        <v>0</v>
      </c>
    </row>
    <row r="143" spans="1:9">
      <c r="A143" t="str">
        <f>A$9 * (33.0007209777832 -A$8)</f>
        <v>0</v>
      </c>
      <c r="B143" t="str">
        <f>B$9 * (33.0007209777832 -B$8)</f>
        <v>0</v>
      </c>
      <c r="C143" t="str">
        <f>C$9 * (33.0007209777832 -C$8)</f>
        <v>0</v>
      </c>
      <c r="E143" t="str">
        <f>E$9 * (-5.810799848404713E-5 -E$8)</f>
        <v>0</v>
      </c>
      <c r="F143" t="str">
        <f>F$9 * (-0.06139710173010826 -F$8)</f>
        <v>0</v>
      </c>
      <c r="G143" t="str">
        <f>G$9 * (3.261765003204346 -G$8)</f>
        <v>0</v>
      </c>
    </row>
    <row r="144" spans="1:9">
      <c r="A144" t="str">
        <f>A$9 * (33.25008392333984 -A$8)</f>
        <v>0</v>
      </c>
      <c r="B144" t="str">
        <f>B$9 * (33.25008392333984 -B$8)</f>
        <v>0</v>
      </c>
      <c r="C144" t="str">
        <f>C$9 * (33.25008392333984 -C$8)</f>
        <v>0</v>
      </c>
      <c r="E144" t="str">
        <f>E$9 * (0.02914281934499741 -E$8)</f>
        <v>0</v>
      </c>
      <c r="F144" t="str">
        <f>F$9 * (8.312959671020508 -F$8)</f>
        <v>0</v>
      </c>
      <c r="G144" t="str">
        <f>G$9 * (9.933193206787109 -G$8)</f>
        <v>0</v>
      </c>
    </row>
    <row r="145" spans="1:9">
      <c r="A145" t="str">
        <f>A$9 * (33.50002670288086 -A$8)</f>
        <v>0</v>
      </c>
      <c r="B145" t="str">
        <f>B$9 * (33.50002670288086 -B$8)</f>
        <v>0</v>
      </c>
      <c r="C145" t="str">
        <f>C$9 * (33.50002670288086 -C$8)</f>
        <v>0</v>
      </c>
      <c r="E145" t="str">
        <f>E$9 * (0.02277312986552715 -E$8)</f>
        <v>0</v>
      </c>
      <c r="F145" t="str">
        <f>F$9 * (10.27215003967285 -F$8)</f>
        <v>0</v>
      </c>
      <c r="G145" t="str">
        <f>G$9 * (14.20971965789795 -G$8)</f>
        <v>0</v>
      </c>
    </row>
    <row r="146" spans="1:9">
      <c r="A146" t="str">
        <f>A$9 * (33.75033187866211 -A$8)</f>
        <v>0</v>
      </c>
      <c r="B146" t="str">
        <f>B$9 * (33.75033187866211 -B$8)</f>
        <v>0</v>
      </c>
      <c r="C146" t="str">
        <f>C$9 * (33.75033187866211 -C$8)</f>
        <v>0</v>
      </c>
      <c r="E146" t="str">
        <f>E$9 * (0.006000707857310772 -E$8)</f>
        <v>0</v>
      </c>
      <c r="F146" t="str">
        <f>F$9 * (2.835649013519287 -F$8)</f>
        <v>0</v>
      </c>
      <c r="G146" t="str">
        <f>G$9 * (7.793232917785645 -G$8)</f>
        <v>0</v>
      </c>
    </row>
    <row r="147" spans="1:9">
      <c r="A147" t="str">
        <f>A$9 * (34.00033187866211 -A$8)</f>
        <v>0</v>
      </c>
      <c r="B147" t="str">
        <f>B$9 * (34.00033187866211 -B$8)</f>
        <v>0</v>
      </c>
      <c r="C147" t="str">
        <f>C$9 * (34.00033187866211 -C$8)</f>
        <v>0</v>
      </c>
      <c r="E147" t="str">
        <f>E$9 * (0.0007006785017438233 -E$8)</f>
        <v>0</v>
      </c>
      <c r="F147" t="str">
        <f>F$9 * (-1.422677040100098 -F$8)</f>
        <v>0</v>
      </c>
      <c r="G147" t="str">
        <f>G$9 * (3.420460939407349 -G$8)</f>
        <v>0</v>
      </c>
    </row>
    <row r="148" spans="1:9">
      <c r="A148" t="str">
        <f>A$9 * (34.25047302246094 -A$8)</f>
        <v>0</v>
      </c>
      <c r="B148" t="str">
        <f>B$9 * (34.25047302246094 -B$8)</f>
        <v>0</v>
      </c>
      <c r="C148" t="str">
        <f>C$9 * (34.25047302246094 -C$8)</f>
        <v>0</v>
      </c>
      <c r="E148" t="str">
        <f>E$9 * (-0.0008839265210554004 -E$8)</f>
        <v>0</v>
      </c>
      <c r="F148" t="str">
        <f>F$9 * (-1.309196949005127 -F$8)</f>
        <v>0</v>
      </c>
      <c r="G148" t="str">
        <f>G$9 * (1.177873969078064 -G$8)</f>
        <v>0</v>
      </c>
    </row>
    <row r="149" spans="1:9">
      <c r="A149" t="str">
        <f>A$9 * (34.50013732910156 -A$8)</f>
        <v>0</v>
      </c>
      <c r="B149" t="str">
        <f>B$9 * (34.50013732910156 -B$8)</f>
        <v>0</v>
      </c>
      <c r="C149" t="str">
        <f>C$9 * (34.50013732910156 -C$8)</f>
        <v>0</v>
      </c>
      <c r="E149" t="str">
        <f>E$9 * (-0.0007964305114001036 -E$8)</f>
        <v>0</v>
      </c>
      <c r="F149" t="str">
        <f>F$9 * (-1.65507698059082 -F$8)</f>
        <v>0</v>
      </c>
      <c r="G149" t="str">
        <f>G$9 * (2.542392015457153 -G$8)</f>
        <v>0</v>
      </c>
    </row>
    <row r="150" spans="1:9">
      <c r="A150" t="str">
        <f>A$9 * (34.7506103515625 -A$8)</f>
        <v>0</v>
      </c>
      <c r="B150" t="str">
        <f>B$9 * (34.7506103515625 -B$8)</f>
        <v>0</v>
      </c>
      <c r="C150" t="str">
        <f>C$9 * (34.7506103515625 -C$8)</f>
        <v>0</v>
      </c>
      <c r="E150" t="str">
        <f>E$9 * (-0.001598458038643003 -E$8)</f>
        <v>0</v>
      </c>
      <c r="F150" t="str">
        <f>F$9 * (-0.8782681226730347 -F$8)</f>
        <v>0</v>
      </c>
      <c r="G150" t="str">
        <f>G$9 * (-0.5475851893424988 -G$8)</f>
        <v>0</v>
      </c>
    </row>
    <row r="151" spans="1:9">
      <c r="A151" t="str">
        <f>A$9 * (35.00019454956055 -A$8)</f>
        <v>0</v>
      </c>
      <c r="B151" t="str">
        <f>B$9 * (35.00019454956055 -B$8)</f>
        <v>0</v>
      </c>
      <c r="C151" t="str">
        <f>C$9 * (35.00019454956055 -C$8)</f>
        <v>0</v>
      </c>
      <c r="E151" t="str">
        <f>E$9 * (-0.0006941059837117791 -E$8)</f>
        <v>0</v>
      </c>
      <c r="F151" t="str">
        <f>F$9 * (-0.68751060962677 -F$8)</f>
        <v>0</v>
      </c>
      <c r="G151" t="str">
        <f>G$9 * (0.2390791028738022 -G$8)</f>
        <v>0</v>
      </c>
    </row>
    <row r="152" spans="1:9">
      <c r="A152" t="str">
        <f>A$9 * (35.25066757202148 -A$8)</f>
        <v>0</v>
      </c>
      <c r="B152" t="str">
        <f>B$9 * (35.25066757202148 -B$8)</f>
        <v>0</v>
      </c>
      <c r="C152" t="str">
        <f>C$9 * (35.25066757202148 -C$8)</f>
        <v>0</v>
      </c>
      <c r="E152" t="str">
        <f>E$9 * (-0.0006943895714357495 -E$8)</f>
        <v>0</v>
      </c>
      <c r="F152" t="str">
        <f>F$9 * (-0.1273591965436935 -F$8)</f>
        <v>0</v>
      </c>
      <c r="G152" t="str">
        <f>G$9 * (-0.2466302961111069 -G$8)</f>
        <v>0</v>
      </c>
    </row>
    <row r="153" spans="1:9">
      <c r="A153" t="str">
        <f>A$9 * (35.50013732910156 -A$8)</f>
        <v>0</v>
      </c>
      <c r="B153" t="str">
        <f>B$9 * (35.50013732910156 -B$8)</f>
        <v>0</v>
      </c>
      <c r="C153" t="str">
        <f>C$9 * (35.50013732910156 -C$8)</f>
        <v>0</v>
      </c>
      <c r="E153" t="str">
        <f>E$9 * (0.008212070912122726 -E$8)</f>
        <v>0</v>
      </c>
      <c r="F153" t="str">
        <f>F$9 * (1.254348993301392 -F$8)</f>
        <v>0</v>
      </c>
      <c r="G153" t="str">
        <f>G$9 * (36.46971893310547 -G$8)</f>
        <v>0</v>
      </c>
    </row>
    <row r="154" spans="1:9">
      <c r="A154" t="str">
        <f>A$9 * (35.75 -A$8)</f>
        <v>0</v>
      </c>
      <c r="B154" t="str">
        <f>B$9 * (35.75 -B$8)</f>
        <v>0</v>
      </c>
      <c r="C154" t="str">
        <f>C$9 * (35.75 -C$8)</f>
        <v>0</v>
      </c>
      <c r="E154" t="str">
        <f>E$9 * (0.05564133077859879 -E$8)</f>
        <v>0</v>
      </c>
      <c r="F154" t="str">
        <f>F$9 * (7.611433982849121 -F$8)</f>
        <v>0</v>
      </c>
      <c r="G154" t="str">
        <f>G$9 * (8.040156364440918 -G$8)</f>
        <v>0</v>
      </c>
    </row>
    <row r="155" spans="1:9">
      <c r="A155" t="str">
        <f>A$9 * (36.0004997253418 -A$8)</f>
        <v>0</v>
      </c>
      <c r="B155" t="str">
        <f>B$9 * (36.0004997253418 -B$8)</f>
        <v>0</v>
      </c>
      <c r="C155" t="str">
        <f>C$9 * (36.0004997253418 -C$8)</f>
        <v>0</v>
      </c>
      <c r="E155" t="str">
        <f>E$9 * (0.0124931400641799 -E$8)</f>
        <v>0</v>
      </c>
      <c r="F155" t="str">
        <f>F$9 * (6.196812152862549 -F$8)</f>
        <v>0</v>
      </c>
      <c r="G155" t="str">
        <f>G$9 * (11.00286960601807 -G$8)</f>
        <v>0</v>
      </c>
    </row>
    <row r="156" spans="1:9">
      <c r="A156" t="str">
        <f>A$9 * (36.25002670288086 -A$8)</f>
        <v>0</v>
      </c>
      <c r="B156" t="str">
        <f>B$9 * (36.25002670288086 -B$8)</f>
        <v>0</v>
      </c>
      <c r="C156" t="str">
        <f>C$9 * (36.25002670288086 -C$8)</f>
        <v>0</v>
      </c>
      <c r="E156" t="str">
        <f>E$9 * (-0.0001600477989995852 -E$8)</f>
        <v>0</v>
      </c>
      <c r="F156" t="str">
        <f>F$9 * (-0.04029314965009689 -F$8)</f>
        <v>0</v>
      </c>
      <c r="G156" t="str">
        <f>G$9 * (4.053390979766846 -G$8)</f>
        <v>0</v>
      </c>
    </row>
    <row r="157" spans="1:9">
      <c r="A157" t="str">
        <f>A$9 * (36.50019454956055 -A$8)</f>
        <v>0</v>
      </c>
      <c r="B157" t="str">
        <f>B$9 * (36.50019454956055 -B$8)</f>
        <v>0</v>
      </c>
      <c r="C157" t="str">
        <f>C$9 * (36.50019454956055 -C$8)</f>
        <v>0</v>
      </c>
      <c r="E157" t="str">
        <f>E$9 * (-0.0007586971041746438 -E$8)</f>
        <v>0</v>
      </c>
      <c r="F157" t="str">
        <f>F$9 * (-1.677893996238708 -F$8)</f>
        <v>0</v>
      </c>
      <c r="G157" t="str">
        <f>G$9 * (2.499181032180786 -G$8)</f>
        <v>0</v>
      </c>
    </row>
    <row r="158" spans="1:9">
      <c r="A158" t="str">
        <f>A$9 * (36.75047302246094 -A$8)</f>
        <v>0</v>
      </c>
      <c r="B158" t="str">
        <f>B$9 * (36.75047302246094 -B$8)</f>
        <v>0</v>
      </c>
      <c r="C158" t="str">
        <f>C$9 * (36.75047302246094 -C$8)</f>
        <v>0</v>
      </c>
      <c r="E158" t="str">
        <f>E$9 * (-0.0007587817963212729 -E$8)</f>
        <v>0</v>
      </c>
      <c r="F158" t="str">
        <f>F$9 * (-0.4680269062519073 -F$8)</f>
        <v>0</v>
      </c>
      <c r="G158" t="str">
        <f>G$9 * (-0.04841985180974007 -G$8)</f>
        <v>0</v>
      </c>
    </row>
    <row r="159" spans="1:9">
      <c r="A159" t="str">
        <f>A$9 * (37.00025177001953 -A$8)</f>
        <v>0</v>
      </c>
      <c r="B159" t="str">
        <f>B$9 * (37.00025177001953 -B$8)</f>
        <v>0</v>
      </c>
      <c r="C159" t="str">
        <f>C$9 * (37.00025177001953 -C$8)</f>
        <v>0</v>
      </c>
      <c r="E159" t="str">
        <f>E$9 * (-0.001297242008149624 -E$8)</f>
        <v>0</v>
      </c>
      <c r="F159" t="str">
        <f>F$9 * (-1.384199976921082 -F$8)</f>
        <v>0</v>
      </c>
      <c r="G159" t="str">
        <f>G$9 * (-0.02204873040318489 -G$8)</f>
        <v>0</v>
      </c>
    </row>
    <row r="160" spans="1:9">
      <c r="A160" t="str">
        <f>A$9 * (37.2501106262207 -A$8)</f>
        <v>0</v>
      </c>
      <c r="B160" t="str">
        <f>B$9 * (37.2501106262207 -B$8)</f>
        <v>0</v>
      </c>
      <c r="C160" t="str">
        <f>C$9 * (37.2501106262207 -C$8)</f>
        <v>0</v>
      </c>
      <c r="E160" t="str">
        <f>E$9 * (0.0007863517967052758 -E$8)</f>
        <v>0</v>
      </c>
      <c r="F160" t="str">
        <f>F$9 * (-0.6298993825912476 -F$8)</f>
        <v>0</v>
      </c>
      <c r="G160" t="str">
        <f>G$9 * (2.397056102752686 -G$8)</f>
        <v>0</v>
      </c>
    </row>
    <row r="161" spans="1:9">
      <c r="A161" t="str">
        <f>A$9 * (37.50002670288086 -A$8)</f>
        <v>0</v>
      </c>
      <c r="B161" t="str">
        <f>B$9 * (37.50002670288086 -B$8)</f>
        <v>0</v>
      </c>
      <c r="C161" t="str">
        <f>C$9 * (37.50002670288086 -C$8)</f>
        <v>0</v>
      </c>
      <c r="E161" t="str">
        <f>E$9 * (-0.0004638796963263303 -E$8)</f>
        <v>0</v>
      </c>
      <c r="F161" t="str">
        <f>F$9 * (-0.8272212743759155 -F$8)</f>
        <v>0</v>
      </c>
      <c r="G161" t="str">
        <f>G$9 * (0.3335185945034027 -G$8)</f>
        <v>0</v>
      </c>
    </row>
    <row r="162" spans="1:9">
      <c r="A162" t="str">
        <f>A$9 * (37.75083160400391 -A$8)</f>
        <v>0</v>
      </c>
      <c r="B162" t="str">
        <f>B$9 * (37.75083160400391 -B$8)</f>
        <v>0</v>
      </c>
      <c r="C162" t="str">
        <f>C$9 * (37.75083160400391 -C$8)</f>
        <v>0</v>
      </c>
      <c r="E162" t="str">
        <f>E$9 * (-0.005718435160815716 -E$8)</f>
        <v>0</v>
      </c>
      <c r="F162" t="str">
        <f>F$9 * (-3.239109992980957 -F$8)</f>
        <v>0</v>
      </c>
      <c r="G162" t="str">
        <f>G$9 * (1.919445037841797 -G$8)</f>
        <v>0</v>
      </c>
    </row>
    <row r="163" spans="1:9">
      <c r="A163" t="str">
        <f>A$9 * (38.00052642822266 -A$8)</f>
        <v>0</v>
      </c>
      <c r="B163" t="str">
        <f>B$9 * (38.00052642822266 -B$8)</f>
        <v>0</v>
      </c>
      <c r="C163" t="str">
        <f>C$9 * (38.00052642822266 -C$8)</f>
        <v>0</v>
      </c>
      <c r="E163" t="str">
        <f>E$9 * (0.02878854982554913 -E$8)</f>
        <v>0</v>
      </c>
      <c r="F163" t="str">
        <f>F$9 * (8.687702178955078 -F$8)</f>
        <v>0</v>
      </c>
      <c r="G163" t="str">
        <f>G$9 * (10.46823978424072 -G$8)</f>
        <v>0</v>
      </c>
    </row>
    <row r="164" spans="1:9">
      <c r="A164" t="str">
        <f>A$9 * (38.25022125244141 -A$8)</f>
        <v>0</v>
      </c>
      <c r="B164" t="str">
        <f>B$9 * (38.25022125244141 -B$8)</f>
        <v>0</v>
      </c>
      <c r="C164" t="str">
        <f>C$9 * (38.25022125244141 -C$8)</f>
        <v>0</v>
      </c>
      <c r="E164" t="str">
        <f>E$9 * (0.02375783957540989 -E$8)</f>
        <v>0</v>
      </c>
      <c r="F164" t="str">
        <f>F$9 * (10.43949031829834 -F$8)</f>
        <v>0</v>
      </c>
      <c r="G164" t="str">
        <f>G$9 * (14.17201995849609 -G$8)</f>
        <v>0</v>
      </c>
    </row>
    <row r="165" spans="1:9">
      <c r="A165" t="str">
        <f>A$9 * (38.50013732910156 -A$8)</f>
        <v>0</v>
      </c>
      <c r="B165" t="str">
        <f>B$9 * (38.50013732910156 -B$8)</f>
        <v>0</v>
      </c>
      <c r="C165" t="str">
        <f>C$9 * (38.50013732910156 -C$8)</f>
        <v>0</v>
      </c>
      <c r="E165" t="str">
        <f>E$9 * (0.006442628800868988 -E$8)</f>
        <v>0</v>
      </c>
      <c r="F165" t="str">
        <f>F$9 * (3.226747989654541 -F$8)</f>
        <v>0</v>
      </c>
      <c r="G165" t="str">
        <f>G$9 * (8.489042282104492 -G$8)</f>
        <v>0</v>
      </c>
    </row>
    <row r="166" spans="1:9">
      <c r="A166" t="str">
        <f>A$9 * (38.75030517578125 -A$8)</f>
        <v>0</v>
      </c>
      <c r="B166" t="str">
        <f>B$9 * (38.75030517578125 -B$8)</f>
        <v>0</v>
      </c>
      <c r="C166" t="str">
        <f>C$9 * (38.75030517578125 -C$8)</f>
        <v>0</v>
      </c>
      <c r="E166" t="str">
        <f>E$9 * (-0.001138760009780526 -E$8)</f>
        <v>0</v>
      </c>
      <c r="F166" t="str">
        <f>F$9 * (-1.560137987136841 -F$8)</f>
        <v>0</v>
      </c>
      <c r="G166" t="str">
        <f>G$9 * (1.142328977584839 -G$8)</f>
        <v>0</v>
      </c>
    </row>
    <row r="167" spans="1:9">
      <c r="A167" t="str">
        <f>A$9 * (39.00027847290039 -A$8)</f>
        <v>0</v>
      </c>
      <c r="B167" t="str">
        <f>B$9 * (39.00027847290039 -B$8)</f>
        <v>0</v>
      </c>
      <c r="C167" t="str">
        <f>C$9 * (39.00027847290039 -C$8)</f>
        <v>0</v>
      </c>
      <c r="E167" t="str">
        <f>E$9 * (-0.001258068950846791 -E$8)</f>
        <v>0</v>
      </c>
      <c r="F167" t="str">
        <f>F$9 * (-1.431607007980347 -F$8)</f>
        <v>0</v>
      </c>
      <c r="G167" t="str">
        <f>G$9 * (0.807538628578186 -G$8)</f>
        <v>0</v>
      </c>
    </row>
    <row r="168" spans="1:9">
      <c r="A168" t="str">
        <f>A$9 * (39.25027847290039 -A$8)</f>
        <v>0</v>
      </c>
      <c r="B168" t="str">
        <f>B$9 * (39.25027847290039 -B$8)</f>
        <v>0</v>
      </c>
      <c r="C168" t="str">
        <f>C$9 * (39.25027847290039 -C$8)</f>
        <v>0</v>
      </c>
      <c r="E168" t="str">
        <f>E$9 * (-0.001548302941955626 -E$8)</f>
        <v>0</v>
      </c>
      <c r="F168" t="str">
        <f>F$9 * (-1.592213988304138 -F$8)</f>
        <v>0</v>
      </c>
      <c r="G168" t="str">
        <f>G$9 * (0.2645086050033569 -G$8)</f>
        <v>0</v>
      </c>
    </row>
    <row r="169" spans="1:9">
      <c r="A169" t="str">
        <f>A$9 * (39.50055694580078 -A$8)</f>
        <v>0</v>
      </c>
      <c r="B169" t="str">
        <f>B$9 * (39.50055694580078 -B$8)</f>
        <v>0</v>
      </c>
      <c r="C169" t="str">
        <f>C$9 * (39.50055694580078 -C$8)</f>
        <v>0</v>
      </c>
      <c r="E169" t="str">
        <f>E$9 * (0.0001216611999552697 -E$8)</f>
        <v>0</v>
      </c>
      <c r="F169" t="str">
        <f>F$9 * (-0.5977463126182556 -F$8)</f>
        <v>0</v>
      </c>
      <c r="G169" t="str">
        <f>G$9 * (1.076287031173706 -G$8)</f>
        <v>0</v>
      </c>
    </row>
    <row r="170" spans="1:9">
      <c r="A170" t="str">
        <f>A$9 * (39.75041580200195 -A$8)</f>
        <v>0</v>
      </c>
      <c r="B170" t="str">
        <f>B$9 * (39.75041580200195 -B$8)</f>
        <v>0</v>
      </c>
      <c r="C170" t="str">
        <f>C$9 * (39.75041580200195 -C$8)</f>
        <v>0</v>
      </c>
      <c r="E170" t="str">
        <f>E$9 * (-0.001079041045159101 -E$8)</f>
        <v>0</v>
      </c>
      <c r="F170" t="str">
        <f>F$9 * (-0.3742744028568268 -F$8)</f>
        <v>0</v>
      </c>
      <c r="G170" t="str">
        <f>G$9 * (-0.4871557056903839 -G$8)</f>
        <v>0</v>
      </c>
    </row>
    <row r="171" spans="1:9">
      <c r="A171" t="str">
        <f>A$9 * (40.0007209777832 -A$8)</f>
        <v>0</v>
      </c>
      <c r="B171" t="str">
        <f>B$9 * (40.0007209777832 -B$8)</f>
        <v>0</v>
      </c>
      <c r="C171" t="str">
        <f>C$9 * (40.0007209777832 -C$8)</f>
        <v>0</v>
      </c>
      <c r="E171" t="str">
        <f>E$9 * (-0.0003620620118454099 -E$8)</f>
        <v>0</v>
      </c>
      <c r="F171" t="str">
        <f>F$9 * (-0.4045214951038361 -F$8)</f>
        <v>0</v>
      </c>
      <c r="G171" t="str">
        <f>G$9 * (0.09280289709568024 -G$8)</f>
        <v>0</v>
      </c>
    </row>
    <row r="172" spans="1:9">
      <c r="A172" t="str">
        <f>A$9 * (40.25005722045898 -A$8)</f>
        <v>0</v>
      </c>
      <c r="B172" t="str">
        <f>B$9 * (40.25005722045898 -B$8)</f>
        <v>0</v>
      </c>
      <c r="C172" t="str">
        <f>C$9 * (40.25005722045898 -C$8)</f>
        <v>0</v>
      </c>
      <c r="E172" t="str">
        <f>E$9 * (0.007367320824414492 -E$8)</f>
        <v>0</v>
      </c>
      <c r="F172" t="str">
        <f>F$9 * (7.047525882720947 -F$8)</f>
        <v>0</v>
      </c>
      <c r="G172" t="str">
        <f>G$9 * (43.27801132202148 -G$8)</f>
        <v>0</v>
      </c>
    </row>
    <row r="173" spans="1:9">
      <c r="A173" t="str">
        <f>A$9 * (40.50047302246094 -A$8)</f>
        <v>0</v>
      </c>
      <c r="B173" t="str">
        <f>B$9 * (40.50047302246094 -B$8)</f>
        <v>0</v>
      </c>
      <c r="C173" t="str">
        <f>C$9 * (40.50047302246094 -C$8)</f>
        <v>0</v>
      </c>
      <c r="E173" t="str">
        <f>E$9 * (0.05266061052680016 -E$8)</f>
        <v>0</v>
      </c>
      <c r="F173" t="str">
        <f>F$9 * (7.154197216033936 -F$8)</f>
        <v>0</v>
      </c>
      <c r="G173" t="str">
        <f>G$9 * (7.559970855712891 -G$8)</f>
        <v>0</v>
      </c>
    </row>
    <row r="174" spans="1:9">
      <c r="A174" t="str">
        <f>A$9 * (40.7501106262207 -A$8)</f>
        <v>0</v>
      </c>
      <c r="B174" t="str">
        <f>B$9 * (40.7501106262207 -B$8)</f>
        <v>0</v>
      </c>
      <c r="C174" t="str">
        <f>C$9 * (40.7501106262207 -C$8)</f>
        <v>0</v>
      </c>
      <c r="E174" t="str">
        <f>E$9 * (0.01294864993542433 -E$8)</f>
        <v>0</v>
      </c>
      <c r="F174" t="str">
        <f>F$9 * (6.412751197814941 -F$8)</f>
        <v>0</v>
      </c>
      <c r="G174" t="str">
        <f>G$9 * (11.18118000030518 -G$8)</f>
        <v>0</v>
      </c>
    </row>
    <row r="175" spans="1:9">
      <c r="A175" t="str">
        <f>A$9 * (41.00038909912109 -A$8)</f>
        <v>0</v>
      </c>
      <c r="B175" t="str">
        <f>B$9 * (41.00038909912109 -B$8)</f>
        <v>0</v>
      </c>
      <c r="C175" t="str">
        <f>C$9 * (41.00038909912109 -C$8)</f>
        <v>0</v>
      </c>
      <c r="E175" t="str">
        <f>E$9 * (0.0002561112050898373 -E$8)</f>
        <v>0</v>
      </c>
      <c r="F175" t="str">
        <f>F$9 * (0.06186141073703766 -F$8)</f>
        <v>0</v>
      </c>
      <c r="G175" t="str">
        <f>G$9 * (2.617902040481567 -G$8)</f>
        <v>0</v>
      </c>
    </row>
    <row r="176" spans="1:9">
      <c r="A176" t="str">
        <f>A$9 * (41.25022125244141 -A$8)</f>
        <v>0</v>
      </c>
      <c r="B176" t="str">
        <f>B$9 * (41.25022125244141 -B$8)</f>
        <v>0</v>
      </c>
      <c r="C176" t="str">
        <f>C$9 * (41.25022125244141 -C$8)</f>
        <v>0</v>
      </c>
      <c r="E176" t="str">
        <f>E$9 * (-0.001241764053702354 -E$8)</f>
        <v>0</v>
      </c>
      <c r="F176" t="str">
        <f>F$9 * (-1.362028956413269 -F$8)</f>
        <v>0</v>
      </c>
      <c r="G176" t="str">
        <f>G$9 * (1.120900988578796 -G$8)</f>
        <v>0</v>
      </c>
    </row>
    <row r="177" spans="1:9">
      <c r="A177" t="str">
        <f>A$9 * (41.50027847290039 -A$8)</f>
        <v>0</v>
      </c>
      <c r="B177" t="str">
        <f>B$9 * (41.50027847290039 -B$8)</f>
        <v>0</v>
      </c>
      <c r="C177" t="str">
        <f>C$9 * (41.50027847290039 -C$8)</f>
        <v>0</v>
      </c>
      <c r="E177" t="str">
        <f>E$9 * (-0.0008724697981961071 -E$8)</f>
        <v>0</v>
      </c>
      <c r="F177" t="str">
        <f>F$9 * (-1.038035988807678 -F$8)</f>
        <v>0</v>
      </c>
      <c r="G177" t="str">
        <f>G$9 * (0.2016029953956604 -G$8)</f>
        <v>0</v>
      </c>
    </row>
    <row r="178" spans="1:9">
      <c r="A178" t="str">
        <f>A$9 * (41.7501106262207 -A$8)</f>
        <v>0</v>
      </c>
      <c r="B178" t="str">
        <f>B$9 * (41.7501106262207 -B$8)</f>
        <v>0</v>
      </c>
      <c r="C178" t="str">
        <f>C$9 * (41.7501106262207 -C$8)</f>
        <v>0</v>
      </c>
      <c r="E178" t="str">
        <f>E$9 * (-0.001694721984677017 -E$8)</f>
        <v>0</v>
      </c>
      <c r="F178" t="str">
        <f>F$9 * (-1.553251981735229 -F$8)</f>
        <v>0</v>
      </c>
      <c r="G178" t="str">
        <f>G$9 * (0.3094637095928192 -G$8)</f>
        <v>0</v>
      </c>
    </row>
    <row r="179" spans="1:9">
      <c r="A179" t="str">
        <f>A$9 * (42.00038909912109 -A$8)</f>
        <v>0</v>
      </c>
      <c r="B179" t="str">
        <f>B$9 * (42.00038909912109 -B$8)</f>
        <v>0</v>
      </c>
      <c r="C179" t="str">
        <f>C$9 * (42.00038909912109 -C$8)</f>
        <v>0</v>
      </c>
      <c r="E179" t="str">
        <f>E$9 * (-0.000957558280788362 -E$8)</f>
        <v>0</v>
      </c>
      <c r="F179" t="str">
        <f>F$9 * (-0.9144347906112671 -F$8)</f>
        <v>0</v>
      </c>
      <c r="G179" t="str">
        <f>G$9 * (-0.2436659932136536 -G$8)</f>
        <v>0</v>
      </c>
    </row>
    <row r="180" spans="1:9">
      <c r="A180" t="str">
        <f>A$9 * (42.2504997253418 -A$8)</f>
        <v>0</v>
      </c>
      <c r="B180" t="str">
        <f>B$9 * (42.2504997253418 -B$8)</f>
        <v>0</v>
      </c>
      <c r="C180" t="str">
        <f>C$9 * (42.2504997253418 -C$8)</f>
        <v>0</v>
      </c>
      <c r="E180" t="str">
        <f>E$9 * (-0.0007219790131784976 -E$8)</f>
        <v>0</v>
      </c>
      <c r="F180" t="str">
        <f>F$9 * (-0.2465022951364517 -F$8)</f>
        <v>0</v>
      </c>
      <c r="G180" t="str">
        <f>G$9 * (-0.2297700047492981 -G$8)</f>
        <v>0</v>
      </c>
    </row>
    <row r="181" spans="1:9">
      <c r="A181" t="str">
        <f>A$9 * (42.50086212158203 -A$8)</f>
        <v>0</v>
      </c>
      <c r="B181" t="str">
        <f>B$9 * (42.50086212158203 -B$8)</f>
        <v>0</v>
      </c>
      <c r="C181" t="str">
        <f>C$9 * (42.50086212158203 -C$8)</f>
        <v>0</v>
      </c>
      <c r="E181" t="str">
        <f>E$9 * (0.0008903549169190228 -E$8)</f>
        <v>0</v>
      </c>
      <c r="F181" t="str">
        <f>F$9 * (-1.642514944076538 -F$8)</f>
        <v>0</v>
      </c>
      <c r="G181" t="str">
        <f>G$9 * (0.6571199893951416 -G$8)</f>
        <v>0</v>
      </c>
    </row>
    <row r="182" spans="1:9">
      <c r="A182" t="str">
        <f>A$9 * (42.75008392333984 -A$8)</f>
        <v>0</v>
      </c>
      <c r="B182" t="str">
        <f>B$9 * (42.75008392333984 -B$8)</f>
        <v>0</v>
      </c>
      <c r="C182" t="str">
        <f>C$9 * (42.75008392333984 -C$8)</f>
        <v>0</v>
      </c>
      <c r="E182" t="str">
        <f>E$9 * (0.02948749996721745 -E$8)</f>
        <v>0</v>
      </c>
      <c r="F182" t="str">
        <f>F$9 * (9.73399829864502 -F$8)</f>
        <v>0</v>
      </c>
      <c r="G182" t="str">
        <f>G$9 * (11.75555992126465 -G$8)</f>
        <v>0</v>
      </c>
    </row>
    <row r="183" spans="1:9">
      <c r="A183" t="str">
        <f>A$9 * (43.00036239624023 -A$8)</f>
        <v>0</v>
      </c>
      <c r="B183" t="str">
        <f>B$9 * (43.00036239624023 -B$8)</f>
        <v>0</v>
      </c>
      <c r="C183" t="str">
        <f>C$9 * (43.00036239624023 -C$8)</f>
        <v>0</v>
      </c>
      <c r="E183" t="str">
        <f>E$9 * (0.02664739079773426 -E$8)</f>
        <v>0</v>
      </c>
      <c r="F183" t="str">
        <f>F$9 * (11.2741003036499 -F$8)</f>
        <v>0</v>
      </c>
      <c r="G183" t="str">
        <f>G$9 * (14.89080047607422 -G$8)</f>
        <v>0</v>
      </c>
    </row>
    <row r="184" spans="1:9">
      <c r="A184" t="str">
        <f>A$9 * (43.25016784667969 -A$8)</f>
        <v>0</v>
      </c>
      <c r="B184" t="str">
        <f>B$9 * (43.25016784667969 -B$8)</f>
        <v>0</v>
      </c>
      <c r="C184" t="str">
        <f>C$9 * (43.25016784667969 -C$8)</f>
        <v>0</v>
      </c>
      <c r="E184" t="str">
        <f>E$9 * (0.007501632906496525 -E$8)</f>
        <v>0</v>
      </c>
      <c r="F184" t="str">
        <f>F$9 * (3.966583967208862 -F$8)</f>
        <v>0</v>
      </c>
      <c r="G184" t="str">
        <f>G$9 * (9.503169059753418 -G$8)</f>
        <v>0</v>
      </c>
    </row>
    <row r="185" spans="1:9">
      <c r="A185" t="str">
        <f>A$9 * (43.50027847290039 -A$8)</f>
        <v>0</v>
      </c>
      <c r="B185" t="str">
        <f>B$9 * (43.50027847290039 -B$8)</f>
        <v>0</v>
      </c>
      <c r="C185" t="str">
        <f>C$9 * (43.50027847290039 -C$8)</f>
        <v>0</v>
      </c>
      <c r="E185" t="str">
        <f>E$9 * (-0.001192240044474602 -E$8)</f>
        <v>0</v>
      </c>
      <c r="F185" t="str">
        <f>F$9 * (-1.712679982185364 -F$8)</f>
        <v>0</v>
      </c>
      <c r="G185" t="str">
        <f>G$9 * (1.283782005310059 -G$8)</f>
        <v>0</v>
      </c>
    </row>
    <row r="186" spans="1:9">
      <c r="A186" t="str">
        <f>A$9 * (43.75038909912109 -A$8)</f>
        <v>0</v>
      </c>
      <c r="B186" t="str">
        <f>B$9 * (43.75038909912109 -B$8)</f>
        <v>0</v>
      </c>
      <c r="C186" t="str">
        <f>C$9 * (43.75038909912109 -C$8)</f>
        <v>0</v>
      </c>
      <c r="E186" t="str">
        <f>E$9 * (-0.001478579011745751 -E$8)</f>
        <v>0</v>
      </c>
      <c r="F186" t="str">
        <f>F$9 * (-1.40110194683075 -F$8)</f>
        <v>0</v>
      </c>
      <c r="G186" t="str">
        <f>G$9 * (-0.09642723947763443 -G$8)</f>
        <v>0</v>
      </c>
    </row>
    <row r="187" spans="1:9">
      <c r="A187" t="str">
        <f>A$9 * (44.00058364868164 -A$8)</f>
        <v>0</v>
      </c>
      <c r="B187" t="str">
        <f>B$9 * (44.00058364868164 -B$8)</f>
        <v>0</v>
      </c>
      <c r="C187" t="str">
        <f>C$9 * (44.00058364868164 -C$8)</f>
        <v>0</v>
      </c>
      <c r="E187" t="str">
        <f>E$9 * (-0.003936024848371744 -E$8)</f>
        <v>0</v>
      </c>
      <c r="F187" t="str">
        <f>F$9 * (-0.1826397925615311 -F$8)</f>
        <v>0</v>
      </c>
      <c r="G187" t="str">
        <f>G$9 * (-2.613392114639282 -G$8)</f>
        <v>0</v>
      </c>
    </row>
    <row r="188" spans="1:9">
      <c r="A188" t="str">
        <f>A$9 * (44.25005722045898 -A$8)</f>
        <v>0</v>
      </c>
      <c r="B188" t="str">
        <f>B$9 * (44.25005722045898 -B$8)</f>
        <v>0</v>
      </c>
      <c r="C188" t="str">
        <f>C$9 * (44.25005722045898 -C$8)</f>
        <v>0</v>
      </c>
      <c r="E188" t="str">
        <f>E$9 * (-0.001280379947274923 -E$8)</f>
        <v>0</v>
      </c>
      <c r="F188" t="str">
        <f>F$9 * (-1.389961004257202 -F$8)</f>
        <v>0</v>
      </c>
      <c r="G188" t="str">
        <f>G$9 * (-0.2110918015241623 -G$8)</f>
        <v>0</v>
      </c>
    </row>
    <row r="189" spans="1:9">
      <c r="A189" t="str">
        <f>A$9 * (44.50055694580078 -A$8)</f>
        <v>0</v>
      </c>
      <c r="B189" t="str">
        <f>B$9 * (44.50055694580078 -B$8)</f>
        <v>0</v>
      </c>
      <c r="C189" t="str">
        <f>C$9 * (44.50055694580078 -C$8)</f>
        <v>0</v>
      </c>
      <c r="E189" t="str">
        <f>E$9 * (-0.001063182018697262 -E$8)</f>
        <v>0</v>
      </c>
      <c r="F189" t="str">
        <f>F$9 * (-0.2996033132076263 -F$8)</f>
        <v>0</v>
      </c>
      <c r="G189" t="str">
        <f>G$9 * (-0.6059737801551819 -G$8)</f>
        <v>0</v>
      </c>
    </row>
    <row r="190" spans="1:9">
      <c r="A190" t="str">
        <f>A$9 * (44.75041580200195 -A$8)</f>
        <v>0</v>
      </c>
      <c r="B190" t="str">
        <f>B$9 * (44.75041580200195 -B$8)</f>
        <v>0</v>
      </c>
      <c r="C190" t="str">
        <f>C$9 * (44.75041580200195 -C$8)</f>
        <v>0</v>
      </c>
      <c r="E190" t="str">
        <f>E$9 * (-0.000411145098041743 -E$8)</f>
        <v>0</v>
      </c>
      <c r="F190" t="str">
        <f>F$9 * (-0.6590834856033325 -F$8)</f>
        <v>0</v>
      </c>
      <c r="G190" t="str">
        <f>G$9 * (0.3006977140903473 -G$8)</f>
        <v>0</v>
      </c>
    </row>
    <row r="191" spans="1:9">
      <c r="A191" t="str">
        <f>A$9 * (45.00016784667969 -A$8)</f>
        <v>0</v>
      </c>
      <c r="B191" t="str">
        <f>B$9 * (45.00016784667969 -B$8)</f>
        <v>0</v>
      </c>
      <c r="C191" t="str">
        <f>C$9 * (45.00016784667969 -C$8)</f>
        <v>0</v>
      </c>
      <c r="E191" t="str">
        <f>E$9 * (0.1664053052663803 -E$8)</f>
        <v>0</v>
      </c>
      <c r="F191" t="str">
        <f>F$9 * (24.61331939697266 -F$8)</f>
        <v>0</v>
      </c>
      <c r="G191" t="str">
        <f>G$9 * (25.85037994384766 -G$8)</f>
        <v>0</v>
      </c>
    </row>
    <row r="192" spans="1:9">
      <c r="A192" t="str">
        <f>A$9 * (45.25002670288086 -A$8)</f>
        <v>0</v>
      </c>
      <c r="B192" t="str">
        <f>B$9 * (45.25002670288086 -B$8)</f>
        <v>0</v>
      </c>
      <c r="C192" t="str">
        <f>C$9 * (45.25002670288086 -C$8)</f>
        <v>0</v>
      </c>
      <c r="E192" t="str">
        <f>E$9 * (0.04673901945352554 -E$8)</f>
        <v>0</v>
      </c>
      <c r="F192" t="str">
        <f>F$9 * (6.554393768310547 -F$8)</f>
        <v>0</v>
      </c>
      <c r="G192" t="str">
        <f>G$9 * (6.942813873291016 -G$8)</f>
        <v>0</v>
      </c>
    </row>
    <row r="193" spans="1:9">
      <c r="A193" t="str">
        <f>A$9 * (45.50013732910156 -A$8)</f>
        <v>0</v>
      </c>
      <c r="B193" t="str">
        <f>B$9 * (45.50013732910156 -B$8)</f>
        <v>0</v>
      </c>
      <c r="C193" t="str">
        <f>C$9 * (45.50013732910156 -C$8)</f>
        <v>0</v>
      </c>
      <c r="E193" t="str">
        <f>E$9 * (0.01417182013392448 -E$8)</f>
        <v>0</v>
      </c>
      <c r="F193" t="str">
        <f>F$9 * (7.001327037811279 -F$8)</f>
        <v>0</v>
      </c>
      <c r="G193" t="str">
        <f>G$9 * (11.68093013763428 -G$8)</f>
        <v>0</v>
      </c>
    </row>
    <row r="194" spans="1:9">
      <c r="A194" t="str">
        <f>A$9 * (45.75013732910156 -A$8)</f>
        <v>0</v>
      </c>
      <c r="B194" t="str">
        <f>B$9 * (45.75013732910156 -B$8)</f>
        <v>0</v>
      </c>
      <c r="C194" t="str">
        <f>C$9 * (45.75013732910156 -C$8)</f>
        <v>0</v>
      </c>
      <c r="E194" t="str">
        <f>E$9 * (0.001608808990567923 -E$8)</f>
        <v>0</v>
      </c>
      <c r="F194" t="str">
        <f>F$9 * (0.4271070957183838 -F$8)</f>
        <v>0</v>
      </c>
      <c r="G194" t="str">
        <f>G$9 * (3.263514041900635 -G$8)</f>
        <v>0</v>
      </c>
    </row>
    <row r="195" spans="1:9">
      <c r="A195" t="str">
        <f>A$9 * (46.00005722045898 -A$8)</f>
        <v>0</v>
      </c>
      <c r="B195" t="str">
        <f>B$9 * (46.00005722045898 -B$8)</f>
        <v>0</v>
      </c>
      <c r="C195" t="str">
        <f>C$9 * (46.00005722045898 -C$8)</f>
        <v>0</v>
      </c>
      <c r="E195" t="str">
        <f>E$9 * (0.001259315991774201 -E$8)</f>
        <v>0</v>
      </c>
      <c r="F195" t="str">
        <f>F$9 * (-1.037333011627197 -F$8)</f>
        <v>0</v>
      </c>
      <c r="G195" t="str">
        <f>G$9 * (2.952682971954346 -G$8)</f>
        <v>0</v>
      </c>
    </row>
    <row r="196" spans="1:9">
      <c r="A196" t="str">
        <f>A$9 * (46.25041580200195 -A$8)</f>
        <v>0</v>
      </c>
      <c r="B196" t="str">
        <f>B$9 * (46.25041580200195 -B$8)</f>
        <v>0</v>
      </c>
      <c r="C196" t="str">
        <f>C$9 * (46.25041580200195 -C$8)</f>
        <v>0</v>
      </c>
      <c r="E196" t="str">
        <f>E$9 * (-0.001801450038328767 -E$8)</f>
        <v>0</v>
      </c>
      <c r="F196" t="str">
        <f>F$9 * (-0.7150024175643921 -F$8)</f>
        <v>0</v>
      </c>
      <c r="G196" t="str">
        <f>G$9 * (-0.641960620880127 -G$8)</f>
        <v>0</v>
      </c>
    </row>
    <row r="197" spans="1:9">
      <c r="A197" t="str">
        <f>A$9 * (46.5004997253418 -A$8)</f>
        <v>0</v>
      </c>
      <c r="B197" t="str">
        <f>B$9 * (46.5004997253418 -B$8)</f>
        <v>0</v>
      </c>
      <c r="C197" t="str">
        <f>C$9 * (46.5004997253418 -C$8)</f>
        <v>0</v>
      </c>
      <c r="E197" t="str">
        <f>E$9 * (-0.001624463009648025 -E$8)</f>
        <v>0</v>
      </c>
      <c r="F197" t="str">
        <f>F$9 * (-1.106534957885742 -F$8)</f>
        <v>0</v>
      </c>
      <c r="G197" t="str">
        <f>G$9 * (-0.530211329460144 -G$8)</f>
        <v>0</v>
      </c>
    </row>
    <row r="198" spans="1:9">
      <c r="A198" t="str">
        <f>A$9 * (46.7504997253418 -A$8)</f>
        <v>0</v>
      </c>
      <c r="B198" t="str">
        <f>B$9 * (46.7504997253418 -B$8)</f>
        <v>0</v>
      </c>
      <c r="C198" t="str">
        <f>C$9 * (46.7504997253418 -C$8)</f>
        <v>0</v>
      </c>
      <c r="E198" t="str">
        <f>E$9 * (-0.0005755028105340898 -E$8)</f>
        <v>0</v>
      </c>
      <c r="F198" t="str">
        <f>F$9 * (-1.117655038833618 -F$8)</f>
        <v>0</v>
      </c>
      <c r="G198" t="str">
        <f>G$9 * (0.88906329870224 -G$8)</f>
        <v>0</v>
      </c>
    </row>
    <row r="199" spans="1:9">
      <c r="A199" t="str">
        <f>A$9 * (47.0004997253418 -A$8)</f>
        <v>0</v>
      </c>
      <c r="B199" t="str">
        <f>B$9 * (47.0004997253418 -B$8)</f>
        <v>0</v>
      </c>
      <c r="C199" t="str">
        <f>C$9 * (47.0004997253418 -C$8)</f>
        <v>0</v>
      </c>
      <c r="E199" t="str">
        <f>E$9 * (-0.0006038856809027493 -E$8)</f>
        <v>0</v>
      </c>
      <c r="F199" t="str">
        <f>F$9 * (-0.5081402063369751 -F$8)</f>
        <v>0</v>
      </c>
      <c r="G199" t="str">
        <f>G$9 * (0.3279255926609039 -G$8)</f>
        <v>0</v>
      </c>
    </row>
    <row r="200" spans="1:9">
      <c r="A200" t="str">
        <f>A$9 * (47.25069427490234 -A$8)</f>
        <v>0</v>
      </c>
      <c r="B200" t="str">
        <f>B$9 * (47.25069427490234 -B$8)</f>
        <v>0</v>
      </c>
      <c r="C200" t="str">
        <f>C$9 * (47.25069427490234 -C$8)</f>
        <v>0</v>
      </c>
      <c r="E200" t="str">
        <f>E$9 * (-0.0007514472818002105 -E$8)</f>
        <v>0</v>
      </c>
      <c r="F200" t="str">
        <f>F$9 * (-1.420683026313782 -F$8)</f>
        <v>0</v>
      </c>
      <c r="G200" t="str">
        <f>G$9 * (1.032412052154541 -G$8)</f>
        <v>0</v>
      </c>
    </row>
    <row r="201" spans="1:9">
      <c r="A201" t="str">
        <f>A$9 * (47.5006103515625 -A$8)</f>
        <v>0</v>
      </c>
      <c r="B201" t="str">
        <f>B$9 * (47.5006103515625 -B$8)</f>
        <v>0</v>
      </c>
      <c r="C201" t="str">
        <f>C$9 * (47.5006103515625 -C$8)</f>
        <v>0</v>
      </c>
      <c r="E201" t="str">
        <f>E$9 * (0.02940383926033974 -E$8)</f>
        <v>0</v>
      </c>
      <c r="F201" t="str">
        <f>F$9 * (9.28492259979248 -F$8)</f>
        <v>0</v>
      </c>
      <c r="G201" t="str">
        <f>G$9 * (11.22220039367676 -G$8)</f>
        <v>0</v>
      </c>
    </row>
    <row r="202" spans="1:9">
      <c r="A202" t="str">
        <f>A$9 * (47.7501106262207 -A$8)</f>
        <v>0</v>
      </c>
      <c r="B202" t="str">
        <f>B$9 * (47.7501106262207 -B$8)</f>
        <v>0</v>
      </c>
      <c r="C202" t="str">
        <f>C$9 * (47.7501106262207 -C$8)</f>
        <v>0</v>
      </c>
      <c r="E202" t="str">
        <f>E$9 * (0.03134727850556374 -E$8)</f>
        <v>0</v>
      </c>
      <c r="F202" t="str">
        <f>F$9 * (12.75907039642334 -F$8)</f>
        <v>0</v>
      </c>
      <c r="G202" t="str">
        <f>G$9 * (16.36350059509277 -G$8)</f>
        <v>0</v>
      </c>
    </row>
    <row r="203" spans="1:9">
      <c r="A203" t="str">
        <f>A$9 * (48.0001106262207 -A$8)</f>
        <v>0</v>
      </c>
      <c r="B203" t="str">
        <f>B$9 * (48.0001106262207 -B$8)</f>
        <v>0</v>
      </c>
      <c r="C203" t="str">
        <f>C$9 * (48.0001106262207 -C$8)</f>
        <v>0</v>
      </c>
      <c r="E203" t="str">
        <f>E$9 * (0.008905122987926006 -E$8)</f>
        <v>0</v>
      </c>
      <c r="F203" t="str">
        <f>F$9 * (4.705885887145996 -F$8)</f>
        <v>0</v>
      </c>
      <c r="G203" t="str">
        <f>G$9 * (10.14694976806641 -G$8)</f>
        <v>0</v>
      </c>
    </row>
    <row r="204" spans="1:9">
      <c r="A204" t="str">
        <f>A$9 * (48.25030517578125 -A$8)</f>
        <v>0</v>
      </c>
      <c r="B204" t="str">
        <f>B$9 * (48.25030517578125 -B$8)</f>
        <v>0</v>
      </c>
      <c r="C204" t="str">
        <f>C$9 * (48.25030517578125 -C$8)</f>
        <v>0</v>
      </c>
      <c r="E204" t="str">
        <f>E$9 * (-0.000670628622174263 -E$8)</f>
        <v>0</v>
      </c>
      <c r="F204" t="str">
        <f>F$9 * (-1.794098973274231 -F$8)</f>
        <v>0</v>
      </c>
      <c r="G204" t="str">
        <f>G$9 * (2.133972883224487 -G$8)</f>
        <v>0</v>
      </c>
    </row>
    <row r="205" spans="1:9">
      <c r="A205" t="str">
        <f>A$9 * (48.50016784667969 -A$8)</f>
        <v>0</v>
      </c>
      <c r="B205" t="str">
        <f>B$9 * (48.50016784667969 -B$8)</f>
        <v>0</v>
      </c>
      <c r="C205" t="str">
        <f>C$9 * (48.50016784667969 -C$8)</f>
        <v>0</v>
      </c>
      <c r="E205" t="str">
        <f>E$9 * (-0.000630845024716109 -E$8)</f>
        <v>0</v>
      </c>
      <c r="F205" t="str">
        <f>F$9 * (-1.317239999771118 -F$8)</f>
        <v>0</v>
      </c>
      <c r="G205" t="str">
        <f>G$9 * (1.559355974197388 -G$8)</f>
        <v>0</v>
      </c>
    </row>
    <row r="206" spans="1:9">
      <c r="A206" t="str">
        <f>A$9 * (48.75047302246094 -A$8)</f>
        <v>0</v>
      </c>
      <c r="B206" t="str">
        <f>B$9 * (48.75047302246094 -B$8)</f>
        <v>0</v>
      </c>
      <c r="C206" t="str">
        <f>C$9 * (48.75047302246094 -C$8)</f>
        <v>0</v>
      </c>
      <c r="E206" t="str">
        <f>E$9 * (-0.0001694017992122099 -E$8)</f>
        <v>0</v>
      </c>
      <c r="F206" t="str">
        <f>F$9 * (-0.6538785099983215 -F$8)</f>
        <v>0</v>
      </c>
      <c r="G206" t="str">
        <f>G$9 * (0.8423798084259033 -G$8)</f>
        <v>0</v>
      </c>
    </row>
    <row r="207" spans="1:9">
      <c r="A207" t="str">
        <f>A$9 * (49.00033187866211 -A$8)</f>
        <v>0</v>
      </c>
      <c r="B207" t="str">
        <f>B$9 * (49.00033187866211 -B$8)</f>
        <v>0</v>
      </c>
      <c r="C207" t="str">
        <f>C$9 * (49.00033187866211 -C$8)</f>
        <v>0</v>
      </c>
      <c r="E207" t="str">
        <f>E$9 * (-0.001096663996577263 -E$8)</f>
        <v>0</v>
      </c>
      <c r="F207" t="str">
        <f>F$9 * (-0.2852582931518555 -F$8)</f>
        <v>0</v>
      </c>
      <c r="G207" t="str">
        <f>G$9 * (-0.3725551962852478 -G$8)</f>
        <v>0</v>
      </c>
    </row>
    <row r="208" spans="1:9">
      <c r="A208" t="str">
        <f>A$9 * (49.25041580200195 -A$8)</f>
        <v>0</v>
      </c>
      <c r="B208" t="str">
        <f>B$9 * (49.25041580200195 -B$8)</f>
        <v>0</v>
      </c>
      <c r="C208" t="str">
        <f>C$9 * (49.25041580200195 -C$8)</f>
        <v>0</v>
      </c>
      <c r="E208" t="str">
        <f>E$9 * (9.36880041990662E-6 -E$8)</f>
        <v>0</v>
      </c>
      <c r="F208" t="str">
        <f>F$9 * (-0.7909088134765625 -F$8)</f>
        <v>0</v>
      </c>
      <c r="G208" t="str">
        <f>G$9 * (0.5246686935424805 -G$8)</f>
        <v>0</v>
      </c>
    </row>
    <row r="209" spans="1:9">
      <c r="A209" t="str">
        <f>A$9 * (49.50016784667969 -A$8)</f>
        <v>0</v>
      </c>
      <c r="B209" t="str">
        <f>B$9 * (49.50016784667969 -B$8)</f>
        <v>0</v>
      </c>
      <c r="C209" t="str">
        <f>C$9 * (49.50016784667969 -C$8)</f>
        <v>0</v>
      </c>
      <c r="E209" t="str">
        <f>E$9 * (-0.0003139236941933632 -E$8)</f>
        <v>0</v>
      </c>
      <c r="F209" t="str">
        <f>F$9 * (-1.11715304851532 -F$8)</f>
        <v>0</v>
      </c>
      <c r="G209" t="str">
        <f>G$9 * (0.3026084899902344 -G$8)</f>
        <v>0</v>
      </c>
    </row>
    <row r="210" spans="1:9">
      <c r="A210" t="str">
        <f>A$9 * (49.75088882446289 -A$8)</f>
        <v>0</v>
      </c>
      <c r="B210" t="str">
        <f>B$9 * (49.75088882446289 -B$8)</f>
        <v>0</v>
      </c>
      <c r="C210" t="str">
        <f>C$9 * (49.75088882446289 -C$8)</f>
        <v>0</v>
      </c>
      <c r="E210" t="str">
        <f>E$9 * (0.1708002984523773 -E$8)</f>
        <v>0</v>
      </c>
      <c r="F210" t="str">
        <f>F$9 * (9.065084457397461 -F$8)</f>
        <v>0</v>
      </c>
      <c r="G210" t="str">
        <f>G$9 * (9.330519676208496 -G$8)</f>
        <v>0</v>
      </c>
    </row>
    <row r="211" spans="1:9">
      <c r="A211" t="str">
        <f>A$9 * (50.00019454956055 -A$8)</f>
        <v>0</v>
      </c>
      <c r="B211" t="str">
        <f>B$9 * (50.00019454956055 -B$8)</f>
        <v>0</v>
      </c>
      <c r="C211" t="str">
        <f>C$9 * (50.00019454956055 -C$8)</f>
        <v>0</v>
      </c>
      <c r="E211" t="str">
        <f>E$9 * (0.04247463122010231 -E$8)</f>
        <v>0</v>
      </c>
      <c r="F211" t="str">
        <f>F$9 * (6.618594169616699 -F$8)</f>
        <v>0</v>
      </c>
      <c r="G211" t="str">
        <f>G$9 * (7.046092987060547 -G$8)</f>
        <v>0</v>
      </c>
    </row>
    <row r="212" spans="1:9">
      <c r="A212" t="str">
        <f>A$9 * (50.25025177001953 -A$8)</f>
        <v>0</v>
      </c>
      <c r="B212" t="str">
        <f>B$9 * (50.25025177001953 -B$8)</f>
        <v>0</v>
      </c>
      <c r="C212" t="str">
        <f>C$9 * (50.25025177001953 -C$8)</f>
        <v>0</v>
      </c>
      <c r="E212" t="str">
        <f>E$9 * (0.01581284031271935 -E$8)</f>
        <v>0</v>
      </c>
      <c r="F212" t="str">
        <f>F$9 * (7.75547981262207 -F$8)</f>
        <v>0</v>
      </c>
      <c r="G212" t="str">
        <f>G$9 * (12.2960901260376 -G$8)</f>
        <v>0</v>
      </c>
    </row>
    <row r="213" spans="1:9">
      <c r="A213" t="str">
        <f>A$9 * (50.50030517578125 -A$8)</f>
        <v>0</v>
      </c>
      <c r="B213" t="str">
        <f>B$9 * (50.50030517578125 -B$8)</f>
        <v>0</v>
      </c>
      <c r="C213" t="str">
        <f>C$9 * (50.50030517578125 -C$8)</f>
        <v>0</v>
      </c>
      <c r="E213" t="str">
        <f>E$9 * (0.002812542021274567 -E$8)</f>
        <v>0</v>
      </c>
      <c r="F213" t="str">
        <f>F$9 * (0.8487691283226013 -F$8)</f>
        <v>0</v>
      </c>
      <c r="G213" t="str">
        <f>G$9 * (4.094301223754883 -G$8)</f>
        <v>0</v>
      </c>
    </row>
    <row r="214" spans="1:9">
      <c r="A214" t="str">
        <f>A$9 * (50.75013732910156 -A$8)</f>
        <v>0</v>
      </c>
      <c r="B214" t="str">
        <f>B$9 * (50.75013732910156 -B$8)</f>
        <v>0</v>
      </c>
      <c r="C214" t="str">
        <f>C$9 * (50.75013732910156 -C$8)</f>
        <v>0</v>
      </c>
      <c r="E214" t="str">
        <f>E$9 * (0.00148199696559459 -E$8)</f>
        <v>0</v>
      </c>
      <c r="F214" t="str">
        <f>F$9 * (-0.9830510020256042 -F$8)</f>
        <v>0</v>
      </c>
      <c r="G214" t="str">
        <f>G$9 * (3.574443101882935 -G$8)</f>
        <v>0</v>
      </c>
    </row>
    <row r="215" spans="1:9">
      <c r="A215" t="str">
        <f>A$9 * (51.00055694580078 -A$8)</f>
        <v>0</v>
      </c>
      <c r="B215" t="str">
        <f>B$9 * (51.00055694580078 -B$8)</f>
        <v>0</v>
      </c>
      <c r="C215" t="str">
        <f>C$9 * (51.00055694580078 -C$8)</f>
        <v>0</v>
      </c>
      <c r="E215" t="str">
        <f>E$9 * (-0.0009410796919837594 -E$8)</f>
        <v>0</v>
      </c>
      <c r="F215" t="str">
        <f>F$9 * (-0.2957512140274048 -F$8)</f>
        <v>0</v>
      </c>
      <c r="G215" t="str">
        <f>G$9 * (-0.2446047961711884 -G$8)</f>
        <v>0</v>
      </c>
    </row>
    <row r="216" spans="1:9">
      <c r="A216" t="str">
        <f>A$9 * (51.25027847290039 -A$8)</f>
        <v>0</v>
      </c>
      <c r="B216" t="str">
        <f>B$9 * (51.25027847290039 -B$8)</f>
        <v>0</v>
      </c>
      <c r="C216" t="str">
        <f>C$9 * (51.25027847290039 -C$8)</f>
        <v>0</v>
      </c>
      <c r="E216" t="str">
        <f>E$9 * (-0.00155892304610461 -E$8)</f>
        <v>0</v>
      </c>
      <c r="F216" t="str">
        <f>F$9 * (-1.572281956672668 -F$8)</f>
        <v>0</v>
      </c>
      <c r="G216" t="str">
        <f>G$9 * (0.01640596985816956 -G$8)</f>
        <v>0</v>
      </c>
    </row>
    <row r="217" spans="1:9">
      <c r="A217" t="str">
        <f>A$9 * (51.50047302246094 -A$8)</f>
        <v>0</v>
      </c>
      <c r="B217" t="str">
        <f>B$9 * (51.50047302246094 -B$8)</f>
        <v>0</v>
      </c>
      <c r="C217" t="str">
        <f>C$9 * (51.50047302246094 -C$8)</f>
        <v>0</v>
      </c>
      <c r="E217" t="str">
        <f>E$9 * (-0.001075997017323971 -E$8)</f>
        <v>0</v>
      </c>
      <c r="F217" t="str">
        <f>F$9 * (-1.20999002456665 -F$8)</f>
        <v>0</v>
      </c>
      <c r="G217" t="str">
        <f>G$9 * (0.5411671996116638 -G$8)</f>
        <v>0</v>
      </c>
    </row>
    <row r="218" spans="1:9">
      <c r="A218" t="str">
        <f>A$9 * (51.75047302246094 -A$8)</f>
        <v>0</v>
      </c>
      <c r="B218" t="str">
        <f>B$9 * (51.75047302246094 -B$8)</f>
        <v>0</v>
      </c>
      <c r="C218" t="str">
        <f>C$9 * (51.75047302246094 -C$8)</f>
        <v>0</v>
      </c>
      <c r="E218" t="str">
        <f>E$9 * (-0.0004881173081230372 -E$8)</f>
        <v>0</v>
      </c>
      <c r="F218" t="str">
        <f>F$9 * (-0.54392409324646 -F$8)</f>
        <v>0</v>
      </c>
      <c r="G218" t="str">
        <f>G$9 * (0.1795652061700821 -G$8)</f>
        <v>0</v>
      </c>
    </row>
    <row r="219" spans="1:9">
      <c r="A219" t="str">
        <f>A$9 * (52.00025177001953 -A$8)</f>
        <v>0</v>
      </c>
      <c r="B219" t="str">
        <f>B$9 * (52.00025177001953 -B$8)</f>
        <v>0</v>
      </c>
      <c r="C219" t="str">
        <f>C$9 * (52.00025177001953 -C$8)</f>
        <v>0</v>
      </c>
      <c r="E219" t="str">
        <f>E$9 * (-0.001025815028697252 -E$8)</f>
        <v>0</v>
      </c>
      <c r="F219" t="str">
        <f>F$9 * (-0.3511559069156647 -F$8)</f>
        <v>0</v>
      </c>
      <c r="G219" t="str">
        <f>G$9 * (-0.1676304936408997 -G$8)</f>
        <v>0</v>
      </c>
    </row>
    <row r="220" spans="1:9">
      <c r="A220" t="str">
        <f>A$9 * (52.25002670288086 -A$8)</f>
        <v>0</v>
      </c>
      <c r="B220" t="str">
        <f>B$9 * (52.25002670288086 -B$8)</f>
        <v>0</v>
      </c>
      <c r="C220" t="str">
        <f>C$9 * (52.25002670288086 -C$8)</f>
        <v>0</v>
      </c>
      <c r="E220" t="str">
        <f>E$9 * (0.003303152043372393 -E$8)</f>
        <v>0</v>
      </c>
      <c r="F220" t="str">
        <f>F$9 * (0.1618026942014694 -F$8)</f>
        <v>0</v>
      </c>
      <c r="G220" t="str">
        <f>G$9 * (18.42795944213867 -G$8)</f>
        <v>0</v>
      </c>
    </row>
    <row r="221" spans="1:9">
      <c r="A221" t="str">
        <f>A$9 * (52.50044631958008 -A$8)</f>
        <v>0</v>
      </c>
      <c r="B221" t="str">
        <f>B$9 * (52.50044631958008 -B$8)</f>
        <v>0</v>
      </c>
      <c r="C221" t="str">
        <f>C$9 * (52.50044631958008 -C$8)</f>
        <v>0</v>
      </c>
      <c r="E221" t="str">
        <f>E$9 * (0.05863044038414955 -E$8)</f>
        <v>0</v>
      </c>
      <c r="F221" t="str">
        <f>F$9 * (13.45798969268799 -F$8)</f>
        <v>0</v>
      </c>
      <c r="G221" t="str">
        <f>G$9 * (14.57929992675781 -G$8)</f>
        <v>0</v>
      </c>
    </row>
    <row r="222" spans="1:9">
      <c r="A222" t="str">
        <f>A$9 * (52.75013732910156 -A$8)</f>
        <v>0</v>
      </c>
      <c r="B222" t="str">
        <f>B$9 * (52.75013732910156 -B$8)</f>
        <v>0</v>
      </c>
      <c r="C222" t="str">
        <f>C$9 * (52.75013732910156 -C$8)</f>
        <v>0</v>
      </c>
      <c r="E222" t="str">
        <f>E$9 * (0.01059317961335182 -E$8)</f>
        <v>0</v>
      </c>
      <c r="F222" t="str">
        <f>F$9 * (5.429932117462158 -F$8)</f>
        <v>0</v>
      </c>
      <c r="G222" t="str">
        <f>G$9 * (10.56682968139648 -G$8)</f>
        <v>0</v>
      </c>
    </row>
    <row r="223" spans="1:9">
      <c r="A223" t="str">
        <f>A$9 * (53.00036239624023 -A$8)</f>
        <v>0</v>
      </c>
      <c r="B223" t="str">
        <f>B$9 * (53.00036239624023 -B$8)</f>
        <v>0</v>
      </c>
      <c r="C223" t="str">
        <f>C$9 * (53.00036239624023 -C$8)</f>
        <v>0</v>
      </c>
      <c r="E223" t="str">
        <f>E$9 * (-0.005483875051140785 -E$8)</f>
        <v>0</v>
      </c>
      <c r="F223" t="str">
        <f>F$9 * (-1.998438954353333 -F$8)</f>
        <v>0</v>
      </c>
      <c r="G223" t="str">
        <f>G$9 * (1.35481595993042 -G$8)</f>
        <v>0</v>
      </c>
    </row>
    <row r="224" spans="1:9">
      <c r="A224" t="str">
        <f>A$9 * (53.25036239624023 -A$8)</f>
        <v>0</v>
      </c>
      <c r="B224" t="str">
        <f>B$9 * (53.25036239624023 -B$8)</f>
        <v>0</v>
      </c>
      <c r="C224" t="str">
        <f>C$9 * (53.25036239624023 -C$8)</f>
        <v>0</v>
      </c>
      <c r="E224" t="str">
        <f>E$9 * (-0.0009972926927730441 -E$8)</f>
        <v>0</v>
      </c>
      <c r="F224" t="str">
        <f>F$9 * (-1.420531988143921 -F$8)</f>
        <v>0</v>
      </c>
      <c r="G224" t="str">
        <f>G$9 * (0.9278568029403687 -G$8)</f>
        <v>0</v>
      </c>
    </row>
    <row r="225" spans="1:9">
      <c r="A225" t="str">
        <f>A$9 * (53.5001106262207 -A$8)</f>
        <v>0</v>
      </c>
      <c r="B225" t="str">
        <f>B$9 * (53.5001106262207 -B$8)</f>
        <v>0</v>
      </c>
      <c r="C225" t="str">
        <f>C$9 * (53.5001106262207 -C$8)</f>
        <v>0</v>
      </c>
      <c r="E225" t="str">
        <f>E$9 * (-0.0009594443836249411 -E$8)</f>
        <v>0</v>
      </c>
      <c r="F225" t="str">
        <f>F$9 * (-1.373821973800659 -F$8)</f>
        <v>0</v>
      </c>
      <c r="G225" t="str">
        <f>G$9 * (1.19929301738739 -G$8)</f>
        <v>0</v>
      </c>
    </row>
    <row r="226" spans="1:9">
      <c r="A226" t="str">
        <f>A$9 * (53.75002670288086 -A$8)</f>
        <v>0</v>
      </c>
      <c r="B226" t="str">
        <f>B$9 * (53.75002670288086 -B$8)</f>
        <v>0</v>
      </c>
      <c r="C226" t="str">
        <f>C$9 * (53.75002670288086 -C$8)</f>
        <v>0</v>
      </c>
      <c r="E226" t="str">
        <f>E$9 * (-0.00220438907854259 -E$8)</f>
        <v>0</v>
      </c>
      <c r="F226" t="str">
        <f>F$9 * (-0.7694342136383057 -F$8)</f>
        <v>0</v>
      </c>
      <c r="G226" t="str">
        <f>G$9 * (-1.245020985603333 -G$8)</f>
        <v>0</v>
      </c>
    </row>
    <row r="227" spans="1:9">
      <c r="A227" t="str">
        <f>A$9 * (54.00058364868164 -A$8)</f>
        <v>0</v>
      </c>
      <c r="B227" t="str">
        <f>B$9 * (54.00058364868164 -B$8)</f>
        <v>0</v>
      </c>
      <c r="C227" t="str">
        <f>C$9 * (54.00058364868164 -C$8)</f>
        <v>0</v>
      </c>
      <c r="E227" t="str">
        <f>E$9 * (-0.000519480905495584 -E$8)</f>
        <v>0</v>
      </c>
      <c r="F227" t="str">
        <f>F$9 * (-0.7355176210403442 -F$8)</f>
        <v>0</v>
      </c>
      <c r="G227" t="str">
        <f>G$9 * (0.5657358765602112 -G$8)</f>
        <v>0</v>
      </c>
    </row>
    <row r="228" spans="1:9">
      <c r="A228" t="str">
        <f>A$9 * (54.25030517578125 -A$8)</f>
        <v>0</v>
      </c>
      <c r="B228" t="str">
        <f>B$9 * (54.25030517578125 -B$8)</f>
        <v>0</v>
      </c>
      <c r="C228" t="str">
        <f>C$9 * (54.25030517578125 -C$8)</f>
        <v>0</v>
      </c>
      <c r="E228" t="str">
        <f>E$9 * (-0.0009552498813718557 -E$8)</f>
        <v>0</v>
      </c>
      <c r="F228" t="str">
        <f>F$9 * (-1.119451999664307 -F$8)</f>
        <v>0</v>
      </c>
      <c r="G228" t="str">
        <f>G$9 * (-0.1648018062114716 -G$8)</f>
        <v>0</v>
      </c>
    </row>
    <row r="229" spans="1:9">
      <c r="A229" t="str">
        <f>A$9 * (54.50083160400391 -A$8)</f>
        <v>0</v>
      </c>
      <c r="B229" t="str">
        <f>B$9 * (54.50083160400391 -B$8)</f>
        <v>0</v>
      </c>
      <c r="C229" t="str">
        <f>C$9 * (54.50083160400391 -C$8)</f>
        <v>0</v>
      </c>
      <c r="E229" t="str">
        <f>E$9 * (0.02296827919781208 -E$8)</f>
        <v>0</v>
      </c>
      <c r="F229" t="str">
        <f>F$9 * (0.7475036978721619 -F$8)</f>
        <v>0</v>
      </c>
      <c r="G229" t="str">
        <f>G$9 * (0.8747879862785339 -G$8)</f>
        <v>0</v>
      </c>
    </row>
    <row r="230" spans="1:9">
      <c r="A230" t="str">
        <f>A$9 * (54.75052642822266 -A$8)</f>
        <v>0</v>
      </c>
      <c r="B230" t="str">
        <f>B$9 * (54.75052642822266 -B$8)</f>
        <v>0</v>
      </c>
      <c r="C230" t="str">
        <f>C$9 * (54.75052642822266 -C$8)</f>
        <v>0</v>
      </c>
      <c r="E230" t="str">
        <f>E$9 * (0.03572561964392662 -E$8)</f>
        <v>0</v>
      </c>
      <c r="F230" t="str">
        <f>F$9 * (7.023973941802979 -F$8)</f>
        <v>0</v>
      </c>
      <c r="G230" t="str">
        <f>G$9 * (7.651895046234131 -G$8)</f>
        <v>0</v>
      </c>
    </row>
    <row r="231" spans="1:9">
      <c r="A231" t="str">
        <f>A$9 * (55.00022125244141 -A$8)</f>
        <v>0</v>
      </c>
      <c r="B231" t="str">
        <f>B$9 * (55.00022125244141 -B$8)</f>
        <v>0</v>
      </c>
      <c r="C231" t="str">
        <f>C$9 * (55.00022125244141 -C$8)</f>
        <v>0</v>
      </c>
      <c r="E231" t="str">
        <f>E$9 * (0.01842373982071877 -E$8)</f>
        <v>0</v>
      </c>
      <c r="F231" t="str">
        <f>F$9 * (8.862682342529297 -F$8)</f>
        <v>0</v>
      </c>
      <c r="G231" t="str">
        <f>G$9 * (13.14009952545166 -G$8)</f>
        <v>0</v>
      </c>
    </row>
    <row r="232" spans="1:9">
      <c r="A232" t="str">
        <f>A$9 * (55.25016784667969 -A$8)</f>
        <v>0</v>
      </c>
      <c r="B232" t="str">
        <f>B$9 * (55.25016784667969 -B$8)</f>
        <v>0</v>
      </c>
      <c r="C232" t="str">
        <f>C$9 * (55.25016784667969 -C$8)</f>
        <v>0</v>
      </c>
      <c r="E232" t="str">
        <f>E$9 * (0.004654199816286564 -E$8)</f>
        <v>0</v>
      </c>
      <c r="F232" t="str">
        <f>F$9 * (1.72892701625824 -F$8)</f>
        <v>0</v>
      </c>
      <c r="G232" t="str">
        <f>G$9 * (5.614336013793945 -G$8)</f>
        <v>0</v>
      </c>
    </row>
    <row r="233" spans="1:9">
      <c r="A233" t="str">
        <f>A$9 * (55.50025177001953 -A$8)</f>
        <v>0</v>
      </c>
      <c r="B233" t="str">
        <f>B$9 * (55.50025177001953 -B$8)</f>
        <v>0</v>
      </c>
      <c r="C233" t="str">
        <f>C$9 * (55.50025177001953 -C$8)</f>
        <v>0</v>
      </c>
      <c r="E233" t="str">
        <f>E$9 * (0.0007991723250597715 -E$8)</f>
        <v>0</v>
      </c>
      <c r="F233" t="str">
        <f>F$9 * (-0.4941596984863281 -F$8)</f>
        <v>0</v>
      </c>
      <c r="G233" t="str">
        <f>G$9 * (1.001415014266968 -G$8)</f>
        <v>0</v>
      </c>
    </row>
    <row r="234" spans="1:9">
      <c r="A234" t="str">
        <f>A$9 * (55.75002670288086 -A$8)</f>
        <v>0</v>
      </c>
      <c r="B234" t="str">
        <f>B$9 * (55.75002670288086 -B$8)</f>
        <v>0</v>
      </c>
      <c r="C234" t="str">
        <f>C$9 * (55.75002670288086 -C$8)</f>
        <v>0</v>
      </c>
      <c r="E234" t="str">
        <f>E$9 * (-0.001040157047100365 -E$8)</f>
        <v>0</v>
      </c>
      <c r="F234" t="str">
        <f>F$9 * (-1.259853005409241 -F$8)</f>
        <v>0</v>
      </c>
      <c r="G234" t="str">
        <f>G$9 * (-0.03431254997849464 -G$8)</f>
        <v>0</v>
      </c>
    </row>
    <row r="235" spans="1:9">
      <c r="A235" t="str">
        <f>A$9 * (56.0004997253418 -A$8)</f>
        <v>0</v>
      </c>
      <c r="B235" t="str">
        <f>B$9 * (56.0004997253418 -B$8)</f>
        <v>0</v>
      </c>
      <c r="C235" t="str">
        <f>C$9 * (56.0004997253418 -C$8)</f>
        <v>0</v>
      </c>
      <c r="E235" t="str">
        <f>E$9 * (-0.004161394201219082 -E$8)</f>
        <v>0</v>
      </c>
      <c r="F235" t="str">
        <f>F$9 * (-0.3687908947467804 -F$8)</f>
        <v>0</v>
      </c>
      <c r="G235" t="str">
        <f>G$9 * (-2.295265913009644 -G$8)</f>
        <v>0</v>
      </c>
    </row>
    <row r="236" spans="1:9">
      <c r="A236" t="str">
        <f>A$9 * (56.25044631958008 -A$8)</f>
        <v>0</v>
      </c>
      <c r="B236" t="str">
        <f>B$9 * (56.25044631958008 -B$8)</f>
        <v>0</v>
      </c>
      <c r="C236" t="str">
        <f>C$9 * (56.25044631958008 -C$8)</f>
        <v>0</v>
      </c>
      <c r="E236" t="str">
        <f>E$9 * (-0.0001290672953473404 -E$8)</f>
        <v>0</v>
      </c>
      <c r="F236" t="str">
        <f>F$9 * (-0.7167037129402161 -F$8)</f>
        <v>0</v>
      </c>
      <c r="G236" t="str">
        <f>G$9 * (1.229709982872009 -G$8)</f>
        <v>0</v>
      </c>
    </row>
    <row r="237" spans="1:9">
      <c r="A237" t="str">
        <f>A$9 * (56.5004997253418 -A$8)</f>
        <v>0</v>
      </c>
      <c r="B237" t="str">
        <f>B$9 * (56.5004997253418 -B$8)</f>
        <v>0</v>
      </c>
      <c r="C237" t="str">
        <f>C$9 * (56.5004997253418 -C$8)</f>
        <v>0</v>
      </c>
      <c r="E237" t="str">
        <f>E$9 * (0.0003665313124656677 -E$8)</f>
        <v>0</v>
      </c>
      <c r="F237" t="str">
        <f>F$9 * (-0.7200887203216553 -F$8)</f>
        <v>0</v>
      </c>
      <c r="G237" t="str">
        <f>G$9 * (1.014657020568848 -G$8)</f>
        <v>0</v>
      </c>
    </row>
    <row r="238" spans="1:9">
      <c r="A238" t="str">
        <f>A$9 * (56.75088882446289 -A$8)</f>
        <v>0</v>
      </c>
      <c r="B238" t="str">
        <f>B$9 * (56.75088882446289 -B$8)</f>
        <v>0</v>
      </c>
      <c r="C238" t="str">
        <f>C$9 * (56.75088882446289 -C$8)</f>
        <v>0</v>
      </c>
      <c r="E238" t="str">
        <f>E$9 * (-0.0005954462103545666 -E$8)</f>
        <v>0</v>
      </c>
      <c r="F238" t="str">
        <f>F$9 * (-0.6639450192451477 -F$8)</f>
        <v>0</v>
      </c>
      <c r="G238" t="str">
        <f>G$9 * (0.1768224984407425 -G$8)</f>
        <v>0</v>
      </c>
    </row>
    <row r="239" spans="1:9">
      <c r="A239" t="str">
        <f>A$9 * (57.00041580200195 -A$8)</f>
        <v>0</v>
      </c>
      <c r="B239" t="str">
        <f>B$9 * (57.00041580200195 -B$8)</f>
        <v>0</v>
      </c>
      <c r="C239" t="str">
        <f>C$9 * (57.00041580200195 -C$8)</f>
        <v>0</v>
      </c>
      <c r="E239" t="str">
        <f>E$9 * (0.002675286959856749 -E$8)</f>
        <v>0</v>
      </c>
      <c r="F239" t="str">
        <f>F$9 * (0.06735623627901077 -F$8)</f>
        <v>0</v>
      </c>
      <c r="G239" t="str">
        <f>G$9 * (9.55660343170166 -G$8)</f>
        <v>0</v>
      </c>
    </row>
    <row r="240" spans="1:9">
      <c r="A240" t="str">
        <f>A$9 * (57.25027847290039 -A$8)</f>
        <v>0</v>
      </c>
      <c r="B240" t="str">
        <f>B$9 * (57.25027847290039 -B$8)</f>
        <v>0</v>
      </c>
      <c r="C240" t="str">
        <f>C$9 * (57.25027847290039 -C$8)</f>
        <v>0</v>
      </c>
      <c r="E240" t="str">
        <f>E$9 * (0.05089275911450386 -E$8)</f>
        <v>0</v>
      </c>
      <c r="F240" t="str">
        <f>F$9 * (14.38185024261475 -F$8)</f>
        <v>0</v>
      </c>
      <c r="G240" t="str">
        <f>G$9 * (15.8550500869751 -G$8)</f>
        <v>0</v>
      </c>
    </row>
    <row r="241" spans="1:9">
      <c r="A241" t="str">
        <f>A$9 * (57.50016784667969 -A$8)</f>
        <v>0</v>
      </c>
      <c r="B241" t="str">
        <f>B$9 * (57.50016784667969 -B$8)</f>
        <v>0</v>
      </c>
      <c r="C241" t="str">
        <f>C$9 * (57.50016784667969 -C$8)</f>
        <v>0</v>
      </c>
      <c r="E241" t="str">
        <f>E$9 * (0.01026398967951536 -E$8)</f>
        <v>0</v>
      </c>
      <c r="F241" t="str">
        <f>F$9 * (5.230877876281738 -F$8)</f>
        <v>0</v>
      </c>
      <c r="G241" t="str">
        <f>G$9 * (10.35046005249023 -G$8)</f>
        <v>0</v>
      </c>
    </row>
    <row r="242" spans="1:9">
      <c r="A242" t="str">
        <f>A$9 * (57.7501106262207 -A$8)</f>
        <v>0</v>
      </c>
      <c r="B242" t="str">
        <f>B$9 * (57.7501106262207 -B$8)</f>
        <v>0</v>
      </c>
      <c r="C242" t="str">
        <f>C$9 * (57.7501106262207 -C$8)</f>
        <v>0</v>
      </c>
      <c r="E242" t="str">
        <f>E$9 * (-0.000234546503634192 -E$8)</f>
        <v>0</v>
      </c>
      <c r="F242" t="str">
        <f>F$9 * (-0.6000856757164001 -F$8)</f>
        <v>0</v>
      </c>
      <c r="G242" t="str">
        <f>G$9 * (1.059636950492859 -G$8)</f>
        <v>0</v>
      </c>
    </row>
    <row r="243" spans="1:9">
      <c r="A243" t="str">
        <f>A$9 * (58.00005722045898 -A$8)</f>
        <v>0</v>
      </c>
      <c r="B243" t="str">
        <f>B$9 * (58.00005722045898 -B$8)</f>
        <v>0</v>
      </c>
      <c r="C243" t="str">
        <f>C$9 * (58.00005722045898 -C$8)</f>
        <v>0</v>
      </c>
      <c r="E243" t="str">
        <f>E$9 * (-0.001726172980852425 -E$8)</f>
        <v>0</v>
      </c>
      <c r="F243" t="str">
        <f>F$9 * (-1.648376941680908 -F$8)</f>
        <v>0</v>
      </c>
      <c r="G243" t="str">
        <f>G$9 * (1.406309008598328 -G$8)</f>
        <v>0</v>
      </c>
    </row>
    <row r="244" spans="1:9">
      <c r="A244" t="str">
        <f>A$9 * (58.25005722045898 -A$8)</f>
        <v>0</v>
      </c>
      <c r="B244" t="str">
        <f>B$9 * (58.25005722045898 -B$8)</f>
        <v>0</v>
      </c>
      <c r="C244" t="str">
        <f>C$9 * (58.25005722045898 -C$8)</f>
        <v>0</v>
      </c>
      <c r="E244" t="str">
        <f>E$9 * (-0.003970180172473192 -E$8)</f>
        <v>0</v>
      </c>
      <c r="F244" t="str">
        <f>F$9 * (-1.387413024902344 -F$8)</f>
        <v>0</v>
      </c>
      <c r="G244" t="str">
        <f>G$9 * (-2.631519079208374 -G$8)</f>
        <v>0</v>
      </c>
    </row>
    <row r="245" spans="1:9">
      <c r="A245" t="str">
        <f>A$9 * (58.50025177001953 -A$8)</f>
        <v>0</v>
      </c>
      <c r="B245" t="str">
        <f>B$9 * (58.50025177001953 -B$8)</f>
        <v>0</v>
      </c>
      <c r="C245" t="str">
        <f>C$9 * (58.50025177001953 -C$8)</f>
        <v>0</v>
      </c>
      <c r="E245" t="str">
        <f>E$9 * (-0.003555886913090944 -E$8)</f>
        <v>0</v>
      </c>
      <c r="F245" t="str">
        <f>F$9 * (-0.4471918940544128 -F$8)</f>
        <v>0</v>
      </c>
      <c r="G245" t="str">
        <f>G$9 * (-2.219629049301147 -G$8)</f>
        <v>0</v>
      </c>
    </row>
    <row r="246" spans="1:9">
      <c r="A246" t="str">
        <f>A$9 * (58.75041580200195 -A$8)</f>
        <v>0</v>
      </c>
      <c r="B246" t="str">
        <f>B$9 * (58.75041580200195 -B$8)</f>
        <v>0</v>
      </c>
      <c r="C246" t="str">
        <f>C$9 * (58.75041580200195 -C$8)</f>
        <v>0</v>
      </c>
      <c r="E246" t="str">
        <f>E$9 * (-0.0001637028035474941 -E$8)</f>
        <v>0</v>
      </c>
      <c r="F246" t="str">
        <f>F$9 * (-1.149531960487366 -F$8)</f>
        <v>0</v>
      </c>
      <c r="G246" t="str">
        <f>G$9 * (0.5442777872085571 -G$8)</f>
        <v>0</v>
      </c>
    </row>
    <row r="247" spans="1:9">
      <c r="A247" t="str">
        <f>A$9 * (59.00058364868164 -A$8)</f>
        <v>0</v>
      </c>
      <c r="B247" t="str">
        <f>B$9 * (59.00058364868164 -B$8)</f>
        <v>0</v>
      </c>
      <c r="C247" t="str">
        <f>C$9 * (59.00058364868164 -C$8)</f>
        <v>0</v>
      </c>
      <c r="E247" t="str">
        <f>E$9 * (-0.0007584374980069697 -E$8)</f>
        <v>0</v>
      </c>
      <c r="F247" t="str">
        <f>F$9 * (-0.7298325896263123 -F$8)</f>
        <v>0</v>
      </c>
      <c r="G247" t="str">
        <f>G$9 * (-0.07840189337730408 -G$8)</f>
        <v>0</v>
      </c>
    </row>
    <row r="248" spans="1:9">
      <c r="A248" t="str">
        <f>A$9 * (59.25033187866211 -A$8)</f>
        <v>0</v>
      </c>
      <c r="B248" t="str">
        <f>B$9 * (59.25033187866211 -B$8)</f>
        <v>0</v>
      </c>
      <c r="C248" t="str">
        <f>C$9 * (59.25033187866211 -C$8)</f>
        <v>0</v>
      </c>
      <c r="E248" t="str">
        <f>E$9 * (0.01221228018403053 -E$8)</f>
        <v>0</v>
      </c>
      <c r="F248" t="str">
        <f>F$9 * (0.3886891901493073 -F$8)</f>
        <v>0</v>
      </c>
      <c r="G248" t="str">
        <f>G$9 * (0.4826383888721466 -G$8)</f>
        <v>0</v>
      </c>
    </row>
    <row r="249" spans="1:9">
      <c r="A249" t="str">
        <f>A$9 * (59.50063705444336 -A$8)</f>
        <v>0</v>
      </c>
      <c r="B249" t="str">
        <f>B$9 * (59.50063705444336 -B$8)</f>
        <v>0</v>
      </c>
      <c r="C249" t="str">
        <f>C$9 * (59.50063705444336 -C$8)</f>
        <v>0</v>
      </c>
      <c r="E249" t="str">
        <f>E$9 * (0.0338749885559082 -E$8)</f>
        <v>0</v>
      </c>
      <c r="F249" t="str">
        <f>F$9 * (7.359546184539795 -F$8)</f>
        <v>0</v>
      </c>
      <c r="G249" t="str">
        <f>G$9 * (8.217009544372559 -G$8)</f>
        <v>0</v>
      </c>
    </row>
    <row r="250" spans="1:9">
      <c r="A250" t="str">
        <f>A$9 * (59.7504997253418 -A$8)</f>
        <v>0</v>
      </c>
      <c r="B250" t="str">
        <f>B$9 * (59.7504997253418 -B$8)</f>
        <v>0</v>
      </c>
      <c r="C250" t="str">
        <f>C$9 * (59.7504997253418 -C$8)</f>
        <v>0</v>
      </c>
      <c r="E250" t="str">
        <f>E$9 * (0.01956151053309441 -E$8)</f>
        <v>0</v>
      </c>
      <c r="F250" t="str">
        <f>F$9 * (9.318095207214355 -F$8)</f>
        <v>0</v>
      </c>
      <c r="G250" t="str">
        <f>G$9 * (13.50053977966309 -G$8)</f>
        <v>0</v>
      </c>
    </row>
    <row r="251" spans="1:9">
      <c r="A251" t="str">
        <f>A$9 * (60.00027847290039 -A$8)</f>
        <v>0</v>
      </c>
      <c r="B251" t="str">
        <f>B$9 * (60.00027847290039 -B$8)</f>
        <v>0</v>
      </c>
      <c r="C251" t="str">
        <f>C$9 * (60.00027847290039 -C$8)</f>
        <v>0</v>
      </c>
      <c r="E251" t="str">
        <f>E$9 * (0.005150978919118643 -E$8)</f>
        <v>0</v>
      </c>
      <c r="F251" t="str">
        <f>F$9 * (2.056369066238403 -F$8)</f>
        <v>0</v>
      </c>
      <c r="G251" t="str">
        <f>G$9 * (6.22024393081665 -G$8)</f>
        <v>0</v>
      </c>
    </row>
    <row r="252" spans="1:9">
      <c r="A252" t="str">
        <f>A$9 * (60.25033187866211 -A$8)</f>
        <v>0</v>
      </c>
      <c r="B252" t="str">
        <f>B$9 * (60.25033187866211 -B$8)</f>
        <v>0</v>
      </c>
      <c r="C252" t="str">
        <f>C$9 * (60.25033187866211 -C$8)</f>
        <v>0</v>
      </c>
      <c r="E252" t="str">
        <f>E$9 * (-0.003690811106935143 -E$8)</f>
        <v>0</v>
      </c>
      <c r="F252" t="str">
        <f>F$9 * (-1.65565299987793 -F$8)</f>
        <v>0</v>
      </c>
      <c r="G252" t="str">
        <f>G$9 * (-1.882164001464844 -G$8)</f>
        <v>0</v>
      </c>
    </row>
    <row r="253" spans="1:9">
      <c r="A253" t="str">
        <f>A$9 * (60.50027847290039 -A$8)</f>
        <v>0</v>
      </c>
      <c r="B253" t="str">
        <f>B$9 * (60.50027847290039 -B$8)</f>
        <v>0</v>
      </c>
      <c r="C253" t="str">
        <f>C$9 * (60.50027847290039 -C$8)</f>
        <v>0</v>
      </c>
      <c r="E253" t="str">
        <f>E$9 * (-0.0002952312061097473 -E$8)</f>
        <v>0</v>
      </c>
      <c r="F253" t="str">
        <f>F$9 * (-1.136278986930847 -F$8)</f>
        <v>0</v>
      </c>
      <c r="G253" t="str">
        <f>G$9 * (1.83589494228363 -G$8)</f>
        <v>0</v>
      </c>
    </row>
    <row r="254" spans="1:9">
      <c r="A254" t="str">
        <f>A$9 * (60.75016784667969 -A$8)</f>
        <v>0</v>
      </c>
      <c r="B254" t="str">
        <f>B$9 * (60.75016784667969 -B$8)</f>
        <v>0</v>
      </c>
      <c r="C254" t="str">
        <f>C$9 * (60.75016784667969 -C$8)</f>
        <v>0</v>
      </c>
      <c r="E254" t="str">
        <f>E$9 * (-0.0006476570852100849 -E$8)</f>
        <v>0</v>
      </c>
      <c r="F254" t="str">
        <f>F$9 * (-1.217046976089478 -F$8)</f>
        <v>0</v>
      </c>
      <c r="G254" t="str">
        <f>G$9 * (1.239117026329041 -G$8)</f>
        <v>0</v>
      </c>
    </row>
    <row r="255" spans="1:9">
      <c r="A255" t="str">
        <f>A$9 * (61.00013732910156 -A$8)</f>
        <v>0</v>
      </c>
      <c r="B255" t="str">
        <f>B$9 * (61.00013732910156 -B$8)</f>
        <v>0</v>
      </c>
      <c r="C255" t="str">
        <f>C$9 * (61.00013732910156 -C$8)</f>
        <v>0</v>
      </c>
      <c r="E255" t="str">
        <f>E$9 * (-0.001369714038446546 -E$8)</f>
        <v>0</v>
      </c>
      <c r="F255" t="str">
        <f>F$9 * (-1.063941955566406 -F$8)</f>
        <v>0</v>
      </c>
      <c r="G255" t="str">
        <f>G$9 * (-0.1314499974250793 -G$8)</f>
        <v>0</v>
      </c>
    </row>
    <row r="256" spans="1:9">
      <c r="A256" t="str">
        <f>A$9 * (61.25033187866211 -A$8)</f>
        <v>0</v>
      </c>
      <c r="B256" t="str">
        <f>B$9 * (61.25033187866211 -B$8)</f>
        <v>0</v>
      </c>
      <c r="C256" t="str">
        <f>C$9 * (61.25033187866211 -C$8)</f>
        <v>0</v>
      </c>
      <c r="E256" t="str">
        <f>E$9 * (-0.0007000952027738094 -E$8)</f>
        <v>0</v>
      </c>
      <c r="F256" t="str">
        <f>F$9 * (-0.5750734806060791 -F$8)</f>
        <v>0</v>
      </c>
      <c r="G256" t="str">
        <f>G$9 * (-0.1258153021335602 -G$8)</f>
        <v>0</v>
      </c>
    </row>
    <row r="257" spans="1:9">
      <c r="A257" t="str">
        <f>A$9 * (61.50075149536133 -A$8)</f>
        <v>0</v>
      </c>
      <c r="B257" t="str">
        <f>B$9 * (61.50075149536133 -B$8)</f>
        <v>0</v>
      </c>
      <c r="C257" t="str">
        <f>C$9 * (61.50075149536133 -C$8)</f>
        <v>0</v>
      </c>
      <c r="E257" t="str">
        <f>E$9 * (-0.0001294680987484753 -E$8)</f>
        <v>0</v>
      </c>
      <c r="F257" t="str">
        <f>F$9 * (-0.6447569727897644 -F$8)</f>
        <v>0</v>
      </c>
      <c r="G257" t="str">
        <f>G$9 * (0.245290994644165 -G$8)</f>
        <v>0</v>
      </c>
    </row>
    <row r="258" spans="1:9">
      <c r="A258" t="str">
        <f>A$9 * (61.75025177001953 -A$8)</f>
        <v>0</v>
      </c>
      <c r="B258" t="str">
        <f>B$9 * (61.75025177001953 -B$8)</f>
        <v>0</v>
      </c>
      <c r="C258" t="str">
        <f>C$9 * (61.75025177001953 -C$8)</f>
        <v>0</v>
      </c>
      <c r="E258" t="str">
        <f>E$9 * (0.003357593901455402 -E$8)</f>
        <v>0</v>
      </c>
      <c r="F258" t="str">
        <f>F$9 * (0.1802068948745728 -F$8)</f>
        <v>0</v>
      </c>
      <c r="G258" t="str">
        <f>G$9 * (28.38174057006836 -G$8)</f>
        <v>0</v>
      </c>
    </row>
    <row r="259" spans="1:9">
      <c r="A259" t="str">
        <f>A$9 * (62.00033187866211 -A$8)</f>
        <v>0</v>
      </c>
      <c r="B259" t="str">
        <f>B$9 * (62.00033187866211 -B$8)</f>
        <v>0</v>
      </c>
      <c r="C259" t="str">
        <f>C$9 * (62.00033187866211 -C$8)</f>
        <v>0</v>
      </c>
      <c r="E259" t="str">
        <f>E$9 * (0.06423462182283401 -E$8)</f>
        <v>0</v>
      </c>
      <c r="F259" t="str">
        <f>F$9 * (10.53660011291504 -F$8)</f>
        <v>0</v>
      </c>
      <c r="G259" t="str">
        <f>G$9 * (11.19289016723633 -G$8)</f>
        <v>0</v>
      </c>
    </row>
    <row r="260" spans="1:9">
      <c r="A260" t="str">
        <f>A$9 * (62.25019454956055 -A$8)</f>
        <v>0</v>
      </c>
      <c r="B260" t="str">
        <f>B$9 * (62.25019454956055 -B$8)</f>
        <v>0</v>
      </c>
      <c r="C260" t="str">
        <f>C$9 * (62.25019454956055 -C$8)</f>
        <v>0</v>
      </c>
      <c r="E260" t="str">
        <f>E$9 * (0.01136591006070375 -E$8)</f>
        <v>0</v>
      </c>
      <c r="F260" t="str">
        <f>F$9 * (5.681702136993408 -F$8)</f>
        <v>0</v>
      </c>
      <c r="G260" t="str">
        <f>G$9 * (10.61001968383789 -G$8)</f>
        <v>0</v>
      </c>
    </row>
    <row r="261" spans="1:9">
      <c r="A261" t="str">
        <f>A$9 * (62.50013732910156 -A$8)</f>
        <v>0</v>
      </c>
      <c r="B261" t="str">
        <f>B$9 * (62.50013732910156 -B$8)</f>
        <v>0</v>
      </c>
      <c r="C261" t="str">
        <f>C$9 * (62.50013732910156 -C$8)</f>
        <v>0</v>
      </c>
      <c r="E261" t="str">
        <f>E$9 * (-0.00267032696865499 -E$8)</f>
        <v>0</v>
      </c>
      <c r="F261" t="str">
        <f>F$9 * (-0.7135913968086243 -F$8)</f>
        <v>0</v>
      </c>
      <c r="G261" t="str">
        <f>G$9 * (1.849390983581543 -G$8)</f>
        <v>0</v>
      </c>
    </row>
    <row r="262" spans="1:9">
      <c r="A262" t="str">
        <f>A$9 * (62.75008392333984 -A$8)</f>
        <v>0</v>
      </c>
      <c r="B262" t="str">
        <f>B$9 * (62.75008392333984 -B$8)</f>
        <v>0</v>
      </c>
      <c r="C262" t="str">
        <f>C$9 * (62.75008392333984 -C$8)</f>
        <v>0</v>
      </c>
      <c r="E262" t="str">
        <f>E$9 * (-0.004311520140618086 -E$8)</f>
        <v>0</v>
      </c>
      <c r="F262" t="str">
        <f>F$9 * (-0.8294786810874939 -F$8)</f>
        <v>0</v>
      </c>
      <c r="G262" t="str">
        <f>G$9 * (-3.430041074752808 -G$8)</f>
        <v>0</v>
      </c>
    </row>
    <row r="263" spans="1:9">
      <c r="A263" t="str">
        <f>A$9 * (63.00033187866211 -A$8)</f>
        <v>0</v>
      </c>
      <c r="B263" t="str">
        <f>B$9 * (63.00033187866211 -B$8)</f>
        <v>0</v>
      </c>
      <c r="C263" t="str">
        <f>C$9 * (63.00033187866211 -C$8)</f>
        <v>0</v>
      </c>
      <c r="E263" t="str">
        <f>E$9 * (-0.002023582113906741 -E$8)</f>
        <v>0</v>
      </c>
      <c r="F263" t="str">
        <f>F$9 * (-1.242509007453918 -F$8)</f>
        <v>0</v>
      </c>
      <c r="G263" t="str">
        <f>G$9 * (-0.6201199293136597 -G$8)</f>
        <v>0</v>
      </c>
    </row>
    <row r="264" spans="1:9">
      <c r="A264" t="str">
        <f>A$9 * (63.25055694580078 -A$8)</f>
        <v>0</v>
      </c>
      <c r="B264" t="str">
        <f>B$9 * (63.25055694580078 -B$8)</f>
        <v>0</v>
      </c>
      <c r="C264" t="str">
        <f>C$9 * (63.25055694580078 -C$8)</f>
        <v>0</v>
      </c>
      <c r="E264" t="str">
        <f>E$9 * (0.0002681959886103868 -E$8)</f>
        <v>0</v>
      </c>
      <c r="F264" t="str">
        <f>F$9 * (-0.7240946292877197 -F$8)</f>
        <v>0</v>
      </c>
      <c r="G264" t="str">
        <f>G$9 * (1.806517004966736 -G$8)</f>
        <v>0</v>
      </c>
    </row>
    <row r="265" spans="1:9">
      <c r="A265" t="str">
        <f>A$9 * (63.5007209777832 -A$8)</f>
        <v>0</v>
      </c>
      <c r="B265" t="str">
        <f>B$9 * (63.5007209777832 -B$8)</f>
        <v>0</v>
      </c>
      <c r="C265" t="str">
        <f>C$9 * (63.5007209777832 -C$8)</f>
        <v>0</v>
      </c>
      <c r="E265" t="str">
        <f>E$9 * (-0.001032629981637001 -E$8)</f>
        <v>0</v>
      </c>
      <c r="F265" t="str">
        <f>F$9 * (-0.3486095070838928 -F$8)</f>
        <v>0</v>
      </c>
      <c r="G265" t="str">
        <f>G$9 * (-0.239634096622467 -G$8)</f>
        <v>0</v>
      </c>
    </row>
    <row r="266" spans="1:9">
      <c r="A266" t="str">
        <f>A$9 * (63.75066757202148 -A$8)</f>
        <v>0</v>
      </c>
      <c r="B266" t="str">
        <f>B$9 * (63.75066757202148 -B$8)</f>
        <v>0</v>
      </c>
      <c r="C266" t="str">
        <f>C$9 * (63.75066757202148 -C$8)</f>
        <v>0</v>
      </c>
      <c r="E266" t="str">
        <f>E$9 * (-0.0005316257011145353 -E$8)</f>
        <v>0</v>
      </c>
      <c r="F266" t="str">
        <f>F$9 * (-0.8949306011199951 -F$8)</f>
        <v>0</v>
      </c>
      <c r="G266" t="str">
        <f>G$9 * (0.2750240862369537 -G$8)</f>
        <v>0</v>
      </c>
    </row>
    <row r="267" spans="1:9">
      <c r="A267" t="str">
        <f>A$9 * (64.00027465820312 -A$8)</f>
        <v>0</v>
      </c>
      <c r="B267" t="str">
        <f>B$9 * (64.00027465820312 -B$8)</f>
        <v>0</v>
      </c>
      <c r="C267" t="str">
        <f>C$9 * (64.00027465820312 -C$8)</f>
        <v>0</v>
      </c>
      <c r="E267" t="str">
        <f>E$9 * (-0.005850578192621469 -E$8)</f>
        <v>0</v>
      </c>
      <c r="F267" t="str">
        <f>F$9 * (-1.935577034950256 -F$8)</f>
        <v>0</v>
      </c>
      <c r="G267" t="str">
        <f>G$9 * (1.372773051261902 -G$8)</f>
        <v>0</v>
      </c>
    </row>
    <row r="268" spans="1:9">
      <c r="A268" t="str">
        <f>A$9 * (64.25030517578125 -A$8)</f>
        <v>0</v>
      </c>
      <c r="B268" t="str">
        <f>B$9 * (64.25030517578125 -B$8)</f>
        <v>0</v>
      </c>
      <c r="C268" t="str">
        <f>C$9 * (64.25030517578125 -C$8)</f>
        <v>0</v>
      </c>
      <c r="E268" t="str">
        <f>E$9 * (0.02965972945094109 -E$8)</f>
        <v>0</v>
      </c>
      <c r="F268" t="str">
        <f>F$9 * (8.229469299316406 -F$8)</f>
        <v>0</v>
      </c>
      <c r="G268" t="str">
        <f>G$9 * (9.75420093536377 -G$8)</f>
        <v>0</v>
      </c>
    </row>
    <row r="269" spans="1:9">
      <c r="A269" t="str">
        <f>A$9 * (64.50011444091797 -A$8)</f>
        <v>0</v>
      </c>
      <c r="B269" t="str">
        <f>B$9 * (64.50011444091797 -B$8)</f>
        <v>0</v>
      </c>
      <c r="C269" t="str">
        <f>C$9 * (64.50011444091797 -C$8)</f>
        <v>0</v>
      </c>
      <c r="E269" t="str">
        <f>E$9 * (0.02256890013813972 -E$8)</f>
        <v>0</v>
      </c>
      <c r="F269" t="str">
        <f>F$9 * (10.16872978210449 -F$8)</f>
        <v>0</v>
      </c>
      <c r="G269" t="str">
        <f>G$9 * (14.06334972381592 -G$8)</f>
        <v>0</v>
      </c>
    </row>
    <row r="270" spans="1:9">
      <c r="A270" t="str">
        <f>A$9 * (64.75027465820312 -A$8)</f>
        <v>0</v>
      </c>
      <c r="B270" t="str">
        <f>B$9 * (64.75027465820312 -B$8)</f>
        <v>0</v>
      </c>
      <c r="C270" t="str">
        <f>C$9 * (64.75027465820312 -C$8)</f>
        <v>0</v>
      </c>
      <c r="E270" t="str">
        <f>E$9 * (0.005979502107948065 -E$8)</f>
        <v>0</v>
      </c>
      <c r="F270" t="str">
        <f>F$9 * (2.827881097793579 -F$8)</f>
        <v>0</v>
      </c>
      <c r="G270" t="str">
        <f>G$9 * (7.789461135864258 -G$8)</f>
        <v>0</v>
      </c>
    </row>
    <row r="271" spans="1:9">
      <c r="A271" t="str">
        <f>A$9 * (65.00025177001953 -A$8)</f>
        <v>0</v>
      </c>
      <c r="B271" t="str">
        <f>B$9 * (65.00025177001953 -B$8)</f>
        <v>0</v>
      </c>
      <c r="C271" t="str">
        <f>C$9 * (65.00025177001953 -C$8)</f>
        <v>0</v>
      </c>
      <c r="E271" t="str">
        <f>E$9 * (-0.004689917899668217 -E$8)</f>
        <v>0</v>
      </c>
      <c r="F271" t="str">
        <f>F$9 * (-0.9195135235786438 -F$8)</f>
        <v>0</v>
      </c>
      <c r="G271" t="str">
        <f>G$9 * (-3.156763076782227 -G$8)</f>
        <v>0</v>
      </c>
    </row>
    <row r="272" spans="1:9">
      <c r="A272" t="str">
        <f>A$9 * (65.25016784667969 -A$8)</f>
        <v>0</v>
      </c>
      <c r="B272" t="str">
        <f>B$9 * (65.25016784667969 -B$8)</f>
        <v>0</v>
      </c>
      <c r="C272" t="str">
        <f>C$9 * (65.25016784667969 -C$8)</f>
        <v>0</v>
      </c>
      <c r="E272" t="str">
        <f>E$9 * (-0.001310235005803406 -E$8)</f>
        <v>0</v>
      </c>
      <c r="F272" t="str">
        <f>F$9 * (-1.426707983016968 -F$8)</f>
        <v>0</v>
      </c>
      <c r="G272" t="str">
        <f>G$9 * (-0.08585061132907867 -G$8)</f>
        <v>0</v>
      </c>
    </row>
    <row r="273" spans="1:9">
      <c r="A273" t="str">
        <f>A$9 * (65.5 -A$8)</f>
        <v>0</v>
      </c>
      <c r="B273" t="str">
        <f>B$9 * (65.5 -B$8)</f>
        <v>0</v>
      </c>
      <c r="C273" t="str">
        <f>C$9 * (65.5 -C$8)</f>
        <v>0</v>
      </c>
      <c r="E273" t="str">
        <f>E$9 * (-0.001579975010827184 -E$8)</f>
        <v>0</v>
      </c>
      <c r="F273" t="str">
        <f>F$9 * (-1.590770959854126 -F$8)</f>
        <v>0</v>
      </c>
      <c r="G273" t="str">
        <f>G$9 * (0.1066714003682137 -G$8)</f>
        <v>0</v>
      </c>
    </row>
    <row r="274" spans="1:9">
      <c r="A274" t="str">
        <f>A$9 * (65.75005340576172 -A$8)</f>
        <v>0</v>
      </c>
      <c r="B274" t="str">
        <f>B$9 * (65.75005340576172 -B$8)</f>
        <v>0</v>
      </c>
      <c r="C274" t="str">
        <f>C$9 * (65.75005340576172 -C$8)</f>
        <v>0</v>
      </c>
      <c r="E274" t="str">
        <f>E$9 * (-0.001840529032051563 -E$8)</f>
        <v>0</v>
      </c>
      <c r="F274" t="str">
        <f>F$9 * (-1.694815039634705 -F$8)</f>
        <v>0</v>
      </c>
      <c r="G274" t="str">
        <f>G$9 * (0.291606992483139 -G$8)</f>
        <v>0</v>
      </c>
    </row>
    <row r="275" spans="1:9">
      <c r="A275" t="str">
        <f>A$9 * (66.00003051757812 -A$8)</f>
        <v>0</v>
      </c>
      <c r="B275" t="str">
        <f>B$9 * (66.00003051757812 -B$8)</f>
        <v>0</v>
      </c>
      <c r="C275" t="str">
        <f>C$9 * (66.00003051757812 -C$8)</f>
        <v>0</v>
      </c>
      <c r="E275" t="str">
        <f>E$9 * (-0.0007619370007887483 -E$8)</f>
        <v>0</v>
      </c>
      <c r="F275" t="str">
        <f>F$9 * (-0.6939061880111694 -F$8)</f>
        <v>0</v>
      </c>
      <c r="G275" t="str">
        <f>G$9 * (-0.05983626842498779 -G$8)</f>
        <v>0</v>
      </c>
    </row>
    <row r="276" spans="1:9">
      <c r="A276" t="str">
        <f>A$9 * (66.25055694580078 -A$8)</f>
        <v>0</v>
      </c>
      <c r="B276" t="str">
        <f>B$9 * (66.25055694580078 -B$8)</f>
        <v>0</v>
      </c>
      <c r="C276" t="str">
        <f>C$9 * (66.25055694580078 -C$8)</f>
        <v>0</v>
      </c>
      <c r="E276" t="str">
        <f>E$9 * (0.0009531325194984674 -E$8)</f>
        <v>0</v>
      </c>
      <c r="F276" t="str">
        <f>F$9 * (-1.170539021492004 -F$8)</f>
        <v>0</v>
      </c>
      <c r="G276" t="str">
        <f>G$9 * (0.7281816005706787 -G$8)</f>
        <v>0</v>
      </c>
    </row>
    <row r="277" spans="1:9">
      <c r="A277" t="str">
        <f>A$9 * (66.50050354003906 -A$8)</f>
        <v>0</v>
      </c>
      <c r="B277" t="str">
        <f>B$9 * (66.50050354003906 -B$8)</f>
        <v>0</v>
      </c>
      <c r="C277" t="str">
        <f>C$9 * (66.50050354003906 -C$8)</f>
        <v>0</v>
      </c>
      <c r="E277" t="str">
        <f>E$9 * (0.02492785081267357 -E$8)</f>
        <v>0</v>
      </c>
      <c r="F277" t="str">
        <f>F$9 * (7.773215770721436 -F$8)</f>
        <v>0</v>
      </c>
      <c r="G277" t="str">
        <f>G$9 * (9.881613731384277 -G$8)</f>
        <v>0</v>
      </c>
    </row>
    <row r="278" spans="1:9">
      <c r="A278" t="str">
        <f>A$9 * (66.75041961669922 -A$8)</f>
        <v>0</v>
      </c>
      <c r="B278" t="str">
        <f>B$9 * (66.75041961669922 -B$8)</f>
        <v>0</v>
      </c>
      <c r="C278" t="str">
        <f>C$9 * (66.75041961669922 -C$8)</f>
        <v>0</v>
      </c>
      <c r="E278" t="str">
        <f>E$9 * (0.02758252061903477 -E$8)</f>
        <v>0</v>
      </c>
      <c r="F278" t="str">
        <f>F$9 * (11.63619995117188 -F$8)</f>
        <v>0</v>
      </c>
      <c r="G278" t="str">
        <f>G$9 * (15.31700038909912 -G$8)</f>
        <v>0</v>
      </c>
    </row>
    <row r="279" spans="1:9">
      <c r="A279" t="str">
        <f>A$9 * (67.00033569335938 -A$8)</f>
        <v>0</v>
      </c>
      <c r="B279" t="str">
        <f>B$9 * (67.00033569335938 -B$8)</f>
        <v>0</v>
      </c>
      <c r="C279" t="str">
        <f>C$9 * (67.00033569335938 -C$8)</f>
        <v>0</v>
      </c>
      <c r="E279" t="str">
        <f>E$9 * (0.008598128333687782 -E$8)</f>
        <v>0</v>
      </c>
      <c r="F279" t="str">
        <f>F$9 * (4.437243938446045 -F$8)</f>
        <v>0</v>
      </c>
      <c r="G279" t="str">
        <f>G$9 * (9.739612579345703 -G$8)</f>
        <v>0</v>
      </c>
    </row>
    <row r="280" spans="1:9">
      <c r="A280" t="str">
        <f>A$9 * (67.25019073486328 -A$8)</f>
        <v>0</v>
      </c>
      <c r="B280" t="str">
        <f>B$9 * (67.25019073486328 -B$8)</f>
        <v>0</v>
      </c>
      <c r="C280" t="str">
        <f>C$9 * (67.25019073486328 -C$8)</f>
        <v>0</v>
      </c>
      <c r="E280" t="str">
        <f>E$9 * (-0.0005081671988591552 -E$8)</f>
        <v>0</v>
      </c>
      <c r="F280" t="str">
        <f>F$9 * (-1.252895951271057 -F$8)</f>
        <v>0</v>
      </c>
      <c r="G280" t="str">
        <f>G$9 * (1.323660016059875 -G$8)</f>
        <v>0</v>
      </c>
    </row>
    <row r="281" spans="1:9">
      <c r="A281" t="str">
        <f>A$9 * (67.50027465820312 -A$8)</f>
        <v>0</v>
      </c>
      <c r="B281" t="str">
        <f>B$9 * (67.50027465820312 -B$8)</f>
        <v>0</v>
      </c>
      <c r="C281" t="str">
        <f>C$9 * (67.50027465820312 -C$8)</f>
        <v>0</v>
      </c>
      <c r="E281" t="str">
        <f>E$9 * (0.001448050024919212 -E$8)</f>
        <v>0</v>
      </c>
      <c r="F281" t="str">
        <f>F$9 * (-0.989298403263092 -F$8)</f>
        <v>0</v>
      </c>
      <c r="G281" t="str">
        <f>G$9 * (4.03248405456543 -G$8)</f>
        <v>0</v>
      </c>
    </row>
    <row r="282" spans="1:9">
      <c r="A282" t="str">
        <f>A$9 * (67.75052642822266 -A$8)</f>
        <v>0</v>
      </c>
      <c r="B282" t="str">
        <f>B$9 * (67.75052642822266 -B$8)</f>
        <v>0</v>
      </c>
      <c r="C282" t="str">
        <f>C$9 * (67.75052642822266 -C$8)</f>
        <v>0</v>
      </c>
      <c r="E282" t="str">
        <f>E$9 * (-0.002476928988471627 -E$8)</f>
        <v>0</v>
      </c>
      <c r="F282" t="str">
        <f>F$9 * (-1.043799042701721 -F$8)</f>
        <v>0</v>
      </c>
      <c r="G282" t="str">
        <f>G$9 * (-1.290459990501404 -G$8)</f>
        <v>0</v>
      </c>
    </row>
    <row r="283" spans="1:9">
      <c r="A283" t="str">
        <f>A$9 * (68.00025177001953 -A$8)</f>
        <v>0</v>
      </c>
      <c r="B283" t="str">
        <f>B$9 * (68.00025177001953 -B$8)</f>
        <v>0</v>
      </c>
      <c r="C283" t="str">
        <f>C$9 * (68.00025177001953 -C$8)</f>
        <v>0</v>
      </c>
      <c r="E283" t="str">
        <f>E$9 * (-0.00106193998362869 -E$8)</f>
        <v>0</v>
      </c>
      <c r="F283" t="str">
        <f>F$9 * (-1.457316994667053 -F$8)</f>
        <v>0</v>
      </c>
      <c r="G283" t="str">
        <f>G$9 * (1.218741059303284 -G$8)</f>
        <v>0</v>
      </c>
    </row>
    <row r="284" spans="1:9">
      <c r="A284" t="str">
        <f>A$9 * (68.25041961669922 -A$8)</f>
        <v>0</v>
      </c>
      <c r="B284" t="str">
        <f>B$9 * (68.25041961669922 -B$8)</f>
        <v>0</v>
      </c>
      <c r="C284" t="str">
        <f>C$9 * (68.25041961669922 -C$8)</f>
        <v>0</v>
      </c>
      <c r="E284" t="str">
        <f>E$9 * (-0.0006929159862920642 -E$8)</f>
        <v>0</v>
      </c>
      <c r="F284" t="str">
        <f>F$9 * (-0.644598126411438 -F$8)</f>
        <v>0</v>
      </c>
      <c r="G284" t="str">
        <f>G$9 * (0.2649923861026764 -G$8)</f>
        <v>0</v>
      </c>
    </row>
    <row r="285" spans="1:9">
      <c r="A285" t="str">
        <f>A$9 * (68.50057983398438 -A$8)</f>
        <v>0</v>
      </c>
      <c r="B285" t="str">
        <f>B$9 * (68.50057983398438 -B$8)</f>
        <v>0</v>
      </c>
      <c r="C285" t="str">
        <f>C$9 * (68.50057983398438 -C$8)</f>
        <v>0</v>
      </c>
      <c r="E285" t="str">
        <f>E$9 * (-0.0002780637878458947 -E$8)</f>
        <v>0</v>
      </c>
      <c r="F285" t="str">
        <f>F$9 * (-0.753935694694519 -F$8)</f>
        <v>0</v>
      </c>
      <c r="G285" t="str">
        <f>G$9 * (0.509618878364563 -G$8)</f>
        <v>0</v>
      </c>
    </row>
    <row r="286" spans="1:9">
      <c r="A286" t="str">
        <f>A$9 * (68.75022125244141 -A$8)</f>
        <v>0</v>
      </c>
      <c r="B286" t="str">
        <f>B$9 * (68.75022125244141 -B$8)</f>
        <v>0</v>
      </c>
      <c r="C286" t="str">
        <f>C$9 * (68.75022125244141 -C$8)</f>
        <v>0</v>
      </c>
      <c r="E286" t="str">
        <f>E$9 * (0.1858900040388107 -E$8)</f>
        <v>0</v>
      </c>
      <c r="F286" t="str">
        <f>F$9 * (17.95796012878418 -F$8)</f>
        <v>0</v>
      </c>
      <c r="G286" t="str">
        <f>G$9 * (18.59374046325684 -G$8)</f>
        <v>0</v>
      </c>
    </row>
    <row r="287" spans="1:9">
      <c r="A287" t="str">
        <f>A$9 * (69.00016784667969 -A$8)</f>
        <v>0</v>
      </c>
      <c r="B287" t="str">
        <f>B$9 * (69.00016784667969 -B$8)</f>
        <v>0</v>
      </c>
      <c r="C287" t="str">
        <f>C$9 * (69.00016784667969 -C$8)</f>
        <v>0</v>
      </c>
      <c r="E287" t="str">
        <f>E$9 * (0.04468924924731255 -E$8)</f>
        <v>0</v>
      </c>
      <c r="F287" t="str">
        <f>F$9 * (6.467799186706543 -F$8)</f>
        <v>0</v>
      </c>
      <c r="G287" t="str">
        <f>G$9 * (6.862039089202881 -G$8)</f>
        <v>0</v>
      </c>
    </row>
    <row r="288" spans="1:9">
      <c r="A288" t="str">
        <f>A$9 * (69.25033569335938 -A$8)</f>
        <v>0</v>
      </c>
      <c r="B288" t="str">
        <f>B$9 * (69.25033569335938 -B$8)</f>
        <v>0</v>
      </c>
      <c r="C288" t="str">
        <f>C$9 * (69.25033569335938 -C$8)</f>
        <v>0</v>
      </c>
      <c r="E288" t="str">
        <f>E$9 * (0.01467711012810469 -E$8)</f>
        <v>0</v>
      </c>
      <c r="F288" t="str">
        <f>F$9 * (7.221817970275879 -F$8)</f>
        <v>0</v>
      </c>
      <c r="G288" t="str">
        <f>G$9 * (11.84780979156494 -G$8)</f>
        <v>0</v>
      </c>
    </row>
    <row r="289" spans="1:9">
      <c r="A289" t="str">
        <f>A$9 * (69.50008392333984 -A$8)</f>
        <v>0</v>
      </c>
      <c r="B289" t="str">
        <f>B$9 * (69.50008392333984 -B$8)</f>
        <v>0</v>
      </c>
      <c r="C289" t="str">
        <f>C$9 * (69.50008392333984 -C$8)</f>
        <v>0</v>
      </c>
      <c r="E289" t="str">
        <f>E$9 * (0.001980766886845231 -E$8)</f>
        <v>0</v>
      </c>
      <c r="F289" t="str">
        <f>F$9 * (0.5508872270584106 -F$8)</f>
        <v>0</v>
      </c>
      <c r="G289" t="str">
        <f>G$9 * (3.535825967788696 -G$8)</f>
        <v>0</v>
      </c>
    </row>
    <row r="290" spans="1:9">
      <c r="A290" t="str">
        <f>A$9 * (69.75 -A$8)</f>
        <v>0</v>
      </c>
      <c r="B290" t="str">
        <f>B$9 * (69.75 -B$8)</f>
        <v>0</v>
      </c>
      <c r="C290" t="str">
        <f>C$9 * (69.75 -C$8)</f>
        <v>0</v>
      </c>
      <c r="E290" t="str">
        <f>E$9 * (-0.0009406782919541001 -E$8)</f>
        <v>0</v>
      </c>
      <c r="F290" t="str">
        <f>F$9 * (-1.457381010055542 -F$8)</f>
        <v>0</v>
      </c>
      <c r="G290" t="str">
        <f>G$9 * (2.419132947921753 -G$8)</f>
        <v>0</v>
      </c>
    </row>
    <row r="291" spans="1:9">
      <c r="A291" t="str">
        <f>A$9 * (70.00033569335938 -A$8)</f>
        <v>0</v>
      </c>
      <c r="B291" t="str">
        <f>B$9 * (70.00033569335938 -B$8)</f>
        <v>0</v>
      </c>
      <c r="C291" t="str">
        <f>C$9 * (70.00033569335938 -C$8)</f>
        <v>0</v>
      </c>
      <c r="E291" t="str">
        <f>E$9 * (0.000558181491214782 -E$8)</f>
        <v>0</v>
      </c>
      <c r="F291" t="str">
        <f>F$9 * (-1.269549965858459 -F$8)</f>
        <v>0</v>
      </c>
      <c r="G291" t="str">
        <f>G$9 * (3.113454103469849 -G$8)</f>
        <v>0</v>
      </c>
    </row>
    <row r="292" spans="1:9">
      <c r="A292" t="str">
        <f>A$9 * (70.25016784667969 -A$8)</f>
        <v>0</v>
      </c>
      <c r="B292" t="str">
        <f>B$9 * (70.25016784667969 -B$8)</f>
        <v>0</v>
      </c>
      <c r="C292" t="str">
        <f>C$9 * (70.25016784667969 -C$8)</f>
        <v>0</v>
      </c>
      <c r="E292" t="str">
        <f>E$9 * (-0.0007399658788926899 -E$8)</f>
        <v>0</v>
      </c>
      <c r="F292" t="str">
        <f>F$9 * (-0.6655827760696411 -F$8)</f>
        <v>0</v>
      </c>
      <c r="G292" t="str">
        <f>G$9 * (0.04107150062918663 -G$8)</f>
        <v>0</v>
      </c>
    </row>
    <row r="293" spans="1:9">
      <c r="A293" t="str">
        <f>A$9 * (70.50047302246094 -A$8)</f>
        <v>0</v>
      </c>
      <c r="B293" t="str">
        <f>B$9 * (70.50047302246094 -B$8)</f>
        <v>0</v>
      </c>
      <c r="C293" t="str">
        <f>C$9 * (70.50047302246094 -C$8)</f>
        <v>0</v>
      </c>
      <c r="E293" t="str">
        <f>E$9 * (-0.000491857819724828 -E$8)</f>
        <v>0</v>
      </c>
      <c r="F293" t="str">
        <f>F$9 * (-1.443305015563965 -F$8)</f>
        <v>0</v>
      </c>
      <c r="G293" t="str">
        <f>G$9 * (1.96794605255127 -G$8)</f>
        <v>0</v>
      </c>
    </row>
    <row r="294" spans="1:9">
      <c r="A294" t="str">
        <f>A$9 * (70.75069427490234 -A$8)</f>
        <v>0</v>
      </c>
      <c r="B294" t="str">
        <f>B$9 * (70.75069427490234 -B$8)</f>
        <v>0</v>
      </c>
      <c r="C294" t="str">
        <f>C$9 * (70.75069427490234 -C$8)</f>
        <v>0</v>
      </c>
      <c r="E294" t="str">
        <f>E$9 * (-0.0003929632948711514 -E$8)</f>
        <v>0</v>
      </c>
      <c r="F294" t="str">
        <f>F$9 * (-0.2772845029830933 -F$8)</f>
        <v>0</v>
      </c>
      <c r="G294" t="str">
        <f>G$9 * (0.05171740055084229 -G$8)</f>
        <v>0</v>
      </c>
    </row>
    <row r="295" spans="1:9">
      <c r="A295" t="str">
        <f>A$9 * (71.00077819824219 -A$8)</f>
        <v>0</v>
      </c>
      <c r="B295" t="str">
        <f>B$9 * (71.00077819824219 -B$8)</f>
        <v>0</v>
      </c>
      <c r="C295" t="str">
        <f>C$9 * (71.00077819824219 -C$8)</f>
        <v>0</v>
      </c>
      <c r="E295" t="str">
        <f>E$9 * (-0.001694786944426596 -E$8)</f>
        <v>0</v>
      </c>
      <c r="F295" t="str">
        <f>F$9 * (-1.631808042526245 -F$8)</f>
        <v>0</v>
      </c>
      <c r="G295" t="str">
        <f>G$9 * (0.5298216938972473 -G$8)</f>
        <v>0</v>
      </c>
    </row>
    <row r="296" spans="1:9">
      <c r="A296" t="str">
        <f>A$9 * (71.25069427490234 -A$8)</f>
        <v>0</v>
      </c>
      <c r="B296" t="str">
        <f>B$9 * (71.25069427490234 -B$8)</f>
        <v>0</v>
      </c>
      <c r="C296" t="str">
        <f>C$9 * (71.25069427490234 -C$8)</f>
        <v>0</v>
      </c>
      <c r="E296" t="str">
        <f>E$9 * (0.02104881964623928 -E$8)</f>
        <v>0</v>
      </c>
      <c r="F296" t="str">
        <f>F$9 * (7.131631851196289 -F$8)</f>
        <v>0</v>
      </c>
      <c r="G296" t="str">
        <f>G$9 * (10.5252103805542 -G$8)</f>
        <v>0</v>
      </c>
    </row>
    <row r="297" spans="1:9">
      <c r="A297" t="str">
        <f>A$9 * (71.5006103515625 -A$8)</f>
        <v>0</v>
      </c>
      <c r="B297" t="str">
        <f>B$9 * (71.5006103515625 -B$8)</f>
        <v>0</v>
      </c>
      <c r="C297" t="str">
        <f>C$9 * (71.5006103515625 -C$8)</f>
        <v>0</v>
      </c>
      <c r="E297" t="str">
        <f>E$9 * (0.03974273055791855 -E$8)</f>
        <v>0</v>
      </c>
      <c r="F297" t="str">
        <f>F$9 * (14.27326965332031 -F$8)</f>
        <v>0</v>
      </c>
      <c r="G297" t="str">
        <f>G$9 * (16.9282398223877 -G$8)</f>
        <v>0</v>
      </c>
    </row>
    <row r="298" spans="1:9">
      <c r="A298" t="str">
        <f>A$9 * (71.75011444091797 -A$8)</f>
        <v>0</v>
      </c>
      <c r="B298" t="str">
        <f>B$9 * (71.75011444091797 -B$8)</f>
        <v>0</v>
      </c>
      <c r="C298" t="str">
        <f>C$9 * (71.75011444091797 -C$8)</f>
        <v>0</v>
      </c>
      <c r="E298" t="str">
        <f>E$9 * (0.009657407179474831 -E$8)</f>
        <v>0</v>
      </c>
      <c r="F298" t="str">
        <f>F$9 * (5.041431903839111 -F$8)</f>
        <v>0</v>
      </c>
      <c r="G298" t="str">
        <f>G$9 * (10.35538959503174 -G$8)</f>
        <v>0</v>
      </c>
    </row>
    <row r="299" spans="1:9">
      <c r="A299" t="str">
        <f>A$9 * (72.00035858154297 -A$8)</f>
        <v>0</v>
      </c>
      <c r="B299" t="str">
        <f>B$9 * (72.00035858154297 -B$8)</f>
        <v>0</v>
      </c>
      <c r="C299" t="str">
        <f>C$9 * (72.00035858154297 -C$8)</f>
        <v>0</v>
      </c>
      <c r="E299" t="str">
        <f>E$9 * (-0.0002676679869182408 -E$8)</f>
        <v>0</v>
      </c>
      <c r="F299" t="str">
        <f>F$9 * (-0.4033803939819336 -F$8)</f>
        <v>0</v>
      </c>
      <c r="G299" t="str">
        <f>G$9 * (1.132045984268188 -G$8)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99"/>
  <sheetViews>
    <sheetView tabSelected="1" workbookViewId="0" showGridLines="true" showRowColHeaders="1">
      <selection activeCell="G10" sqref="G10"/>
    </sheetView>
  </sheetViews>
  <sheetFormatPr defaultRowHeight="14.4" outlineLevelRow="0" outlineLevelCol="0"/>
  <sheetData>
    <row r="1" spans="1:9">
      <c r="A1" s="2" t="s">
        <v>8</v>
      </c>
      <c r="B1" s="2" t="s">
        <v>8</v>
      </c>
      <c r="C1" s="2" t="s">
        <v>8</v>
      </c>
      <c r="D1" s="1"/>
      <c r="E1" s="2" t="s">
        <v>9</v>
      </c>
      <c r="F1" s="2" t="s">
        <v>10</v>
      </c>
      <c r="G1" s="2" t="s">
        <v>10</v>
      </c>
    </row>
    <row r="2" spans="1:9">
      <c r="A2" s="1" t="s">
        <v>11</v>
      </c>
      <c r="B2" s="1" t="s">
        <v>12</v>
      </c>
      <c r="C2" s="1" t="s">
        <v>13</v>
      </c>
      <c r="D2" s="1"/>
      <c r="E2" s="1" t="str">
        <f>'Legends'!B2</f>
        <v>0</v>
      </c>
      <c r="F2" s="1" t="str">
        <f>'Legends'!B3</f>
        <v>0</v>
      </c>
      <c r="G2" s="1" t="str">
        <f>'Legends'!B4</f>
        <v>0</v>
      </c>
      <c r="I2" s="3" t="s">
        <v>23</v>
      </c>
    </row>
    <row r="3" spans="1:9">
      <c r="A3" t="str">
        <f>MIN($A$11:$A$299)</f>
        <v>0</v>
      </c>
      <c r="B3" t="str">
        <f>MIN($B$11:$B$299)</f>
        <v>0</v>
      </c>
      <c r="C3" t="str">
        <f>MIN($C$11:$C$299)</f>
        <v>0</v>
      </c>
      <c r="D3" s="1" t="s">
        <v>15</v>
      </c>
      <c r="E3" t="str">
        <f>MIN($E$11:$E$299)</f>
        <v>0</v>
      </c>
      <c r="F3" t="str">
        <f>MIN($F$11:$F$299)</f>
        <v>0</v>
      </c>
      <c r="G3" t="str">
        <f>MIN($G$11:$G$299)</f>
        <v>0</v>
      </c>
    </row>
    <row r="4" spans="1:9">
      <c r="A4" t="str">
        <f>MEDIAN($A$11:$A$299)</f>
        <v>0</v>
      </c>
      <c r="B4" t="str">
        <f>MEDIAN($B$11:$B$299)</f>
        <v>0</v>
      </c>
      <c r="C4" t="str">
        <f>MEDIAN($C$11:$C$299)</f>
        <v>0</v>
      </c>
      <c r="D4" s="1" t="s">
        <v>16</v>
      </c>
      <c r="E4" t="str">
        <f>MEDIAN($E$11:$E$299)</f>
        <v>0</v>
      </c>
      <c r="F4" t="str">
        <f>MEDIAN($F$11:$F$299)</f>
        <v>0</v>
      </c>
      <c r="G4" t="str">
        <f>MEDIAN($G$11:$G$299)</f>
        <v>0</v>
      </c>
    </row>
    <row r="5" spans="1:9">
      <c r="A5" t="str">
        <f>MAX($A$11:$A$299)</f>
        <v>0</v>
      </c>
      <c r="B5" t="str">
        <f>MAX($B$11:$B$299)</f>
        <v>0</v>
      </c>
      <c r="C5" t="str">
        <f>MAX($C$11:$C$299)</f>
        <v>0</v>
      </c>
      <c r="D5" s="1" t="s">
        <v>17</v>
      </c>
      <c r="E5" t="str">
        <f>MAX($E$11:$E$299)</f>
        <v>0</v>
      </c>
      <c r="F5" t="str">
        <f>MAX($F$11:$F$299)</f>
        <v>0</v>
      </c>
      <c r="G5" t="str">
        <f>MAX($G$11:$G$299)</f>
        <v>0</v>
      </c>
    </row>
    <row r="6" spans="1:9">
      <c r="A6" t="str">
        <f>$A5-$A3</f>
        <v>0</v>
      </c>
      <c r="B6" t="str">
        <f>$B5-$B3</f>
        <v>0</v>
      </c>
      <c r="C6" t="str">
        <f>$C5-$C3</f>
        <v>0</v>
      </c>
      <c r="D6" s="1" t="s">
        <v>18</v>
      </c>
      <c r="E6" t="str">
        <f>$E5-$E3</f>
        <v>0</v>
      </c>
      <c r="F6" t="str">
        <f>$F5-$F3</f>
        <v>0</v>
      </c>
      <c r="G6" t="str">
        <f>$G5-$G3</f>
        <v>0</v>
      </c>
    </row>
    <row r="7" spans="1:9">
      <c r="A7" s="2" t="s">
        <v>8</v>
      </c>
      <c r="B7" s="2" t="s">
        <v>8</v>
      </c>
      <c r="C7" s="2" t="s">
        <v>8</v>
      </c>
      <c r="D7" s="1"/>
      <c r="E7" s="2" t="s">
        <v>9</v>
      </c>
      <c r="F7" s="2" t="s">
        <v>10</v>
      </c>
      <c r="G7" s="2" t="s">
        <v>10</v>
      </c>
    </row>
    <row r="8" spans="1:9">
      <c r="A8">
        <v>0</v>
      </c>
      <c r="B8">
        <v>0</v>
      </c>
      <c r="C8">
        <v>0</v>
      </c>
      <c r="D8" s="1" t="s">
        <v>19</v>
      </c>
      <c r="E8">
        <v>0</v>
      </c>
      <c r="F8">
        <v>0</v>
      </c>
      <c r="G8">
        <v>0</v>
      </c>
    </row>
    <row r="9" spans="1:9">
      <c r="A9">
        <v>1</v>
      </c>
      <c r="B9">
        <v>1</v>
      </c>
      <c r="C9">
        <v>1</v>
      </c>
      <c r="D9" s="1" t="s">
        <v>20</v>
      </c>
      <c r="E9">
        <v>1</v>
      </c>
      <c r="F9">
        <v>1</v>
      </c>
      <c r="G9">
        <v>1</v>
      </c>
    </row>
    <row r="10" spans="1:9">
      <c r="A10" s="1" t="s">
        <v>11</v>
      </c>
      <c r="B10" s="1" t="s">
        <v>12</v>
      </c>
      <c r="C10" s="1" t="s">
        <v>13</v>
      </c>
      <c r="D10" s="1"/>
      <c r="E10" s="1" t="str">
        <f>'Legends'!B2</f>
        <v>0</v>
      </c>
      <c r="F10" s="1" t="str">
        <f>'Legends'!B3</f>
        <v>0</v>
      </c>
      <c r="G10" s="1" t="str">
        <f>'Legends'!B4</f>
        <v>0</v>
      </c>
    </row>
    <row r="11" spans="1:9">
      <c r="A11" t="str">
        <f>A$9 * (0 -A$8)</f>
        <v>0</v>
      </c>
      <c r="B11" t="str">
        <f>B$9 * (0 -B$8)</f>
        <v>0</v>
      </c>
      <c r="C11" t="str">
        <f>C$9 * (0 -C$8)</f>
        <v>0</v>
      </c>
      <c r="E11" t="str">
        <f>E$9 * (0.01899014040827751 -E$8)</f>
        <v>0</v>
      </c>
      <c r="F11" t="str">
        <f>F$9 * (6.976023197174072 -F$8)</f>
        <v>0</v>
      </c>
      <c r="G11" t="str">
        <f>G$9 * (9.87746524810791 -G$8)</f>
        <v>0</v>
      </c>
    </row>
    <row r="12" spans="1:9">
      <c r="A12" t="str">
        <f>A$9 * (0.2500112354755402 -A$8)</f>
        <v>0</v>
      </c>
      <c r="B12" t="str">
        <f>B$9 * (0.2500112354755402 -B$8)</f>
        <v>0</v>
      </c>
      <c r="C12" t="str">
        <f>C$9 * (0.2500112354755402 -C$8)</f>
        <v>0</v>
      </c>
      <c r="E12" t="str">
        <f>E$9 * (0.01325295027345419 -E$8)</f>
        <v>0</v>
      </c>
      <c r="F12" t="str">
        <f>F$9 * (4.242303848266602 -F$8)</f>
        <v>0</v>
      </c>
      <c r="G12" t="str">
        <f>G$9 * (6.967663764953613 -G$8)</f>
        <v>0</v>
      </c>
    </row>
    <row r="13" spans="1:9">
      <c r="A13" t="str">
        <f>A$9 * (0.5001211166381836 -A$8)</f>
        <v>0</v>
      </c>
      <c r="B13" t="str">
        <f>B$9 * (0.5001211166381836 -B$8)</f>
        <v>0</v>
      </c>
      <c r="C13" t="str">
        <f>C$9 * (0.5001211166381836 -C$8)</f>
        <v>0</v>
      </c>
      <c r="E13" t="str">
        <f>E$9 * (0.009234599769115448 -E$8)</f>
        <v>0</v>
      </c>
      <c r="F13" t="str">
        <f>F$9 * (2.912945032119751 -F$8)</f>
        <v>0</v>
      </c>
      <c r="G13" t="str">
        <f>G$9 * (5.829698085784912 -G$8)</f>
        <v>0</v>
      </c>
    </row>
    <row r="14" spans="1:9">
      <c r="A14" t="str">
        <f>A$9 * (0.7500610947608948 -A$8)</f>
        <v>0</v>
      </c>
      <c r="B14" t="str">
        <f>B$9 * (0.7500610947608948 -B$8)</f>
        <v>0</v>
      </c>
      <c r="C14" t="str">
        <f>C$9 * (0.7500610947608948 -C$8)</f>
        <v>0</v>
      </c>
      <c r="E14" t="str">
        <f>E$9 * (0.005029994994401932 -E$8)</f>
        <v>0</v>
      </c>
      <c r="F14" t="str">
        <f>F$9 * (1.130789995193481 -F$8)</f>
        <v>0</v>
      </c>
      <c r="G14" t="str">
        <f>G$9 * (3.361793041229248 -G$8)</f>
        <v>0</v>
      </c>
    </row>
    <row r="15" spans="1:9">
      <c r="A15" t="str">
        <f>A$9 * (1.000138640403748 -A$8)</f>
        <v>0</v>
      </c>
      <c r="B15" t="str">
        <f>B$9 * (1.000138640403748 -B$8)</f>
        <v>0</v>
      </c>
      <c r="C15" t="str">
        <f>C$9 * (1.000138640403748 -C$8)</f>
        <v>0</v>
      </c>
      <c r="E15" t="str">
        <f>E$9 * (-0.001137707033194602 -E$8)</f>
        <v>0</v>
      </c>
      <c r="F15" t="str">
        <f>F$9 * (-1.523414969444275 -F$8)</f>
        <v>0</v>
      </c>
      <c r="G15" t="str">
        <f>G$9 * (0.9239462018013 -G$8)</f>
        <v>0</v>
      </c>
    </row>
    <row r="16" spans="1:9">
      <c r="A16" t="str">
        <f>A$9 * (1.250008344650269 -A$8)</f>
        <v>0</v>
      </c>
      <c r="B16" t="str">
        <f>B$9 * (1.250008344650269 -B$8)</f>
        <v>0</v>
      </c>
      <c r="C16" t="str">
        <f>C$9 * (1.250008344650269 -C$8)</f>
        <v>0</v>
      </c>
      <c r="E16" t="str">
        <f>E$9 * (-0.001649342942982912 -E$8)</f>
        <v>0</v>
      </c>
      <c r="F16" t="str">
        <f>F$9 * (-0.5713431835174561 -F$8)</f>
        <v>0</v>
      </c>
      <c r="G16" t="str">
        <f>G$9 * (-0.6565983891487122 -G$8)</f>
        <v>0</v>
      </c>
    </row>
    <row r="17" spans="1:9">
      <c r="A17" t="str">
        <f>A$9 * (1.500068068504333 -A$8)</f>
        <v>0</v>
      </c>
      <c r="B17" t="str">
        <f>B$9 * (1.500068068504333 -B$8)</f>
        <v>0</v>
      </c>
      <c r="C17" t="str">
        <f>C$9 * (1.500068068504333 -C$8)</f>
        <v>0</v>
      </c>
      <c r="E17" t="str">
        <f>E$9 * (-0.0001193764983327128 -E$8)</f>
        <v>0</v>
      </c>
      <c r="F17" t="str">
        <f>F$9 * (-1.477447032928467 -F$8)</f>
        <v>0</v>
      </c>
      <c r="G17" t="str">
        <f>G$9 * (0.8027424812316895 -G$8)</f>
        <v>0</v>
      </c>
    </row>
    <row r="18" spans="1:9">
      <c r="A18" t="str">
        <f>A$9 * (1.750544190406799 -A$8)</f>
        <v>0</v>
      </c>
      <c r="B18" t="str">
        <f>B$9 * (1.750544190406799 -B$8)</f>
        <v>0</v>
      </c>
      <c r="C18" t="str">
        <f>C$9 * (1.750544190406799 -C$8)</f>
        <v>0</v>
      </c>
      <c r="E18" t="str">
        <f>E$9 * (-0.0002765950921457261 -E$8)</f>
        <v>0</v>
      </c>
      <c r="F18" t="str">
        <f>F$9 * (-0.6965150237083435 -F$8)</f>
        <v>0</v>
      </c>
      <c r="G18" t="str">
        <f>G$9 * (0.6684923768043518 -G$8)</f>
        <v>0</v>
      </c>
    </row>
    <row r="19" spans="1:9">
      <c r="A19" t="str">
        <f>A$9 * (2.00004506111145 -A$8)</f>
        <v>0</v>
      </c>
      <c r="B19" t="str">
        <f>B$9 * (2.00004506111145 -B$8)</f>
        <v>0</v>
      </c>
      <c r="C19" t="str">
        <f>C$9 * (2.00004506111145 -C$8)</f>
        <v>0</v>
      </c>
      <c r="E19" t="str">
        <f>E$9 * (-0.0007778162835165858 -E$8)</f>
        <v>0</v>
      </c>
      <c r="F19" t="str">
        <f>F$9 * (-0.3213205933570862 -F$8)</f>
        <v>0</v>
      </c>
      <c r="G19" t="str">
        <f>G$9 * (-0.176583394408226 -G$8)</f>
        <v>0</v>
      </c>
    </row>
    <row r="20" spans="1:9">
      <c r="A20" t="str">
        <f>A$9 * (2.250679969787598 -A$8)</f>
        <v>0</v>
      </c>
      <c r="B20" t="str">
        <f>B$9 * (2.250679969787598 -B$8)</f>
        <v>0</v>
      </c>
      <c r="C20" t="str">
        <f>C$9 * (2.250679969787598 -C$8)</f>
        <v>0</v>
      </c>
      <c r="E20" t="str">
        <f>E$9 * (0.006739790085703135 -E$8)</f>
        <v>0</v>
      </c>
      <c r="F20" t="str">
        <f>F$9 * (0.2099522948265076 -F$8)</f>
        <v>0</v>
      </c>
      <c r="G20" t="str">
        <f>G$9 * (0.5615584254264832 -G$8)</f>
        <v>0</v>
      </c>
    </row>
    <row r="21" spans="1:9">
      <c r="A21" t="str">
        <f>A$9 * (2.500439643859863 -A$8)</f>
        <v>0</v>
      </c>
      <c r="B21" t="str">
        <f>B$9 * (2.500439643859863 -B$8)</f>
        <v>0</v>
      </c>
      <c r="C21" t="str">
        <f>C$9 * (2.500439643859863 -C$8)</f>
        <v>0</v>
      </c>
      <c r="E21" t="str">
        <f>E$9 * (0.005490314215421677 -E$8)</f>
        <v>0</v>
      </c>
      <c r="F21" t="str">
        <f>F$9 * (3.481755971908569 -F$8)</f>
        <v>0</v>
      </c>
      <c r="G21" t="str">
        <f>G$9 * (10.67905044555664 -G$8)</f>
        <v>0</v>
      </c>
    </row>
    <row r="22" spans="1:9">
      <c r="A22" t="str">
        <f>A$9 * (2.750040769577026 -A$8)</f>
        <v>0</v>
      </c>
      <c r="B22" t="str">
        <f>B$9 * (2.750040769577026 -B$8)</f>
        <v>0</v>
      </c>
      <c r="C22" t="str">
        <f>C$9 * (2.750040769577026 -C$8)</f>
        <v>0</v>
      </c>
      <c r="E22" t="str">
        <f>E$9 * (0.03059975989162922 -E$8)</f>
        <v>0</v>
      </c>
      <c r="F22" t="str">
        <f>F$9 * (3.207367897033691 -F$8)</f>
        <v>0</v>
      </c>
      <c r="G22" t="str">
        <f>G$9 * (3.392889976501465 -G$8)</f>
        <v>0</v>
      </c>
    </row>
    <row r="23" spans="1:9">
      <c r="A23" t="str">
        <f>A$9 * (3.000186204910278 -A$8)</f>
        <v>0</v>
      </c>
      <c r="B23" t="str">
        <f>B$9 * (3.000186204910278 -B$8)</f>
        <v>0</v>
      </c>
      <c r="C23" t="str">
        <f>C$9 * (3.000186204910278 -C$8)</f>
        <v>0</v>
      </c>
      <c r="E23" t="str">
        <f>E$9 * (0.01463195029646158 -E$8)</f>
        <v>0</v>
      </c>
      <c r="F23" t="str">
        <f>F$9 * (4.633410930633545 -F$8)</f>
        <v>0</v>
      </c>
      <c r="G23" t="str">
        <f>G$9 * (7.182168006896973 -G$8)</f>
        <v>0</v>
      </c>
    </row>
    <row r="24" spans="1:9">
      <c r="A24" t="str">
        <f>A$9 * (3.250072240829468 -A$8)</f>
        <v>0</v>
      </c>
      <c r="B24" t="str">
        <f>B$9 * (3.250072240829468 -B$8)</f>
        <v>0</v>
      </c>
      <c r="C24" t="str">
        <f>C$9 * (3.250072240829468 -C$8)</f>
        <v>0</v>
      </c>
      <c r="E24" t="str">
        <f>E$9 * (0.009326205588877201 -E$8)</f>
        <v>0</v>
      </c>
      <c r="F24" t="str">
        <f>F$9 * (3.414434909820557 -F$8)</f>
        <v>0</v>
      </c>
      <c r="G24" t="str">
        <f>G$9 * (6.796528816223145 -G$8)</f>
        <v>0</v>
      </c>
    </row>
    <row r="25" spans="1:9">
      <c r="A25" t="str">
        <f>A$9 * (3.500366687774658 -A$8)</f>
        <v>0</v>
      </c>
      <c r="B25" t="str">
        <f>B$9 * (3.500366687774658 -B$8)</f>
        <v>0</v>
      </c>
      <c r="C25" t="str">
        <f>C$9 * (3.500366687774658 -C$8)</f>
        <v>0</v>
      </c>
      <c r="E25" t="str">
        <f>E$9 * (0.01446818001568317 -E$8)</f>
        <v>0</v>
      </c>
      <c r="F25" t="str">
        <f>F$9 * (2.712361097335815 -F$8)</f>
        <v>0</v>
      </c>
      <c r="G25" t="str">
        <f>G$9 * (4.108851909637451 -G$8)</f>
        <v>0</v>
      </c>
    </row>
    <row r="26" spans="1:9">
      <c r="A26" t="str">
        <f>A$9 * (3.750369548797607 -A$8)</f>
        <v>0</v>
      </c>
      <c r="B26" t="str">
        <f>B$9 * (3.750369548797607 -B$8)</f>
        <v>0</v>
      </c>
      <c r="C26" t="str">
        <f>C$9 * (3.750369548797607 -C$8)</f>
        <v>0</v>
      </c>
      <c r="E26" t="str">
        <f>E$9 * (0.007370573934167624 -E$8)</f>
        <v>0</v>
      </c>
      <c r="F26" t="str">
        <f>F$9 * (2.880822896957397 -F$8)</f>
        <v>0</v>
      </c>
      <c r="G26" t="str">
        <f>G$9 * (6.687615871429443 -G$8)</f>
        <v>0</v>
      </c>
    </row>
    <row r="27" spans="1:9">
      <c r="A27" t="str">
        <f>A$9 * (4.000369548797607 -A$8)</f>
        <v>0</v>
      </c>
      <c r="B27" t="str">
        <f>B$9 * (4.000369548797607 -B$8)</f>
        <v>0</v>
      </c>
      <c r="C27" t="str">
        <f>C$9 * (4.000369548797607 -C$8)</f>
        <v>0</v>
      </c>
      <c r="E27" t="str">
        <f>E$9 * (0.004478586837649345 -E$8)</f>
        <v>0</v>
      </c>
      <c r="F27" t="str">
        <f>F$9 * (1.172142028808594 -F$8)</f>
        <v>0</v>
      </c>
      <c r="G27" t="str">
        <f>G$9 * (3.811975955963135 -G$8)</f>
        <v>0</v>
      </c>
    </row>
    <row r="28" spans="1:9">
      <c r="A28" t="str">
        <f>A$9 * (4.250458240509033 -A$8)</f>
        <v>0</v>
      </c>
      <c r="B28" t="str">
        <f>B$9 * (4.250458240509033 -B$8)</f>
        <v>0</v>
      </c>
      <c r="C28" t="str">
        <f>C$9 * (4.250458240509033 -C$8)</f>
        <v>0</v>
      </c>
      <c r="E28" t="str">
        <f>E$9 * (-0.0002315741003258154 -E$8)</f>
        <v>0</v>
      </c>
      <c r="F28" t="str">
        <f>F$9 * (-1.215451955795288 -F$8)</f>
        <v>0</v>
      </c>
      <c r="G28" t="str">
        <f>G$9 * (0.5877562761306763 -G$8)</f>
        <v>0</v>
      </c>
    </row>
    <row r="29" spans="1:9">
      <c r="A29" t="str">
        <f>A$9 * (4.500405788421631 -A$8)</f>
        <v>0</v>
      </c>
      <c r="B29" t="str">
        <f>B$9 * (4.500405788421631 -B$8)</f>
        <v>0</v>
      </c>
      <c r="C29" t="str">
        <f>C$9 * (4.500405788421631 -C$8)</f>
        <v>0</v>
      </c>
      <c r="E29" t="str">
        <f>E$9 * (-0.0009057651041075587 -E$8)</f>
        <v>0</v>
      </c>
      <c r="F29" t="str">
        <f>F$9 * (-0.7610834240913391 -F$8)</f>
        <v>0</v>
      </c>
      <c r="G29" t="str">
        <f>G$9 * (-0.2387396991252899 -G$8)</f>
        <v>0</v>
      </c>
    </row>
    <row r="30" spans="1:9">
      <c r="A30" t="str">
        <f>A$9 * (4.750080585479736 -A$8)</f>
        <v>0</v>
      </c>
      <c r="B30" t="str">
        <f>B$9 * (4.750080585479736 -B$8)</f>
        <v>0</v>
      </c>
      <c r="C30" t="str">
        <f>C$9 * (4.750080585479736 -C$8)</f>
        <v>0</v>
      </c>
      <c r="E30" t="str">
        <f>E$9 * (7.439230103045702E-5 -E$8)</f>
        <v>0</v>
      </c>
      <c r="F30" t="str">
        <f>F$9 * (-1.127639055252075 -F$8)</f>
        <v>0</v>
      </c>
      <c r="G30" t="str">
        <f>G$9 * (1.986724972724915 -G$8)</f>
        <v>0</v>
      </c>
    </row>
    <row r="31" spans="1:9">
      <c r="A31" t="str">
        <f>A$9 * (5.000389099121094 -A$8)</f>
        <v>0</v>
      </c>
      <c r="B31" t="str">
        <f>B$9 * (5.000389099121094 -B$8)</f>
        <v>0</v>
      </c>
      <c r="C31" t="str">
        <f>C$9 * (5.000389099121094 -C$8)</f>
        <v>0</v>
      </c>
      <c r="E31" t="str">
        <f>E$9 * (-0.001800533966161311 -E$8)</f>
        <v>0</v>
      </c>
      <c r="F31" t="str">
        <f>F$9 * (-0.2773160040378571 -F$8)</f>
        <v>0</v>
      </c>
      <c r="G31" t="str">
        <f>G$9 * (-0.8620176911354065 -G$8)</f>
        <v>0</v>
      </c>
    </row>
    <row r="32" spans="1:9">
      <c r="A32" t="str">
        <f>A$9 * (5.250255584716797 -A$8)</f>
        <v>0</v>
      </c>
      <c r="B32" t="str">
        <f>B$9 * (5.250255584716797 -B$8)</f>
        <v>0</v>
      </c>
      <c r="C32" t="str">
        <f>C$9 * (5.250255584716797 -C$8)</f>
        <v>0</v>
      </c>
      <c r="E32" t="str">
        <f>E$9 * (-0.0006006596959196031 -E$8)</f>
        <v>0</v>
      </c>
      <c r="F32" t="str">
        <f>F$9 * (-0.1767181009054184 -F$8)</f>
        <v>0</v>
      </c>
      <c r="G32" t="str">
        <f>G$9 * (-0.3047923147678375 -G$8)</f>
        <v>0</v>
      </c>
    </row>
    <row r="33" spans="1:9">
      <c r="A33" t="str">
        <f>A$9 * (5.500697135925293 -A$8)</f>
        <v>0</v>
      </c>
      <c r="B33" t="str">
        <f>B$9 * (5.500697135925293 -B$8)</f>
        <v>0</v>
      </c>
      <c r="C33" t="str">
        <f>C$9 * (5.500697135925293 -C$8)</f>
        <v>0</v>
      </c>
      <c r="E33" t="str">
        <f>E$9 * (0.01148173958063126 -E$8)</f>
        <v>0</v>
      </c>
      <c r="F33" t="str">
        <f>F$9 * (0.3837603032588959 -F$8)</f>
        <v>0</v>
      </c>
      <c r="G33" t="str">
        <f>G$9 * (0.875407874584198 -G$8)</f>
        <v>0</v>
      </c>
    </row>
    <row r="34" spans="1:9">
      <c r="A34" t="str">
        <f>A$9 * (5.750344276428223 -A$8)</f>
        <v>0</v>
      </c>
      <c r="B34" t="str">
        <f>B$9 * (5.750344276428223 -B$8)</f>
        <v>0</v>
      </c>
      <c r="C34" t="str">
        <f>C$9 * (5.750344276428223 -C$8)</f>
        <v>0</v>
      </c>
      <c r="E34" t="str">
        <f>E$9 * (0.0007105509866960347 -E$8)</f>
        <v>0</v>
      </c>
      <c r="F34" t="str">
        <f>F$9 * (0.2734776139259338 -F$8)</f>
        <v>0</v>
      </c>
      <c r="G34" t="str">
        <f>G$9 * (11.39169979095459 -G$8)</f>
        <v>0</v>
      </c>
    </row>
    <row r="35" spans="1:9">
      <c r="A35" t="str">
        <f>A$9 * (6.00059986114502 -A$8)</f>
        <v>0</v>
      </c>
      <c r="B35" t="str">
        <f>B$9 * (6.00059986114502 -B$8)</f>
        <v>0</v>
      </c>
      <c r="C35" t="str">
        <f>C$9 * (6.00059986114502 -C$8)</f>
        <v>0</v>
      </c>
      <c r="E35" t="str">
        <f>E$9 * (0.02987192943692207 -E$8)</f>
        <v>0</v>
      </c>
      <c r="F35" t="str">
        <f>F$9 * (3.316627025604248 -F$8)</f>
        <v>0</v>
      </c>
      <c r="G35" t="str">
        <f>G$9 * (3.554433107376099 -G$8)</f>
        <v>0</v>
      </c>
    </row>
    <row r="36" spans="1:9">
      <c r="A36" t="str">
        <f>A$9 * (6.250333309173584 -A$8)</f>
        <v>0</v>
      </c>
      <c r="B36" t="str">
        <f>B$9 * (6.250333309173584 -B$8)</f>
        <v>0</v>
      </c>
      <c r="C36" t="str">
        <f>C$9 * (6.250333309173584 -C$8)</f>
        <v>0</v>
      </c>
      <c r="E36" t="str">
        <f>E$9 * (0.01896345056593418 -E$8)</f>
        <v>0</v>
      </c>
      <c r="F36" t="str">
        <f>F$9 * (4.833681106567383 -F$8)</f>
        <v>0</v>
      </c>
      <c r="G36" t="str">
        <f>G$9 * (6.585178852081299 -G$8)</f>
        <v>0</v>
      </c>
    </row>
    <row r="37" spans="1:9">
      <c r="A37" t="str">
        <f>A$9 * (6.500533103942871 -A$8)</f>
        <v>0</v>
      </c>
      <c r="B37" t="str">
        <f>B$9 * (6.500533103942871 -B$8)</f>
        <v>0</v>
      </c>
      <c r="C37" t="str">
        <f>C$9 * (6.500533103942871 -C$8)</f>
        <v>0</v>
      </c>
      <c r="E37" t="str">
        <f>E$9 * (0.009678608737885952 -E$8)</f>
        <v>0</v>
      </c>
      <c r="F37" t="str">
        <f>F$9 * (3.741980075836182 -F$8)</f>
        <v>0</v>
      </c>
      <c r="G37" t="str">
        <f>G$9 * (7.361485004425049 -G$8)</f>
        <v>0</v>
      </c>
    </row>
    <row r="38" spans="1:9">
      <c r="A38" t="str">
        <f>A$9 * (6.75029182434082 -A$8)</f>
        <v>0</v>
      </c>
      <c r="B38" t="str">
        <f>B$9 * (6.75029182434082 -B$8)</f>
        <v>0</v>
      </c>
      <c r="C38" t="str">
        <f>C$9 * (6.75029182434082 -C$8)</f>
        <v>0</v>
      </c>
      <c r="E38" t="str">
        <f>E$9 * (0.01342772040516138 -E$8)</f>
        <v>0</v>
      </c>
      <c r="F38" t="str">
        <f>F$9 * (2.325418949127197 -F$8)</f>
        <v>0</v>
      </c>
      <c r="G38" t="str">
        <f>G$9 * (3.657566070556641 -G$8)</f>
        <v>0</v>
      </c>
    </row>
    <row r="39" spans="1:9">
      <c r="A39" t="str">
        <f>A$9 * (7.000044345855713 -A$8)</f>
        <v>0</v>
      </c>
      <c r="B39" t="str">
        <f>B$9 * (7.000044345855713 -B$8)</f>
        <v>0</v>
      </c>
      <c r="C39" t="str">
        <f>C$9 * (7.000044345855713 -C$8)</f>
        <v>0</v>
      </c>
      <c r="E39" t="str">
        <f>E$9 * (0.009405037388205528 -E$8)</f>
        <v>0</v>
      </c>
      <c r="F39" t="str">
        <f>F$9 * (3.310405969619751 -F$8)</f>
        <v>0</v>
      </c>
      <c r="G39" t="str">
        <f>G$9 * (6.582622051239014 -G$8)</f>
        <v>0</v>
      </c>
    </row>
    <row r="40" spans="1:9">
      <c r="A40" t="str">
        <f>A$9 * (7.250141620635986 -A$8)</f>
        <v>0</v>
      </c>
      <c r="B40" t="str">
        <f>B$9 * (7.250141620635986 -B$8)</f>
        <v>0</v>
      </c>
      <c r="C40" t="str">
        <f>C$9 * (7.250141620635986 -C$8)</f>
        <v>0</v>
      </c>
      <c r="E40" t="str">
        <f>E$9 * (0.005469514988362789 -E$8)</f>
        <v>0</v>
      </c>
      <c r="F40" t="str">
        <f>F$9 * (1.818724036216736 -F$8)</f>
        <v>0</v>
      </c>
      <c r="G40" t="str">
        <f>G$9 * (5.154407978057861 -G$8)</f>
        <v>0</v>
      </c>
    </row>
    <row r="41" spans="1:9">
      <c r="A41" t="str">
        <f>A$9 * (7.500188827514648 -A$8)</f>
        <v>0</v>
      </c>
      <c r="B41" t="str">
        <f>B$9 * (7.500188827514648 -B$8)</f>
        <v>0</v>
      </c>
      <c r="C41" t="str">
        <f>C$9 * (7.500188827514648 -C$8)</f>
        <v>0</v>
      </c>
      <c r="E41" t="str">
        <f>E$9 * (-0.001033889944665134 -E$8)</f>
        <v>0</v>
      </c>
      <c r="F41" t="str">
        <f>F$9 * (-0.6312679052352905 -F$8)</f>
        <v>0</v>
      </c>
      <c r="G41" t="str">
        <f>G$9 * (-0.2570570111274719 -G$8)</f>
        <v>0</v>
      </c>
    </row>
    <row r="42" spans="1:9">
      <c r="A42" t="str">
        <f>A$9 * (7.750236034393311 -A$8)</f>
        <v>0</v>
      </c>
      <c r="B42" t="str">
        <f>B$9 * (7.750236034393311 -B$8)</f>
        <v>0</v>
      </c>
      <c r="C42" t="str">
        <f>C$9 * (7.750236034393311 -C$8)</f>
        <v>0</v>
      </c>
      <c r="E42" t="str">
        <f>E$9 * (-0.001396588049829006 -E$8)</f>
        <v>0</v>
      </c>
      <c r="F42" t="str">
        <f>F$9 * (-0.8980075120925903 -F$8)</f>
        <v>0</v>
      </c>
      <c r="G42" t="str">
        <f>G$9 * (-0.04720329120755196 -G$8)</f>
        <v>0</v>
      </c>
    </row>
    <row r="43" spans="1:9">
      <c r="A43" t="str">
        <f>A$9 * (8.000619888305664 -A$8)</f>
        <v>0</v>
      </c>
      <c r="B43" t="str">
        <f>B$9 * (8.000619888305664 -B$8)</f>
        <v>0</v>
      </c>
      <c r="C43" t="str">
        <f>C$9 * (8.000619888305664 -C$8)</f>
        <v>0</v>
      </c>
      <c r="E43" t="str">
        <f>E$9 * (-0.0004948463174514472 -E$8)</f>
        <v>0</v>
      </c>
      <c r="F43" t="str">
        <f>F$9 * (-0.6051324009895325 -F$8)</f>
        <v>0</v>
      </c>
      <c r="G43" t="str">
        <f>G$9 * (0.4600403904914856 -G$8)</f>
        <v>0</v>
      </c>
    </row>
    <row r="44" spans="1:9">
      <c r="A44" t="str">
        <f>A$9 * (8.250310897827148 -A$8)</f>
        <v>0</v>
      </c>
      <c r="B44" t="str">
        <f>B$9 * (8.250310897827148 -B$8)</f>
        <v>0</v>
      </c>
      <c r="C44" t="str">
        <f>C$9 * (8.250310897827148 -C$8)</f>
        <v>0</v>
      </c>
      <c r="E44" t="str">
        <f>E$9 * (-0.000413697212934494 -E$8)</f>
        <v>0</v>
      </c>
      <c r="F44" t="str">
        <f>F$9 * (-0.9719343185424805 -F$8)</f>
        <v>0</v>
      </c>
      <c r="G44" t="str">
        <f>G$9 * (0.6252484917640686 -G$8)</f>
        <v>0</v>
      </c>
    </row>
    <row r="45" spans="1:9">
      <c r="A45" t="str">
        <f>A$9 * (8.500744819641113 -A$8)</f>
        <v>0</v>
      </c>
      <c r="B45" t="str">
        <f>B$9 * (8.500744819641113 -B$8)</f>
        <v>0</v>
      </c>
      <c r="C45" t="str">
        <f>C$9 * (8.500744819641113 -C$8)</f>
        <v>0</v>
      </c>
      <c r="E45" t="str">
        <f>E$9 * (-0.0005971658974885941 -E$8)</f>
        <v>0</v>
      </c>
      <c r="F45" t="str">
        <f>F$9 * (-0.1966758072376251 -F$8)</f>
        <v>0</v>
      </c>
      <c r="G45" t="str">
        <f>G$9 * (-0.08130895346403122 -G$8)</f>
        <v>0</v>
      </c>
    </row>
    <row r="46" spans="1:9">
      <c r="A46" t="str">
        <f>A$9 * (8.750397682189941 -A$8)</f>
        <v>0</v>
      </c>
      <c r="B46" t="str">
        <f>B$9 * (8.750397682189941 -B$8)</f>
        <v>0</v>
      </c>
      <c r="C46" t="str">
        <f>C$9 * (8.750397682189941 -C$8)</f>
        <v>0</v>
      </c>
      <c r="E46" t="str">
        <f>E$9 * (-0.003201201092451811 -E$8)</f>
        <v>0</v>
      </c>
      <c r="F46" t="str">
        <f>F$9 * (-1.540562987327576 -F$8)</f>
        <v>0</v>
      </c>
      <c r="G46" t="str">
        <f>G$9 * (-0.5435957908630371 -G$8)</f>
        <v>0</v>
      </c>
    </row>
    <row r="47" spans="1:9">
      <c r="A47" t="str">
        <f>A$9 * (9.000094413757324 -A$8)</f>
        <v>0</v>
      </c>
      <c r="B47" t="str">
        <f>B$9 * (9.000094413757324 -B$8)</f>
        <v>0</v>
      </c>
      <c r="C47" t="str">
        <f>C$9 * (9.000094413757324 -C$8)</f>
        <v>0</v>
      </c>
      <c r="E47" t="str">
        <f>E$9 * (0.001790842041373253 -E$8)</f>
        <v>0</v>
      </c>
      <c r="F47" t="str">
        <f>F$9 * (0.4512270987033844 -F$8)</f>
        <v>0</v>
      </c>
      <c r="G47" t="str">
        <f>G$9 * (11.20761966705322 -G$8)</f>
        <v>0</v>
      </c>
    </row>
    <row r="48" spans="1:9">
      <c r="A48" t="str">
        <f>A$9 * (9.250146865844727 -A$8)</f>
        <v>0</v>
      </c>
      <c r="B48" t="str">
        <f>B$9 * (9.250146865844727 -B$8)</f>
        <v>0</v>
      </c>
      <c r="C48" t="str">
        <f>C$9 * (9.250146865844727 -C$8)</f>
        <v>0</v>
      </c>
      <c r="E48" t="str">
        <f>E$9 * (0.02904658019542694 -E$8)</f>
        <v>0</v>
      </c>
      <c r="F48" t="str">
        <f>F$9 * (3.497519969940186 -F$8)</f>
        <v>0</v>
      </c>
      <c r="G48" t="str">
        <f>G$9 * (3.822483062744141 -G$8)</f>
        <v>0</v>
      </c>
    </row>
    <row r="49" spans="1:9">
      <c r="A49" t="str">
        <f>A$9 * (9.50018310546875 -A$8)</f>
        <v>0</v>
      </c>
      <c r="B49" t="str">
        <f>B$9 * (9.50018310546875 -B$8)</f>
        <v>0</v>
      </c>
      <c r="C49" t="str">
        <f>C$9 * (9.50018310546875 -C$8)</f>
        <v>0</v>
      </c>
      <c r="E49" t="str">
        <f>E$9 * (0.02585197053849697 -E$8)</f>
        <v>0</v>
      </c>
      <c r="F49" t="str">
        <f>F$9 * (4.715826034545898 -F$8)</f>
        <v>0</v>
      </c>
      <c r="G49" t="str">
        <f>G$9 * (5.581258773803711 -G$8)</f>
        <v>0</v>
      </c>
    </row>
    <row r="50" spans="1:9">
      <c r="A50" t="str">
        <f>A$9 * (9.750447273254395 -A$8)</f>
        <v>0</v>
      </c>
      <c r="B50" t="str">
        <f>B$9 * (9.750447273254395 -B$8)</f>
        <v>0</v>
      </c>
      <c r="C50" t="str">
        <f>C$9 * (9.750447273254395 -C$8)</f>
        <v>0</v>
      </c>
      <c r="E50" t="str">
        <f>E$9 * (0.01084537990391254 -E$8)</f>
        <v>0</v>
      </c>
      <c r="F50" t="str">
        <f>F$9 * (3.924510955810547 -F$8)</f>
        <v>0</v>
      </c>
      <c r="G50" t="str">
        <f>G$9 * (7.205574989318848 -G$8)</f>
        <v>0</v>
      </c>
    </row>
    <row r="51" spans="1:9">
      <c r="A51" t="str">
        <f>A$9 * (10.00028610229492 -A$8)</f>
        <v>0</v>
      </c>
      <c r="B51" t="str">
        <f>B$9 * (10.00028610229492 -B$8)</f>
        <v>0</v>
      </c>
      <c r="C51" t="str">
        <f>C$9 * (10.00028610229492 -C$8)</f>
        <v>0</v>
      </c>
      <c r="E51" t="str">
        <f>E$9 * (0.01188198011368513 -E$8)</f>
        <v>0</v>
      </c>
      <c r="F51" t="str">
        <f>F$9 * (2.040620088577271 -F$8)</f>
        <v>0</v>
      </c>
      <c r="G51" t="str">
        <f>G$9 * (3.431504011154175 -G$8)</f>
        <v>0</v>
      </c>
    </row>
    <row r="52" spans="1:9">
      <c r="A52" t="str">
        <f>A$9 * (10.25046348571777 -A$8)</f>
        <v>0</v>
      </c>
      <c r="B52" t="str">
        <f>B$9 * (10.25046348571777 -B$8)</f>
        <v>0</v>
      </c>
      <c r="C52" t="str">
        <f>C$9 * (10.25046348571777 -C$8)</f>
        <v>0</v>
      </c>
      <c r="E52" t="str">
        <f>E$9 * (0.01310050021857023 -E$8)</f>
        <v>0</v>
      </c>
      <c r="F52" t="str">
        <f>F$9 * (3.529619932174683 -F$8)</f>
        <v>0</v>
      </c>
      <c r="G52" t="str">
        <f>G$9 * (5.757116794586182 -G$8)</f>
        <v>0</v>
      </c>
    </row>
    <row r="53" spans="1:9">
      <c r="A53" t="str">
        <f>A$9 * (10.50020027160645 -A$8)</f>
        <v>0</v>
      </c>
      <c r="B53" t="str">
        <f>B$9 * (10.50020027160645 -B$8)</f>
        <v>0</v>
      </c>
      <c r="C53" t="str">
        <f>C$9 * (10.50020027160645 -C$8)</f>
        <v>0</v>
      </c>
      <c r="E53" t="str">
        <f>E$9 * (0.005820699967443943 -E$8)</f>
        <v>0</v>
      </c>
      <c r="F53" t="str">
        <f>F$9 * (2.222565889358521 -F$8)</f>
        <v>0</v>
      </c>
      <c r="G53" t="str">
        <f>G$9 * (6.095945835113525 -G$8)</f>
        <v>0</v>
      </c>
    </row>
    <row r="54" spans="1:9">
      <c r="A54" t="str">
        <f>A$9 * (10.75005531311035 -A$8)</f>
        <v>0</v>
      </c>
      <c r="B54" t="str">
        <f>B$9 * (10.75005531311035 -B$8)</f>
        <v>0</v>
      </c>
      <c r="C54" t="str">
        <f>C$9 * (10.75005531311035 -C$8)</f>
        <v>0</v>
      </c>
      <c r="E54" t="str">
        <f>E$9 * (-0.001756501966156065 -E$8)</f>
        <v>0</v>
      </c>
      <c r="F54" t="str">
        <f>F$9 * (-1.107017993927002 -F$8)</f>
        <v>0</v>
      </c>
      <c r="G54" t="str">
        <f>G$9 * (0.05151451006531715 -G$8)</f>
        <v>0</v>
      </c>
    </row>
    <row r="55" spans="1:9">
      <c r="A55" t="str">
        <f>A$9 * (11.00014686584473 -A$8)</f>
        <v>0</v>
      </c>
      <c r="B55" t="str">
        <f>B$9 * (11.00014686584473 -B$8)</f>
        <v>0</v>
      </c>
      <c r="C55" t="str">
        <f>C$9 * (11.00014686584473 -C$8)</f>
        <v>0</v>
      </c>
      <c r="E55" t="str">
        <f>E$9 * (-0.0009898778516799212 -E$8)</f>
        <v>0</v>
      </c>
      <c r="F55" t="str">
        <f>F$9 * (-1.142048954963684 -F$8)</f>
        <v>0</v>
      </c>
      <c r="G55" t="str">
        <f>G$9 * (0.2333984971046448 -G$8)</f>
        <v>0</v>
      </c>
    </row>
    <row r="56" spans="1:9">
      <c r="A56" t="str">
        <f>A$9 * (11.25011920928955 -A$8)</f>
        <v>0</v>
      </c>
      <c r="B56" t="str">
        <f>B$9 * (11.25011920928955 -B$8)</f>
        <v>0</v>
      </c>
      <c r="C56" t="str">
        <f>C$9 * (11.25011920928955 -C$8)</f>
        <v>0</v>
      </c>
      <c r="E56" t="str">
        <f>E$9 * (-0.0007357546710409224 -E$8)</f>
        <v>0</v>
      </c>
      <c r="F56" t="str">
        <f>F$9 * (-0.5251643061637878 -F$8)</f>
        <v>0</v>
      </c>
      <c r="G56" t="str">
        <f>G$9 * (-0.06127594038844109 -G$8)</f>
        <v>0</v>
      </c>
    </row>
    <row r="57" spans="1:9">
      <c r="A57" t="str">
        <f>A$9 * (11.50009155273438 -A$8)</f>
        <v>0</v>
      </c>
      <c r="B57" t="str">
        <f>B$9 * (11.50009155273438 -B$8)</f>
        <v>0</v>
      </c>
      <c r="C57" t="str">
        <f>C$9 * (11.50009155273438 -C$8)</f>
        <v>0</v>
      </c>
      <c r="E57" t="str">
        <f>E$9 * (-0.0009320419048890471 -E$8)</f>
        <v>0</v>
      </c>
      <c r="F57" t="str">
        <f>F$9 * (-1.257761001586914 -F$8)</f>
        <v>0</v>
      </c>
      <c r="G57" t="str">
        <f>G$9 * (0.8975511193275452 -G$8)</f>
        <v>0</v>
      </c>
    </row>
    <row r="58" spans="1:9">
      <c r="A58" t="str">
        <f>A$9 * (11.75016975402832 -A$8)</f>
        <v>0</v>
      </c>
      <c r="B58" t="str">
        <f>B$9 * (11.75016975402832 -B$8)</f>
        <v>0</v>
      </c>
      <c r="C58" t="str">
        <f>C$9 * (11.75016975402832 -C$8)</f>
        <v>0</v>
      </c>
      <c r="E58" t="str">
        <f>E$9 * (-0.0007337533170357347 -E$8)</f>
        <v>0</v>
      </c>
      <c r="F58" t="str">
        <f>F$9 * (-0.5358467102050781 -F$8)</f>
        <v>0</v>
      </c>
      <c r="G58" t="str">
        <f>G$9 * (0.06150135025382042 -G$8)</f>
        <v>0</v>
      </c>
    </row>
    <row r="59" spans="1:9">
      <c r="A59" t="str">
        <f>A$9 * (12.00040245056152 -A$8)</f>
        <v>0</v>
      </c>
      <c r="B59" t="str">
        <f>B$9 * (12.00040245056152 -B$8)</f>
        <v>0</v>
      </c>
      <c r="C59" t="str">
        <f>C$9 * (12.00040245056152 -C$8)</f>
        <v>0</v>
      </c>
      <c r="E59" t="str">
        <f>E$9 * (-0.0007549707079306245 -E$8)</f>
        <v>0</v>
      </c>
      <c r="F59" t="str">
        <f>F$9 * (-0.5098140835762024 -F$8)</f>
        <v>0</v>
      </c>
      <c r="G59" t="str">
        <f>G$9 * (-0.06020957976579666 -G$8)</f>
        <v>0</v>
      </c>
    </row>
    <row r="60" spans="1:9">
      <c r="A60" t="str">
        <f>A$9 * (12.25017738342285 -A$8)</f>
        <v>0</v>
      </c>
      <c r="B60" t="str">
        <f>B$9 * (12.25017738342285 -B$8)</f>
        <v>0</v>
      </c>
      <c r="C60" t="str">
        <f>C$9 * (12.25017738342285 -C$8)</f>
        <v>0</v>
      </c>
      <c r="E60" t="str">
        <f>E$9 * (0.08314944803714752 -E$8)</f>
        <v>0</v>
      </c>
      <c r="F60" t="str">
        <f>F$9 * (3.582226991653442 -F$8)</f>
        <v>0</v>
      </c>
      <c r="G60" t="str">
        <f>G$9 * (3.726149082183838 -G$8)</f>
        <v>0</v>
      </c>
    </row>
    <row r="61" spans="1:9">
      <c r="A61" t="str">
        <f>A$9 * (12.50063323974609 -A$8)</f>
        <v>0</v>
      </c>
      <c r="B61" t="str">
        <f>B$9 * (12.50063323974609 -B$8)</f>
        <v>0</v>
      </c>
      <c r="C61" t="str">
        <f>C$9 * (12.50063323974609 -C$8)</f>
        <v>0</v>
      </c>
      <c r="E61" t="str">
        <f>E$9 * (0.02778331004083157 -E$8)</f>
        <v>0</v>
      </c>
      <c r="F61" t="str">
        <f>F$9 * (4.168944835662842 -F$8)</f>
        <v>0</v>
      </c>
      <c r="G61" t="str">
        <f>G$9 * (4.74252986907959 -G$8)</f>
        <v>0</v>
      </c>
    </row>
    <row r="62" spans="1:9">
      <c r="A62" t="str">
        <f>A$9 * (12.75024127960205 -A$8)</f>
        <v>0</v>
      </c>
      <c r="B62" t="str">
        <f>B$9 * (12.75024127960205 -B$8)</f>
        <v>0</v>
      </c>
      <c r="C62" t="str">
        <f>C$9 * (12.75024127960205 -C$8)</f>
        <v>0</v>
      </c>
      <c r="E62" t="str">
        <f>E$9 * (0.03615257889032364 -E$8)</f>
        <v>0</v>
      </c>
      <c r="F62" t="str">
        <f>F$9 * (3.818006992340088 -F$8)</f>
        <v>0</v>
      </c>
      <c r="G62" t="str">
        <f>G$9 * (4.022243022918701 -G$8)</f>
        <v>0</v>
      </c>
    </row>
    <row r="63" spans="1:9">
      <c r="A63" t="str">
        <f>A$9 * (13.0001277923584 -A$8)</f>
        <v>0</v>
      </c>
      <c r="B63" t="str">
        <f>B$9 * (13.0001277923584 -B$8)</f>
        <v>0</v>
      </c>
      <c r="C63" t="str">
        <f>C$9 * (13.0001277923584 -C$8)</f>
        <v>0</v>
      </c>
      <c r="E63" t="str">
        <f>E$9 * (0.01181547995656729 -E$8)</f>
        <v>0</v>
      </c>
      <c r="F63" t="str">
        <f>F$9 * (4.167640209197998 -F$8)</f>
        <v>0</v>
      </c>
      <c r="G63" t="str">
        <f>G$9 * (7.289347171783447 -G$8)</f>
        <v>0</v>
      </c>
    </row>
    <row r="64" spans="1:9">
      <c r="A64" t="str">
        <f>A$9 * (13.25046634674072 -A$8)</f>
        <v>0</v>
      </c>
      <c r="B64" t="str">
        <f>B$9 * (13.25046634674072 -B$8)</f>
        <v>0</v>
      </c>
      <c r="C64" t="str">
        <f>C$9 * (13.25046634674072 -C$8)</f>
        <v>0</v>
      </c>
      <c r="E64" t="str">
        <f>E$9 * (0.01165654975920916 -E$8)</f>
        <v>0</v>
      </c>
      <c r="F64" t="str">
        <f>F$9 * (2.291493892669678 -F$8)</f>
        <v>0</v>
      </c>
      <c r="G64" t="str">
        <f>G$9 * (3.919400930404663 -G$8)</f>
        <v>0</v>
      </c>
    </row>
    <row r="65" spans="1:9">
      <c r="A65" t="str">
        <f>A$9 * (13.50045585632324 -A$8)</f>
        <v>0</v>
      </c>
      <c r="B65" t="str">
        <f>B$9 * (13.50045585632324 -B$8)</f>
        <v>0</v>
      </c>
      <c r="C65" t="str">
        <f>C$9 * (13.50045585632324 -C$8)</f>
        <v>0</v>
      </c>
      <c r="E65" t="str">
        <f>E$9 * (0.01600009016692638 -E$8)</f>
        <v>0</v>
      </c>
      <c r="F65" t="str">
        <f>F$9 * (3.08105206489563 -F$8)</f>
        <v>0</v>
      </c>
      <c r="G65" t="str">
        <f>G$9 * (4.470943927764893 -G$8)</f>
        <v>0</v>
      </c>
    </row>
    <row r="66" spans="1:9">
      <c r="A66" t="str">
        <f>A$9 * (13.75008583068848 -A$8)</f>
        <v>0</v>
      </c>
      <c r="B66" t="str">
        <f>B$9 * (13.75008583068848 -B$8)</f>
        <v>0</v>
      </c>
      <c r="C66" t="str">
        <f>C$9 * (13.75008583068848 -C$8)</f>
        <v>0</v>
      </c>
      <c r="E66" t="str">
        <f>E$9 * (0.005795200821012259 -E$8)</f>
        <v>0</v>
      </c>
      <c r="F66" t="str">
        <f>F$9 * (2.393374919891357 -F$8)</f>
        <v>0</v>
      </c>
      <c r="G66" t="str">
        <f>G$9 * (6.624621868133545 -G$8)</f>
        <v>0</v>
      </c>
    </row>
    <row r="67" spans="1:9">
      <c r="A67" t="str">
        <f>A$9 * (14.00021362304688 -A$8)</f>
        <v>0</v>
      </c>
      <c r="B67" t="str">
        <f>B$9 * (14.00021362304688 -B$8)</f>
        <v>0</v>
      </c>
      <c r="C67" t="str">
        <f>C$9 * (14.00021362304688 -C$8)</f>
        <v>0</v>
      </c>
      <c r="E67" t="str">
        <f>E$9 * (-0.0003187306865584105 -E$8)</f>
        <v>0</v>
      </c>
      <c r="F67" t="str">
        <f>F$9 * (-0.6642025113105774 -F$8)</f>
        <v>0</v>
      </c>
      <c r="G67" t="str">
        <f>G$9 * (1.123363971710205 -G$8)</f>
        <v>0</v>
      </c>
    </row>
    <row r="68" spans="1:9">
      <c r="A68" t="str">
        <f>A$9 * (14.25052261352539 -A$8)</f>
        <v>0</v>
      </c>
      <c r="B68" t="str">
        <f>B$9 * (14.25052261352539 -B$8)</f>
        <v>0</v>
      </c>
      <c r="C68" t="str">
        <f>C$9 * (14.25052261352539 -C$8)</f>
        <v>0</v>
      </c>
      <c r="E68" t="str">
        <f>E$9 * (-0.0008596801781095564 -E$8)</f>
        <v>0</v>
      </c>
      <c r="F68" t="str">
        <f>F$9 * (-0.6536172032356262 -F$8)</f>
        <v>0</v>
      </c>
      <c r="G68" t="str">
        <f>G$9 * (0.1651619970798492 -G$8)</f>
        <v>0</v>
      </c>
    </row>
    <row r="69" spans="1:9">
      <c r="A69" t="str">
        <f>A$9 * (14.5003080368042 -A$8)</f>
        <v>0</v>
      </c>
      <c r="B69" t="str">
        <f>B$9 * (14.5003080368042 -B$8)</f>
        <v>0</v>
      </c>
      <c r="C69" t="str">
        <f>C$9 * (14.5003080368042 -C$8)</f>
        <v>0</v>
      </c>
      <c r="E69" t="str">
        <f>E$9 * (-0.001986860996112227 -E$8)</f>
        <v>0</v>
      </c>
      <c r="F69" t="str">
        <f>F$9 * (-0.5776190757751465 -F$8)</f>
        <v>0</v>
      </c>
      <c r="G69" t="str">
        <f>G$9 * (-1.09579598903656 -G$8)</f>
        <v>0</v>
      </c>
    </row>
    <row r="70" spans="1:9">
      <c r="A70" t="str">
        <f>A$9 * (14.75031661987305 -A$8)</f>
        <v>0</v>
      </c>
      <c r="B70" t="str">
        <f>B$9 * (14.75031661987305 -B$8)</f>
        <v>0</v>
      </c>
      <c r="C70" t="str">
        <f>C$9 * (14.75031661987305 -C$8)</f>
        <v>0</v>
      </c>
      <c r="E70" t="str">
        <f>E$9 * (-0.0008880278910510242 -E$8)</f>
        <v>0</v>
      </c>
      <c r="F70" t="str">
        <f>F$9 * (-0.8945558071136475 -F$8)</f>
        <v>0</v>
      </c>
      <c r="G70" t="str">
        <f>G$9 * (0.5528563857078552 -G$8)</f>
        <v>0</v>
      </c>
    </row>
    <row r="71" spans="1:9">
      <c r="A71" t="str">
        <f>A$9 * (15.00020313262939 -A$8)</f>
        <v>0</v>
      </c>
      <c r="B71" t="str">
        <f>B$9 * (15.00020313262939 -B$8)</f>
        <v>0</v>
      </c>
      <c r="C71" t="str">
        <f>C$9 * (15.00020313262939 -C$8)</f>
        <v>0</v>
      </c>
      <c r="E71" t="str">
        <f>E$9 * (-0.0009645718964748085 -E$8)</f>
        <v>0</v>
      </c>
      <c r="F71" t="str">
        <f>F$9 * (-0.7830619215965271 -F$8)</f>
        <v>0</v>
      </c>
      <c r="G71" t="str">
        <f>G$9 * (-0.1928994059562683 -G$8)</f>
        <v>0</v>
      </c>
    </row>
    <row r="72" spans="1:9">
      <c r="A72" t="str">
        <f>A$9 * (15.25058650970459 -A$8)</f>
        <v>0</v>
      </c>
      <c r="B72" t="str">
        <f>B$9 * (15.25058650970459 -B$8)</f>
        <v>0</v>
      </c>
      <c r="C72" t="str">
        <f>C$9 * (15.25058650970459 -C$8)</f>
        <v>0</v>
      </c>
      <c r="E72" t="str">
        <f>E$9 * (-0.0004067556001245975 -E$8)</f>
        <v>0</v>
      </c>
      <c r="F72" t="str">
        <f>F$9 * (-0.4062618911266327 -F$8)</f>
        <v>0</v>
      </c>
      <c r="G72" t="str">
        <f>G$9 * (0.07342193275690079 -G$8)</f>
        <v>0</v>
      </c>
    </row>
    <row r="73" spans="1:9">
      <c r="A73" t="str">
        <f>A$9 * (15.50090312957764 -A$8)</f>
        <v>0</v>
      </c>
      <c r="B73" t="str">
        <f>B$9 * (15.50090312957764 -B$8)</f>
        <v>0</v>
      </c>
      <c r="C73" t="str">
        <f>C$9 * (15.50090312957764 -C$8)</f>
        <v>0</v>
      </c>
      <c r="E73" t="str">
        <f>E$9 * (0.01507569011300802 -E$8)</f>
        <v>0</v>
      </c>
      <c r="F73" t="str">
        <f>F$9 * (0.4869278967380524 -F$8)</f>
        <v>0</v>
      </c>
      <c r="G73" t="str">
        <f>G$9 * (0.6174963116645813 -G$8)</f>
        <v>0</v>
      </c>
    </row>
    <row r="74" spans="1:9">
      <c r="A74" t="str">
        <f>A$9 * (15.75045299530029 -A$8)</f>
        <v>0</v>
      </c>
      <c r="B74" t="str">
        <f>B$9 * (15.75045299530029 -B$8)</f>
        <v>0</v>
      </c>
      <c r="C74" t="str">
        <f>C$9 * (15.75045299530029 -C$8)</f>
        <v>0</v>
      </c>
      <c r="E74" t="str">
        <f>E$9 * (0.005242086946964264 -E$8)</f>
        <v>0</v>
      </c>
      <c r="F74" t="str">
        <f>F$9 * (2.957921981811523 -F$8)</f>
        <v>0</v>
      </c>
      <c r="G74" t="str">
        <f>G$9 * (10.04862022399902 -G$8)</f>
        <v>0</v>
      </c>
    </row>
    <row r="75" spans="1:9">
      <c r="A75" t="str">
        <f>A$9 * (16.00020790100098 -A$8)</f>
        <v>0</v>
      </c>
      <c r="B75" t="str">
        <f>B$9 * (16.00020790100098 -B$8)</f>
        <v>0</v>
      </c>
      <c r="C75" t="str">
        <f>C$9 * (16.00020790100098 -C$8)</f>
        <v>0</v>
      </c>
      <c r="E75" t="str">
        <f>E$9 * (0.03149617835879326 -E$8)</f>
        <v>0</v>
      </c>
      <c r="F75" t="str">
        <f>F$9 * (3.150520086288452 -F$8)</f>
        <v>0</v>
      </c>
      <c r="G75" t="str">
        <f>G$9 * (3.331532955169678 -G$8)</f>
        <v>0</v>
      </c>
    </row>
    <row r="76" spans="1:9">
      <c r="A76" t="str">
        <f>A$9 * (16.25048065185547 -A$8)</f>
        <v>0</v>
      </c>
      <c r="B76" t="str">
        <f>B$9 * (16.25048065185547 -B$8)</f>
        <v>0</v>
      </c>
      <c r="C76" t="str">
        <f>C$9 * (16.25048065185547 -C$8)</f>
        <v>0</v>
      </c>
      <c r="E76" t="str">
        <f>E$9 * (0.01476943958550692 -E$8)</f>
        <v>0</v>
      </c>
      <c r="F76" t="str">
        <f>F$9 * (4.653357982635498 -F$8)</f>
        <v>0</v>
      </c>
      <c r="G76" t="str">
        <f>G$9 * (7.211729049682617 -G$8)</f>
        <v>0</v>
      </c>
    </row>
    <row r="77" spans="1:9">
      <c r="A77" t="str">
        <f>A$9 * (16.50031089782715 -A$8)</f>
        <v>0</v>
      </c>
      <c r="B77" t="str">
        <f>B$9 * (16.50031089782715 -B$8)</f>
        <v>0</v>
      </c>
      <c r="C77" t="str">
        <f>C$9 * (16.50031089782715 -C$8)</f>
        <v>0</v>
      </c>
      <c r="E77" t="str">
        <f>E$9 * (0.009660527110099792 -E$8)</f>
        <v>0</v>
      </c>
      <c r="F77" t="str">
        <f>F$9 * (3.317811965942383 -F$8)</f>
        <v>0</v>
      </c>
      <c r="G77" t="str">
        <f>G$9 * (6.511422157287598 -G$8)</f>
        <v>0</v>
      </c>
    </row>
    <row r="78" spans="1:9">
      <c r="A78" t="str">
        <f>A$9 * (16.75016403198242 -A$8)</f>
        <v>0</v>
      </c>
      <c r="B78" t="str">
        <f>B$9 * (16.75016403198242 -B$8)</f>
        <v>0</v>
      </c>
      <c r="C78" t="str">
        <f>C$9 * (16.75016403198242 -C$8)</f>
        <v>0</v>
      </c>
      <c r="E78" t="str">
        <f>E$9 * (0.01386594958603382 -E$8)</f>
        <v>0</v>
      </c>
      <c r="F78" t="str">
        <f>F$9 * (2.311589956283569 -F$8)</f>
        <v>0</v>
      </c>
      <c r="G78" t="str">
        <f>G$9 * (3.574697971343994 -G$8)</f>
        <v>0</v>
      </c>
    </row>
    <row r="79" spans="1:9">
      <c r="A79" t="str">
        <f>A$9 * (17.00008964538574 -A$8)</f>
        <v>0</v>
      </c>
      <c r="B79" t="str">
        <f>B$9 * (17.00008964538574 -B$8)</f>
        <v>0</v>
      </c>
      <c r="C79" t="str">
        <f>C$9 * (17.00008964538574 -C$8)</f>
        <v>0</v>
      </c>
      <c r="E79" t="str">
        <f>E$9 * (0.007585903163999319 -E$8)</f>
        <v>0</v>
      </c>
      <c r="F79" t="str">
        <f>F$9 * (3.029470920562744 -F$8)</f>
        <v>0</v>
      </c>
      <c r="G79" t="str">
        <f>G$9 * (6.960787773132324 -G$8)</f>
        <v>0</v>
      </c>
    </row>
    <row r="80" spans="1:9">
      <c r="A80" t="str">
        <f>A$9 * (17.25002861022949 -A$8)</f>
        <v>0</v>
      </c>
      <c r="B80" t="str">
        <f>B$9 * (17.25002861022949 -B$8)</f>
        <v>0</v>
      </c>
      <c r="C80" t="str">
        <f>C$9 * (17.25002861022949 -C$8)</f>
        <v>0</v>
      </c>
      <c r="E80" t="str">
        <f>E$9 * (0.003405559109523892 -E$8)</f>
        <v>0</v>
      </c>
      <c r="F80" t="str">
        <f>F$9 * (0.8920184969902039 -F$8)</f>
        <v>0</v>
      </c>
      <c r="G80" t="str">
        <f>G$9 * (3.630079030990601 -G$8)</f>
        <v>0</v>
      </c>
    </row>
    <row r="81" spans="1:9">
      <c r="A81" t="str">
        <f>A$9 * (17.50037002563477 -A$8)</f>
        <v>0</v>
      </c>
      <c r="B81" t="str">
        <f>B$9 * (17.50037002563477 -B$8)</f>
        <v>0</v>
      </c>
      <c r="C81" t="str">
        <f>C$9 * (17.50037002563477 -C$8)</f>
        <v>0</v>
      </c>
      <c r="E81" t="str">
        <f>E$9 * (0.0004024633963126689 -E$8)</f>
        <v>0</v>
      </c>
      <c r="F81" t="str">
        <f>F$9 * (-0.9611753821372986 -F$8)</f>
        <v>0</v>
      </c>
      <c r="G81" t="str">
        <f>G$9 * (1.076800942420959 -G$8)</f>
        <v>0</v>
      </c>
    </row>
    <row r="82" spans="1:9">
      <c r="A82" t="str">
        <f>A$9 * (17.75028419494629 -A$8)</f>
        <v>0</v>
      </c>
      <c r="B82" t="str">
        <f>B$9 * (17.75028419494629 -B$8)</f>
        <v>0</v>
      </c>
      <c r="C82" t="str">
        <f>C$9 * (17.75028419494629 -C$8)</f>
        <v>0</v>
      </c>
      <c r="E82" t="str">
        <f>E$9 * (-0.001109155942685902 -E$8)</f>
        <v>0</v>
      </c>
      <c r="F82" t="str">
        <f>F$9 * (-0.8373773097991943 -F$8)</f>
        <v>0</v>
      </c>
      <c r="G82" t="str">
        <f>G$9 * (0.07795193046331406 -G$8)</f>
        <v>0</v>
      </c>
    </row>
    <row r="83" spans="1:9">
      <c r="A83" t="str">
        <f>A$9 * (18.00027275085449 -A$8)</f>
        <v>0</v>
      </c>
      <c r="B83" t="str">
        <f>B$9 * (18.00027275085449 -B$8)</f>
        <v>0</v>
      </c>
      <c r="C83" t="str">
        <f>C$9 * (18.00027275085449 -C$8)</f>
        <v>0</v>
      </c>
      <c r="E83" t="str">
        <f>E$9 * (-0.0005371589795686305 -E$8)</f>
        <v>0</v>
      </c>
      <c r="F83" t="str">
        <f>F$9 * (-0.3162846863269806 -F$8)</f>
        <v>0</v>
      </c>
      <c r="G83" t="str">
        <f>G$9 * (0.01324902009218931 -G$8)</f>
        <v>0</v>
      </c>
    </row>
    <row r="84" spans="1:9">
      <c r="A84" t="str">
        <f>A$9 * (18.25046730041504 -A$8)</f>
        <v>0</v>
      </c>
      <c r="B84" t="str">
        <f>B$9 * (18.25046730041504 -B$8)</f>
        <v>0</v>
      </c>
      <c r="C84" t="str">
        <f>C$9 * (18.25046730041504 -C$8)</f>
        <v>0</v>
      </c>
      <c r="E84" t="str">
        <f>E$9 * (-0.0008760961936786771 -E$8)</f>
        <v>0</v>
      </c>
      <c r="F84" t="str">
        <f>F$9 * (-0.4173963069915771 -F$8)</f>
        <v>0</v>
      </c>
      <c r="G84" t="str">
        <f>G$9 * (-0.2618806958198547 -G$8)</f>
        <v>0</v>
      </c>
    </row>
    <row r="85" spans="1:9">
      <c r="A85" t="str">
        <f>A$9 * (18.50070762634277 -A$8)</f>
        <v>0</v>
      </c>
      <c r="B85" t="str">
        <f>B$9 * (18.50070762634277 -B$8)</f>
        <v>0</v>
      </c>
      <c r="C85" t="str">
        <f>C$9 * (18.50070762634277 -C$8)</f>
        <v>0</v>
      </c>
      <c r="E85" t="str">
        <f>E$9 * (-0.00058364198775962 -E$8)</f>
        <v>0</v>
      </c>
      <c r="F85" t="str">
        <f>F$9 * (-0.2400979995727539 -F$8)</f>
        <v>0</v>
      </c>
      <c r="G85" t="str">
        <f>G$9 * (-0.1742841005325317 -G$8)</f>
        <v>0</v>
      </c>
    </row>
    <row r="86" spans="1:9">
      <c r="A86" t="str">
        <f>A$9 * (18.75052833557129 -A$8)</f>
        <v>0</v>
      </c>
      <c r="B86" t="str">
        <f>B$9 * (18.75052833557129 -B$8)</f>
        <v>0</v>
      </c>
      <c r="C86" t="str">
        <f>C$9 * (18.75052833557129 -C$8)</f>
        <v>0</v>
      </c>
      <c r="E86" t="str">
        <f>E$9 * (-0.0002860038075596094 -E$8)</f>
        <v>0</v>
      </c>
      <c r="F86" t="str">
        <f>F$9 * (-1.480898976325989 -F$8)</f>
        <v>0</v>
      </c>
      <c r="G86" t="str">
        <f>G$9 * (1.829807043075562 -G$8)</f>
        <v>0</v>
      </c>
    </row>
    <row r="87" spans="1:9">
      <c r="A87" t="str">
        <f>A$9 * (19.00079536437988 -A$8)</f>
        <v>0</v>
      </c>
      <c r="B87" t="str">
        <f>B$9 * (19.00079536437988 -B$8)</f>
        <v>0</v>
      </c>
      <c r="C87" t="str">
        <f>C$9 * (19.00079536437988 -C$8)</f>
        <v>0</v>
      </c>
      <c r="E87" t="str">
        <f>E$9 * (0.0615907795727253 -E$8)</f>
        <v>0</v>
      </c>
      <c r="F87" t="str">
        <f>F$9 * (4.991363048553467 -F$8)</f>
        <v>0</v>
      </c>
      <c r="G87" t="str">
        <f>G$9 * (5.206499099731445 -G$8)</f>
        <v>0</v>
      </c>
    </row>
    <row r="88" spans="1:9">
      <c r="A88" t="str">
        <f>A$9 * (19.25055503845215 -A$8)</f>
        <v>0</v>
      </c>
      <c r="B88" t="str">
        <f>B$9 * (19.25055503845215 -B$8)</f>
        <v>0</v>
      </c>
      <c r="C88" t="str">
        <f>C$9 * (19.25055503845215 -C$8)</f>
        <v>0</v>
      </c>
      <c r="E88" t="str">
        <f>E$9 * (0.03040147945284843 -E$8)</f>
        <v>0</v>
      </c>
      <c r="F88" t="str">
        <f>F$9 * (3.956918001174927 -F$8)</f>
        <v>0</v>
      </c>
      <c r="G88" t="str">
        <f>G$9 * (4.304807186126709 -G$8)</f>
        <v>0</v>
      </c>
    </row>
    <row r="89" spans="1:9">
      <c r="A89" t="str">
        <f>A$9 * (19.50068283081055 -A$8)</f>
        <v>0</v>
      </c>
      <c r="B89" t="str">
        <f>B$9 * (19.50068283081055 -B$8)</f>
        <v>0</v>
      </c>
      <c r="C89" t="str">
        <f>C$9 * (19.50068283081055 -C$8)</f>
        <v>0</v>
      </c>
      <c r="E89" t="str">
        <f>E$9 * (0.03157829120755196 -E$8)</f>
        <v>0</v>
      </c>
      <c r="F89" t="str">
        <f>F$9 * (4.547473907470703 -F$8)</f>
        <v>0</v>
      </c>
      <c r="G89" t="str">
        <f>G$9 * (4.934607982635498 -G$8)</f>
        <v>0</v>
      </c>
    </row>
    <row r="90" spans="1:9">
      <c r="A90" t="str">
        <f>A$9 * (19.75021934509277 -A$8)</f>
        <v>0</v>
      </c>
      <c r="B90" t="str">
        <f>B$9 * (19.75021934509277 -B$8)</f>
        <v>0</v>
      </c>
      <c r="C90" t="str">
        <f>C$9 * (19.75021934509277 -C$8)</f>
        <v>0</v>
      </c>
      <c r="E90" t="str">
        <f>E$9 * (0.01145827025175095 -E$8)</f>
        <v>0</v>
      </c>
      <c r="F90" t="str">
        <f>F$9 * (4.065557956695557 -F$8)</f>
        <v>0</v>
      </c>
      <c r="G90" t="str">
        <f>G$9 * (7.240421772003174 -G$8)</f>
        <v>0</v>
      </c>
    </row>
    <row r="91" spans="1:9">
      <c r="A91" t="str">
        <f>A$9 * (20.00015258789062 -A$8)</f>
        <v>0</v>
      </c>
      <c r="B91" t="str">
        <f>B$9 * (20.00015258789062 -B$8)</f>
        <v>0</v>
      </c>
      <c r="C91" t="str">
        <f>C$9 * (20.00015258789062 -C$8)</f>
        <v>0</v>
      </c>
      <c r="E91" t="str">
        <f>E$9 * (0.01217645034193993 -E$8)</f>
        <v>0</v>
      </c>
      <c r="F91" t="str">
        <f>F$9 * (2.1808180809021 -F$8)</f>
        <v>0</v>
      </c>
      <c r="G91" t="str">
        <f>G$9 * (3.626126050949097 -G$8)</f>
        <v>0</v>
      </c>
    </row>
    <row r="92" spans="1:9">
      <c r="A92" t="str">
        <f>A$9 * (20.25033569335938 -A$8)</f>
        <v>0</v>
      </c>
      <c r="B92" t="str">
        <f>B$9 * (20.25033569335938 -B$8)</f>
        <v>0</v>
      </c>
      <c r="C92" t="str">
        <f>C$9 * (20.25033569335938 -C$8)</f>
        <v>0</v>
      </c>
      <c r="E92" t="str">
        <f>E$9 * (0.01403243001550436 -E$8)</f>
        <v>0</v>
      </c>
      <c r="F92" t="str">
        <f>F$9 * (3.440331935882568 -F$8)</f>
        <v>0</v>
      </c>
      <c r="G92" t="str">
        <f>G$9 * (5.393979072570801 -G$8)</f>
        <v>0</v>
      </c>
    </row>
    <row r="93" spans="1:9">
      <c r="A93" t="str">
        <f>A$9 * (20.50015640258789 -A$8)</f>
        <v>0</v>
      </c>
      <c r="B93" t="str">
        <f>B$9 * (20.50015640258789 -B$8)</f>
        <v>0</v>
      </c>
      <c r="C93" t="str">
        <f>C$9 * (20.50015640258789 -C$8)</f>
        <v>0</v>
      </c>
      <c r="E93" t="str">
        <f>E$9 * (0.006014525890350342 -E$8)</f>
        <v>0</v>
      </c>
      <c r="F93" t="str">
        <f>F$9 * (2.306022882461548 -F$8)</f>
        <v>0</v>
      </c>
      <c r="G93" t="str">
        <f>G$9 * (6.19121789932251 -G$8)</f>
        <v>0</v>
      </c>
    </row>
    <row r="94" spans="1:9">
      <c r="A94" t="str">
        <f>A$9 * (20.75014686584473 -A$8)</f>
        <v>0</v>
      </c>
      <c r="B94" t="str">
        <f>B$9 * (20.75014686584473 -B$8)</f>
        <v>0</v>
      </c>
      <c r="C94" t="str">
        <f>C$9 * (20.75014686584473 -C$8)</f>
        <v>0</v>
      </c>
      <c r="E94" t="str">
        <f>E$9 * (-0.0005991418729536235 -E$8)</f>
        <v>0</v>
      </c>
      <c r="F94" t="str">
        <f>F$9 * (-0.2910315096378326 -F$8)</f>
        <v>0</v>
      </c>
      <c r="G94" t="str">
        <f>G$9 * (-0.1346700936555862 -G$8)</f>
        <v>0</v>
      </c>
    </row>
    <row r="95" spans="1:9">
      <c r="A95" t="str">
        <f>A$9 * (21.00001907348633 -A$8)</f>
        <v>0</v>
      </c>
      <c r="B95" t="str">
        <f>B$9 * (21.00001907348633 -B$8)</f>
        <v>0</v>
      </c>
      <c r="C95" t="str">
        <f>C$9 * (21.00001907348633 -C$8)</f>
        <v>0</v>
      </c>
      <c r="E95" t="str">
        <f>E$9 * (-0.00216390797868371 -E$8)</f>
        <v>0</v>
      </c>
      <c r="F95" t="str">
        <f>F$9 * (-0.3688583076000214 -F$8)</f>
        <v>0</v>
      </c>
      <c r="G95" t="str">
        <f>G$9 * (-1.673251986503601 -G$8)</f>
        <v>0</v>
      </c>
    </row>
    <row r="96" spans="1:9">
      <c r="A96" t="str">
        <f>A$9 * (21.25065040588379 -A$8)</f>
        <v>0</v>
      </c>
      <c r="B96" t="str">
        <f>B$9 * (21.25065040588379 -B$8)</f>
        <v>0</v>
      </c>
      <c r="C96" t="str">
        <f>C$9 * (21.25065040588379 -C$8)</f>
        <v>0</v>
      </c>
      <c r="E96" t="str">
        <f>E$9 * (-0.0006681937957182527 -E$8)</f>
        <v>0</v>
      </c>
      <c r="F96" t="str">
        <f>F$9 * (-1.112702965736389 -F$8)</f>
        <v>0</v>
      </c>
      <c r="G96" t="str">
        <f>G$9 * (1.201568007469177 -G$8)</f>
        <v>0</v>
      </c>
    </row>
    <row r="97" spans="1:9">
      <c r="A97" t="str">
        <f>A$9 * (21.50035858154297 -A$8)</f>
        <v>0</v>
      </c>
      <c r="B97" t="str">
        <f>B$9 * (21.50035858154297 -B$8)</f>
        <v>0</v>
      </c>
      <c r="C97" t="str">
        <f>C$9 * (21.50035858154297 -C$8)</f>
        <v>0</v>
      </c>
      <c r="E97" t="str">
        <f>E$9 * (-0.001309563056565821 -E$8)</f>
        <v>0</v>
      </c>
      <c r="F97" t="str">
        <f>F$9 * (-0.5380327105522156 -F$8)</f>
        <v>0</v>
      </c>
      <c r="G97" t="str">
        <f>G$9 * (-0.6153125166893005 -G$8)</f>
        <v>0</v>
      </c>
    </row>
    <row r="98" spans="1:9">
      <c r="A98" t="str">
        <f>A$9 * (21.75038528442383 -A$8)</f>
        <v>0</v>
      </c>
      <c r="B98" t="str">
        <f>B$9 * (21.75038528442383 -B$8)</f>
        <v>0</v>
      </c>
      <c r="C98" t="str">
        <f>C$9 * (21.75038528442383 -C$8)</f>
        <v>0</v>
      </c>
      <c r="E98" t="str">
        <f>E$9 * (-5.505479930434376E-5 -E$8)</f>
        <v>0</v>
      </c>
      <c r="F98" t="str">
        <f>F$9 * (-0.3823797106742859 -F$8)</f>
        <v>0</v>
      </c>
      <c r="G98" t="str">
        <f>G$9 * (0.3304229974746704 -G$8)</f>
        <v>0</v>
      </c>
    </row>
    <row r="99" spans="1:9">
      <c r="A99" t="str">
        <f>A$9 * (22.00012016296387 -A$8)</f>
        <v>0</v>
      </c>
      <c r="B99" t="str">
        <f>B$9 * (22.00012016296387 -B$8)</f>
        <v>0</v>
      </c>
      <c r="C99" t="str">
        <f>C$9 * (22.00012016296387 -C$8)</f>
        <v>0</v>
      </c>
      <c r="E99" t="str">
        <f>E$9 * (-0.001253706985153258 -E$8)</f>
        <v>0</v>
      </c>
      <c r="F99" t="str">
        <f>F$9 * (-0.4819310009479523 -F$8)</f>
        <v>0</v>
      </c>
      <c r="G99" t="str">
        <f>G$9 * (-0.3099533021450043 -G$8)</f>
        <v>0</v>
      </c>
    </row>
    <row r="100" spans="1:9">
      <c r="A100" t="str">
        <f>A$9 * (22.25033378601074 -A$8)</f>
        <v>0</v>
      </c>
      <c r="B100" t="str">
        <f>B$9 * (22.25033378601074 -B$8)</f>
        <v>0</v>
      </c>
      <c r="C100" t="str">
        <f>C$9 * (22.25033378601074 -C$8)</f>
        <v>0</v>
      </c>
      <c r="E100" t="str">
        <f>E$9 * (0.07127867639064789 -E$8)</f>
        <v>0</v>
      </c>
      <c r="F100" t="str">
        <f>F$9 * (2.937585115432739 -F$8)</f>
        <v>0</v>
      </c>
      <c r="G100" t="str">
        <f>G$9 * (3.078955888748169 -G$8)</f>
        <v>0</v>
      </c>
    </row>
    <row r="101" spans="1:9">
      <c r="A101" t="str">
        <f>A$9 * (22.50067710876465 -A$8)</f>
        <v>0</v>
      </c>
      <c r="B101" t="str">
        <f>B$9 * (22.50067710876465 -B$8)</f>
        <v>0</v>
      </c>
      <c r="C101" t="str">
        <f>C$9 * (22.50067710876465 -C$8)</f>
        <v>0</v>
      </c>
      <c r="E101" t="str">
        <f>E$9 * (0.0254836194217205 -E$8)</f>
        <v>0</v>
      </c>
      <c r="F101" t="str">
        <f>F$9 * (4.312153816223145 -F$8)</f>
        <v>0</v>
      </c>
      <c r="G101" t="str">
        <f>G$9 * (5.109536170959473 -G$8)</f>
        <v>0</v>
      </c>
    </row>
    <row r="102" spans="1:9">
      <c r="A102" t="str">
        <f>A$9 * (22.75064659118652 -A$8)</f>
        <v>0</v>
      </c>
      <c r="B102" t="str">
        <f>B$9 * (22.75064659118652 -B$8)</f>
        <v>0</v>
      </c>
      <c r="C102" t="str">
        <f>C$9 * (22.75064659118652 -C$8)</f>
        <v>0</v>
      </c>
      <c r="E102" t="str">
        <f>E$9 * (0.03538030013442039 -E$8)</f>
        <v>0</v>
      </c>
      <c r="F102" t="str">
        <f>F$9 * (3.531580924987793 -F$8)</f>
        <v>0</v>
      </c>
      <c r="G102" t="str">
        <f>G$9 * (3.721790075302124 -G$8)</f>
        <v>0</v>
      </c>
    </row>
    <row r="103" spans="1:9">
      <c r="A103" t="str">
        <f>A$9 * (23.00021934509277 -A$8)</f>
        <v>0</v>
      </c>
      <c r="B103" t="str">
        <f>B$9 * (23.00021934509277 -B$8)</f>
        <v>0</v>
      </c>
      <c r="C103" t="str">
        <f>C$9 * (23.00021934509277 -C$8)</f>
        <v>0</v>
      </c>
      <c r="E103" t="str">
        <f>E$9 * (0.01203809957951307 -E$8)</f>
        <v>0</v>
      </c>
      <c r="F103" t="str">
        <f>F$9 * (4.243936061859131 -F$8)</f>
        <v>0</v>
      </c>
      <c r="G103" t="str">
        <f>G$9 * (7.348350048065186 -G$8)</f>
        <v>0</v>
      </c>
    </row>
    <row r="104" spans="1:9">
      <c r="A104" t="str">
        <f>A$9 * (23.25008964538574 -A$8)</f>
        <v>0</v>
      </c>
      <c r="B104" t="str">
        <f>B$9 * (23.25008964538574 -B$8)</f>
        <v>0</v>
      </c>
      <c r="C104" t="str">
        <f>C$9 * (23.25008964538574 -C$8)</f>
        <v>0</v>
      </c>
      <c r="E104" t="str">
        <f>E$9 * (0.01149933971464634 -E$8)</f>
        <v>0</v>
      </c>
      <c r="F104" t="str">
        <f>F$9 * (2.435091018676758 -F$8)</f>
        <v>0</v>
      </c>
      <c r="G104" t="str">
        <f>G$9 * (4.212982177734375 -G$8)</f>
        <v>0</v>
      </c>
    </row>
    <row r="105" spans="1:9">
      <c r="A105" t="str">
        <f>A$9 * (23.50001335144043 -A$8)</f>
        <v>0</v>
      </c>
      <c r="B105" t="str">
        <f>B$9 * (23.50001335144043 -B$8)</f>
        <v>0</v>
      </c>
      <c r="C105" t="str">
        <f>C$9 * (23.50001335144043 -C$8)</f>
        <v>0</v>
      </c>
      <c r="E105" t="str">
        <f>E$9 * (0.01591666974127293 -E$8)</f>
        <v>0</v>
      </c>
      <c r="F105" t="str">
        <f>F$9 * (2.776956081390381 -F$8)</f>
        <v>0</v>
      </c>
      <c r="G105" t="str">
        <f>G$9 * (4.018272876739502 -G$8)</f>
        <v>0</v>
      </c>
    </row>
    <row r="106" spans="1:9">
      <c r="A106" t="str">
        <f>A$9 * (23.75001335144043 -A$8)</f>
        <v>0</v>
      </c>
      <c r="B106" t="str">
        <f>B$9 * (23.75001335144043 -B$8)</f>
        <v>0</v>
      </c>
      <c r="C106" t="str">
        <f>C$9 * (23.75001335144043 -C$8)</f>
        <v>0</v>
      </c>
      <c r="E106" t="str">
        <f>E$9 * (0.005853789858520031 -E$8)</f>
        <v>0</v>
      </c>
      <c r="F106" t="str">
        <f>F$9 * (2.494002103805542 -F$8)</f>
        <v>0</v>
      </c>
      <c r="G106" t="str">
        <f>G$9 * (6.868074893951416 -G$8)</f>
        <v>0</v>
      </c>
    </row>
    <row r="107" spans="1:9">
      <c r="A107" t="str">
        <f>A$9 * (24.00016021728516 -A$8)</f>
        <v>0</v>
      </c>
      <c r="B107" t="str">
        <f>B$9 * (24.00016021728516 -B$8)</f>
        <v>0</v>
      </c>
      <c r="C107" t="str">
        <f>C$9 * (24.00016021728516 -C$8)</f>
        <v>0</v>
      </c>
      <c r="E107" t="str">
        <f>E$9 * (-0.003376964945346117 -E$8)</f>
        <v>0</v>
      </c>
      <c r="F107" t="str">
        <f>F$9 * (-0.902036190032959 -F$8)</f>
        <v>0</v>
      </c>
      <c r="G107" t="str">
        <f>G$9 * (1.094313979148865 -G$8)</f>
        <v>0</v>
      </c>
    </row>
    <row r="108" spans="1:9">
      <c r="A108" t="str">
        <f>A$9 * (24.25019454956055 -A$8)</f>
        <v>0</v>
      </c>
      <c r="B108" t="str">
        <f>B$9 * (24.25019454956055 -B$8)</f>
        <v>0</v>
      </c>
      <c r="C108" t="str">
        <f>C$9 * (24.25019454956055 -C$8)</f>
        <v>0</v>
      </c>
      <c r="E108" t="str">
        <f>E$9 * (0.0007031082059256732 -E$8)</f>
        <v>0</v>
      </c>
      <c r="F108" t="str">
        <f>F$9 * (-0.4191777110099792 -F$8)</f>
        <v>0</v>
      </c>
      <c r="G108" t="str">
        <f>G$9 * (0.9172044992446899 -G$8)</f>
        <v>0</v>
      </c>
    </row>
    <row r="109" spans="1:9">
      <c r="A109" t="str">
        <f>A$9 * (24.50027275085449 -A$8)</f>
        <v>0</v>
      </c>
      <c r="B109" t="str">
        <f>B$9 * (24.50027275085449 -B$8)</f>
        <v>0</v>
      </c>
      <c r="C109" t="str">
        <f>C$9 * (24.50027275085449 -C$8)</f>
        <v>0</v>
      </c>
      <c r="E109" t="str">
        <f>E$9 * (-0.0006051649106666446 -E$8)</f>
        <v>0</v>
      </c>
      <c r="F109" t="str">
        <f>F$9 * (-1.078377962112427 -F$8)</f>
        <v>0</v>
      </c>
      <c r="G109" t="str">
        <f>G$9 * (0.7048094272613525 -G$8)</f>
        <v>0</v>
      </c>
    </row>
    <row r="110" spans="1:9">
      <c r="A110" t="str">
        <f>A$9 * (24.75042724609375 -A$8)</f>
        <v>0</v>
      </c>
      <c r="B110" t="str">
        <f>B$9 * (24.75042724609375 -B$8)</f>
        <v>0</v>
      </c>
      <c r="C110" t="str">
        <f>C$9 * (24.75042724609375 -C$8)</f>
        <v>0</v>
      </c>
      <c r="E110" t="str">
        <f>E$9 * (-0.0005501303821802139 -E$8)</f>
        <v>0</v>
      </c>
      <c r="F110" t="str">
        <f>F$9 * (-1.466609001159668 -F$8)</f>
        <v>0</v>
      </c>
      <c r="G110" t="str">
        <f>G$9 * (0.7778602242469788 -G$8)</f>
        <v>0</v>
      </c>
    </row>
    <row r="111" spans="1:9">
      <c r="A111" t="str">
        <f>A$9 * (25.00060272216797 -A$8)</f>
        <v>0</v>
      </c>
      <c r="B111" t="str">
        <f>B$9 * (25.00060272216797 -B$8)</f>
        <v>0</v>
      </c>
      <c r="C111" t="str">
        <f>C$9 * (25.00060272216797 -C$8)</f>
        <v>0</v>
      </c>
      <c r="E111" t="str">
        <f>E$9 * (-0.0006668277783319354 -E$8)</f>
        <v>0</v>
      </c>
      <c r="F111" t="str">
        <f>F$9 * (-1.323454022407532 -F$8)</f>
        <v>0</v>
      </c>
      <c r="G111" t="str">
        <f>G$9 * (1.367460966110229 -G$8)</f>
        <v>0</v>
      </c>
    </row>
    <row r="112" spans="1:9">
      <c r="A112" t="str">
        <f>A$9 * (25.25040626525879 -A$8)</f>
        <v>0</v>
      </c>
      <c r="B112" t="str">
        <f>B$9 * (25.25040626525879 -B$8)</f>
        <v>0</v>
      </c>
      <c r="C112" t="str">
        <f>C$9 * (25.25040626525879 -C$8)</f>
        <v>0</v>
      </c>
      <c r="E112" t="str">
        <f>E$9 * (-0.0002772053121589124 -E$8)</f>
        <v>0</v>
      </c>
      <c r="F112" t="str">
        <f>F$9 * (-0.6457778811454773 -F$8)</f>
        <v>0</v>
      </c>
      <c r="G112" t="str">
        <f>G$9 * (0.224894106388092 -G$8)</f>
        <v>0</v>
      </c>
    </row>
    <row r="113" spans="1:9">
      <c r="A113" t="str">
        <f>A$9 * (25.50044441223145 -A$8)</f>
        <v>0</v>
      </c>
      <c r="B113" t="str">
        <f>B$9 * (25.50044441223145 -B$8)</f>
        <v>0</v>
      </c>
      <c r="C113" t="str">
        <f>C$9 * (25.50044441223145 -C$8)</f>
        <v>0</v>
      </c>
      <c r="E113" t="str">
        <f>E$9 * (0.0266614593565464 -E$8)</f>
        <v>0</v>
      </c>
      <c r="F113" t="str">
        <f>F$9 * (0.9003540873527527 -F$8)</f>
        <v>0</v>
      </c>
      <c r="G113" t="str">
        <f>G$9 * (1.034641981124878 -G$8)</f>
        <v>0</v>
      </c>
    </row>
    <row r="114" spans="1:9">
      <c r="A114" t="str">
        <f>A$9 * (25.75018692016602 -A$8)</f>
        <v>0</v>
      </c>
      <c r="B114" t="str">
        <f>B$9 * (25.75018692016602 -B$8)</f>
        <v>0</v>
      </c>
      <c r="C114" t="str">
        <f>C$9 * (25.75018692016602 -C$8)</f>
        <v>0</v>
      </c>
      <c r="E114" t="str">
        <f>E$9 * (0.001967268064618111 -E$8)</f>
        <v>0</v>
      </c>
      <c r="F114" t="str">
        <f>F$9 * (0.2929055094718933 -F$8)</f>
        <v>0</v>
      </c>
      <c r="G114" t="str">
        <f>G$9 * (9.247098922729492 -G$8)</f>
        <v>0</v>
      </c>
    </row>
    <row r="115" spans="1:9">
      <c r="A115" t="str">
        <f>A$9 * (26.00047302246094 -A$8)</f>
        <v>0</v>
      </c>
      <c r="B115" t="str">
        <f>B$9 * (26.00047302246094 -B$8)</f>
        <v>0</v>
      </c>
      <c r="C115" t="str">
        <f>C$9 * (26.00047302246094 -C$8)</f>
        <v>0</v>
      </c>
      <c r="E115" t="str">
        <f>E$9 * (0.03088157996535301 -E$8)</f>
        <v>0</v>
      </c>
      <c r="F115" t="str">
        <f>F$9 * (3.067811965942383 -F$8)</f>
        <v>0</v>
      </c>
      <c r="G115" t="str">
        <f>G$9 * (3.246145963668823 -G$8)</f>
        <v>0</v>
      </c>
    </row>
    <row r="116" spans="1:9">
      <c r="A116" t="str">
        <f>A$9 * (26.25036430358887 -A$8)</f>
        <v>0</v>
      </c>
      <c r="B116" t="str">
        <f>B$9 * (26.25036430358887 -B$8)</f>
        <v>0</v>
      </c>
      <c r="C116" t="str">
        <f>C$9 * (26.25036430358887 -C$8)</f>
        <v>0</v>
      </c>
      <c r="E116" t="str">
        <f>E$9 * (0.01428132969886065 -E$8)</f>
        <v>0</v>
      </c>
      <c r="F116" t="str">
        <f>F$9 * (4.666374206542969 -F$8)</f>
        <v>0</v>
      </c>
      <c r="G116" t="str">
        <f>G$9 * (7.384590148925781 -G$8)</f>
        <v>0</v>
      </c>
    </row>
    <row r="117" spans="1:9">
      <c r="A117" t="str">
        <f>A$9 * (26.50044441223145 -A$8)</f>
        <v>0</v>
      </c>
      <c r="B117" t="str">
        <f>B$9 * (26.50044441223145 -B$8)</f>
        <v>0</v>
      </c>
      <c r="C117" t="str">
        <f>C$9 * (26.50044441223145 -C$8)</f>
        <v>0</v>
      </c>
      <c r="E117" t="str">
        <f>E$9 * (0.009902101941406727 -E$8)</f>
        <v>0</v>
      </c>
      <c r="F117" t="str">
        <f>F$9 * (3.226675987243652 -F$8)</f>
        <v>0</v>
      </c>
      <c r="G117" t="str">
        <f>G$9 * (6.220728874206543 -G$8)</f>
        <v>0</v>
      </c>
    </row>
    <row r="118" spans="1:9">
      <c r="A118" t="str">
        <f>A$9 * (26.75015068054199 -A$8)</f>
        <v>0</v>
      </c>
      <c r="B118" t="str">
        <f>B$9 * (26.75015068054199 -B$8)</f>
        <v>0</v>
      </c>
      <c r="C118" t="str">
        <f>C$9 * (26.75015068054199 -C$8)</f>
        <v>0</v>
      </c>
      <c r="E118" t="str">
        <f>E$9 * (0.01371804997324944 -E$8)</f>
        <v>0</v>
      </c>
      <c r="F118" t="str">
        <f>F$9 * (2.237181901931763 -F$8)</f>
        <v>0</v>
      </c>
      <c r="G118" t="str">
        <f>G$9 * (3.47489595413208 -G$8)</f>
        <v>0</v>
      </c>
    </row>
    <row r="119" spans="1:9">
      <c r="A119" t="str">
        <f>A$9 * (27.00048637390137 -A$8)</f>
        <v>0</v>
      </c>
      <c r="B119" t="str">
        <f>B$9 * (27.00048637390137 -B$8)</f>
        <v>0</v>
      </c>
      <c r="C119" t="str">
        <f>C$9 * (27.00048637390137 -C$8)</f>
        <v>0</v>
      </c>
      <c r="E119" t="str">
        <f>E$9 * (0.00742828007787466 -E$8)</f>
        <v>0</v>
      </c>
      <c r="F119" t="str">
        <f>F$9 * (3.023555994033813 -F$8)</f>
        <v>0</v>
      </c>
      <c r="G119" t="str">
        <f>G$9 * (7.052216053009033 -G$8)</f>
        <v>0</v>
      </c>
    </row>
    <row r="120" spans="1:9">
      <c r="A120" t="str">
        <f>A$9 * (27.25033569335938 -A$8)</f>
        <v>0</v>
      </c>
      <c r="B120" t="str">
        <f>B$9 * (27.25033569335938 -B$8)</f>
        <v>0</v>
      </c>
      <c r="C120" t="str">
        <f>C$9 * (27.25033569335938 -C$8)</f>
        <v>0</v>
      </c>
      <c r="E120" t="str">
        <f>E$9 * (0.003001712961122394 -E$8)</f>
        <v>0</v>
      </c>
      <c r="F120" t="str">
        <f>F$9 * (0.7655624151229858 -F$8)</f>
        <v>0</v>
      </c>
      <c r="G120" t="str">
        <f>G$9 * (3.456623077392578 -G$8)</f>
        <v>0</v>
      </c>
    </row>
    <row r="121" spans="1:9">
      <c r="A121" t="str">
        <f>A$9 * (27.50015640258789 -A$8)</f>
        <v>0</v>
      </c>
      <c r="B121" t="str">
        <f>B$9 * (27.50015640258789 -B$8)</f>
        <v>0</v>
      </c>
      <c r="C121" t="str">
        <f>C$9 * (27.50015640258789 -C$8)</f>
        <v>0</v>
      </c>
      <c r="E121" t="str">
        <f>E$9 * (-0.0005013258778490126 -E$8)</f>
        <v>0</v>
      </c>
      <c r="F121" t="str">
        <f>F$9 * (-1.086009979248047 -F$8)</f>
        <v>0</v>
      </c>
      <c r="G121" t="str">
        <f>G$9 * (0.4044691920280457 -G$8)</f>
        <v>0</v>
      </c>
    </row>
    <row r="122" spans="1:9">
      <c r="A122" t="str">
        <f>A$9 * (27.75038146972656 -A$8)</f>
        <v>0</v>
      </c>
      <c r="B122" t="str">
        <f>B$9 * (27.75038146972656 -B$8)</f>
        <v>0</v>
      </c>
      <c r="C122" t="str">
        <f>C$9 * (27.75038146972656 -C$8)</f>
        <v>0</v>
      </c>
      <c r="E122" t="str">
        <f>E$9 * (-0.001573462039232254 -E$8)</f>
        <v>0</v>
      </c>
      <c r="F122" t="str">
        <f>F$9 * (-0.5399885177612305 -F$8)</f>
        <v>0</v>
      </c>
      <c r="G122" t="str">
        <f>G$9 * (-0.7195044755935669 -G$8)</f>
        <v>0</v>
      </c>
    </row>
    <row r="123" spans="1:9">
      <c r="A123" t="str">
        <f>A$9 * (28.00055503845215 -A$8)</f>
        <v>0</v>
      </c>
      <c r="B123" t="str">
        <f>B$9 * (28.00055503845215 -B$8)</f>
        <v>0</v>
      </c>
      <c r="C123" t="str">
        <f>C$9 * (28.00055503845215 -C$8)</f>
        <v>0</v>
      </c>
      <c r="E123" t="str">
        <f>E$9 * (-0.001378802000544965 -E$8)</f>
        <v>0</v>
      </c>
      <c r="F123" t="str">
        <f>F$9 * (-1.10667896270752 -F$8)</f>
        <v>0</v>
      </c>
      <c r="G123" t="str">
        <f>G$9 * (0.5544230937957764 -G$8)</f>
        <v>0</v>
      </c>
    </row>
    <row r="124" spans="1:9">
      <c r="A124" t="str">
        <f>A$9 * (28.25066757202148 -A$8)</f>
        <v>0</v>
      </c>
      <c r="B124" t="str">
        <f>B$9 * (28.25066757202148 -B$8)</f>
        <v>0</v>
      </c>
      <c r="C124" t="str">
        <f>C$9 * (28.25066757202148 -C$8)</f>
        <v>0</v>
      </c>
      <c r="E124" t="str">
        <f>E$9 * (-0.0009529517265036702 -E$8)</f>
        <v>0</v>
      </c>
      <c r="F124" t="str">
        <f>F$9 * (-0.9376099705696106 -F$8)</f>
        <v>0</v>
      </c>
      <c r="G124" t="str">
        <f>G$9 * (0.008579921908676624 -G$8)</f>
        <v>0</v>
      </c>
    </row>
    <row r="125" spans="1:9">
      <c r="A125" t="str">
        <f>A$9 * (28.50016593933105 -A$8)</f>
        <v>0</v>
      </c>
      <c r="B125" t="str">
        <f>B$9 * (28.50016593933105 -B$8)</f>
        <v>0</v>
      </c>
      <c r="C125" t="str">
        <f>C$9 * (28.50016593933105 -C$8)</f>
        <v>0</v>
      </c>
      <c r="E125" t="str">
        <f>E$9 * (-0.0005491187912411988 -E$8)</f>
        <v>0</v>
      </c>
      <c r="F125" t="str">
        <f>F$9 * (-0.2693845927715302 -F$8)</f>
        <v>0</v>
      </c>
      <c r="G125" t="str">
        <f>G$9 * (-0.1964451968669891 -G$8)</f>
        <v>0</v>
      </c>
    </row>
    <row r="126" spans="1:9">
      <c r="A126" t="str">
        <f>A$9 * (28.75033378601074 -A$8)</f>
        <v>0</v>
      </c>
      <c r="B126" t="str">
        <f>B$9 * (28.75033378601074 -B$8)</f>
        <v>0</v>
      </c>
      <c r="C126" t="str">
        <f>C$9 * (28.75033378601074 -C$8)</f>
        <v>0</v>
      </c>
      <c r="E126" t="str">
        <f>E$9 * (0.01416859962046146 -E$8)</f>
        <v>0</v>
      </c>
      <c r="F126" t="str">
        <f>F$9 * (0.4910242855548859 -F$8)</f>
        <v>0</v>
      </c>
      <c r="G126" t="str">
        <f>G$9 * (0.8581809997558594 -G$8)</f>
        <v>0</v>
      </c>
    </row>
    <row r="127" spans="1:9">
      <c r="A127" t="str">
        <f>A$9 * (29.00033378601074 -A$8)</f>
        <v>0</v>
      </c>
      <c r="B127" t="str">
        <f>B$9 * (29.00033378601074 -B$8)</f>
        <v>0</v>
      </c>
      <c r="C127" t="str">
        <f>C$9 * (29.00033378601074 -C$8)</f>
        <v>0</v>
      </c>
      <c r="E127" t="str">
        <f>E$9 * (0.01306605990976095 -E$8)</f>
        <v>0</v>
      </c>
      <c r="F127" t="str">
        <f>F$9 * (6.394286155700684 -F$8)</f>
        <v>0</v>
      </c>
      <c r="G127" t="str">
        <f>G$9 * (11.08337020874023 -G$8)</f>
        <v>0</v>
      </c>
    </row>
    <row r="128" spans="1:9">
      <c r="A128" t="str">
        <f>A$9 * (29.25033378601074 -A$8)</f>
        <v>0</v>
      </c>
      <c r="B128" t="str">
        <f>B$9 * (29.25033378601074 -B$8)</f>
        <v>0</v>
      </c>
      <c r="C128" t="str">
        <f>C$9 * (29.25033378601074 -C$8)</f>
        <v>0</v>
      </c>
      <c r="E128" t="str">
        <f>E$9 * (0.02869885973632336 -E$8)</f>
        <v>0</v>
      </c>
      <c r="F128" t="str">
        <f>F$9 * (3.152288913726807 -F$8)</f>
        <v>0</v>
      </c>
      <c r="G128" t="str">
        <f>G$9 * (3.417490005493164 -G$8)</f>
        <v>0</v>
      </c>
    </row>
    <row r="129" spans="1:9">
      <c r="A129" t="str">
        <f>A$9 * (29.50044441223145 -A$8)</f>
        <v>0</v>
      </c>
      <c r="B129" t="str">
        <f>B$9 * (29.50044441223145 -B$8)</f>
        <v>0</v>
      </c>
      <c r="C129" t="str">
        <f>C$9 * (29.50044441223145 -C$8)</f>
        <v>0</v>
      </c>
      <c r="E129" t="str">
        <f>E$9 * (0.02096227928996086 -E$8)</f>
        <v>0</v>
      </c>
      <c r="F129" t="str">
        <f>F$9 * (4.855618000030518 -F$8)</f>
        <v>0</v>
      </c>
      <c r="G129" t="str">
        <f>G$9 * (6.315539836883545 -G$8)</f>
        <v>0</v>
      </c>
    </row>
    <row r="130" spans="1:9">
      <c r="A130" t="str">
        <f>A$9 * (29.75016593933105 -A$8)</f>
        <v>0</v>
      </c>
      <c r="B130" t="str">
        <f>B$9 * (29.75016593933105 -B$8)</f>
        <v>0</v>
      </c>
      <c r="C130" t="str">
        <f>C$9 * (29.75016593933105 -C$8)</f>
        <v>0</v>
      </c>
      <c r="E130" t="str">
        <f>E$9 * (0.01007291954010725 -E$8)</f>
        <v>0</v>
      </c>
      <c r="F130" t="str">
        <f>F$9 * (3.777801990509033 -F$8)</f>
        <v>0</v>
      </c>
      <c r="G130" t="str">
        <f>G$9 * (7.263804912567139 -G$8)</f>
        <v>0</v>
      </c>
    </row>
    <row r="131" spans="1:9">
      <c r="A131" t="str">
        <f>A$9 * (30.00022315979004 -A$8)</f>
        <v>0</v>
      </c>
      <c r="B131" t="str">
        <f>B$9 * (30.00022315979004 -B$8)</f>
        <v>0</v>
      </c>
      <c r="C131" t="str">
        <f>C$9 * (30.00022315979004 -C$8)</f>
        <v>0</v>
      </c>
      <c r="E131" t="str">
        <f>E$9 * (0.01218700967729092 -E$8)</f>
        <v>0</v>
      </c>
      <c r="F131" t="str">
        <f>F$9 * (2.009278059005737 -F$8)</f>
        <v>0</v>
      </c>
      <c r="G131" t="str">
        <f>G$9 * (3.328509092330933 -G$8)</f>
        <v>0</v>
      </c>
    </row>
    <row r="132" spans="1:9">
      <c r="A132" t="str">
        <f>A$9 * (30.2504997253418 -A$8)</f>
        <v>0</v>
      </c>
      <c r="B132" t="str">
        <f>B$9 * (30.2504997253418 -B$8)</f>
        <v>0</v>
      </c>
      <c r="C132" t="str">
        <f>C$9 * (30.2504997253418 -C$8)</f>
        <v>0</v>
      </c>
      <c r="E132" t="str">
        <f>E$9 * (0.01112181972712278 -E$8)</f>
        <v>0</v>
      </c>
      <c r="F132" t="str">
        <f>F$9 * (3.527170896530151 -F$8)</f>
        <v>0</v>
      </c>
      <c r="G132" t="str">
        <f>G$9 * (6.343181133270264 -G$8)</f>
        <v>0</v>
      </c>
    </row>
    <row r="133" spans="1:9">
      <c r="A133" t="str">
        <f>A$9 * (30.50005531311035 -A$8)</f>
        <v>0</v>
      </c>
      <c r="B133" t="str">
        <f>B$9 * (30.50005531311035 -B$8)</f>
        <v>0</v>
      </c>
      <c r="C133" t="str">
        <f>C$9 * (30.50005531311035 -C$8)</f>
        <v>0</v>
      </c>
      <c r="E133" t="str">
        <f>E$9 * (0.005425959825515747 -E$8)</f>
        <v>0</v>
      </c>
      <c r="F133" t="str">
        <f>F$9 * (1.954705953598022 -F$8)</f>
        <v>0</v>
      </c>
      <c r="G133" t="str">
        <f>G$9 * (5.618101119995117 -G$8)</f>
        <v>0</v>
      </c>
    </row>
    <row r="134" spans="1:9">
      <c r="A134" t="str">
        <f>A$9 * (30.75005531311035 -A$8)</f>
        <v>0</v>
      </c>
      <c r="B134" t="str">
        <f>B$9 * (30.75005531311035 -B$8)</f>
        <v>0</v>
      </c>
      <c r="C134" t="str">
        <f>C$9 * (30.75005531311035 -C$8)</f>
        <v>0</v>
      </c>
      <c r="E134" t="str">
        <f>E$9 * (-0.0009479593718424439 -E$8)</f>
        <v>0</v>
      </c>
      <c r="F134" t="str">
        <f>F$9 * (-0.8391149044036865 -F$8)</f>
        <v>0</v>
      </c>
      <c r="G134" t="str">
        <f>G$9 * (0.6442130208015442 -G$8)</f>
        <v>0</v>
      </c>
    </row>
    <row r="135" spans="1:9">
      <c r="A135" t="str">
        <f>A$9 * (31.0001106262207 -A$8)</f>
        <v>0</v>
      </c>
      <c r="B135" t="str">
        <f>B$9 * (31.0001106262207 -B$8)</f>
        <v>0</v>
      </c>
      <c r="C135" t="str">
        <f>C$9 * (31.0001106262207 -C$8)</f>
        <v>0</v>
      </c>
      <c r="E135" t="str">
        <f>E$9 * (-0.000979185220785439 -E$8)</f>
        <v>0</v>
      </c>
      <c r="F135" t="str">
        <f>F$9 * (-0.968563973903656 -F$8)</f>
        <v>0</v>
      </c>
      <c r="G135" t="str">
        <f>G$9 * (-0.1875357031822205 -G$8)</f>
        <v>0</v>
      </c>
    </row>
    <row r="136" spans="1:9">
      <c r="A136" t="str">
        <f>A$9 * (31.25022315979004 -A$8)</f>
        <v>0</v>
      </c>
      <c r="B136" t="str">
        <f>B$9 * (31.25022315979004 -B$8)</f>
        <v>0</v>
      </c>
      <c r="C136" t="str">
        <f>C$9 * (31.25022315979004 -C$8)</f>
        <v>0</v>
      </c>
      <c r="E136" t="str">
        <f>E$9 * (-0.00124146300368011 -E$8)</f>
        <v>0</v>
      </c>
      <c r="F136" t="str">
        <f>F$9 * (-1.127089977264404 -F$8)</f>
        <v>0</v>
      </c>
      <c r="G136" t="str">
        <f>G$9 * (-0.2882766127586365 -G$8)</f>
        <v>0</v>
      </c>
    </row>
    <row r="137" spans="1:9">
      <c r="A137" t="str">
        <f>A$9 * (31.50005531311035 -A$8)</f>
        <v>0</v>
      </c>
      <c r="B137" t="str">
        <f>B$9 * (31.50005531311035 -B$8)</f>
        <v>0</v>
      </c>
      <c r="C137" t="str">
        <f>C$9 * (31.50005531311035 -C$8)</f>
        <v>0</v>
      </c>
      <c r="E137" t="str">
        <f>E$9 * (-0.001081238966435194 -E$8)</f>
        <v>0</v>
      </c>
      <c r="F137" t="str">
        <f>F$9 * (-1.362364053726196 -F$8)</f>
        <v>0</v>
      </c>
      <c r="G137" t="str">
        <f>G$9 * (0.6119822263717651 -G$8)</f>
        <v>0</v>
      </c>
    </row>
    <row r="138" spans="1:9">
      <c r="A138" t="str">
        <f>A$9 * (31.7501106262207 -A$8)</f>
        <v>0</v>
      </c>
      <c r="B138" t="str">
        <f>B$9 * (31.7501106262207 -B$8)</f>
        <v>0</v>
      </c>
      <c r="C138" t="str">
        <f>C$9 * (31.7501106262207 -C$8)</f>
        <v>0</v>
      </c>
      <c r="E138" t="str">
        <f>E$9 * (-0.0008173818932846189 -E$8)</f>
        <v>0</v>
      </c>
      <c r="F138" t="str">
        <f>F$9 * (-0.5806692838668823 -F$8)</f>
        <v>0</v>
      </c>
      <c r="G138" t="str">
        <f>G$9 * (0.1121532991528511 -G$8)</f>
        <v>0</v>
      </c>
    </row>
    <row r="139" spans="1:9">
      <c r="A139" t="str">
        <f>A$9 * (32.00030517578125 -A$8)</f>
        <v>0</v>
      </c>
      <c r="B139" t="str">
        <f>B$9 * (32.00030517578125 -B$8)</f>
        <v>0</v>
      </c>
      <c r="C139" t="str">
        <f>C$9 * (32.00030517578125 -C$8)</f>
        <v>0</v>
      </c>
      <c r="E139" t="str">
        <f>E$9 * (-3.477279824437574E-5 -E$8)</f>
        <v>0</v>
      </c>
      <c r="F139" t="str">
        <f>F$9 * (-0.5095589756965637 -F$8)</f>
        <v>0</v>
      </c>
      <c r="G139" t="str">
        <f>G$9 * (0.2557170987129211 -G$8)</f>
        <v>0</v>
      </c>
    </row>
    <row r="140" spans="1:9">
      <c r="A140" t="str">
        <f>A$9 * (32.2501106262207 -A$8)</f>
        <v>0</v>
      </c>
      <c r="B140" t="str">
        <f>B$9 * (32.2501106262207 -B$8)</f>
        <v>0</v>
      </c>
      <c r="C140" t="str">
        <f>C$9 * (32.2501106262207 -C$8)</f>
        <v>0</v>
      </c>
      <c r="E140" t="str">
        <f>E$9 * (0.06599558889865875 -E$8)</f>
        <v>0</v>
      </c>
      <c r="F140" t="str">
        <f>F$9 * (2.639298915863037 -F$8)</f>
        <v>0</v>
      </c>
      <c r="G140" t="str">
        <f>G$9 * (2.779690980911255 -G$8)</f>
        <v>0</v>
      </c>
    </row>
    <row r="141" spans="1:9">
      <c r="A141" t="str">
        <f>A$9 * (32.50025177001953 -A$8)</f>
        <v>0</v>
      </c>
      <c r="B141" t="str">
        <f>B$9 * (32.50025177001953 -B$8)</f>
        <v>0</v>
      </c>
      <c r="C141" t="str">
        <f>C$9 * (32.50025177001953 -C$8)</f>
        <v>0</v>
      </c>
      <c r="E141" t="str">
        <f>E$9 * (0.02603778056800365 -E$8)</f>
        <v>0</v>
      </c>
      <c r="F141" t="str">
        <f>F$9 * (4.472745895385742 -F$8)</f>
        <v>0</v>
      </c>
      <c r="G141" t="str">
        <f>G$9 * (5.26892614364624 -G$8)</f>
        <v>0</v>
      </c>
    </row>
    <row r="142" spans="1:9">
      <c r="A142" t="str">
        <f>A$9 * (32.7504997253418 -A$8)</f>
        <v>0</v>
      </c>
      <c r="B142" t="str">
        <f>B$9 * (32.7504997253418 -B$8)</f>
        <v>0</v>
      </c>
      <c r="C142" t="str">
        <f>C$9 * (32.7504997253418 -C$8)</f>
        <v>0</v>
      </c>
      <c r="E142" t="str">
        <f>E$9 * (0.03637088090181351 -E$8)</f>
        <v>0</v>
      </c>
      <c r="F142" t="str">
        <f>F$9 * (3.634737014770508 -F$8)</f>
        <v>0</v>
      </c>
      <c r="G142" t="str">
        <f>G$9 * (3.827688932418823 -G$8)</f>
        <v>0</v>
      </c>
    </row>
    <row r="143" spans="1:9">
      <c r="A143" t="str">
        <f>A$9 * (33.00022125244141 -A$8)</f>
        <v>0</v>
      </c>
      <c r="B143" t="str">
        <f>B$9 * (33.00022125244141 -B$8)</f>
        <v>0</v>
      </c>
      <c r="C143" t="str">
        <f>C$9 * (33.00022125244141 -C$8)</f>
        <v>0</v>
      </c>
      <c r="E143" t="str">
        <f>E$9 * (0.01254194974899292 -E$8)</f>
        <v>0</v>
      </c>
      <c r="F143" t="str">
        <f>F$9 * (4.324921131134033 -F$8)</f>
        <v>0</v>
      </c>
      <c r="G143" t="str">
        <f>G$9 * (7.318490028381348 -G$8)</f>
        <v>0</v>
      </c>
    </row>
    <row r="144" spans="1:9">
      <c r="A144" t="str">
        <f>A$9 * (33.25036239624023 -A$8)</f>
        <v>0</v>
      </c>
      <c r="B144" t="str">
        <f>B$9 * (33.25036239624023 -B$8)</f>
        <v>0</v>
      </c>
      <c r="C144" t="str">
        <f>C$9 * (33.25036239624023 -C$8)</f>
        <v>0</v>
      </c>
      <c r="E144" t="str">
        <f>E$9 * (0.01184917986392975 -E$8)</f>
        <v>0</v>
      </c>
      <c r="F144" t="str">
        <f>F$9 * (2.55945897102356 -F$8)</f>
        <v>0</v>
      </c>
      <c r="G144" t="str">
        <f>G$9 * (4.359761238098145 -G$8)</f>
        <v>0</v>
      </c>
    </row>
    <row r="145" spans="1:9">
      <c r="A145" t="str">
        <f>A$9 * (33.50044631958008 -A$8)</f>
        <v>0</v>
      </c>
      <c r="B145" t="str">
        <f>B$9 * (33.50044631958008 -B$8)</f>
        <v>0</v>
      </c>
      <c r="C145" t="str">
        <f>C$9 * (33.50044631958008 -C$8)</f>
        <v>0</v>
      </c>
      <c r="E145" t="str">
        <f>E$9 * (0.01568656042218208 -E$8)</f>
        <v>0</v>
      </c>
      <c r="F145" t="str">
        <f>F$9 * (2.957576036453247 -F$8)</f>
        <v>0</v>
      </c>
      <c r="G145" t="str">
        <f>G$9 * (4.328952789306641 -G$8)</f>
        <v>0</v>
      </c>
    </row>
    <row r="146" spans="1:9">
      <c r="A146" t="str">
        <f>A$9 * (33.75022125244141 -A$8)</f>
        <v>0</v>
      </c>
      <c r="B146" t="str">
        <f>B$9 * (33.75022125244141 -B$8)</f>
        <v>0</v>
      </c>
      <c r="C146" t="str">
        <f>C$9 * (33.75022125244141 -C$8)</f>
        <v>0</v>
      </c>
      <c r="E146" t="str">
        <f>E$9 * (0.006071326788514853 -E$8)</f>
        <v>0</v>
      </c>
      <c r="F146" t="str">
        <f>F$9 * (2.485131025314331 -F$8)</f>
        <v>0</v>
      </c>
      <c r="G146" t="str">
        <f>G$9 * (6.652345180511475 -G$8)</f>
        <v>0</v>
      </c>
    </row>
    <row r="147" spans="1:9">
      <c r="A147" t="str">
        <f>A$9 * (34.00033187866211 -A$8)</f>
        <v>0</v>
      </c>
      <c r="B147" t="str">
        <f>B$9 * (34.00033187866211 -B$8)</f>
        <v>0</v>
      </c>
      <c r="C147" t="str">
        <f>C$9 * (34.00033187866211 -C$8)</f>
        <v>0</v>
      </c>
      <c r="E147" t="str">
        <f>E$9 * (-0.003115426050499082 -E$8)</f>
        <v>0</v>
      </c>
      <c r="F147" t="str">
        <f>F$9 * (-0.7905477285385132 -F$8)</f>
        <v>0</v>
      </c>
      <c r="G147" t="str">
        <f>G$9 * (1.236763954162598 -G$8)</f>
        <v>0</v>
      </c>
    </row>
    <row r="148" spans="1:9">
      <c r="A148" t="str">
        <f>A$9 * (34.25022125244141 -A$8)</f>
        <v>0</v>
      </c>
      <c r="B148" t="str">
        <f>B$9 * (34.25022125244141 -B$8)</f>
        <v>0</v>
      </c>
      <c r="C148" t="str">
        <f>C$9 * (34.25022125244141 -C$8)</f>
        <v>0</v>
      </c>
      <c r="E148" t="str">
        <f>E$9 * (-0.0007015863084234297 -E$8)</f>
        <v>0</v>
      </c>
      <c r="F148" t="str">
        <f>F$9 * (-1.662912011146545 -F$8)</f>
        <v>0</v>
      </c>
      <c r="G148" t="str">
        <f>G$9 * (1.33024001121521 -G$8)</f>
        <v>0</v>
      </c>
    </row>
    <row r="149" spans="1:9">
      <c r="A149" t="str">
        <f>A$9 * (34.5001106262207 -A$8)</f>
        <v>0</v>
      </c>
      <c r="B149" t="str">
        <f>B$9 * (34.5001106262207 -B$8)</f>
        <v>0</v>
      </c>
      <c r="C149" t="str">
        <f>C$9 * (34.5001106262207 -C$8)</f>
        <v>0</v>
      </c>
      <c r="E149" t="str">
        <f>E$9 * (-0.001008406979963183 -E$8)</f>
        <v>0</v>
      </c>
      <c r="F149" t="str">
        <f>F$9 * (-1.221621036529541 -F$8)</f>
        <v>0</v>
      </c>
      <c r="G149" t="str">
        <f>G$9 * (0.1248217970132828 -G$8)</f>
        <v>0</v>
      </c>
    </row>
    <row r="150" spans="1:9">
      <c r="A150" t="str">
        <f>A$9 * (34.75008392333984 -A$8)</f>
        <v>0</v>
      </c>
      <c r="B150" t="str">
        <f>B$9 * (34.75008392333984 -B$8)</f>
        <v>0</v>
      </c>
      <c r="C150" t="str">
        <f>C$9 * (34.75008392333984 -C$8)</f>
        <v>0</v>
      </c>
      <c r="E150" t="str">
        <f>E$9 * (-0.002227876102551818 -E$8)</f>
        <v>0</v>
      </c>
      <c r="F150" t="str">
        <f>F$9 * (-0.2887704968452454 -F$8)</f>
        <v>0</v>
      </c>
      <c r="G150" t="str">
        <f>G$9 * (-1.345396041870117 -G$8)</f>
        <v>0</v>
      </c>
    </row>
    <row r="151" spans="1:9">
      <c r="A151" t="str">
        <f>A$9 * (35.00019454956055 -A$8)</f>
        <v>0</v>
      </c>
      <c r="B151" t="str">
        <f>B$9 * (35.00019454956055 -B$8)</f>
        <v>0</v>
      </c>
      <c r="C151" t="str">
        <f>C$9 * (35.00019454956055 -C$8)</f>
        <v>0</v>
      </c>
      <c r="E151" t="str">
        <f>E$9 * (-0.0008730482077226043 -E$8)</f>
        <v>0</v>
      </c>
      <c r="F151" t="str">
        <f>F$9 * (-1.040035963058472 -F$8)</f>
        <v>0</v>
      </c>
      <c r="G151" t="str">
        <f>G$9 * (0.1578433066606522 -G$8)</f>
        <v>0</v>
      </c>
    </row>
    <row r="152" spans="1:9">
      <c r="A152" t="str">
        <f>A$9 * (35.2506103515625 -A$8)</f>
        <v>0</v>
      </c>
      <c r="B152" t="str">
        <f>B$9 * (35.2506103515625 -B$8)</f>
        <v>0</v>
      </c>
      <c r="C152" t="str">
        <f>C$9 * (35.2506103515625 -C$8)</f>
        <v>0</v>
      </c>
      <c r="E152" t="str">
        <f>E$9 * (-0.0007737284176982939 -E$8)</f>
        <v>0</v>
      </c>
      <c r="F152" t="str">
        <f>F$9 * (-0.5626857876777649 -F$8)</f>
        <v>0</v>
      </c>
      <c r="G152" t="str">
        <f>G$9 * (0.0996943786740303 -G$8)</f>
        <v>0</v>
      </c>
    </row>
    <row r="153" spans="1:9">
      <c r="A153" t="str">
        <f>A$9 * (35.50019454956055 -A$8)</f>
        <v>0</v>
      </c>
      <c r="B153" t="str">
        <f>B$9 * (35.50019454956055 -B$8)</f>
        <v>0</v>
      </c>
      <c r="C153" t="str">
        <f>C$9 * (35.50019454956055 -C$8)</f>
        <v>0</v>
      </c>
      <c r="E153" t="str">
        <f>E$9 * (0.01776150986552238 -E$8)</f>
        <v>0</v>
      </c>
      <c r="F153" t="str">
        <f>F$9 * (0.5826005935668945 -F$8)</f>
        <v>0</v>
      </c>
      <c r="G153" t="str">
        <f>G$9 * (0.7139089107513428 -G$8)</f>
        <v>0</v>
      </c>
    </row>
    <row r="154" spans="1:9">
      <c r="A154" t="str">
        <f>A$9 * (35.75005722045898 -A$8)</f>
        <v>0</v>
      </c>
      <c r="B154" t="str">
        <f>B$9 * (35.75005722045898 -B$8)</f>
        <v>0</v>
      </c>
      <c r="C154" t="str">
        <f>C$9 * (35.75005722045898 -C$8)</f>
        <v>0</v>
      </c>
      <c r="E154" t="str">
        <f>E$9 * (0.001696211053058505 -E$8)</f>
        <v>0</v>
      </c>
      <c r="F154" t="str">
        <f>F$9 * (0.2178371995687485 -F$8)</f>
        <v>0</v>
      </c>
      <c r="G154" t="str">
        <f>G$9 * (9.661752700805664 -G$8)</f>
        <v>0</v>
      </c>
    </row>
    <row r="155" spans="1:9">
      <c r="A155" t="str">
        <f>A$9 * (36.00027847290039 -A$8)</f>
        <v>0</v>
      </c>
      <c r="B155" t="str">
        <f>B$9 * (36.00027847290039 -B$8)</f>
        <v>0</v>
      </c>
      <c r="C155" t="str">
        <f>C$9 * (36.00027847290039 -C$8)</f>
        <v>0</v>
      </c>
      <c r="E155" t="str">
        <f>E$9 * (0.03071524016559124 -E$8)</f>
        <v>0</v>
      </c>
      <c r="F155" t="str">
        <f>F$9 * (3.075423002243042 -F$8)</f>
        <v>0</v>
      </c>
      <c r="G155" t="str">
        <f>G$9 * (3.254479885101318 -G$8)</f>
        <v>0</v>
      </c>
    </row>
    <row r="156" spans="1:9">
      <c r="A156" t="str">
        <f>A$9 * (36.25 -A$8)</f>
        <v>0</v>
      </c>
      <c r="B156" t="str">
        <f>B$9 * (36.25 -B$8)</f>
        <v>0</v>
      </c>
      <c r="C156" t="str">
        <f>C$9 * (36.25 -C$8)</f>
        <v>0</v>
      </c>
      <c r="E156" t="str">
        <f>E$9 * (0.01440847013145685 -E$8)</f>
        <v>0</v>
      </c>
      <c r="F156" t="str">
        <f>F$9 * (4.627878189086914 -F$8)</f>
        <v>0</v>
      </c>
      <c r="G156" t="str">
        <f>G$9 * (7.266444206237793 -G$8)</f>
        <v>0</v>
      </c>
    </row>
    <row r="157" spans="1:9">
      <c r="A157" t="str">
        <f>A$9 * (36.50038909912109 -A$8)</f>
        <v>0</v>
      </c>
      <c r="B157" t="str">
        <f>B$9 * (36.50038909912109 -B$8)</f>
        <v>0</v>
      </c>
      <c r="C157" t="str">
        <f>C$9 * (36.50038909912109 -C$8)</f>
        <v>0</v>
      </c>
      <c r="E157" t="str">
        <f>E$9 * (0.0097671989351511 -E$8)</f>
        <v>0</v>
      </c>
      <c r="F157" t="str">
        <f>F$9 * (3.266026020050049 -F$8)</f>
        <v>0</v>
      </c>
      <c r="G157" t="str">
        <f>G$9 * (6.355537891387939 -G$8)</f>
        <v>0</v>
      </c>
    </row>
    <row r="158" spans="1:9">
      <c r="A158" t="str">
        <f>A$9 * (36.75025177001953 -A$8)</f>
        <v>0</v>
      </c>
      <c r="B158" t="str">
        <f>B$9 * (36.75025177001953 -B$8)</f>
        <v>0</v>
      </c>
      <c r="C158" t="str">
        <f>C$9 * (36.75025177001953 -C$8)</f>
        <v>0</v>
      </c>
      <c r="E158" t="str">
        <f>E$9 * (0.01349388994276524 -E$8)</f>
        <v>0</v>
      </c>
      <c r="F158" t="str">
        <f>F$9 * (2.184537887573242 -F$8)</f>
        <v>0</v>
      </c>
      <c r="G158" t="str">
        <f>G$9 * (3.422065019607544 -G$8)</f>
        <v>0</v>
      </c>
    </row>
    <row r="159" spans="1:9">
      <c r="A159" t="str">
        <f>A$9 * (37.00022125244141 -A$8)</f>
        <v>0</v>
      </c>
      <c r="B159" t="str">
        <f>B$9 * (37.00022125244141 -B$8)</f>
        <v>0</v>
      </c>
      <c r="C159" t="str">
        <f>C$9 * (37.00022125244141 -C$8)</f>
        <v>0</v>
      </c>
      <c r="E159" t="str">
        <f>E$9 * (0.007668084930628538 -E$8)</f>
        <v>0</v>
      </c>
      <c r="F159" t="str">
        <f>F$9 * (3.085832118988037 -F$8)</f>
        <v>0</v>
      </c>
      <c r="G159" t="str">
        <f>G$9 * (7.048256874084473 -G$8)</f>
        <v>0</v>
      </c>
    </row>
    <row r="160" spans="1:9">
      <c r="A160" t="str">
        <f>A$9 * (37.25013732910156 -A$8)</f>
        <v>0</v>
      </c>
      <c r="B160" t="str">
        <f>B$9 * (37.25013732910156 -B$8)</f>
        <v>0</v>
      </c>
      <c r="C160" t="str">
        <f>C$9 * (37.25013732910156 -C$8)</f>
        <v>0</v>
      </c>
      <c r="E160" t="str">
        <f>E$9 * (0.003366638906300068 -E$8)</f>
        <v>0</v>
      </c>
      <c r="F160" t="str">
        <f>F$9 * (0.8869205117225647 -F$8)</f>
        <v>0</v>
      </c>
      <c r="G160" t="str">
        <f>G$9 * (3.645589113235474 -G$8)</f>
        <v>0</v>
      </c>
    </row>
    <row r="161" spans="1:9">
      <c r="A161" t="str">
        <f>A$9 * (37.50008392333984 -A$8)</f>
        <v>0</v>
      </c>
      <c r="B161" t="str">
        <f>B$9 * (37.50008392333984 -B$8)</f>
        <v>0</v>
      </c>
      <c r="C161" t="str">
        <f>C$9 * (37.50008392333984 -C$8)</f>
        <v>0</v>
      </c>
      <c r="E161" t="str">
        <f>E$9 * (0.0001085226977011189 -E$8)</f>
        <v>0</v>
      </c>
      <c r="F161" t="str">
        <f>F$9 * (-1.049613952636719 -F$8)</f>
        <v>0</v>
      </c>
      <c r="G161" t="str">
        <f>G$9 * (1.459548950195312 -G$8)</f>
        <v>0</v>
      </c>
    </row>
    <row r="162" spans="1:9">
      <c r="A162" t="str">
        <f>A$9 * (37.7501106262207 -A$8)</f>
        <v>0</v>
      </c>
      <c r="B162" t="str">
        <f>B$9 * (37.7501106262207 -B$8)</f>
        <v>0</v>
      </c>
      <c r="C162" t="str">
        <f>C$9 * (37.7501106262207 -C$8)</f>
        <v>0</v>
      </c>
      <c r="E162" t="str">
        <f>E$9 * (-0.001270261942408979 -E$8)</f>
        <v>0</v>
      </c>
      <c r="F162" t="str">
        <f>F$9 * (-1.259374976158142 -F$8)</f>
        <v>0</v>
      </c>
      <c r="G162" t="str">
        <f>G$9 * (0.1890314072370529 -G$8)</f>
        <v>0</v>
      </c>
    </row>
    <row r="163" spans="1:9">
      <c r="A163" t="str">
        <f>A$9 * (38.00036239624023 -A$8)</f>
        <v>0</v>
      </c>
      <c r="B163" t="str">
        <f>B$9 * (38.00036239624023 -B$8)</f>
        <v>0</v>
      </c>
      <c r="C163" t="str">
        <f>C$9 * (38.00036239624023 -C$8)</f>
        <v>0</v>
      </c>
      <c r="E163" t="str">
        <f>E$9 * (-0.0005864111008122563 -E$8)</f>
        <v>0</v>
      </c>
      <c r="F163" t="str">
        <f>F$9 * (-0.9173849821090698 -F$8)</f>
        <v>0</v>
      </c>
      <c r="G163" t="str">
        <f>G$9 * (0.197872593998909 -G$8)</f>
        <v>0</v>
      </c>
    </row>
    <row r="164" spans="1:9">
      <c r="A164" t="str">
        <f>A$9 * (38.25005722045898 -A$8)</f>
        <v>0</v>
      </c>
      <c r="B164" t="str">
        <f>B$9 * (38.25005722045898 -B$8)</f>
        <v>0</v>
      </c>
      <c r="C164" t="str">
        <f>C$9 * (38.25005722045898 -C$8)</f>
        <v>0</v>
      </c>
      <c r="E164" t="str">
        <f>E$9 * (-0.001237264019437134 -E$8)</f>
        <v>0</v>
      </c>
      <c r="F164" t="str">
        <f>F$9 * (-0.797027587890625 -F$8)</f>
        <v>0</v>
      </c>
      <c r="G164" t="str">
        <f>G$9 * (-0.1333647072315216 -G$8)</f>
        <v>0</v>
      </c>
    </row>
    <row r="165" spans="1:9">
      <c r="A165" t="str">
        <f>A$9 * (38.50013732910156 -A$8)</f>
        <v>0</v>
      </c>
      <c r="B165" t="str">
        <f>B$9 * (38.50013732910156 -B$8)</f>
        <v>0</v>
      </c>
      <c r="C165" t="str">
        <f>C$9 * (38.50013732910156 -C$8)</f>
        <v>0</v>
      </c>
      <c r="E165" t="str">
        <f>E$9 * (-0.0005850617890246212 -E$8)</f>
        <v>0</v>
      </c>
      <c r="F165" t="str">
        <f>F$9 * (-0.4182336032390594 -F$8)</f>
        <v>0</v>
      </c>
      <c r="G165" t="str">
        <f>G$9 * (-0.1041759997606277 -G$8)</f>
        <v>0</v>
      </c>
    </row>
    <row r="166" spans="1:9">
      <c r="A166" t="str">
        <f>A$9 * (38.75022125244141 -A$8)</f>
        <v>0</v>
      </c>
      <c r="B166" t="str">
        <f>B$9 * (38.75022125244141 -B$8)</f>
        <v>0</v>
      </c>
      <c r="C166" t="str">
        <f>C$9 * (38.75022125244141 -C$8)</f>
        <v>0</v>
      </c>
      <c r="E166" t="str">
        <f>E$9 * (0.06006330996751785 -E$8)</f>
        <v>0</v>
      </c>
      <c r="F166" t="str">
        <f>F$9 * (2.043169021606445 -F$8)</f>
        <v>0</v>
      </c>
      <c r="G166" t="str">
        <f>G$9 * (5.767662048339844 -G$8)</f>
        <v>0</v>
      </c>
    </row>
    <row r="167" spans="1:9">
      <c r="A167" t="str">
        <f>A$9 * (39.00022125244141 -A$8)</f>
        <v>0</v>
      </c>
      <c r="B167" t="str">
        <f>B$9 * (39.00022125244141 -B$8)</f>
        <v>0</v>
      </c>
      <c r="C167" t="str">
        <f>C$9 * (39.00022125244141 -C$8)</f>
        <v>0</v>
      </c>
      <c r="E167" t="str">
        <f>E$9 * (0.03967443853616714 -E$8)</f>
        <v>0</v>
      </c>
      <c r="F167" t="str">
        <f>F$9 * (5.963006973266602 -F$8)</f>
        <v>0</v>
      </c>
      <c r="G167" t="str">
        <f>G$9 * (6.32036018371582 -G$8)</f>
        <v>0</v>
      </c>
    </row>
    <row r="168" spans="1:9">
      <c r="A168" t="str">
        <f>A$9 * (39.25044631958008 -A$8)</f>
        <v>0</v>
      </c>
      <c r="B168" t="str">
        <f>B$9 * (39.25044631958008 -B$8)</f>
        <v>0</v>
      </c>
      <c r="C168" t="str">
        <f>C$9 * (39.25044631958008 -C$8)</f>
        <v>0</v>
      </c>
      <c r="E168" t="str">
        <f>E$9 * (0.03008707985281944 -E$8)</f>
        <v>0</v>
      </c>
      <c r="F168" t="str">
        <f>F$9 * (3.754652976989746 -F$8)</f>
        <v>0</v>
      </c>
      <c r="G168" t="str">
        <f>G$9 * (4.076734066009521 -G$8)</f>
        <v>0</v>
      </c>
    </row>
    <row r="169" spans="1:9">
      <c r="A169" t="str">
        <f>A$9 * (39.50066757202148 -A$8)</f>
        <v>0</v>
      </c>
      <c r="B169" t="str">
        <f>B$9 * (39.50066757202148 -B$8)</f>
        <v>0</v>
      </c>
      <c r="C169" t="str">
        <f>C$9 * (39.50066757202148 -C$8)</f>
        <v>0</v>
      </c>
      <c r="E169" t="str">
        <f>E$9 * (0.02919361926615238 -E$8)</f>
        <v>0</v>
      </c>
      <c r="F169" t="str">
        <f>F$9 * (4.655858039855957 -F$8)</f>
        <v>0</v>
      </c>
      <c r="G169" t="str">
        <f>G$9 * (5.226169109344482 -G$8)</f>
        <v>0</v>
      </c>
    </row>
    <row r="170" spans="1:9">
      <c r="A170" t="str">
        <f>A$9 * (39.75033187866211 -A$8)</f>
        <v>0</v>
      </c>
      <c r="B170" t="str">
        <f>B$9 * (39.75033187866211 -B$8)</f>
        <v>0</v>
      </c>
      <c r="C170" t="str">
        <f>C$9 * (39.75033187866211 -C$8)</f>
        <v>0</v>
      </c>
      <c r="E170" t="str">
        <f>E$9 * (0.01108255982398987 -E$8)</f>
        <v>0</v>
      </c>
      <c r="F170" t="str">
        <f>F$9 * (3.994926929473877 -F$8)</f>
        <v>0</v>
      </c>
      <c r="G170" t="str">
        <f>G$9 * (7.253562927246094 -G$8)</f>
        <v>0</v>
      </c>
    </row>
    <row r="171" spans="1:9">
      <c r="A171" t="str">
        <f>A$9 * (40.00008392333984 -A$8)</f>
        <v>0</v>
      </c>
      <c r="B171" t="str">
        <f>B$9 * (40.00008392333984 -B$8)</f>
        <v>0</v>
      </c>
      <c r="C171" t="str">
        <f>C$9 * (40.00008392333984 -C$8)</f>
        <v>0</v>
      </c>
      <c r="E171" t="str">
        <f>E$9 * (0.0119944903999567 -E$8)</f>
        <v>0</v>
      </c>
      <c r="F171" t="str">
        <f>F$9 * (2.092314004898071 -F$8)</f>
        <v>0</v>
      </c>
      <c r="G171" t="str">
        <f>G$9 * (3.504240036010742 -G$8)</f>
        <v>0</v>
      </c>
    </row>
    <row r="172" spans="1:9">
      <c r="A172" t="str">
        <f>A$9 * (40.25030517578125 -A$8)</f>
        <v>0</v>
      </c>
      <c r="B172" t="str">
        <f>B$9 * (40.25030517578125 -B$8)</f>
        <v>0</v>
      </c>
      <c r="C172" t="str">
        <f>C$9 * (40.25030517578125 -C$8)</f>
        <v>0</v>
      </c>
      <c r="E172" t="str">
        <f>E$9 * (0.01372922956943512 -E$8)</f>
        <v>0</v>
      </c>
      <c r="F172" t="str">
        <f>F$9 * (3.488461971282959 -F$8)</f>
        <v>0</v>
      </c>
      <c r="G172" t="str">
        <f>G$9 * (5.541726112365723 -G$8)</f>
        <v>0</v>
      </c>
    </row>
    <row r="173" spans="1:9">
      <c r="A173" t="str">
        <f>A$9 * (40.50038909912109 -A$8)</f>
        <v>0</v>
      </c>
      <c r="B173" t="str">
        <f>B$9 * (40.50038909912109 -B$8)</f>
        <v>0</v>
      </c>
      <c r="C173" t="str">
        <f>C$9 * (40.50038909912109 -C$8)</f>
        <v>0</v>
      </c>
      <c r="E173" t="str">
        <f>E$9 * (0.005882980767637491 -E$8)</f>
        <v>0</v>
      </c>
      <c r="F173" t="str">
        <f>F$9 * (2.257407903671265 -F$8)</f>
        <v>0</v>
      </c>
      <c r="G173" t="str">
        <f>G$9 * (6.158403873443604 -G$8)</f>
        <v>0</v>
      </c>
    </row>
    <row r="174" spans="1:9">
      <c r="A174" t="str">
        <f>A$9 * (40.7501106262207 -A$8)</f>
        <v>0</v>
      </c>
      <c r="B174" t="str">
        <f>B$9 * (40.7501106262207 -B$8)</f>
        <v>0</v>
      </c>
      <c r="C174" t="str">
        <f>C$9 * (40.7501106262207 -C$8)</f>
        <v>0</v>
      </c>
      <c r="E174" t="str">
        <f>E$9 * (-0.0001486192049924284 -E$8)</f>
        <v>0</v>
      </c>
      <c r="F174" t="str">
        <f>F$9 * (-0.9732310771942139 -F$8)</f>
        <v>0</v>
      </c>
      <c r="G174" t="str">
        <f>G$9 * (1.186635971069336 -G$8)</f>
        <v>0</v>
      </c>
    </row>
    <row r="175" spans="1:9">
      <c r="A175" t="str">
        <f>A$9 * (41.00030517578125 -A$8)</f>
        <v>0</v>
      </c>
      <c r="B175" t="str">
        <f>B$9 * (41.00030517578125 -B$8)</f>
        <v>0</v>
      </c>
      <c r="C175" t="str">
        <f>C$9 * (41.00030517578125 -C$8)</f>
        <v>0</v>
      </c>
      <c r="E175" t="str">
        <f>E$9 * (-0.001215907977893949 -E$8)</f>
        <v>0</v>
      </c>
      <c r="F175" t="str">
        <f>F$9 * (-0.4461953043937683 -F$8)</f>
        <v>0</v>
      </c>
      <c r="G175" t="str">
        <f>G$9 * (-0.3957425951957703 -G$8)</f>
        <v>0</v>
      </c>
    </row>
    <row r="176" spans="1:9">
      <c r="A176" t="str">
        <f>A$9 * (41.25022125244141 -A$8)</f>
        <v>0</v>
      </c>
      <c r="B176" t="str">
        <f>B$9 * (41.25022125244141 -B$8)</f>
        <v>0</v>
      </c>
      <c r="C176" t="str">
        <f>C$9 * (41.25022125244141 -C$8)</f>
        <v>0</v>
      </c>
      <c r="E176" t="str">
        <f>E$9 * (-0.001061946968548 -E$8)</f>
        <v>0</v>
      </c>
      <c r="F176" t="str">
        <f>F$9 * (-0.8746328949928284 -F$8)</f>
        <v>0</v>
      </c>
      <c r="G176" t="str">
        <f>G$9 * (0.3714371025562286 -G$8)</f>
        <v>0</v>
      </c>
    </row>
    <row r="177" spans="1:9">
      <c r="A177" t="str">
        <f>A$9 * (41.50036239624023 -A$8)</f>
        <v>0</v>
      </c>
      <c r="B177" t="str">
        <f>B$9 * (41.50036239624023 -B$8)</f>
        <v>0</v>
      </c>
      <c r="C177" t="str">
        <f>C$9 * (41.50036239624023 -C$8)</f>
        <v>0</v>
      </c>
      <c r="E177" t="str">
        <f>E$9 * (-0.001462872955016792 -E$8)</f>
        <v>0</v>
      </c>
      <c r="F177" t="str">
        <f>F$9 * (-0.199244499206543 -F$8)</f>
        <v>0</v>
      </c>
      <c r="G177" t="str">
        <f>G$9 * (-0.8785883188247681 -G$8)</f>
        <v>0</v>
      </c>
    </row>
    <row r="178" spans="1:9">
      <c r="A178" t="str">
        <f>A$9 * (41.75075149536133 -A$8)</f>
        <v>0</v>
      </c>
      <c r="B178" t="str">
        <f>B$9 * (41.75075149536133 -B$8)</f>
        <v>0</v>
      </c>
      <c r="C178" t="str">
        <f>C$9 * (41.75075149536133 -C$8)</f>
        <v>0</v>
      </c>
      <c r="E178" t="str">
        <f>E$9 * (-0.0009487171773798764 -E$8)</f>
        <v>0</v>
      </c>
      <c r="F178" t="str">
        <f>F$9 * (-0.3540739119052887 -F$8)</f>
        <v>0</v>
      </c>
      <c r="G178" t="str">
        <f>G$9 * (-0.1578405946493149 -G$8)</f>
        <v>0</v>
      </c>
    </row>
    <row r="179" spans="1:9">
      <c r="A179" t="str">
        <f>A$9 * (42.00066757202148 -A$8)</f>
        <v>0</v>
      </c>
      <c r="B179" t="str">
        <f>B$9 * (42.00066757202148 -B$8)</f>
        <v>0</v>
      </c>
      <c r="C179" t="str">
        <f>C$9 * (42.00066757202148 -C$8)</f>
        <v>0</v>
      </c>
      <c r="E179" t="str">
        <f>E$9 * (-0.0004168511077295989 -E$8)</f>
        <v>0</v>
      </c>
      <c r="F179" t="str">
        <f>F$9 * (-0.7810177206993103 -F$8)</f>
        <v>0</v>
      </c>
      <c r="G179" t="str">
        <f>G$9 * (0.3547484874725342 -G$8)</f>
        <v>0</v>
      </c>
    </row>
    <row r="180" spans="1:9">
      <c r="A180" t="str">
        <f>A$9 * (42.25080490112305 -A$8)</f>
        <v>0</v>
      </c>
      <c r="B180" t="str">
        <f>B$9 * (42.25080490112305 -B$8)</f>
        <v>0</v>
      </c>
      <c r="C180" t="str">
        <f>C$9 * (42.25080490112305 -C$8)</f>
        <v>0</v>
      </c>
      <c r="E180" t="str">
        <f>E$9 * (0.04767204076051712 -E$8)</f>
        <v>0</v>
      </c>
      <c r="F180" t="str">
        <f>F$9 * (1.854333996772766 -F$8)</f>
        <v>0</v>
      </c>
      <c r="G180" t="str">
        <f>G$9 * (1.991476058959961 -G$8)</f>
        <v>0</v>
      </c>
    </row>
    <row r="181" spans="1:9">
      <c r="A181" t="str">
        <f>A$9 * (42.50063705444336 -A$8)</f>
        <v>0</v>
      </c>
      <c r="B181" t="str">
        <f>B$9 * (42.50063705444336 -B$8)</f>
        <v>0</v>
      </c>
      <c r="C181" t="str">
        <f>C$9 * (42.50063705444336 -C$8)</f>
        <v>0</v>
      </c>
      <c r="E181" t="str">
        <f>E$9 * (0.02083607017993927 -E$8)</f>
        <v>0</v>
      </c>
      <c r="F181" t="str">
        <f>F$9 * (4.608442783355713 -F$8)</f>
        <v>0</v>
      </c>
      <c r="G181" t="str">
        <f>G$9 * (6.021442890167236 -G$8)</f>
        <v>0</v>
      </c>
    </row>
    <row r="182" spans="1:9">
      <c r="A182" t="str">
        <f>A$9 * (42.75066757202148 -A$8)</f>
        <v>0</v>
      </c>
      <c r="B182" t="str">
        <f>B$9 * (42.75066757202148 -B$8)</f>
        <v>0</v>
      </c>
      <c r="C182" t="str">
        <f>C$9 * (42.75066757202148 -C$8)</f>
        <v>0</v>
      </c>
      <c r="E182" t="str">
        <f>E$9 * (0.03436243161559105 -E$8)</f>
        <v>0</v>
      </c>
      <c r="F182" t="str">
        <f>F$9 * (3.319000005722046 -F$8)</f>
        <v>0</v>
      </c>
      <c r="G182" t="str">
        <f>G$9 * (3.500694990158081 -G$8)</f>
        <v>0</v>
      </c>
    </row>
    <row r="183" spans="1:9">
      <c r="A183" t="str">
        <f>A$9 * (43.00027847290039 -A$8)</f>
        <v>0</v>
      </c>
      <c r="B183" t="str">
        <f>B$9 * (43.00027847290039 -B$8)</f>
        <v>0</v>
      </c>
      <c r="C183" t="str">
        <f>C$9 * (43.00027847290039 -C$8)</f>
        <v>0</v>
      </c>
      <c r="E183" t="str">
        <f>E$9 * (0.01291374024003744 -E$8)</f>
        <v>0</v>
      </c>
      <c r="F183" t="str">
        <f>F$9 * (4.442419052124023 -F$8)</f>
        <v>0</v>
      </c>
      <c r="G183" t="str">
        <f>G$9 * (7.395650863647461 -G$8)</f>
        <v>0</v>
      </c>
    </row>
    <row r="184" spans="1:9">
      <c r="A184" t="str">
        <f>A$9 * (43.2504997253418 -A$8)</f>
        <v>0</v>
      </c>
      <c r="B184" t="str">
        <f>B$9 * (43.2504997253418 -B$8)</f>
        <v>0</v>
      </c>
      <c r="C184" t="str">
        <f>C$9 * (43.2504997253418 -C$8)</f>
        <v>0</v>
      </c>
      <c r="E184" t="str">
        <f>E$9 * (0.0112969595938921 -E$8)</f>
        <v>0</v>
      </c>
      <c r="F184" t="str">
        <f>F$9 * (2.817030906677246 -F$8)</f>
        <v>0</v>
      </c>
      <c r="G184" t="str">
        <f>G$9 * (4.962498188018799 -G$8)</f>
        <v>0</v>
      </c>
    </row>
    <row r="185" spans="1:9">
      <c r="A185" t="str">
        <f>A$9 * (43.50041580200195 -A$8)</f>
        <v>0</v>
      </c>
      <c r="B185" t="str">
        <f>B$9 * (43.50041580200195 -B$8)</f>
        <v>0</v>
      </c>
      <c r="C185" t="str">
        <f>C$9 * (43.50041580200195 -C$8)</f>
        <v>0</v>
      </c>
      <c r="E185" t="str">
        <f>E$9 * (0.01516132988035679 -E$8)</f>
        <v>0</v>
      </c>
      <c r="F185" t="str">
        <f>F$9 * (2.614171981811523 -F$8)</f>
        <v>0</v>
      </c>
      <c r="G185" t="str">
        <f>G$9 * (3.871433019638062 -G$8)</f>
        <v>0</v>
      </c>
    </row>
    <row r="186" spans="1:9">
      <c r="A186" t="str">
        <f>A$9 * (43.75019454956055 -A$8)</f>
        <v>0</v>
      </c>
      <c r="B186" t="str">
        <f>B$9 * (43.75019454956055 -B$8)</f>
        <v>0</v>
      </c>
      <c r="C186" t="str">
        <f>C$9 * (43.75019454956055 -C$8)</f>
        <v>0</v>
      </c>
      <c r="E186" t="str">
        <f>E$9 * (0.006336790975183249 -E$8)</f>
        <v>0</v>
      </c>
      <c r="F186" t="str">
        <f>F$9 * (2.662805080413818 -F$8)</f>
        <v>0</v>
      </c>
      <c r="G186" t="str">
        <f>G$9 * (6.930918216705322 -G$8)</f>
        <v>0</v>
      </c>
    </row>
    <row r="187" spans="1:9">
      <c r="A187" t="str">
        <f>A$9 * (44.00030517578125 -A$8)</f>
        <v>0</v>
      </c>
      <c r="B187" t="str">
        <f>B$9 * (44.00030517578125 -B$8)</f>
        <v>0</v>
      </c>
      <c r="C187" t="str">
        <f>C$9 * (44.00030517578125 -C$8)</f>
        <v>0</v>
      </c>
      <c r="E187" t="str">
        <f>E$9 * (9.75025977822952E-5 -E$8)</f>
        <v>0</v>
      </c>
      <c r="F187" t="str">
        <f>F$9 * (0.02076395973563194 -F$8)</f>
        <v>0</v>
      </c>
      <c r="G187" t="str">
        <f>G$9 * (2.244864940643311 -G$8)</f>
        <v>0</v>
      </c>
    </row>
    <row r="188" spans="1:9">
      <c r="A188" t="str">
        <f>A$9 * (44.2501106262207 -A$8)</f>
        <v>0</v>
      </c>
      <c r="B188" t="str">
        <f>B$9 * (44.2501106262207 -B$8)</f>
        <v>0</v>
      </c>
      <c r="C188" t="str">
        <f>C$9 * (44.2501106262207 -C$8)</f>
        <v>0</v>
      </c>
      <c r="E188" t="str">
        <f>E$9 * (-0.0008590923971496522 -E$8)</f>
        <v>0</v>
      </c>
      <c r="F188" t="str">
        <f>F$9 * (-0.9389569163322449 -F$8)</f>
        <v>0</v>
      </c>
      <c r="G188" t="str">
        <f>G$9 * (-0.02979250997304916 -G$8)</f>
        <v>0</v>
      </c>
    </row>
    <row r="189" spans="1:9">
      <c r="A189" t="str">
        <f>A$9 * (44.50044631958008 -A$8)</f>
        <v>0</v>
      </c>
      <c r="B189" t="str">
        <f>B$9 * (44.50044631958008 -B$8)</f>
        <v>0</v>
      </c>
      <c r="C189" t="str">
        <f>C$9 * (44.50044631958008 -C$8)</f>
        <v>0</v>
      </c>
      <c r="E189" t="str">
        <f>E$9 * (-0.0006578976754099131 -E$8)</f>
        <v>0</v>
      </c>
      <c r="F189" t="str">
        <f>F$9 * (-0.8687992095947266 -F$8)</f>
        <v>0</v>
      </c>
      <c r="G189" t="str">
        <f>G$9 * (0.9449234008789062 -G$8)</f>
        <v>0</v>
      </c>
    </row>
    <row r="190" spans="1:9">
      <c r="A190" t="str">
        <f>A$9 * (44.75044631958008 -A$8)</f>
        <v>0</v>
      </c>
      <c r="B190" t="str">
        <f>B$9 * (44.75044631958008 -B$8)</f>
        <v>0</v>
      </c>
      <c r="C190" t="str">
        <f>C$9 * (44.75044631958008 -C$8)</f>
        <v>0</v>
      </c>
      <c r="E190" t="str">
        <f>E$9 * (-0.001322617055848241 -E$8)</f>
        <v>0</v>
      </c>
      <c r="F190" t="str">
        <f>F$9 * (-0.4316382110118866 -F$8)</f>
        <v>0</v>
      </c>
      <c r="G190" t="str">
        <f>G$9 * (-0.5431607961654663 -G$8)</f>
        <v>0</v>
      </c>
    </row>
    <row r="191" spans="1:9">
      <c r="A191" t="str">
        <f>A$9 * (45.0004997253418 -A$8)</f>
        <v>0</v>
      </c>
      <c r="B191" t="str">
        <f>B$9 * (45.0004997253418 -B$8)</f>
        <v>0</v>
      </c>
      <c r="C191" t="str">
        <f>C$9 * (45.0004997253418 -C$8)</f>
        <v>0</v>
      </c>
      <c r="E191" t="str">
        <f>E$9 * (-0.0003479353908915073 -E$8)</f>
        <v>0</v>
      </c>
      <c r="F191" t="str">
        <f>F$9 * (-0.7975612878799438 -F$8)</f>
        <v>0</v>
      </c>
      <c r="G191" t="str">
        <f>G$9 * (0.4733279943466187 -G$8)</f>
        <v>0</v>
      </c>
    </row>
    <row r="192" spans="1:9">
      <c r="A192" t="str">
        <f>A$9 * (45.25041580200195 -A$8)</f>
        <v>0</v>
      </c>
      <c r="B192" t="str">
        <f>B$9 * (45.25041580200195 -B$8)</f>
        <v>0</v>
      </c>
      <c r="C192" t="str">
        <f>C$9 * (45.25041580200195 -C$8)</f>
        <v>0</v>
      </c>
      <c r="E192" t="str">
        <f>E$9 * (-0.0003683434915728867 -E$8)</f>
        <v>0</v>
      </c>
      <c r="F192" t="str">
        <f>F$9 * (-0.9570500254631042 -F$8)</f>
        <v>0</v>
      </c>
      <c r="G192" t="str">
        <f>G$9 * (0.4901754856109619 -G$8)</f>
        <v>0</v>
      </c>
    </row>
    <row r="193" spans="1:9">
      <c r="A193" t="str">
        <f>A$9 * (45.50002670288086 -A$8)</f>
        <v>0</v>
      </c>
      <c r="B193" t="str">
        <f>B$9 * (45.50002670288086 -B$8)</f>
        <v>0</v>
      </c>
      <c r="C193" t="str">
        <f>C$9 * (45.50002670288086 -C$8)</f>
        <v>0</v>
      </c>
      <c r="E193" t="str">
        <f>E$9 * (0.007015128154307604 -E$8)</f>
        <v>0</v>
      </c>
      <c r="F193" t="str">
        <f>F$9 * (0.2207680940628052 -F$8)</f>
        <v>0</v>
      </c>
      <c r="G193" t="str">
        <f>G$9 * (0.2993994951248169 -G$8)</f>
        <v>0</v>
      </c>
    </row>
    <row r="194" spans="1:9">
      <c r="A194" t="str">
        <f>A$9 * (45.75 -A$8)</f>
        <v>0</v>
      </c>
      <c r="B194" t="str">
        <f>B$9 * (45.75 -B$8)</f>
        <v>0</v>
      </c>
      <c r="C194" t="str">
        <f>C$9 * (45.75 -C$8)</f>
        <v>0</v>
      </c>
      <c r="E194" t="str">
        <f>E$9 * (0.006176386028528214 -E$8)</f>
        <v>0</v>
      </c>
      <c r="F194" t="str">
        <f>F$9 * (4.162230014801025 -F$8)</f>
        <v>0</v>
      </c>
      <c r="G194" t="str">
        <f>G$9 * (11.13313007354736 -G$8)</f>
        <v>0</v>
      </c>
    </row>
    <row r="195" spans="1:9">
      <c r="A195" t="str">
        <f>A$9 * (46.00005722045898 -A$8)</f>
        <v>0</v>
      </c>
      <c r="B195" t="str">
        <f>B$9 * (46.00005722045898 -B$8)</f>
        <v>0</v>
      </c>
      <c r="C195" t="str">
        <f>C$9 * (46.00005722045898 -C$8)</f>
        <v>0</v>
      </c>
      <c r="E195" t="str">
        <f>E$9 * (0.02930561080574989 -E$8)</f>
        <v>0</v>
      </c>
      <c r="F195" t="str">
        <f>F$9 * (3.070954084396362 -F$8)</f>
        <v>0</v>
      </c>
      <c r="G195" t="str">
        <f>G$9 * (3.2846360206604 -G$8)</f>
        <v>0</v>
      </c>
    </row>
    <row r="196" spans="1:9">
      <c r="A196" t="str">
        <f>A$9 * (46.25022125244141 -A$8)</f>
        <v>0</v>
      </c>
      <c r="B196" t="str">
        <f>B$9 * (46.25022125244141 -B$8)</f>
        <v>0</v>
      </c>
      <c r="C196" t="str">
        <f>C$9 * (46.25022125244141 -C$8)</f>
        <v>0</v>
      </c>
      <c r="E196" t="str">
        <f>E$9 * (0.01673188060522079 -E$8)</f>
        <v>0</v>
      </c>
      <c r="F196" t="str">
        <f>F$9 * (4.781134128570557 -F$8)</f>
        <v>0</v>
      </c>
      <c r="G196" t="str">
        <f>G$9 * (6.938916206359863 -G$8)</f>
        <v>0</v>
      </c>
    </row>
    <row r="197" spans="1:9">
      <c r="A197" t="str">
        <f>A$9 * (46.50044631958008 -A$8)</f>
        <v>0</v>
      </c>
      <c r="B197" t="str">
        <f>B$9 * (46.50044631958008 -B$8)</f>
        <v>0</v>
      </c>
      <c r="C197" t="str">
        <f>C$9 * (46.50044631958008 -C$8)</f>
        <v>0</v>
      </c>
      <c r="E197" t="str">
        <f>E$9 * (0.009342007339000702 -E$8)</f>
        <v>0</v>
      </c>
      <c r="F197" t="str">
        <f>F$9 * (3.537698984146118 -F$8)</f>
        <v>0</v>
      </c>
      <c r="G197" t="str">
        <f>G$9 * (7.118278980255127 -G$8)</f>
        <v>0</v>
      </c>
    </row>
    <row r="198" spans="1:9">
      <c r="A198" t="str">
        <f>A$9 * (46.7501106262207 -A$8)</f>
        <v>0</v>
      </c>
      <c r="B198" t="str">
        <f>B$9 * (46.7501106262207 -B$8)</f>
        <v>0</v>
      </c>
      <c r="C198" t="str">
        <f>C$9 * (46.7501106262207 -C$8)</f>
        <v>0</v>
      </c>
      <c r="E198" t="str">
        <f>E$9 * (0.01275441981852055 -E$8)</f>
        <v>0</v>
      </c>
      <c r="F198" t="str">
        <f>F$9 * (2.067660093307495 -F$8)</f>
        <v>0</v>
      </c>
      <c r="G198" t="str">
        <f>G$9 * (3.337490081787109 -G$8)</f>
        <v>0</v>
      </c>
    </row>
    <row r="199" spans="1:9">
      <c r="A199" t="str">
        <f>A$9 * (47.00025177001953 -A$8)</f>
        <v>0</v>
      </c>
      <c r="B199" t="str">
        <f>B$9 * (47.00025177001953 -B$8)</f>
        <v>0</v>
      </c>
      <c r="C199" t="str">
        <f>C$9 * (47.00025177001953 -C$8)</f>
        <v>0</v>
      </c>
      <c r="E199" t="str">
        <f>E$9 * (0.009134214371442795 -E$8)</f>
        <v>0</v>
      </c>
      <c r="F199" t="str">
        <f>F$9 * (3.345355987548828 -F$8)</f>
        <v>0</v>
      </c>
      <c r="G199" t="str">
        <f>G$9 * (6.805426120758057 -G$8)</f>
        <v>0</v>
      </c>
    </row>
    <row r="200" spans="1:9">
      <c r="A200" t="str">
        <f>A$9 * (47.25038909912109 -A$8)</f>
        <v>0</v>
      </c>
      <c r="B200" t="str">
        <f>B$9 * (47.25038909912109 -B$8)</f>
        <v>0</v>
      </c>
      <c r="C200" t="str">
        <f>C$9 * (47.25038909912109 -C$8)</f>
        <v>0</v>
      </c>
      <c r="E200" t="str">
        <f>E$9 * (0.00473775202408433 -E$8)</f>
        <v>0</v>
      </c>
      <c r="F200" t="str">
        <f>F$9 * (1.479208946228027 -F$8)</f>
        <v>0</v>
      </c>
      <c r="G200" t="str">
        <f>G$9 * (4.667257785797119 -G$8)</f>
        <v>0</v>
      </c>
    </row>
    <row r="201" spans="1:9">
      <c r="A201" t="str">
        <f>A$9 * (47.5001106262207 -A$8)</f>
        <v>0</v>
      </c>
      <c r="B201" t="str">
        <f>B$9 * (47.5001106262207 -B$8)</f>
        <v>0</v>
      </c>
      <c r="C201" t="str">
        <f>C$9 * (47.5001106262207 -C$8)</f>
        <v>0</v>
      </c>
      <c r="E201" t="str">
        <f>E$9 * (-0.001884225057438016 -E$8)</f>
        <v>0</v>
      </c>
      <c r="F201" t="str">
        <f>F$9 * (-1.276705980300903 -F$8)</f>
        <v>0</v>
      </c>
      <c r="G201" t="str">
        <f>G$9 * (0.2563660144805908 -G$8)</f>
        <v>0</v>
      </c>
    </row>
    <row r="202" spans="1:9">
      <c r="A202" t="str">
        <f>A$9 * (47.75005722045898 -A$8)</f>
        <v>0</v>
      </c>
      <c r="B202" t="str">
        <f>B$9 * (47.75005722045898 -B$8)</f>
        <v>0</v>
      </c>
      <c r="C202" t="str">
        <f>C$9 * (47.75005722045898 -C$8)</f>
        <v>0</v>
      </c>
      <c r="E202" t="str">
        <f>E$9 * (0.0006957529112696648 -E$8)</f>
        <v>0</v>
      </c>
      <c r="F202" t="str">
        <f>F$9 * (-0.7556480169296265 -F$8)</f>
        <v>0</v>
      </c>
      <c r="G202" t="str">
        <f>G$9 * (1.64257800579071 -G$8)</f>
        <v>0</v>
      </c>
    </row>
    <row r="203" spans="1:9">
      <c r="A203" t="str">
        <f>A$9 * (48.00022125244141 -A$8)</f>
        <v>0</v>
      </c>
      <c r="B203" t="str">
        <f>B$9 * (48.00022125244141 -B$8)</f>
        <v>0</v>
      </c>
      <c r="C203" t="str">
        <f>C$9 * (48.00022125244141 -C$8)</f>
        <v>0</v>
      </c>
      <c r="E203" t="str">
        <f>E$9 * (0.0001700254942988977 -E$8)</f>
        <v>0</v>
      </c>
      <c r="F203" t="str">
        <f>F$9 * (-1.207427978515625 -F$8)</f>
        <v>0</v>
      </c>
      <c r="G203" t="str">
        <f>G$9 * (2.166980028152466 -G$8)</f>
        <v>0</v>
      </c>
    </row>
    <row r="204" spans="1:9">
      <c r="A204" t="str">
        <f>A$9 * (48.25019454956055 -A$8)</f>
        <v>0</v>
      </c>
      <c r="B204" t="str">
        <f>B$9 * (48.25019454956055 -B$8)</f>
        <v>0</v>
      </c>
      <c r="C204" t="str">
        <f>C$9 * (48.25019454956055 -C$8)</f>
        <v>0</v>
      </c>
      <c r="E204" t="str">
        <f>E$9 * (-0.0008203646866604686 -E$8)</f>
        <v>0</v>
      </c>
      <c r="F204" t="str">
        <f>F$9 * (-0.5578964948654175 -F$8)</f>
        <v>0</v>
      </c>
      <c r="G204" t="str">
        <f>G$9 * (-0.0008547697798348963 -G$8)</f>
        <v>0</v>
      </c>
    </row>
    <row r="205" spans="1:9">
      <c r="A205" t="str">
        <f>A$9 * (48.50052642822266 -A$8)</f>
        <v>0</v>
      </c>
      <c r="B205" t="str">
        <f>B$9 * (48.50052642822266 -B$8)</f>
        <v>0</v>
      </c>
      <c r="C205" t="str">
        <f>C$9 * (48.50052642822266 -C$8)</f>
        <v>0</v>
      </c>
      <c r="E205" t="str">
        <f>E$9 * (-0.0006295584025792778 -E$8)</f>
        <v>0</v>
      </c>
      <c r="F205" t="str">
        <f>F$9 * (-0.3857660889625549 -F$8)</f>
        <v>0</v>
      </c>
      <c r="G205" t="str">
        <f>G$9 * (-0.08872921764850616 -G$8)</f>
        <v>0</v>
      </c>
    </row>
    <row r="206" spans="1:9">
      <c r="A206" t="str">
        <f>A$9 * (48.75027847290039 -A$8)</f>
        <v>0</v>
      </c>
      <c r="B206" t="str">
        <f>B$9 * (48.75027847290039 -B$8)</f>
        <v>0</v>
      </c>
      <c r="C206" t="str">
        <f>C$9 * (48.75027847290039 -C$8)</f>
        <v>0</v>
      </c>
      <c r="E206" t="str">
        <f>E$9 * (0.004595499951392412 -E$8)</f>
        <v>0</v>
      </c>
      <c r="F206" t="str">
        <f>F$9 * (-2.652638912200928 -F$8)</f>
        <v>0</v>
      </c>
      <c r="G206" t="str">
        <f>G$9 * (1.604305028915405 -G$8)</f>
        <v>0</v>
      </c>
    </row>
    <row r="207" spans="1:9">
      <c r="A207" t="str">
        <f>A$9 * (49.00022125244141 -A$8)</f>
        <v>0</v>
      </c>
      <c r="B207" t="str">
        <f>B$9 * (49.00022125244141 -B$8)</f>
        <v>0</v>
      </c>
      <c r="C207" t="str">
        <f>C$9 * (49.00022125244141 -C$8)</f>
        <v>0</v>
      </c>
      <c r="E207" t="str">
        <f>E$9 * (0.0850168764591217 -E$8)</f>
        <v>0</v>
      </c>
      <c r="F207" t="str">
        <f>F$9 * (4.218080043792725 -F$8)</f>
        <v>0</v>
      </c>
      <c r="G207" t="str">
        <f>G$9 * (4.39437198638916 -G$8)</f>
        <v>0</v>
      </c>
    </row>
    <row r="208" spans="1:9">
      <c r="A208" t="str">
        <f>A$9 * (49.25019454956055 -A$8)</f>
        <v>0</v>
      </c>
      <c r="B208" t="str">
        <f>B$9 * (49.25019454956055 -B$8)</f>
        <v>0</v>
      </c>
      <c r="C208" t="str">
        <f>C$9 * (49.25019454956055 -C$8)</f>
        <v>0</v>
      </c>
      <c r="E208" t="str">
        <f>E$9 * (0.02965277992188931 -E$8)</f>
        <v>0</v>
      </c>
      <c r="F208" t="str">
        <f>F$9 * (4.053853034973145 -F$8)</f>
        <v>0</v>
      </c>
      <c r="G208" t="str">
        <f>G$9 * (4.470398902893066 -G$8)</f>
        <v>0</v>
      </c>
    </row>
    <row r="209" spans="1:9">
      <c r="A209" t="str">
        <f>A$9 * (49.50052642822266 -A$8)</f>
        <v>0</v>
      </c>
      <c r="B209" t="str">
        <f>B$9 * (49.50052642822266 -B$8)</f>
        <v>0</v>
      </c>
      <c r="C209" t="str">
        <f>C$9 * (49.50052642822266 -C$8)</f>
        <v>0</v>
      </c>
      <c r="E209" t="str">
        <f>E$9 * (0.03522567823529243 -E$8)</f>
        <v>0</v>
      </c>
      <c r="F209" t="str">
        <f>F$9 * (4.222622871398926 -F$8)</f>
        <v>0</v>
      </c>
      <c r="G209" t="str">
        <f>G$9 * (4.456664085388184 -G$8)</f>
        <v>0</v>
      </c>
    </row>
    <row r="210" spans="1:9">
      <c r="A210" t="str">
        <f>A$9 * (49.7501106262207 -A$8)</f>
        <v>0</v>
      </c>
      <c r="B210" t="str">
        <f>B$9 * (49.7501106262207 -B$8)</f>
        <v>0</v>
      </c>
      <c r="C210" t="str">
        <f>C$9 * (49.7501106262207 -C$8)</f>
        <v>0</v>
      </c>
      <c r="E210" t="str">
        <f>E$9 * (0.01158485002815723 -E$8)</f>
        <v>0</v>
      </c>
      <c r="F210" t="str">
        <f>F$9 * (4.102396965026855 -F$8)</f>
        <v>0</v>
      </c>
      <c r="G210" t="str">
        <f>G$9 * (7.258432865142822 -G$8)</f>
        <v>0</v>
      </c>
    </row>
    <row r="211" spans="1:9">
      <c r="A211" t="str">
        <f>A$9 * (50.00036239624023 -A$8)</f>
        <v>0</v>
      </c>
      <c r="B211" t="str">
        <f>B$9 * (50.00036239624023 -B$8)</f>
        <v>0</v>
      </c>
      <c r="C211" t="str">
        <f>C$9 * (50.00036239624023 -C$8)</f>
        <v>0</v>
      </c>
      <c r="E211" t="str">
        <f>E$9 * (0.01187208015471697 -E$8)</f>
        <v>0</v>
      </c>
      <c r="F211" t="str">
        <f>F$9 * (2.179063081741333 -F$8)</f>
        <v>0</v>
      </c>
      <c r="G211" t="str">
        <f>G$9 * (3.678421974182129 -G$8)</f>
        <v>0</v>
      </c>
    </row>
    <row r="212" spans="1:9">
      <c r="A212" t="str">
        <f>A$9 * (50.25002670288086 -A$8)</f>
        <v>0</v>
      </c>
      <c r="B212" t="str">
        <f>B$9 * (50.25002670288086 -B$8)</f>
        <v>0</v>
      </c>
      <c r="C212" t="str">
        <f>C$9 * (50.25002670288086 -C$8)</f>
        <v>0</v>
      </c>
      <c r="E212" t="str">
        <f>E$9 * (0.01517585013061762 -E$8)</f>
        <v>0</v>
      </c>
      <c r="F212" t="str">
        <f>F$9 * (3.332688093185425 -F$8)</f>
        <v>0</v>
      </c>
      <c r="G212" t="str">
        <f>G$9 * (4.997550010681152 -G$8)</f>
        <v>0</v>
      </c>
    </row>
    <row r="213" spans="1:9">
      <c r="A213" t="str">
        <f>A$9 * (50.5 -A$8)</f>
        <v>0</v>
      </c>
      <c r="B213" t="str">
        <f>B$9 * (50.5 -B$8)</f>
        <v>0</v>
      </c>
      <c r="C213" t="str">
        <f>C$9 * (50.5 -C$8)</f>
        <v>0</v>
      </c>
      <c r="E213" t="str">
        <f>E$9 * (0.005886171013116837 -E$8)</f>
        <v>0</v>
      </c>
      <c r="F213" t="str">
        <f>F$9 * (2.329524040222168 -F$8)</f>
        <v>0</v>
      </c>
      <c r="G213" t="str">
        <f>G$9 * (6.367084980010986 -G$8)</f>
        <v>0</v>
      </c>
    </row>
    <row r="214" spans="1:9">
      <c r="A214" t="str">
        <f>A$9 * (50.75013732910156 -A$8)</f>
        <v>0</v>
      </c>
      <c r="B214" t="str">
        <f>B$9 * (50.75013732910156 -B$8)</f>
        <v>0</v>
      </c>
      <c r="C214" t="str">
        <f>C$9 * (50.75013732910156 -C$8)</f>
        <v>0</v>
      </c>
      <c r="E214" t="str">
        <f>E$9 * (-0.000671810528729111 -E$8)</f>
        <v>0</v>
      </c>
      <c r="F214" t="str">
        <f>F$9 * (-0.9478808045387268 -F$8)</f>
        <v>0</v>
      </c>
      <c r="G214" t="str">
        <f>G$9 * (0.290301114320755 -G$8)</f>
        <v>0</v>
      </c>
    </row>
    <row r="215" spans="1:9">
      <c r="A215" t="str">
        <f>A$9 * (51.00036239624023 -A$8)</f>
        <v>0</v>
      </c>
      <c r="B215" t="str">
        <f>B$9 * (51.00036239624023 -B$8)</f>
        <v>0</v>
      </c>
      <c r="C215" t="str">
        <f>C$9 * (51.00036239624023 -C$8)</f>
        <v>0</v>
      </c>
      <c r="E215" t="str">
        <f>E$9 * (-0.0004092956951353699 -E$8)</f>
        <v>0</v>
      </c>
      <c r="F215" t="str">
        <f>F$9 * (-1.501256942749023 -F$8)</f>
        <v>0</v>
      </c>
      <c r="G215" t="str">
        <f>G$9 * (2.038691997528076 -G$8)</f>
        <v>0</v>
      </c>
    </row>
    <row r="216" spans="1:9">
      <c r="A216" t="str">
        <f>A$9 * (51.25033187866211 -A$8)</f>
        <v>0</v>
      </c>
      <c r="B216" t="str">
        <f>B$9 * (51.25033187866211 -B$8)</f>
        <v>0</v>
      </c>
      <c r="C216" t="str">
        <f>C$9 * (51.25033187866211 -C$8)</f>
        <v>0</v>
      </c>
      <c r="E216" t="str">
        <f>E$9 * (-0.002128050895407796 -E$8)</f>
        <v>0</v>
      </c>
      <c r="F216" t="str">
        <f>F$9 * (-1.977452039718628 -F$8)</f>
        <v>0</v>
      </c>
      <c r="G216" t="str">
        <f>G$9 * (0.9101225137710571 -G$8)</f>
        <v>0</v>
      </c>
    </row>
    <row r="217" spans="1:9">
      <c r="A217" t="str">
        <f>A$9 * (51.50022125244141 -A$8)</f>
        <v>0</v>
      </c>
      <c r="B217" t="str">
        <f>B$9 * (51.50022125244141 -B$8)</f>
        <v>0</v>
      </c>
      <c r="C217" t="str">
        <f>C$9 * (51.50022125244141 -C$8)</f>
        <v>0</v>
      </c>
      <c r="E217" t="str">
        <f>E$9 * (-0.0008015115163289011 -E$8)</f>
        <v>0</v>
      </c>
      <c r="F217" t="str">
        <f>F$9 * (-0.3425008058547974 -F$8)</f>
        <v>0</v>
      </c>
      <c r="G217" t="str">
        <f>G$9 * (-0.2700034081935883 -G$8)</f>
        <v>0</v>
      </c>
    </row>
    <row r="218" spans="1:9">
      <c r="A218" t="str">
        <f>A$9 * (51.75008392333984 -A$8)</f>
        <v>0</v>
      </c>
      <c r="B218" t="str">
        <f>B$9 * (51.75008392333984 -B$8)</f>
        <v>0</v>
      </c>
      <c r="C218" t="str">
        <f>C$9 * (51.75008392333984 -C$8)</f>
        <v>0</v>
      </c>
      <c r="E218" t="str">
        <f>E$9 * (-0.001103841001167893 -E$8)</f>
        <v>0</v>
      </c>
      <c r="F218" t="str">
        <f>F$9 * (-1.336650967597961 -F$8)</f>
        <v>0</v>
      </c>
      <c r="G218" t="str">
        <f>G$9 * (0.8275117874145508 -G$8)</f>
        <v>0</v>
      </c>
    </row>
    <row r="219" spans="1:9">
      <c r="A219" t="str">
        <f>A$9 * (52.00008392333984 -A$8)</f>
        <v>0</v>
      </c>
      <c r="B219" t="str">
        <f>B$9 * (52.00008392333984 -B$8)</f>
        <v>0</v>
      </c>
      <c r="C219" t="str">
        <f>C$9 * (52.00008392333984 -C$8)</f>
        <v>0</v>
      </c>
      <c r="E219" t="str">
        <f>E$9 * (-0.0002879326930269599 -E$8)</f>
        <v>0</v>
      </c>
      <c r="F219" t="str">
        <f>F$9 * (-0.8368132710456848 -F$8)</f>
        <v>0</v>
      </c>
      <c r="G219" t="str">
        <f>G$9 * (0.2963233888149261 -G$8)</f>
        <v>0</v>
      </c>
    </row>
    <row r="220" spans="1:9">
      <c r="A220" t="str">
        <f>A$9 * (52.25016784667969 -A$8)</f>
        <v>0</v>
      </c>
      <c r="B220" t="str">
        <f>B$9 * (52.25016784667969 -B$8)</f>
        <v>0</v>
      </c>
      <c r="C220" t="str">
        <f>C$9 * (52.25016784667969 -C$8)</f>
        <v>0</v>
      </c>
      <c r="E220" t="str">
        <f>E$9 * (0.02900267951190472 -E$8)</f>
        <v>0</v>
      </c>
      <c r="F220" t="str">
        <f>F$9 * (0.9932206273078918 -F$8)</f>
        <v>0</v>
      </c>
      <c r="G220" t="str">
        <f>G$9 * (1.128222942352295 -G$8)</f>
        <v>0</v>
      </c>
    </row>
    <row r="221" spans="1:9">
      <c r="A221" t="str">
        <f>A$9 * (52.50055694580078 -A$8)</f>
        <v>0</v>
      </c>
      <c r="B221" t="str">
        <f>B$9 * (52.50055694580078 -B$8)</f>
        <v>0</v>
      </c>
      <c r="C221" t="str">
        <f>C$9 * (52.50055694580078 -C$8)</f>
        <v>0</v>
      </c>
      <c r="E221" t="str">
        <f>E$9 * (0.01272717025130987 -E$8)</f>
        <v>0</v>
      </c>
      <c r="F221" t="str">
        <f>F$9 * (4.471467971801758 -F$8)</f>
        <v>0</v>
      </c>
      <c r="G221" t="str">
        <f>G$9 * (7.617073059082031 -G$8)</f>
        <v>0</v>
      </c>
    </row>
    <row r="222" spans="1:9">
      <c r="A222" t="str">
        <f>A$9 * (52.75036239624023 -A$8)</f>
        <v>0</v>
      </c>
      <c r="B222" t="str">
        <f>B$9 * (52.75036239624023 -B$8)</f>
        <v>0</v>
      </c>
      <c r="C222" t="str">
        <f>C$9 * (52.75036239624023 -C$8)</f>
        <v>0</v>
      </c>
      <c r="E222" t="str">
        <f>E$9 * (0.03247695043683052 -E$8)</f>
        <v>0</v>
      </c>
      <c r="F222" t="str">
        <f>F$9 * (3.173964977264404 -F$8)</f>
        <v>0</v>
      </c>
      <c r="G222" t="str">
        <f>G$9 * (3.353250026702881 -G$8)</f>
        <v>0</v>
      </c>
    </row>
    <row r="223" spans="1:9">
      <c r="A223" t="str">
        <f>A$9 * (53.00016784667969 -A$8)</f>
        <v>0</v>
      </c>
      <c r="B223" t="str">
        <f>B$9 * (53.00016784667969 -B$8)</f>
        <v>0</v>
      </c>
      <c r="C223" t="str">
        <f>C$9 * (53.00016784667969 -C$8)</f>
        <v>0</v>
      </c>
      <c r="E223" t="str">
        <f>E$9 * (0.01412233989685774 -E$8)</f>
        <v>0</v>
      </c>
      <c r="F223" t="str">
        <f>F$9 * (4.642691135406494 -F$8)</f>
        <v>0</v>
      </c>
      <c r="G223" t="str">
        <f>G$9 * (7.371365070343018 -G$8)</f>
        <v>0</v>
      </c>
    </row>
    <row r="224" spans="1:9">
      <c r="A224" t="str">
        <f>A$9 * (53.25025177001953 -A$8)</f>
        <v>0</v>
      </c>
      <c r="B224" t="str">
        <f>B$9 * (53.25025177001953 -B$8)</f>
        <v>0</v>
      </c>
      <c r="C224" t="str">
        <f>C$9 * (53.25025177001953 -C$8)</f>
        <v>0</v>
      </c>
      <c r="E224" t="str">
        <f>E$9 * (0.01029764022678137 -E$8)</f>
        <v>0</v>
      </c>
      <c r="F224" t="str">
        <f>F$9 * (3.151695966720581 -F$8)</f>
        <v>0</v>
      </c>
      <c r="G224" t="str">
        <f>G$9 * (5.917648792266846 -G$8)</f>
        <v>0</v>
      </c>
    </row>
    <row r="225" spans="1:9">
      <c r="A225" t="str">
        <f>A$9 * (53.50033187866211 -A$8)</f>
        <v>0</v>
      </c>
      <c r="B225" t="str">
        <f>B$9 * (53.50033187866211 -B$8)</f>
        <v>0</v>
      </c>
      <c r="C225" t="str">
        <f>C$9 * (53.50033187866211 -C$8)</f>
        <v>0</v>
      </c>
      <c r="E225" t="str">
        <f>E$9 * (0.01431803032755852 -E$8)</f>
        <v>0</v>
      </c>
      <c r="F225" t="str">
        <f>F$9 * (2.397635936737061 -F$8)</f>
        <v>0</v>
      </c>
      <c r="G225" t="str">
        <f>G$9 * (3.648535013198853 -G$8)</f>
        <v>0</v>
      </c>
    </row>
    <row r="226" spans="1:9">
      <c r="A226" t="str">
        <f>A$9 * (53.75019454956055 -A$8)</f>
        <v>0</v>
      </c>
      <c r="B226" t="str">
        <f>B$9 * (53.75019454956055 -B$8)</f>
        <v>0</v>
      </c>
      <c r="C226" t="str">
        <f>C$9 * (53.75019454956055 -C$8)</f>
        <v>0</v>
      </c>
      <c r="E226" t="str">
        <f>E$9 * (0.007035193033516407 -E$8)</f>
        <v>0</v>
      </c>
      <c r="F226" t="str">
        <f>F$9 * (2.893115043640137 -F$8)</f>
        <v>0</v>
      </c>
      <c r="G226" t="str">
        <f>G$9 * (7.003666877746582 -G$8)</f>
        <v>0</v>
      </c>
    </row>
    <row r="227" spans="1:9">
      <c r="A227" t="str">
        <f>A$9 * (54.00044631958008 -A$8)</f>
        <v>0</v>
      </c>
      <c r="B227" t="str">
        <f>B$9 * (54.00044631958008 -B$8)</f>
        <v>0</v>
      </c>
      <c r="C227" t="str">
        <f>C$9 * (54.00044631958008 -C$8)</f>
        <v>0</v>
      </c>
      <c r="E227" t="str">
        <f>E$9 * (0.002314154990017414 -E$8)</f>
        <v>0</v>
      </c>
      <c r="F227" t="str">
        <f>F$9 * (0.5541617274284363 -F$8)</f>
        <v>0</v>
      </c>
      <c r="G227" t="str">
        <f>G$9 * (3.090508937835693 -G$8)</f>
        <v>0</v>
      </c>
    </row>
    <row r="228" spans="1:9">
      <c r="A228" t="str">
        <f>A$9 * (54.25033187866211 -A$8)</f>
        <v>0</v>
      </c>
      <c r="B228" t="str">
        <f>B$9 * (54.25033187866211 -B$8)</f>
        <v>0</v>
      </c>
      <c r="C228" t="str">
        <f>C$9 * (54.25033187866211 -C$8)</f>
        <v>0</v>
      </c>
      <c r="E228" t="str">
        <f>E$9 * (-0.001444656052626669 -E$8)</f>
        <v>0</v>
      </c>
      <c r="F228" t="str">
        <f>F$9 * (-0.1365413069725037 -F$8)</f>
        <v>0</v>
      </c>
      <c r="G228" t="str">
        <f>G$9 * (-0.8258734941482544 -G$8)</f>
        <v>0</v>
      </c>
    </row>
    <row r="229" spans="1:9">
      <c r="A229" t="str">
        <f>A$9 * (54.50055694580078 -A$8)</f>
        <v>0</v>
      </c>
      <c r="B229" t="str">
        <f>B$9 * (54.50055694580078 -B$8)</f>
        <v>0</v>
      </c>
      <c r="C229" t="str">
        <f>C$9 * (54.50055694580078 -C$8)</f>
        <v>0</v>
      </c>
      <c r="E229" t="str">
        <f>E$9 * (-0.0007652298081666231 -E$8)</f>
        <v>0</v>
      </c>
      <c r="F229" t="str">
        <f>F$9 * (-1.304002046585083 -F$8)</f>
        <v>0</v>
      </c>
      <c r="G229" t="str">
        <f>G$9 * (1.046362996101379 -G$8)</f>
        <v>0</v>
      </c>
    </row>
    <row r="230" spans="1:9">
      <c r="A230" t="str">
        <f>A$9 * (54.75033187866211 -A$8)</f>
        <v>0</v>
      </c>
      <c r="B230" t="str">
        <f>B$9 * (54.75033187866211 -B$8)</f>
        <v>0</v>
      </c>
      <c r="C230" t="str">
        <f>C$9 * (54.75033187866211 -C$8)</f>
        <v>0</v>
      </c>
      <c r="E230" t="str">
        <f>E$9 * (-0.0007882007048465312 -E$8)</f>
        <v>0</v>
      </c>
      <c r="F230" t="str">
        <f>F$9 * (-0.2996683120727539 -F$8)</f>
        <v>0</v>
      </c>
      <c r="G230" t="str">
        <f>G$9 * (-0.1386705935001373 -G$8)</f>
        <v>0</v>
      </c>
    </row>
    <row r="231" spans="1:9">
      <c r="A231" t="str">
        <f>A$9 * (55.0004997253418 -A$8)</f>
        <v>0</v>
      </c>
      <c r="B231" t="str">
        <f>B$9 * (55.0004997253418 -B$8)</f>
        <v>0</v>
      </c>
      <c r="C231" t="str">
        <f>C$9 * (55.0004997253418 -C$8)</f>
        <v>0</v>
      </c>
      <c r="E231" t="str">
        <f>E$9 * (-0.0009063949109986424 -E$8)</f>
        <v>0</v>
      </c>
      <c r="F231" t="str">
        <f>F$9 * (-0.4069977998733521 -F$8)</f>
        <v>0</v>
      </c>
      <c r="G231" t="str">
        <f>G$9 * (-0.4582662880420685 -G$8)</f>
        <v>0</v>
      </c>
    </row>
    <row r="232" spans="1:9">
      <c r="A232" t="str">
        <f>A$9 * (55.25038909912109 -A$8)</f>
        <v>0</v>
      </c>
      <c r="B232" t="str">
        <f>B$9 * (55.25038909912109 -B$8)</f>
        <v>0</v>
      </c>
      <c r="C232" t="str">
        <f>C$9 * (55.25038909912109 -C$8)</f>
        <v>0</v>
      </c>
      <c r="E232" t="str">
        <f>E$9 * (-0.0004003822978120297 -E$8)</f>
        <v>0</v>
      </c>
      <c r="F232" t="str">
        <f>F$9 * (-0.7061715722084045 -F$8)</f>
        <v>0</v>
      </c>
      <c r="G232" t="str">
        <f>G$9 * (0.03742533922195435 -G$8)</f>
        <v>0</v>
      </c>
    </row>
    <row r="233" spans="1:9">
      <c r="A233" t="str">
        <f>A$9 * (55.50022125244141 -A$8)</f>
        <v>0</v>
      </c>
      <c r="B233" t="str">
        <f>B$9 * (55.50022125244141 -B$8)</f>
        <v>0</v>
      </c>
      <c r="C233" t="str">
        <f>C$9 * (55.50022125244141 -C$8)</f>
        <v>0</v>
      </c>
      <c r="E233" t="str">
        <f>E$9 * (-0.003841808065772057 -E$8)</f>
        <v>0</v>
      </c>
      <c r="F233" t="str">
        <f>F$9 * (-1.204884052276611 -F$8)</f>
        <v>0</v>
      </c>
      <c r="G233" t="str">
        <f>G$9 * (2.124336957931519 -G$8)</f>
        <v>0</v>
      </c>
    </row>
    <row r="234" spans="1:9">
      <c r="A234" t="str">
        <f>A$9 * (55.75027847290039 -A$8)</f>
        <v>0</v>
      </c>
      <c r="B234" t="str">
        <f>B$9 * (55.75027847290039 -B$8)</f>
        <v>0</v>
      </c>
      <c r="C234" t="str">
        <f>C$9 * (55.75027847290039 -C$8)</f>
        <v>0</v>
      </c>
      <c r="E234" t="str">
        <f>E$9 * (0.00107898295391351 -E$8)</f>
        <v>0</v>
      </c>
      <c r="F234" t="str">
        <f>F$9 * (0.5115262866020203 -F$8)</f>
        <v>0</v>
      </c>
      <c r="G234" t="str">
        <f>G$9 * (9.52357292175293 -G$8)</f>
        <v>0</v>
      </c>
    </row>
    <row r="235" spans="1:9">
      <c r="A235" t="str">
        <f>A$9 * (56.00030517578125 -A$8)</f>
        <v>0</v>
      </c>
      <c r="B235" t="str">
        <f>B$9 * (56.00030517578125 -B$8)</f>
        <v>0</v>
      </c>
      <c r="C235" t="str">
        <f>C$9 * (56.00030517578125 -C$8)</f>
        <v>0</v>
      </c>
      <c r="E235" t="str">
        <f>E$9 * (0.02893356047570705 -E$8)</f>
        <v>0</v>
      </c>
      <c r="F235" t="str">
        <f>F$9 * (3.166647911071777 -F$8)</f>
        <v>0</v>
      </c>
      <c r="G235" t="str">
        <f>G$9 * (3.422318935394287 -G$8)</f>
        <v>0</v>
      </c>
    </row>
    <row r="236" spans="1:9">
      <c r="A236" t="str">
        <f>A$9 * (56.2506103515625 -A$8)</f>
        <v>0</v>
      </c>
      <c r="B236" t="str">
        <f>B$9 * (56.2506103515625 -B$8)</f>
        <v>0</v>
      </c>
      <c r="C236" t="str">
        <f>C$9 * (56.2506103515625 -C$8)</f>
        <v>0</v>
      </c>
      <c r="E236" t="str">
        <f>E$9 * (0.01981863938271999 -E$8)</f>
        <v>0</v>
      </c>
      <c r="F236" t="str">
        <f>F$9 * (4.849432945251465 -F$8)</f>
        <v>0</v>
      </c>
      <c r="G236" t="str">
        <f>G$9 * (6.475860118865967 -G$8)</f>
        <v>0</v>
      </c>
    </row>
    <row r="237" spans="1:9">
      <c r="A237" t="str">
        <f>A$9 * (56.50016784667969 -A$8)</f>
        <v>0</v>
      </c>
      <c r="B237" t="str">
        <f>B$9 * (56.50016784667969 -B$8)</f>
        <v>0</v>
      </c>
      <c r="C237" t="str">
        <f>C$9 * (56.50016784667969 -C$8)</f>
        <v>0</v>
      </c>
      <c r="E237" t="str">
        <f>E$9 * (0.009842647239565849 -E$8)</f>
        <v>0</v>
      </c>
      <c r="F237" t="str">
        <f>F$9 * (3.729578018188477 -F$8)</f>
        <v>0</v>
      </c>
      <c r="G237" t="str">
        <f>G$9 * (7.275393009185791 -G$8)</f>
        <v>0</v>
      </c>
    </row>
    <row r="238" spans="1:9">
      <c r="A238" t="str">
        <f>A$9 * (56.75008392333984 -A$8)</f>
        <v>0</v>
      </c>
      <c r="B238" t="str">
        <f>B$9 * (56.75008392333984 -B$8)</f>
        <v>0</v>
      </c>
      <c r="C238" t="str">
        <f>C$9 * (56.75008392333984 -C$8)</f>
        <v>0</v>
      </c>
      <c r="E238" t="str">
        <f>E$9 * (0.01235300023108721 -E$8)</f>
        <v>0</v>
      </c>
      <c r="F238" t="str">
        <f>F$9 * (2.035430908203125 -F$8)</f>
        <v>0</v>
      </c>
      <c r="G238" t="str">
        <f>G$9 * (3.345859050750732 -G$8)</f>
        <v>0</v>
      </c>
    </row>
    <row r="239" spans="1:9">
      <c r="A239" t="str">
        <f>A$9 * (57.00013732910156 -A$8)</f>
        <v>0</v>
      </c>
      <c r="B239" t="str">
        <f>B$9 * (57.00013732910156 -B$8)</f>
        <v>0</v>
      </c>
      <c r="C239" t="str">
        <f>C$9 * (57.00013732910156 -C$8)</f>
        <v>0</v>
      </c>
      <c r="E239" t="str">
        <f>E$9 * (0.01062044966965914 -E$8)</f>
        <v>0</v>
      </c>
      <c r="F239" t="str">
        <f>F$9 * (3.48709511756897 -F$8)</f>
        <v>0</v>
      </c>
      <c r="G239" t="str">
        <f>G$9 * (6.448494911193848 -G$8)</f>
        <v>0</v>
      </c>
    </row>
    <row r="240" spans="1:9">
      <c r="A240" t="str">
        <f>A$9 * (57.25005722045898 -A$8)</f>
        <v>0</v>
      </c>
      <c r="B240" t="str">
        <f>B$9 * (57.25005722045898 -B$8)</f>
        <v>0</v>
      </c>
      <c r="C240" t="str">
        <f>C$9 * (57.25005722045898 -C$8)</f>
        <v>0</v>
      </c>
      <c r="E240" t="str">
        <f>E$9 * (0.005350740160793066 -E$8)</f>
        <v>0</v>
      </c>
      <c r="F240" t="str">
        <f>F$9 * (1.875581026077271 -F$8)</f>
        <v>0</v>
      </c>
      <c r="G240" t="str">
        <f>G$9 * (5.435799121856689 -G$8)</f>
        <v>0</v>
      </c>
    </row>
    <row r="241" spans="1:9">
      <c r="A241" t="str">
        <f>A$9 * (57.50013732910156 -A$8)</f>
        <v>0</v>
      </c>
      <c r="B241" t="str">
        <f>B$9 * (57.50013732910156 -B$8)</f>
        <v>0</v>
      </c>
      <c r="C241" t="str">
        <f>C$9 * (57.50013732910156 -C$8)</f>
        <v>0</v>
      </c>
      <c r="E241" t="str">
        <f>E$9 * (-0.0009276919881813228 -E$8)</f>
        <v>0</v>
      </c>
      <c r="F241" t="str">
        <f>F$9 * (-0.8075830936431885 -F$8)</f>
        <v>0</v>
      </c>
      <c r="G241" t="str">
        <f>G$9 * (0.466803103685379 -G$8)</f>
        <v>0</v>
      </c>
    </row>
    <row r="242" spans="1:9">
      <c r="A242" t="str">
        <f>A$9 * (57.75025177001953 -A$8)</f>
        <v>0</v>
      </c>
      <c r="B242" t="str">
        <f>B$9 * (57.75025177001953 -B$8)</f>
        <v>0</v>
      </c>
      <c r="C242" t="str">
        <f>C$9 * (57.75025177001953 -C$8)</f>
        <v>0</v>
      </c>
      <c r="E242" t="str">
        <f>E$9 * (-0.002184499055147171 -E$8)</f>
        <v>0</v>
      </c>
      <c r="F242" t="str">
        <f>F$9 * (-0.7382177710533142 -F$8)</f>
        <v>0</v>
      </c>
      <c r="G242" t="str">
        <f>G$9 * (-1.135313034057617 -G$8)</f>
        <v>0</v>
      </c>
    </row>
    <row r="243" spans="1:9">
      <c r="A243" t="str">
        <f>A$9 * (58.00016784667969 -A$8)</f>
        <v>0</v>
      </c>
      <c r="B243" t="str">
        <f>B$9 * (58.00016784667969 -B$8)</f>
        <v>0</v>
      </c>
      <c r="C243" t="str">
        <f>C$9 * (58.00016784667969 -C$8)</f>
        <v>0</v>
      </c>
      <c r="E243" t="str">
        <f>E$9 * (-0.001189552014693618 -E$8)</f>
        <v>0</v>
      </c>
      <c r="F243" t="str">
        <f>F$9 * (-1.045600056648254 -F$8)</f>
        <v>0</v>
      </c>
      <c r="G243" t="str">
        <f>G$9 * (-0.08477766811847687 -G$8)</f>
        <v>0</v>
      </c>
    </row>
    <row r="244" spans="1:9">
      <c r="A244" t="str">
        <f>A$9 * (58.25025177001953 -A$8)</f>
        <v>0</v>
      </c>
      <c r="B244" t="str">
        <f>B$9 * (58.25025177001953 -B$8)</f>
        <v>0</v>
      </c>
      <c r="C244" t="str">
        <f>C$9 * (58.25025177001953 -C$8)</f>
        <v>0</v>
      </c>
      <c r="E244" t="str">
        <f>E$9 * (-0.0004966916749253869 -E$8)</f>
        <v>0</v>
      </c>
      <c r="F244" t="str">
        <f>F$9 * (-0.2766321003437042 -F$8)</f>
        <v>0</v>
      </c>
      <c r="G244" t="str">
        <f>G$9 * (0.03128857165575027 -G$8)</f>
        <v>0</v>
      </c>
    </row>
    <row r="245" spans="1:9">
      <c r="A245" t="str">
        <f>A$9 * (58.50027847290039 -A$8)</f>
        <v>0</v>
      </c>
      <c r="B245" t="str">
        <f>B$9 * (58.50027847290039 -B$8)</f>
        <v>0</v>
      </c>
      <c r="C245" t="str">
        <f>C$9 * (58.50027847290039 -C$8)</f>
        <v>0</v>
      </c>
      <c r="E245" t="str">
        <f>E$9 * (-0.0004056697944179177 -E$8)</f>
        <v>0</v>
      </c>
      <c r="F245" t="str">
        <f>F$9 * (-0.7791926264762878 -F$8)</f>
        <v>0</v>
      </c>
      <c r="G245" t="str">
        <f>G$9 * (0.5759143233299255 -G$8)</f>
        <v>0</v>
      </c>
    </row>
    <row r="246" spans="1:9">
      <c r="A246" t="str">
        <f>A$9 * (58.75063705444336 -A$8)</f>
        <v>0</v>
      </c>
      <c r="B246" t="str">
        <f>B$9 * (58.75063705444336 -B$8)</f>
        <v>0</v>
      </c>
      <c r="C246" t="str">
        <f>C$9 * (58.75063705444336 -C$8)</f>
        <v>0</v>
      </c>
      <c r="E246" t="str">
        <f>E$9 * (0.001090212957933545 -E$8)</f>
        <v>0</v>
      </c>
      <c r="F246" t="str">
        <f>F$9 * (-1.025629997253418 -F$8)</f>
        <v>0</v>
      </c>
      <c r="G246" t="str">
        <f>G$9 * (0.3918899893760681 -G$8)</f>
        <v>0</v>
      </c>
    </row>
    <row r="247" spans="1:9">
      <c r="A247" t="str">
        <f>A$9 * (59.00066757202148 -A$8)</f>
        <v>0</v>
      </c>
      <c r="B247" t="str">
        <f>B$9 * (59.00066757202148 -B$8)</f>
        <v>0</v>
      </c>
      <c r="C247" t="str">
        <f>C$9 * (59.00066757202148 -C$8)</f>
        <v>0</v>
      </c>
      <c r="E247" t="str">
        <f>E$9 * (0.08052816241979599 -E$8)</f>
        <v>0</v>
      </c>
      <c r="F247" t="str">
        <f>F$9 * (3.252841949462891 -F$8)</f>
        <v>0</v>
      </c>
      <c r="G247" t="str">
        <f>G$9 * (3.395283937454224 -G$8)</f>
        <v>0</v>
      </c>
    </row>
    <row r="248" spans="1:9">
      <c r="A248" t="str">
        <f>A$9 * (59.25002670288086 -A$8)</f>
        <v>0</v>
      </c>
      <c r="B248" t="str">
        <f>B$9 * (59.25002670288086 -B$8)</f>
        <v>0</v>
      </c>
      <c r="C248" t="str">
        <f>C$9 * (59.25002670288086 -C$8)</f>
        <v>0</v>
      </c>
      <c r="E248" t="str">
        <f>E$9 * (0.02765423059463501 -E$8)</f>
        <v>0</v>
      </c>
      <c r="F248" t="str">
        <f>F$9 * (4.344316005706787 -F$8)</f>
        <v>0</v>
      </c>
      <c r="G248" t="str">
        <f>G$9 * (4.97258186340332 -G$8)</f>
        <v>0</v>
      </c>
    </row>
    <row r="249" spans="1:9">
      <c r="A249" t="str">
        <f>A$9 * (59.50013732910156 -A$8)</f>
        <v>0</v>
      </c>
      <c r="B249" t="str">
        <f>B$9 * (59.50013732910156 -B$8)</f>
        <v>0</v>
      </c>
      <c r="C249" t="str">
        <f>C$9 * (59.50013732910156 -C$8)</f>
        <v>0</v>
      </c>
      <c r="E249" t="str">
        <f>E$9 * (0.03665127977728844 -E$8)</f>
        <v>0</v>
      </c>
      <c r="F249" t="str">
        <f>F$9 * (3.759823083877563 -F$8)</f>
        <v>0</v>
      </c>
      <c r="G249" t="str">
        <f>G$9 * (3.958890914916992 -G$8)</f>
        <v>0</v>
      </c>
    </row>
    <row r="250" spans="1:9">
      <c r="A250" t="str">
        <f>A$9 * (59.7504997253418 -A$8)</f>
        <v>0</v>
      </c>
      <c r="B250" t="str">
        <f>B$9 * (59.7504997253418 -B$8)</f>
        <v>0</v>
      </c>
      <c r="C250" t="str">
        <f>C$9 * (59.7504997253418 -C$8)</f>
        <v>0</v>
      </c>
      <c r="E250" t="str">
        <f>E$9 * (0.01210272964090109 -E$8)</f>
        <v>0</v>
      </c>
      <c r="F250" t="str">
        <f>F$9 * (4.237815856933594 -F$8)</f>
        <v>0</v>
      </c>
      <c r="G250" t="str">
        <f>G$9 * (7.313986778259277 -G$8)</f>
        <v>0</v>
      </c>
    </row>
    <row r="251" spans="1:9">
      <c r="A251" t="str">
        <f>A$9 * (60.00025177001953 -A$8)</f>
        <v>0</v>
      </c>
      <c r="B251" t="str">
        <f>B$9 * (60.00025177001953 -B$8)</f>
        <v>0</v>
      </c>
      <c r="C251" t="str">
        <f>C$9 * (60.00025177001953 -C$8)</f>
        <v>0</v>
      </c>
      <c r="E251" t="str">
        <f>E$9 * (0.01190507970750332 -E$8)</f>
        <v>0</v>
      </c>
      <c r="F251" t="str">
        <f>F$9 * (2.393728971481323 -F$8)</f>
        <v>0</v>
      </c>
      <c r="G251" t="str">
        <f>G$9 * (4.05125904083252 -G$8)</f>
        <v>0</v>
      </c>
    </row>
    <row r="252" spans="1:9">
      <c r="A252" t="str">
        <f>A$9 * (60.25022125244141 -A$8)</f>
        <v>0</v>
      </c>
      <c r="B252" t="str">
        <f>B$9 * (60.25022125244141 -B$8)</f>
        <v>0</v>
      </c>
      <c r="C252" t="str">
        <f>C$9 * (60.25022125244141 -C$8)</f>
        <v>0</v>
      </c>
      <c r="E252" t="str">
        <f>E$9 * (0.0158721599727869 -E$8)</f>
        <v>0</v>
      </c>
      <c r="F252" t="str">
        <f>F$9 * (3.07240104675293 -F$8)</f>
        <v>0</v>
      </c>
      <c r="G252" t="str">
        <f>G$9 * (4.478600978851318 -G$8)</f>
        <v>0</v>
      </c>
    </row>
    <row r="253" spans="1:9">
      <c r="A253" t="str">
        <f>A$9 * (60.50038909912109 -A$8)</f>
        <v>0</v>
      </c>
      <c r="B253" t="str">
        <f>B$9 * (60.50038909912109 -B$8)</f>
        <v>0</v>
      </c>
      <c r="C253" t="str">
        <f>C$9 * (60.50038909912109 -C$8)</f>
        <v>0</v>
      </c>
      <c r="E253" t="str">
        <f>E$9 * (0.005924723111093044 -E$8)</f>
        <v>0</v>
      </c>
      <c r="F253" t="str">
        <f>F$9 * (2.419195890426636 -F$8)</f>
        <v>0</v>
      </c>
      <c r="G253" t="str">
        <f>G$9 * (6.59312105178833 -G$8)</f>
        <v>0</v>
      </c>
    </row>
    <row r="254" spans="1:9">
      <c r="A254" t="str">
        <f>A$9 * (60.75025177001953 -A$8)</f>
        <v>0</v>
      </c>
      <c r="B254" t="str">
        <f>B$9 * (60.75025177001953 -B$8)</f>
        <v>0</v>
      </c>
      <c r="C254" t="str">
        <f>C$9 * (60.75025177001953 -C$8)</f>
        <v>0</v>
      </c>
      <c r="E254" t="str">
        <f>E$9 * (-0.0007357306894846261 -E$8)</f>
        <v>0</v>
      </c>
      <c r="F254" t="str">
        <f>F$9 * (-1.226812958717346 -F$8)</f>
        <v>0</v>
      </c>
      <c r="G254" t="str">
        <f>G$9 * (1.029225945472717 -G$8)</f>
        <v>0</v>
      </c>
    </row>
    <row r="255" spans="1:9">
      <c r="A255" t="str">
        <f>A$9 * (61.00025177001953 -A$8)</f>
        <v>0</v>
      </c>
      <c r="B255" t="str">
        <f>B$9 * (61.00025177001953 -B$8)</f>
        <v>0</v>
      </c>
      <c r="C255" t="str">
        <f>C$9 * (61.00025177001953 -C$8)</f>
        <v>0</v>
      </c>
      <c r="E255" t="str">
        <f>E$9 * (-0.001195334945805371 -E$8)</f>
        <v>0</v>
      </c>
      <c r="F255" t="str">
        <f>F$9 * (-1.19539999961853 -F$8)</f>
        <v>0</v>
      </c>
      <c r="G255" t="str">
        <f>G$9 * (-0.1256556063890457 -G$8)</f>
        <v>0</v>
      </c>
    </row>
    <row r="256" spans="1:9">
      <c r="A256" t="str">
        <f>A$9 * (61.25038909912109 -A$8)</f>
        <v>0</v>
      </c>
      <c r="B256" t="str">
        <f>B$9 * (61.25038909912109 -B$8)</f>
        <v>0</v>
      </c>
      <c r="C256" t="str">
        <f>C$9 * (61.25038909912109 -C$8)</f>
        <v>0</v>
      </c>
      <c r="E256" t="str">
        <f>E$9 * (0.0004994326154701412 -E$8)</f>
        <v>0</v>
      </c>
      <c r="F256" t="str">
        <f>F$9 * (-1.016847014427185 -F$8)</f>
        <v>0</v>
      </c>
      <c r="G256" t="str">
        <f>G$9 * (0.792177677154541 -G$8)</f>
        <v>0</v>
      </c>
    </row>
    <row r="257" spans="1:9">
      <c r="A257" t="str">
        <f>A$9 * (61.50013732910156 -A$8)</f>
        <v>0</v>
      </c>
      <c r="B257" t="str">
        <f>B$9 * (61.50013732910156 -B$8)</f>
        <v>0</v>
      </c>
      <c r="C257" t="str">
        <f>C$9 * (61.50013732910156 -C$8)</f>
        <v>0</v>
      </c>
      <c r="E257" t="str">
        <f>E$9 * (-0.001013817032799125 -E$8)</f>
        <v>0</v>
      </c>
      <c r="F257" t="str">
        <f>F$9 * (-1.124503970146179 -F$8)</f>
        <v>0</v>
      </c>
      <c r="G257" t="str">
        <f>G$9 * (0.1712543964385986 -G$8)</f>
        <v>0</v>
      </c>
    </row>
    <row r="258" spans="1:9">
      <c r="A258" t="str">
        <f>A$9 * (61.75005722045898 -A$8)</f>
        <v>0</v>
      </c>
      <c r="B258" t="str">
        <f>B$9 * (61.75005722045898 -B$8)</f>
        <v>0</v>
      </c>
      <c r="C258" t="str">
        <f>C$9 * (61.75005722045898 -C$8)</f>
        <v>0</v>
      </c>
      <c r="E258" t="str">
        <f>E$9 * (-0.0009799723047763109 -E$8)</f>
        <v>0</v>
      </c>
      <c r="F258" t="str">
        <f>F$9 * (-1.212708950042725 -F$8)</f>
        <v>0</v>
      </c>
      <c r="G258" t="str">
        <f>G$9 * (1.040933966636658 -G$8)</f>
        <v>0</v>
      </c>
    </row>
    <row r="259" spans="1:9">
      <c r="A259" t="str">
        <f>A$9 * (62.00083160400391 -A$8)</f>
        <v>0</v>
      </c>
      <c r="B259" t="str">
        <f>B$9 * (62.00083160400391 -B$8)</f>
        <v>0</v>
      </c>
      <c r="C259" t="str">
        <f>C$9 * (62.00083160400391 -C$8)</f>
        <v>0</v>
      </c>
      <c r="E259" t="str">
        <f>E$9 * (-0.001425691996701062 -E$8)</f>
        <v>0</v>
      </c>
      <c r="F259" t="str">
        <f>F$9 * (-1.135105013847351 -F$8)</f>
        <v>0</v>
      </c>
      <c r="G259" t="str">
        <f>G$9 * (0.4409069120883942 -G$8)</f>
        <v>0</v>
      </c>
    </row>
    <row r="260" spans="1:9">
      <c r="A260" t="str">
        <f>A$9 * (62.2506103515625 -A$8)</f>
        <v>0</v>
      </c>
      <c r="B260" t="str">
        <f>B$9 * (62.2506103515625 -B$8)</f>
        <v>0</v>
      </c>
      <c r="C260" t="str">
        <f>C$9 * (62.2506103515625 -C$8)</f>
        <v>0</v>
      </c>
      <c r="E260" t="str">
        <f>E$9 * (0.04099322855472565 -E$8)</f>
        <v>0</v>
      </c>
      <c r="F260" t="str">
        <f>F$9 * (1.502275943756104 -F$8)</f>
        <v>0</v>
      </c>
      <c r="G260" t="str">
        <f>G$9 * (1.639863014221191 -G$8)</f>
        <v>0</v>
      </c>
    </row>
    <row r="261" spans="1:9">
      <c r="A261" t="str">
        <f>A$9 * (62.50027847290039 -A$8)</f>
        <v>0</v>
      </c>
      <c r="B261" t="str">
        <f>B$9 * (62.50027847290039 -B$8)</f>
        <v>0</v>
      </c>
      <c r="C261" t="str">
        <f>C$9 * (62.50027847290039 -C$8)</f>
        <v>0</v>
      </c>
      <c r="E261" t="str">
        <f>E$9 * (0.0153201799839735 -E$8)</f>
        <v>0</v>
      </c>
      <c r="F261" t="str">
        <f>F$9 * (4.522884845733643 -F$8)</f>
        <v>0</v>
      </c>
      <c r="G261" t="str">
        <f>G$9 * (6.900804996490479 -G$8)</f>
        <v>0</v>
      </c>
    </row>
    <row r="262" spans="1:9">
      <c r="A262" t="str">
        <f>A$9 * (62.75052642822266 -A$8)</f>
        <v>0</v>
      </c>
      <c r="B262" t="str">
        <f>B$9 * (62.75052642822266 -B$8)</f>
        <v>0</v>
      </c>
      <c r="C262" t="str">
        <f>C$9 * (62.75052642822266 -C$8)</f>
        <v>0</v>
      </c>
      <c r="E262" t="str">
        <f>E$9 * (0.03212666884064674 -E$8)</f>
        <v>0</v>
      </c>
      <c r="F262" t="str">
        <f>F$9 * (3.139666080474854 -F$8)</f>
        <v>0</v>
      </c>
      <c r="G262" t="str">
        <f>G$9 * (3.31810998916626 -G$8)</f>
        <v>0</v>
      </c>
    </row>
    <row r="263" spans="1:9">
      <c r="A263" t="str">
        <f>A$9 * (63.0001106262207 -A$8)</f>
        <v>0</v>
      </c>
      <c r="B263" t="str">
        <f>B$9 * (63.0001106262207 -B$8)</f>
        <v>0</v>
      </c>
      <c r="C263" t="str">
        <f>C$9 * (63.0001106262207 -C$8)</f>
        <v>0</v>
      </c>
      <c r="E263" t="str">
        <f>E$9 * (0.0131843201816082 -E$8)</f>
        <v>0</v>
      </c>
      <c r="F263" t="str">
        <f>F$9 * (4.497161865234375 -F$8)</f>
        <v>0</v>
      </c>
      <c r="G263" t="str">
        <f>G$9 * (7.398270130157471 -G$8)</f>
        <v>0</v>
      </c>
    </row>
    <row r="264" spans="1:9">
      <c r="A264" t="str">
        <f>A$9 * (63.25019454956055 -A$8)</f>
        <v>0</v>
      </c>
      <c r="B264" t="str">
        <f>B$9 * (63.25019454956055 -B$8)</f>
        <v>0</v>
      </c>
      <c r="C264" t="str">
        <f>C$9 * (63.25019454956055 -C$8)</f>
        <v>0</v>
      </c>
      <c r="E264" t="str">
        <f>E$9 * (0.01062151975929737 -E$8)</f>
        <v>0</v>
      </c>
      <c r="F264" t="str">
        <f>F$9 * (2.988949060440063 -F$8)</f>
        <v>0</v>
      </c>
      <c r="G264" t="str">
        <f>G$9 * (5.487247943878174 -G$8)</f>
        <v>0</v>
      </c>
    </row>
    <row r="265" spans="1:9">
      <c r="A265" t="str">
        <f>A$9 * (63.50016784667969 -A$8)</f>
        <v>0</v>
      </c>
      <c r="B265" t="str">
        <f>B$9 * (63.50016784667969 -B$8)</f>
        <v>0</v>
      </c>
      <c r="C265" t="str">
        <f>C$9 * (63.50016784667969 -C$8)</f>
        <v>0</v>
      </c>
      <c r="E265" t="str">
        <f>E$9 * (0.01423889026045799 -E$8)</f>
        <v>0</v>
      </c>
      <c r="F265" t="str">
        <f>F$9 * (2.331445932388306 -F$8)</f>
        <v>0</v>
      </c>
      <c r="G265" t="str">
        <f>G$9 * (3.553286075592041 -G$8)</f>
        <v>0</v>
      </c>
    </row>
    <row r="266" spans="1:9">
      <c r="A266" t="str">
        <f>A$9 * (63.75002670288086 -A$8)</f>
        <v>0</v>
      </c>
      <c r="B266" t="str">
        <f>B$9 * (63.75002670288086 -B$8)</f>
        <v>0</v>
      </c>
      <c r="C266" t="str">
        <f>C$9 * (63.75002670288086 -C$8)</f>
        <v>0</v>
      </c>
      <c r="E266" t="str">
        <f>E$9 * (0.006782209035009146 -E$8)</f>
        <v>0</v>
      </c>
      <c r="F266" t="str">
        <f>F$9 * (2.857024908065796 -F$8)</f>
        <v>0</v>
      </c>
      <c r="G266" t="str">
        <f>G$9 * (7.09725284576416 -G$8)</f>
        <v>0</v>
      </c>
    </row>
    <row r="267" spans="1:9">
      <c r="A267" t="str">
        <f>A$9 * (64.00030517578125 -A$8)</f>
        <v>0</v>
      </c>
      <c r="B267" t="str">
        <f>B$9 * (64.00030517578125 -B$8)</f>
        <v>0</v>
      </c>
      <c r="C267" t="str">
        <f>C$9 * (64.00030517578125 -C$8)</f>
        <v>0</v>
      </c>
      <c r="E267" t="str">
        <f>E$9 * (0.00166411604732275 -E$8)</f>
        <v>0</v>
      </c>
      <c r="F267" t="str">
        <f>F$9 * (0.3853369951248169 -F$8)</f>
        <v>0</v>
      </c>
      <c r="G267" t="str">
        <f>G$9 * (2.827359914779663 -G$8)</f>
        <v>0</v>
      </c>
    </row>
    <row r="268" spans="1:9">
      <c r="A268" t="str">
        <f>A$9 * (64.25011444091797 -A$8)</f>
        <v>0</v>
      </c>
      <c r="B268" t="str">
        <f>B$9 * (64.25011444091797 -B$8)</f>
        <v>0</v>
      </c>
      <c r="C268" t="str">
        <f>C$9 * (64.25011444091797 -C$8)</f>
        <v>0</v>
      </c>
      <c r="E268" t="str">
        <f>E$9 * (0.0003729331074282527 -E$8)</f>
        <v>0</v>
      </c>
      <c r="F268" t="str">
        <f>F$9 * (-0.3798786997795105 -F$8)</f>
        <v>0</v>
      </c>
      <c r="G268" t="str">
        <f>G$9 * (0.5783544778823853 -G$8)</f>
        <v>0</v>
      </c>
    </row>
    <row r="269" spans="1:9">
      <c r="A269" t="str">
        <f>A$9 * (64.50038909912109 -A$8)</f>
        <v>0</v>
      </c>
      <c r="B269" t="str">
        <f>B$9 * (64.50038909912109 -B$8)</f>
        <v>0</v>
      </c>
      <c r="C269" t="str">
        <f>C$9 * (64.50038909912109 -C$8)</f>
        <v>0</v>
      </c>
      <c r="E269" t="str">
        <f>E$9 * (0.0005823491956107318 -E$8)</f>
        <v>0</v>
      </c>
      <c r="F269" t="str">
        <f>F$9 * (-1.102800011634827 -F$8)</f>
        <v>0</v>
      </c>
      <c r="G269" t="str">
        <f>G$9 * (1.070147037506104 -G$8)</f>
        <v>0</v>
      </c>
    </row>
    <row r="270" spans="1:9">
      <c r="A270" t="str">
        <f>A$9 * (64.7506103515625 -A$8)</f>
        <v>0</v>
      </c>
      <c r="B270" t="str">
        <f>B$9 * (64.7506103515625 -B$8)</f>
        <v>0</v>
      </c>
      <c r="C270" t="str">
        <f>C$9 * (64.7506103515625 -C$8)</f>
        <v>0</v>
      </c>
      <c r="E270" t="str">
        <f>E$9 * (-0.001180600957013667 -E$8)</f>
        <v>0</v>
      </c>
      <c r="F270" t="str">
        <f>F$9 * (-1.163665056228638 -F$8)</f>
        <v>0</v>
      </c>
      <c r="G270" t="str">
        <f>G$9 * (0.6998125910758972 -G$8)</f>
        <v>0</v>
      </c>
    </row>
    <row r="271" spans="1:9">
      <c r="A271" t="str">
        <f>A$9 * (65.00011444091797 -A$8)</f>
        <v>0</v>
      </c>
      <c r="B271" t="str">
        <f>B$9 * (65.00011444091797 -B$8)</f>
        <v>0</v>
      </c>
      <c r="C271" t="str">
        <f>C$9 * (65.00011444091797 -C$8)</f>
        <v>0</v>
      </c>
      <c r="E271" t="str">
        <f>E$9 * (-0.001393339014612138 -E$8)</f>
        <v>0</v>
      </c>
      <c r="F271" t="str">
        <f>F$9 * (-0.719154417514801 -F$8)</f>
        <v>0</v>
      </c>
      <c r="G271" t="str">
        <f>G$9 * (-0.5924499034881592 -G$8)</f>
        <v>0</v>
      </c>
    </row>
    <row r="272" spans="1:9">
      <c r="A272" t="str">
        <f>A$9 * (65.25030517578125 -A$8)</f>
        <v>0</v>
      </c>
      <c r="B272" t="str">
        <f>B$9 * (65.25030517578125 -B$8)</f>
        <v>0</v>
      </c>
      <c r="C272" t="str">
        <f>C$9 * (65.25030517578125 -C$8)</f>
        <v>0</v>
      </c>
      <c r="E272" t="str">
        <f>E$9 * (-0.0004833234997931868 -E$8)</f>
        <v>0</v>
      </c>
      <c r="F272" t="str">
        <f>F$9 * (-0.1378190070390701 -F$8)</f>
        <v>0</v>
      </c>
      <c r="G272" t="str">
        <f>G$9 * (-0.1332647949457169 -G$8)</f>
        <v>0</v>
      </c>
    </row>
    <row r="273" spans="1:9">
      <c r="A273" t="str">
        <f>A$9 * (65.50011444091797 -A$8)</f>
        <v>0</v>
      </c>
      <c r="B273" t="str">
        <f>B$9 * (65.50011444091797 -B$8)</f>
        <v>0</v>
      </c>
      <c r="C273" t="str">
        <f>C$9 * (65.50011444091797 -C$8)</f>
        <v>0</v>
      </c>
      <c r="E273" t="str">
        <f>E$9 * (0.005549382884055376 -E$8)</f>
        <v>0</v>
      </c>
      <c r="F273" t="str">
        <f>F$9 * (0.1715961992740631 -F$8)</f>
        <v>0</v>
      </c>
      <c r="G273" t="str">
        <f>G$9 * (0.5094059705734253 -G$8)</f>
        <v>0</v>
      </c>
    </row>
    <row r="274" spans="1:9">
      <c r="A274" t="str">
        <f>A$9 * (65.75035858154297 -A$8)</f>
        <v>0</v>
      </c>
      <c r="B274" t="str">
        <f>B$9 * (65.75035858154297 -B$8)</f>
        <v>0</v>
      </c>
      <c r="C274" t="str">
        <f>C$9 * (65.75035858154297 -C$8)</f>
        <v>0</v>
      </c>
      <c r="E274" t="str">
        <f>E$9 * (0.009691653773188591 -E$8)</f>
        <v>0</v>
      </c>
      <c r="F274" t="str">
        <f>F$9 * (5.523873805999756 -F$8)</f>
        <v>0</v>
      </c>
      <c r="G274" t="str">
        <f>G$9 * (11.25839996337891 -G$8)</f>
        <v>0</v>
      </c>
    </row>
    <row r="275" spans="1:9">
      <c r="A275" t="str">
        <f>A$9 * (66.00019073486328 -A$8)</f>
        <v>0</v>
      </c>
      <c r="B275" t="str">
        <f>B$9 * (66.00019073486328 -B$8)</f>
        <v>0</v>
      </c>
      <c r="C275" t="str">
        <f>C$9 * (66.00019073486328 -C$8)</f>
        <v>0</v>
      </c>
      <c r="E275" t="str">
        <f>E$9 * (0.02900649979710579 -E$8)</f>
        <v>0</v>
      </c>
      <c r="F275" t="str">
        <f>F$9 * (3.116508007049561 -F$8)</f>
        <v>0</v>
      </c>
      <c r="G275" t="str">
        <f>G$9 * (3.356659889221191 -G$8)</f>
        <v>0</v>
      </c>
    </row>
    <row r="276" spans="1:9">
      <c r="A276" t="str">
        <f>A$9 * (66.25008392333984 -A$8)</f>
        <v>0</v>
      </c>
      <c r="B276" t="str">
        <f>B$9 * (66.25008392333984 -B$8)</f>
        <v>0</v>
      </c>
      <c r="C276" t="str">
        <f>C$9 * (66.25008392333984 -C$8)</f>
        <v>0</v>
      </c>
      <c r="E276" t="str">
        <f>E$9 * (0.01862535998225212 -E$8)</f>
        <v>0</v>
      </c>
      <c r="F276" t="str">
        <f>F$9 * (4.837206840515137 -F$8)</f>
        <v>0</v>
      </c>
      <c r="G276" t="str">
        <f>G$9 * (6.655375957489014 -G$8)</f>
        <v>0</v>
      </c>
    </row>
    <row r="277" spans="1:9">
      <c r="A277" t="str">
        <f>A$9 * (66.50016784667969 -A$8)</f>
        <v>0</v>
      </c>
      <c r="B277" t="str">
        <f>B$9 * (66.50016784667969 -B$8)</f>
        <v>0</v>
      </c>
      <c r="C277" t="str">
        <f>C$9 * (66.50016784667969 -C$8)</f>
        <v>0</v>
      </c>
      <c r="E277" t="str">
        <f>E$9 * (0.009635968133807182 -E$8)</f>
        <v>0</v>
      </c>
      <c r="F277" t="str">
        <f>F$9 * (3.671642065048218 -F$8)</f>
        <v>0</v>
      </c>
      <c r="G277" t="str">
        <f>G$9 * (7.255681991577148 -G$8)</f>
        <v>0</v>
      </c>
    </row>
    <row r="278" spans="1:9">
      <c r="A278" t="str">
        <f>A$9 * (66.75047302246094 -A$8)</f>
        <v>0</v>
      </c>
      <c r="B278" t="str">
        <f>B$9 * (66.75047302246094 -B$8)</f>
        <v>0</v>
      </c>
      <c r="C278" t="str">
        <f>C$9 * (66.75047302246094 -C$8)</f>
        <v>0</v>
      </c>
      <c r="E278" t="str">
        <f>E$9 * (0.01250969991087914 -E$8)</f>
        <v>0</v>
      </c>
      <c r="F278" t="str">
        <f>F$9 * (2.047703981399536 -F$8)</f>
        <v>0</v>
      </c>
      <c r="G278" t="str">
        <f>G$9 * (3.341773986816406 -G$8)</f>
        <v>0</v>
      </c>
    </row>
    <row r="279" spans="1:9">
      <c r="A279" t="str">
        <f>A$9 * (67.00011444091797 -A$8)</f>
        <v>0</v>
      </c>
      <c r="B279" t="str">
        <f>B$9 * (67.00011444091797 -B$8)</f>
        <v>0</v>
      </c>
      <c r="C279" t="str">
        <f>C$9 * (67.00011444091797 -C$8)</f>
        <v>0</v>
      </c>
      <c r="E279" t="str">
        <f>E$9 * (0.01005394011735916 -E$8)</f>
        <v>0</v>
      </c>
      <c r="F279" t="str">
        <f>F$9 * (3.444955110549927 -F$8)</f>
        <v>0</v>
      </c>
      <c r="G279" t="str">
        <f>G$9 * (6.591214179992676 -G$8)</f>
        <v>0</v>
      </c>
    </row>
    <row r="280" spans="1:9">
      <c r="A280" t="str">
        <f>A$9 * (67.25003051757812 -A$8)</f>
        <v>0</v>
      </c>
      <c r="B280" t="str">
        <f>B$9 * (67.25003051757812 -B$8)</f>
        <v>0</v>
      </c>
      <c r="C280" t="str">
        <f>C$9 * (67.25003051757812 -C$8)</f>
        <v>0</v>
      </c>
      <c r="E280" t="str">
        <f>E$9 * (0.005171739961951971 -E$8)</f>
        <v>0</v>
      </c>
      <c r="F280" t="str">
        <f>F$9 * (1.748831033706665 -F$8)</f>
        <v>0</v>
      </c>
      <c r="G280" t="str">
        <f>G$9 * (5.18587589263916 -G$8)</f>
        <v>0</v>
      </c>
    </row>
    <row r="281" spans="1:9">
      <c r="A281" t="str">
        <f>A$9 * (67.50003051757812 -A$8)</f>
        <v>0</v>
      </c>
      <c r="B281" t="str">
        <f>B$9 * (67.50003051757812 -B$8)</f>
        <v>0</v>
      </c>
      <c r="C281" t="str">
        <f>C$9 * (67.50003051757812 -C$8)</f>
        <v>0</v>
      </c>
      <c r="E281" t="str">
        <f>E$9 * (0.0004649281036108732 -E$8)</f>
        <v>0</v>
      </c>
      <c r="F281" t="str">
        <f>F$9 * (-0.6238821744918823 -F$8)</f>
        <v>0</v>
      </c>
      <c r="G281" t="str">
        <f>G$9 * (0.90537428855896 -G$8)</f>
        <v>0</v>
      </c>
    </row>
    <row r="282" spans="1:9">
      <c r="A282" t="str">
        <f>A$9 * (67.75027465820312 -A$8)</f>
        <v>0</v>
      </c>
      <c r="B282" t="str">
        <f>B$9 * (67.75027465820312 -B$8)</f>
        <v>0</v>
      </c>
      <c r="C282" t="str">
        <f>C$9 * (67.75027465820312 -C$8)</f>
        <v>0</v>
      </c>
      <c r="E282" t="str">
        <f>E$9 * (-0.0007089345017448068 -E$8)</f>
        <v>0</v>
      </c>
      <c r="F282" t="str">
        <f>F$9 * (-0.5296990871429443 -F$8)</f>
        <v>0</v>
      </c>
      <c r="G282" t="str">
        <f>G$9 * (0.05962131917476654 -G$8)</f>
        <v>0</v>
      </c>
    </row>
    <row r="283" spans="1:9">
      <c r="A283" t="str">
        <f>A$9 * (68.00066375732422 -A$8)</f>
        <v>0</v>
      </c>
      <c r="B283" t="str">
        <f>B$9 * (68.00066375732422 -B$8)</f>
        <v>0</v>
      </c>
      <c r="C283" t="str">
        <f>C$9 * (68.00066375732422 -C$8)</f>
        <v>0</v>
      </c>
      <c r="E283" t="str">
        <f>E$9 * (-0.0007489884737879038 -E$8)</f>
        <v>0</v>
      </c>
      <c r="F283" t="str">
        <f>F$9 * (-0.8529959917068481 -F$8)</f>
        <v>0</v>
      </c>
      <c r="G283" t="str">
        <f>G$9 * (0.5927394032478333 -G$8)</f>
        <v>0</v>
      </c>
    </row>
    <row r="284" spans="1:9">
      <c r="A284" t="str">
        <f>A$9 * (68.25072479248047 -A$8)</f>
        <v>0</v>
      </c>
      <c r="B284" t="str">
        <f>B$9 * (68.25072479248047 -B$8)</f>
        <v>0</v>
      </c>
      <c r="C284" t="str">
        <f>C$9 * (68.25072479248047 -C$8)</f>
        <v>0</v>
      </c>
      <c r="E284" t="str">
        <f>E$9 * (-0.001413519959896803 -E$8)</f>
        <v>0</v>
      </c>
      <c r="F284" t="str">
        <f>F$9 * (-0.1551072001457214 -F$8)</f>
        <v>0</v>
      </c>
      <c r="G284" t="str">
        <f>G$9 * (-0.4296613931655884 -G$8)</f>
        <v>0</v>
      </c>
    </row>
    <row r="285" spans="1:9">
      <c r="A285" t="str">
        <f>A$9 * (68.50047302246094 -A$8)</f>
        <v>0</v>
      </c>
      <c r="B285" t="str">
        <f>B$9 * (68.50047302246094 -B$8)</f>
        <v>0</v>
      </c>
      <c r="C285" t="str">
        <f>C$9 * (68.50047302246094 -C$8)</f>
        <v>0</v>
      </c>
      <c r="E285" t="str">
        <f>E$9 * (-0.0006412430084310472 -E$8)</f>
        <v>0</v>
      </c>
      <c r="F285" t="str">
        <f>F$9 * (-0.7414429187774658 -F$8)</f>
        <v>0</v>
      </c>
      <c r="G285" t="str">
        <f>G$9 * (-0.008641553111374378 -G$8)</f>
        <v>0</v>
      </c>
    </row>
    <row r="286" spans="1:9">
      <c r="A286" t="str">
        <f>A$9 * (68.75077819824219 -A$8)</f>
        <v>0</v>
      </c>
      <c r="B286" t="str">
        <f>B$9 * (68.75077819824219 -B$8)</f>
        <v>0</v>
      </c>
      <c r="C286" t="str">
        <f>C$9 * (68.75077819824219 -C$8)</f>
        <v>0</v>
      </c>
      <c r="E286" t="str">
        <f>E$9 * (-0.002852318109944463 -E$8)</f>
        <v>0</v>
      </c>
      <c r="F286" t="str">
        <f>F$9 * (-4.962629795074463 -F$8)</f>
        <v>0</v>
      </c>
      <c r="G286" t="str">
        <f>G$9 * (3.0574049949646 -G$8)</f>
        <v>0</v>
      </c>
    </row>
    <row r="287" spans="1:9">
      <c r="A287" t="str">
        <f>A$9 * (69.00030517578125 -A$8)</f>
        <v>0</v>
      </c>
      <c r="B287" t="str">
        <f>B$9 * (69.00030517578125 -B$8)</f>
        <v>0</v>
      </c>
      <c r="C287" t="str">
        <f>C$9 * (69.00030517578125 -C$8)</f>
        <v>0</v>
      </c>
      <c r="E287" t="str">
        <f>E$9 * (0.08955296874046326 -E$8)</f>
        <v>0</v>
      </c>
      <c r="F287" t="str">
        <f>F$9 * (4.13458776473999 -F$8)</f>
        <v>0</v>
      </c>
      <c r="G287" t="str">
        <f>G$9 * (4.281912803649902 -G$8)</f>
        <v>0</v>
      </c>
    </row>
    <row r="288" spans="1:9">
      <c r="A288" t="str">
        <f>A$9 * (69.25038909912109 -A$8)</f>
        <v>0</v>
      </c>
      <c r="B288" t="str">
        <f>B$9 * (69.25038909912109 -B$8)</f>
        <v>0</v>
      </c>
      <c r="C288" t="str">
        <f>C$9 * (69.25038909912109 -C$8)</f>
        <v>0</v>
      </c>
      <c r="E288" t="str">
        <f>E$9 * (0.02932113967835903 -E$8)</f>
        <v>0</v>
      </c>
      <c r="F288" t="str">
        <f>F$9 * (4.109450817108154 -F$8)</f>
        <v>0</v>
      </c>
      <c r="G288" t="str">
        <f>G$9 * (4.560742855072021 -G$8)</f>
        <v>0</v>
      </c>
    </row>
    <row r="289" spans="1:9">
      <c r="A289" t="str">
        <f>A$9 * (69.50055694580078 -A$8)</f>
        <v>0</v>
      </c>
      <c r="B289" t="str">
        <f>B$9 * (69.50055694580078 -B$8)</f>
        <v>0</v>
      </c>
      <c r="C289" t="str">
        <f>C$9 * (69.50055694580078 -C$8)</f>
        <v>0</v>
      </c>
      <c r="E289" t="str">
        <f>E$9 * (0.03566782921552658 -E$8)</f>
        <v>0</v>
      </c>
      <c r="F289" t="str">
        <f>F$9 * (4.125119209289551 -F$8)</f>
        <v>0</v>
      </c>
      <c r="G289" t="str">
        <f>G$9 * (4.350694179534912 -G$8)</f>
        <v>0</v>
      </c>
    </row>
    <row r="290" spans="1:9">
      <c r="A290" t="str">
        <f>A$9 * (69.75052642822266 -A$8)</f>
        <v>0</v>
      </c>
      <c r="B290" t="str">
        <f>B$9 * (69.75052642822266 -B$8)</f>
        <v>0</v>
      </c>
      <c r="C290" t="str">
        <f>C$9 * (69.75052642822266 -C$8)</f>
        <v>0</v>
      </c>
      <c r="E290" t="str">
        <f>E$9 * (0.01178740989416838 -E$8)</f>
        <v>0</v>
      </c>
      <c r="F290" t="str">
        <f>F$9 * (4.127861022949219 -F$8)</f>
        <v>0</v>
      </c>
      <c r="G290" t="str">
        <f>G$9 * (7.23167896270752 -G$8)</f>
        <v>0</v>
      </c>
    </row>
    <row r="291" spans="1:9">
      <c r="A291" t="str">
        <f>A$9 * (70.00008392333984 -A$8)</f>
        <v>0</v>
      </c>
      <c r="B291" t="str">
        <f>B$9 * (70.00008392333984 -B$8)</f>
        <v>0</v>
      </c>
      <c r="C291" t="str">
        <f>C$9 * (70.00008392333984 -C$8)</f>
        <v>0</v>
      </c>
      <c r="E291" t="str">
        <f>E$9 * (0.01186611969023943 -E$8)</f>
        <v>0</v>
      </c>
      <c r="F291" t="str">
        <f>F$9 * (2.222656011581421 -F$8)</f>
        <v>0</v>
      </c>
      <c r="G291" t="str">
        <f>G$9 * (3.756844043731689 -G$8)</f>
        <v>0</v>
      </c>
    </row>
    <row r="292" spans="1:9">
      <c r="A292" t="str">
        <f>A$9 * (70.25022125244141 -A$8)</f>
        <v>0</v>
      </c>
      <c r="B292" t="str">
        <f>B$9 * (70.25022125244141 -B$8)</f>
        <v>0</v>
      </c>
      <c r="C292" t="str">
        <f>C$9 * (70.25022125244141 -C$8)</f>
        <v>0</v>
      </c>
      <c r="E292" t="str">
        <f>E$9 * (0.01539327017962933 -E$8)</f>
        <v>0</v>
      </c>
      <c r="F292" t="str">
        <f>F$9 * (3.280318975448608 -F$8)</f>
        <v>0</v>
      </c>
      <c r="G292" t="str">
        <f>G$9 * (4.8764967918396 -G$8)</f>
        <v>0</v>
      </c>
    </row>
    <row r="293" spans="1:9">
      <c r="A293" t="str">
        <f>A$9 * (70.50019073486328 -A$8)</f>
        <v>0</v>
      </c>
      <c r="B293" t="str">
        <f>B$9 * (70.50019073486328 -B$8)</f>
        <v>0</v>
      </c>
      <c r="C293" t="str">
        <f>C$9 * (70.50019073486328 -C$8)</f>
        <v>0</v>
      </c>
      <c r="E293" t="str">
        <f>E$9 * (0.005913568194955587 -E$8)</f>
        <v>0</v>
      </c>
      <c r="F293" t="str">
        <f>F$9 * (2.349761009216309 -F$8)</f>
        <v>0</v>
      </c>
      <c r="G293" t="str">
        <f>G$9 * (6.399613857269287 -G$8)</f>
        <v>0</v>
      </c>
    </row>
    <row r="294" spans="1:9">
      <c r="A294" t="str">
        <f>A$9 * (70.75027465820312 -A$8)</f>
        <v>0</v>
      </c>
      <c r="B294" t="str">
        <f>B$9 * (70.75027465820312 -B$8)</f>
        <v>0</v>
      </c>
      <c r="C294" t="str">
        <f>C$9 * (70.75027465820312 -C$8)</f>
        <v>0</v>
      </c>
      <c r="E294" t="str">
        <f>E$9 * (-0.0004662573919631541 -E$8)</f>
        <v>0</v>
      </c>
      <c r="F294" t="str">
        <f>F$9 * (-1.000231027603149 -F$8)</f>
        <v>0</v>
      </c>
      <c r="G294" t="str">
        <f>G$9 * (1.11454701423645 -G$8)</f>
        <v>0</v>
      </c>
    </row>
    <row r="295" spans="1:9">
      <c r="A295" t="str">
        <f>A$9 * (71.00047302246094 -A$8)</f>
        <v>0</v>
      </c>
      <c r="B295" t="str">
        <f>B$9 * (71.00047302246094 -B$8)</f>
        <v>0</v>
      </c>
      <c r="C295" t="str">
        <f>C$9 * (71.00047302246094 -C$8)</f>
        <v>0</v>
      </c>
      <c r="E295" t="str">
        <f>E$9 * (-0.0003516000870149583 -E$8)</f>
        <v>0</v>
      </c>
      <c r="F295" t="str">
        <f>F$9 * (-0.7320073246955872 -F$8)</f>
        <v>0</v>
      </c>
      <c r="G295" t="str">
        <f>G$9 * (0.3579927980899811 -G$8)</f>
        <v>0</v>
      </c>
    </row>
    <row r="296" spans="1:9">
      <c r="A296" t="str">
        <f>A$9 * (71.25022125244141 -A$8)</f>
        <v>0</v>
      </c>
      <c r="B296" t="str">
        <f>B$9 * (71.25022125244141 -B$8)</f>
        <v>0</v>
      </c>
      <c r="C296" t="str">
        <f>C$9 * (71.25022125244141 -C$8)</f>
        <v>0</v>
      </c>
      <c r="E296" t="str">
        <f>E$9 * (-0.0001091123995138332 -E$8)</f>
        <v>0</v>
      </c>
      <c r="F296" t="str">
        <f>F$9 * (-0.3471871912479401 -F$8)</f>
        <v>0</v>
      </c>
      <c r="G296" t="str">
        <f>G$9 * (0.2746072113513947 -G$8)</f>
        <v>0</v>
      </c>
    </row>
    <row r="297" spans="1:9">
      <c r="A297" t="str">
        <f>A$9 * (71.50027465820312 -A$8)</f>
        <v>0</v>
      </c>
      <c r="B297" t="str">
        <f>B$9 * (71.50027465820312 -B$8)</f>
        <v>0</v>
      </c>
      <c r="C297" t="str">
        <f>C$9 * (71.50027465820312 -C$8)</f>
        <v>0</v>
      </c>
      <c r="E297" t="str">
        <f>E$9 * (-0.001072042970918119 -E$8)</f>
        <v>0</v>
      </c>
      <c r="F297" t="str">
        <f>F$9 * (-0.8473690152168274 -F$8)</f>
        <v>0</v>
      </c>
      <c r="G297" t="str">
        <f>G$9 * (0.233686700463295 -G$8)</f>
        <v>0</v>
      </c>
    </row>
    <row r="298" spans="1:9">
      <c r="A298" t="str">
        <f>A$9 * (71.75030517578125 -A$8)</f>
        <v>0</v>
      </c>
      <c r="B298" t="str">
        <f>B$9 * (71.75030517578125 -B$8)</f>
        <v>0</v>
      </c>
      <c r="C298" t="str">
        <f>C$9 * (71.75030517578125 -C$8)</f>
        <v>0</v>
      </c>
      <c r="E298" t="str">
        <f>E$9 * (-0.001771437004208565 -E$8)</f>
        <v>0</v>
      </c>
      <c r="F298" t="str">
        <f>F$9 * (-0.1191707998514175 -F$8)</f>
        <v>0</v>
      </c>
      <c r="G298" t="str">
        <f>G$9 * (-0.9353572726249695 -G$8)</f>
        <v>0</v>
      </c>
    </row>
    <row r="299" spans="1:9">
      <c r="A299" t="str">
        <f>A$9 * (72.00003051757812 -A$8)</f>
        <v>0</v>
      </c>
      <c r="B299" t="str">
        <f>B$9 * (72.00003051757812 -B$8)</f>
        <v>0</v>
      </c>
      <c r="C299" t="str">
        <f>C$9 * (72.00003051757812 -C$8)</f>
        <v>0</v>
      </c>
      <c r="E299" t="str">
        <f>E$9 * (-0.0009486177004873753 -E$8)</f>
        <v>0</v>
      </c>
      <c r="F299" t="str">
        <f>F$9 * (-0.3436133861541748 -F$8)</f>
        <v>0</v>
      </c>
      <c r="G299" t="str">
        <f>G$9 * (-0.2325472980737686 -G$8)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Legends</vt:lpstr>
      <vt:lpstr>SIM1</vt:lpstr>
      <vt:lpstr>SIM2</vt:lpstr>
      <vt:lpstr>SIM3</vt:lpstr>
      <vt:lpstr>SIM4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e-fast(TM)</dc:creator>
  <cp:lastModifiedBy>ybanko</cp:lastModifiedBy>
  <dcterms:created xsi:type="dcterms:W3CDTF">2026-08-15T15:52:40+02:00</dcterms:created>
  <dcterms:modified xsi:type="dcterms:W3CDTF">2026-08-15T15:52:40+02:00</dcterms:modified>
  <dc:title>MULTIVAR</dc:title>
  <dc:description>Several variables for each of the selected simulations</dc:description>
  <dc:subject>Data export</dc:subject>
  <cp:keywords>/FAST/Development/TM/Agency/Yinka_Bankole/06_EBAN__01_2026_EPHQ/02_FEED/02_TD/</cp:keywords>
  <cp:category>e-fast(TM)</cp:category>
</cp:coreProperties>
</file>